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Items" sheetId="2" state="visible" r:id="rId4"/>
  </sheets>
  <definedNames>
    <definedName function="false" hidden="true" localSheetId="1" name="_xlnm._FilterDatabase" vbProcedure="false">Items!$A$1:$O$6476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<sst xmlns="http://schemas.openxmlformats.org/spreadsheetml/2006/main" count="23244" uniqueCount="8380">
  <si>
    <t xml:space="preserve">Inventory With More Than a Year of Supply</t>
  </si>
  <si>
    <t xml:space="preserve">Pulled from NetSuite 10/23/2026. Items that sold in the last 12 months but have more on hand than they sold all year. Value at average cost. Dead stock (no sales at all) is not in here.</t>
  </si>
  <si>
    <t xml:space="preserve">Items</t>
  </si>
  <si>
    <t xml:space="preserve">Value on hand</t>
  </si>
  <si>
    <t xml:space="preserve">Bought again in the last 12 months (last PO dated after 10/23/2025)</t>
  </si>
  <si>
    <t xml:space="preserve">  Value on hand of those</t>
  </si>
  <si>
    <t xml:space="preserve">By years of supply</t>
  </si>
  <si>
    <t xml:space="preserve">Years of supply</t>
  </si>
  <si>
    <t xml:space="preserve">1 to 2</t>
  </si>
  <si>
    <t xml:space="preserve">2 to 5</t>
  </si>
  <si>
    <t xml:space="preserve">5 to 10</t>
  </si>
  <si>
    <t xml:space="preserve">10+</t>
  </si>
  <si>
    <t xml:space="preserve">By vendor on the last PO (top 15)</t>
  </si>
  <si>
    <t xml:space="preserve">Vendor</t>
  </si>
  <si>
    <t xml:space="preserve">VN30 Freudenberg</t>
  </si>
  <si>
    <t xml:space="preserve">VN82 Tuico Products Joint Stock Company</t>
  </si>
  <si>
    <t xml:space="preserve">VN10 GE MAO RUBBER INDUSTRIAL CO., LTD .</t>
  </si>
  <si>
    <t xml:space="preserve">(no PO on file)</t>
  </si>
  <si>
    <t xml:space="preserve">VN01 Seal and Rubber Technologies</t>
  </si>
  <si>
    <t xml:space="preserve">VN12 AnySeals, Inc</t>
  </si>
  <si>
    <t xml:space="preserve">VN11 Best Ring Industrial Corporation</t>
  </si>
  <si>
    <t xml:space="preserve">VN53 Ningbo Quantum Seal</t>
  </si>
  <si>
    <t xml:space="preserve">VN772 Universal Polymer &amp; Rubber, LTD.</t>
  </si>
  <si>
    <t xml:space="preserve">VN67 Precix</t>
  </si>
  <si>
    <t xml:space="preserve">VN29 Flambeau Products Corp</t>
  </si>
  <si>
    <t xml:space="preserve">VN90 Xlong Seal Co</t>
  </si>
  <si>
    <t xml:space="preserve">VN05 APG</t>
  </si>
  <si>
    <t xml:space="preserve">VN24 Engineered Seals &amp; Components LLC</t>
  </si>
  <si>
    <t xml:space="preserve">VN07 Boyd Corporation</t>
  </si>
  <si>
    <t xml:space="preserve">By class (top 15)</t>
  </si>
  <si>
    <t xml:space="preserve">Class</t>
  </si>
  <si>
    <t xml:space="preserve">Metric MN70</t>
  </si>
  <si>
    <t xml:space="preserve">AS568 B70</t>
  </si>
  <si>
    <t xml:space="preserve">AS568 V75</t>
  </si>
  <si>
    <t xml:space="preserve">Metric MV75</t>
  </si>
  <si>
    <t xml:space="preserve">AS568 A75</t>
  </si>
  <si>
    <t xml:space="preserve">AS568 S70</t>
  </si>
  <si>
    <t xml:space="preserve">AS568 E70-NSF</t>
  </si>
  <si>
    <t xml:space="preserve">AS568 B90</t>
  </si>
  <si>
    <t xml:space="preserve">AS568 BV75</t>
  </si>
  <si>
    <t xml:space="preserve">AS568 E70</t>
  </si>
  <si>
    <t xml:space="preserve">Metric MS70</t>
  </si>
  <si>
    <t xml:space="preserve">AS568 UC90</t>
  </si>
  <si>
    <t xml:space="preserve">AS568 UC70</t>
  </si>
  <si>
    <t xml:space="preserve">AS568 FFKM-485</t>
  </si>
  <si>
    <t xml:space="preserve">AS568 V75-MS</t>
  </si>
  <si>
    <t xml:space="preserve">Item</t>
  </si>
  <si>
    <t xml:space="preserve">Description</t>
  </si>
  <si>
    <t xml:space="preserve">Qty on hand</t>
  </si>
  <si>
    <t xml:space="preserve">Unit cost</t>
  </si>
  <si>
    <t xml:space="preserve">Sold last 12 mo (qty)</t>
  </si>
  <si>
    <t xml:space="preserve">Last sold</t>
  </si>
  <si>
    <t xml:space="preserve">Last PO #</t>
  </si>
  <si>
    <t xml:space="preserve">PO date written</t>
  </si>
  <si>
    <t xml:space="preserve">PO vendor</t>
  </si>
  <si>
    <t xml:space="preserve">PO qty</t>
  </si>
  <si>
    <t xml:space="preserve">PO price each</t>
  </si>
  <si>
    <t xml:space="preserve">PO line total</t>
  </si>
  <si>
    <t xml:space="preserve">UC70011</t>
  </si>
  <si>
    <t xml:space="preserve">30570</t>
  </si>
  <si>
    <t xml:space="preserve">FS70116</t>
  </si>
  <si>
    <t xml:space="preserve">AS568 FS70</t>
  </si>
  <si>
    <t xml:space="preserve">34607</t>
  </si>
  <si>
    <t xml:space="preserve">B70010</t>
  </si>
  <si>
    <t xml:space="preserve">34938</t>
  </si>
  <si>
    <t xml:space="preserve">C166-36 36-Hole</t>
  </si>
  <si>
    <t xml:space="preserve">OSK™ Kits</t>
  </si>
  <si>
    <t xml:space="preserve">34877</t>
  </si>
  <si>
    <t xml:space="preserve">S70.375</t>
  </si>
  <si>
    <t xml:space="preserve">Cord S70</t>
  </si>
  <si>
    <t xml:space="preserve">34945</t>
  </si>
  <si>
    <t xml:space="preserve">S50.394</t>
  </si>
  <si>
    <t xml:space="preserve">Cord S50</t>
  </si>
  <si>
    <t xml:space="preserve">34582</t>
  </si>
  <si>
    <t xml:space="preserve">N1.10X004</t>
  </si>
  <si>
    <t xml:space="preserve">30871</t>
  </si>
  <si>
    <t xml:space="preserve">C200 18-Hole 8 X 4 Blue</t>
  </si>
  <si>
    <t xml:space="preserve">34847</t>
  </si>
  <si>
    <t xml:space="preserve">QV-113</t>
  </si>
  <si>
    <t xml:space="preserve">AS568 QV</t>
  </si>
  <si>
    <t xml:space="preserve">32322</t>
  </si>
  <si>
    <t xml:space="preserve">B70014</t>
  </si>
  <si>
    <t xml:space="preserve">33284</t>
  </si>
  <si>
    <t xml:space="preserve">B90153</t>
  </si>
  <si>
    <t xml:space="preserve">N70.500</t>
  </si>
  <si>
    <t xml:space="preserve">Cord N70</t>
  </si>
  <si>
    <t xml:space="preserve">34019</t>
  </si>
  <si>
    <t xml:space="preserve">E70036-NSF</t>
  </si>
  <si>
    <t xml:space="preserve">33335</t>
  </si>
  <si>
    <t xml:space="preserve">E70026-NSF</t>
  </si>
  <si>
    <t xml:space="preserve">34589</t>
  </si>
  <si>
    <t xml:space="preserve">B90248</t>
  </si>
  <si>
    <t xml:space="preserve">B70015</t>
  </si>
  <si>
    <t xml:space="preserve">32477</t>
  </si>
  <si>
    <t xml:space="preserve">ACCUTEK-A-11275</t>
  </si>
  <si>
    <t xml:space="preserve">Special Order</t>
  </si>
  <si>
    <t xml:space="preserve">33594</t>
  </si>
  <si>
    <t xml:space="preserve">V75012</t>
  </si>
  <si>
    <t xml:space="preserve">31446</t>
  </si>
  <si>
    <t xml:space="preserve">CV75013</t>
  </si>
  <si>
    <t xml:space="preserve">AS568 CV75</t>
  </si>
  <si>
    <t xml:space="preserve">34400</t>
  </si>
  <si>
    <t xml:space="preserve">UC90006</t>
  </si>
  <si>
    <t xml:space="preserve">30792</t>
  </si>
  <si>
    <t xml:space="preserve">VN70 Real Seal Co Inc</t>
  </si>
  <si>
    <t xml:space="preserve">S70155</t>
  </si>
  <si>
    <t xml:space="preserve">32099</t>
  </si>
  <si>
    <t xml:space="preserve">K382-BOX</t>
  </si>
  <si>
    <t xml:space="preserve">35005</t>
  </si>
  <si>
    <t xml:space="preserve">UC90908</t>
  </si>
  <si>
    <t xml:space="preserve">34744</t>
  </si>
  <si>
    <t xml:space="preserve">FFKM-005-SZ485</t>
  </si>
  <si>
    <t xml:space="preserve">32965</t>
  </si>
  <si>
    <t xml:space="preserve">V75018</t>
  </si>
  <si>
    <t xml:space="preserve">34925</t>
  </si>
  <si>
    <t xml:space="preserve">S70016</t>
  </si>
  <si>
    <t xml:space="preserve">30577</t>
  </si>
  <si>
    <t xml:space="preserve">QR-106</t>
  </si>
  <si>
    <t xml:space="preserve">AS568 QR</t>
  </si>
  <si>
    <t xml:space="preserve">E70.394</t>
  </si>
  <si>
    <t xml:space="preserve">Cord E70</t>
  </si>
  <si>
    <t xml:space="preserve">34436</t>
  </si>
  <si>
    <t xml:space="preserve">V75017</t>
  </si>
  <si>
    <t xml:space="preserve">32361</t>
  </si>
  <si>
    <t xml:space="preserve">S70.275-VN772</t>
  </si>
  <si>
    <t xml:space="preserve">34855</t>
  </si>
  <si>
    <t xml:space="preserve">UC90916</t>
  </si>
  <si>
    <t xml:space="preserve">SN70.275</t>
  </si>
  <si>
    <t xml:space="preserve">Cord SN70</t>
  </si>
  <si>
    <t xml:space="preserve">34130</t>
  </si>
  <si>
    <t xml:space="preserve">B70113</t>
  </si>
  <si>
    <t xml:space="preserve">31834</t>
  </si>
  <si>
    <t xml:space="preserve">FFKM-007-SZ485</t>
  </si>
  <si>
    <t xml:space="preserve">33611</t>
  </si>
  <si>
    <t xml:space="preserve">BV75331</t>
  </si>
  <si>
    <t xml:space="preserve">33302</t>
  </si>
  <si>
    <t xml:space="preserve">N1.00X002.5</t>
  </si>
  <si>
    <t xml:space="preserve">32335</t>
  </si>
  <si>
    <t xml:space="preserve">C203 6-Hole 8 X 4</t>
  </si>
  <si>
    <t xml:space="preserve">34593</t>
  </si>
  <si>
    <t xml:space="preserve">V75003</t>
  </si>
  <si>
    <t xml:space="preserve">30674</t>
  </si>
  <si>
    <t xml:space="preserve">N38.00X1116.59-CM</t>
  </si>
  <si>
    <t xml:space="preserve">Continuously Molded</t>
  </si>
  <si>
    <t xml:space="preserve">34685</t>
  </si>
  <si>
    <t xml:space="preserve">VN72 Sealcore Operations, LLC</t>
  </si>
  <si>
    <t xml:space="preserve">BV75340</t>
  </si>
  <si>
    <t xml:space="preserve">32005</t>
  </si>
  <si>
    <t xml:space="preserve">B70110</t>
  </si>
  <si>
    <t xml:space="preserve">35011</t>
  </si>
  <si>
    <t xml:space="preserve">UC90162</t>
  </si>
  <si>
    <t xml:space="preserve">32580</t>
  </si>
  <si>
    <t xml:space="preserve">N70.210</t>
  </si>
  <si>
    <t xml:space="preserve">35030</t>
  </si>
  <si>
    <t xml:space="preserve">VN32 Global O-Ring And Seal, LLC</t>
  </si>
  <si>
    <t xml:space="preserve">UC90910</t>
  </si>
  <si>
    <t xml:space="preserve">N6.99X285.1</t>
  </si>
  <si>
    <t xml:space="preserve">31910</t>
  </si>
  <si>
    <t xml:space="preserve">FN-LUBE-PLUS-2OZ</t>
  </si>
  <si>
    <t xml:space="preserve">Lube</t>
  </si>
  <si>
    <t xml:space="preserve">34921</t>
  </si>
  <si>
    <t xml:space="preserve">E70017-NSF</t>
  </si>
  <si>
    <t xml:space="preserve">34449</t>
  </si>
  <si>
    <t xml:space="preserve">C201 12-Hole 8 X 4 Blue</t>
  </si>
  <si>
    <t xml:space="preserve">34106</t>
  </si>
  <si>
    <t xml:space="preserve">25X32X4TC</t>
  </si>
  <si>
    <t xml:space="preserve">Oil Seals Metric Type TC</t>
  </si>
  <si>
    <t xml:space="preserve">31931</t>
  </si>
  <si>
    <t xml:space="preserve">B70013</t>
  </si>
  <si>
    <t xml:space="preserve">V75011</t>
  </si>
  <si>
    <t xml:space="preserve">34955</t>
  </si>
  <si>
    <t xml:space="preserve">21030</t>
  </si>
  <si>
    <t xml:space="preserve">34640</t>
  </si>
  <si>
    <t xml:space="preserve">VN79 Kano Laboratories, LLC</t>
  </si>
  <si>
    <t xml:space="preserve">UC90906</t>
  </si>
  <si>
    <t xml:space="preserve">C210 9-Hole 6X3 Blue</t>
  </si>
  <si>
    <t xml:space="preserve">34787</t>
  </si>
  <si>
    <t xml:space="preserve">B70001</t>
  </si>
  <si>
    <t xml:space="preserve">30630</t>
  </si>
  <si>
    <t xml:space="preserve">V75113</t>
  </si>
  <si>
    <t xml:space="preserve">33819</t>
  </si>
  <si>
    <t xml:space="preserve">A75021</t>
  </si>
  <si>
    <t xml:space="preserve">30547</t>
  </si>
  <si>
    <t xml:space="preserve">A75113</t>
  </si>
  <si>
    <t xml:space="preserve">33671</t>
  </si>
  <si>
    <t xml:space="preserve">S50.197</t>
  </si>
  <si>
    <t xml:space="preserve">UC90904</t>
  </si>
  <si>
    <t xml:space="preserve">N70.063</t>
  </si>
  <si>
    <t xml:space="preserve">32944</t>
  </si>
  <si>
    <t xml:space="preserve">FFKM-224-SZ485</t>
  </si>
  <si>
    <t xml:space="preserve">33303</t>
  </si>
  <si>
    <t xml:space="preserve">C219 12-Hole 6X3 Blue</t>
  </si>
  <si>
    <t xml:space="preserve">V75119</t>
  </si>
  <si>
    <t xml:space="preserve">35019</t>
  </si>
  <si>
    <t xml:space="preserve">B70115</t>
  </si>
  <si>
    <t xml:space="preserve">30752</t>
  </si>
  <si>
    <t xml:space="preserve">OLYPSYS-OTMBPV</t>
  </si>
  <si>
    <t xml:space="preserve">Olypsys</t>
  </si>
  <si>
    <t xml:space="preserve">33260</t>
  </si>
  <si>
    <t xml:space="preserve">VN295 Olypsys</t>
  </si>
  <si>
    <t xml:space="preserve">FFKM-030-SZ485</t>
  </si>
  <si>
    <t xml:space="preserve">34648</t>
  </si>
  <si>
    <t xml:space="preserve">QV-006</t>
  </si>
  <si>
    <t xml:space="preserve">B70210</t>
  </si>
  <si>
    <t xml:space="preserve">32167</t>
  </si>
  <si>
    <t xml:space="preserve">B90117</t>
  </si>
  <si>
    <t xml:space="preserve">UC90912</t>
  </si>
  <si>
    <t xml:space="preserve">B90010</t>
  </si>
  <si>
    <t xml:space="preserve">32094</t>
  </si>
  <si>
    <t xml:space="preserve">B70118</t>
  </si>
  <si>
    <t xml:space="preserve">32066</t>
  </si>
  <si>
    <t xml:space="preserve">UC70122</t>
  </si>
  <si>
    <t xml:space="preserve">S4.00X049.5</t>
  </si>
  <si>
    <t xml:space="preserve">31891</t>
  </si>
  <si>
    <t xml:space="preserve">B70006</t>
  </si>
  <si>
    <t xml:space="preserve">35008</t>
  </si>
  <si>
    <t xml:space="preserve">B70004</t>
  </si>
  <si>
    <t xml:space="preserve">32200</t>
  </si>
  <si>
    <t xml:space="preserve">A75127</t>
  </si>
  <si>
    <t xml:space="preserve">33963</t>
  </si>
  <si>
    <t xml:space="preserve">CC.103</t>
  </si>
  <si>
    <t xml:space="preserve">Cord CC</t>
  </si>
  <si>
    <t xml:space="preserve">34052</t>
  </si>
  <si>
    <t xml:space="preserve">VN03 Allied Seals, Inc.</t>
  </si>
  <si>
    <t xml:space="preserve">FFKM-017-SZ498</t>
  </si>
  <si>
    <t xml:space="preserve">AS568 FFKM-498</t>
  </si>
  <si>
    <t xml:space="preserve">32337</t>
  </si>
  <si>
    <t xml:space="preserve">QV-234</t>
  </si>
  <si>
    <t xml:space="preserve">31964</t>
  </si>
  <si>
    <t xml:space="preserve">V75009</t>
  </si>
  <si>
    <t xml:space="preserve">35169</t>
  </si>
  <si>
    <t xml:space="preserve">UC70117</t>
  </si>
  <si>
    <t xml:space="preserve">A75211</t>
  </si>
  <si>
    <t xml:space="preserve">BV75215</t>
  </si>
  <si>
    <t xml:space="preserve">31855</t>
  </si>
  <si>
    <t xml:space="preserve">E70015</t>
  </si>
  <si>
    <t xml:space="preserve">31760</t>
  </si>
  <si>
    <t xml:space="preserve">V3.00X058</t>
  </si>
  <si>
    <t xml:space="preserve">34025</t>
  </si>
  <si>
    <t xml:space="preserve">V75015</t>
  </si>
  <si>
    <t xml:space="preserve">35018</t>
  </si>
  <si>
    <t xml:space="preserve">CV75213</t>
  </si>
  <si>
    <t xml:space="preserve">S50259-BLK</t>
  </si>
  <si>
    <t xml:space="preserve">34710</t>
  </si>
  <si>
    <t xml:space="preserve">FFKM-151-SZ498</t>
  </si>
  <si>
    <t xml:space="preserve">34572</t>
  </si>
  <si>
    <t xml:space="preserve">B70264</t>
  </si>
  <si>
    <t xml:space="preserve">32360</t>
  </si>
  <si>
    <t xml:space="preserve">B70206</t>
  </si>
  <si>
    <t xml:space="preserve">30653</t>
  </si>
  <si>
    <t xml:space="preserve">N70.236</t>
  </si>
  <si>
    <t xml:space="preserve">V75133</t>
  </si>
  <si>
    <t xml:space="preserve">FFKM-135-SZ485</t>
  </si>
  <si>
    <t xml:space="preserve">31373</t>
  </si>
  <si>
    <t xml:space="preserve">V75.103</t>
  </si>
  <si>
    <t xml:space="preserve">Cord V75</t>
  </si>
  <si>
    <t xml:space="preserve">33422</t>
  </si>
  <si>
    <t xml:space="preserve">VN22 Eagle Elastomer</t>
  </si>
  <si>
    <t xml:space="preserve">V75465</t>
  </si>
  <si>
    <t xml:space="preserve">33087</t>
  </si>
  <si>
    <t xml:space="preserve">V75019-MS</t>
  </si>
  <si>
    <t xml:space="preserve">34580</t>
  </si>
  <si>
    <t xml:space="preserve">E70218</t>
  </si>
  <si>
    <t xml:space="preserve">34655</t>
  </si>
  <si>
    <t xml:space="preserve">FFKM-228-SZ485</t>
  </si>
  <si>
    <t xml:space="preserve">BV75112</t>
  </si>
  <si>
    <t xml:space="preserve">A75225</t>
  </si>
  <si>
    <t xml:space="preserve">33695</t>
  </si>
  <si>
    <t xml:space="preserve">V75223</t>
  </si>
  <si>
    <t xml:space="preserve">34991</t>
  </si>
  <si>
    <t xml:space="preserve">UC90119</t>
  </si>
  <si>
    <t xml:space="preserve">30681</t>
  </si>
  <si>
    <t xml:space="preserve">BV75014</t>
  </si>
  <si>
    <t xml:space="preserve">34985</t>
  </si>
  <si>
    <t xml:space="preserve">FFKM-137-SZ495</t>
  </si>
  <si>
    <t xml:space="preserve">AS568 FFKM-495</t>
  </si>
  <si>
    <t xml:space="preserve">34932</t>
  </si>
  <si>
    <t xml:space="preserve">CV75008</t>
  </si>
  <si>
    <t xml:space="preserve">34447</t>
  </si>
  <si>
    <t xml:space="preserve">OLYPSYS-OTMBPVCC</t>
  </si>
  <si>
    <t xml:space="preserve">33265</t>
  </si>
  <si>
    <t xml:space="preserve">S1.20X002.6</t>
  </si>
  <si>
    <t xml:space="preserve">V75135-MS</t>
  </si>
  <si>
    <t xml:space="preserve">35071</t>
  </si>
  <si>
    <t xml:space="preserve">B50003</t>
  </si>
  <si>
    <t xml:space="preserve">AS568 B50</t>
  </si>
  <si>
    <t xml:space="preserve">N3.00X082</t>
  </si>
  <si>
    <t xml:space="preserve">34371</t>
  </si>
  <si>
    <t xml:space="preserve">N70.250</t>
  </si>
  <si>
    <t xml:space="preserve">34358</t>
  </si>
  <si>
    <t xml:space="preserve">A75228</t>
  </si>
  <si>
    <t xml:space="preserve">S50.210</t>
  </si>
  <si>
    <t xml:space="preserve">V75325</t>
  </si>
  <si>
    <t xml:space="preserve">35229</t>
  </si>
  <si>
    <t xml:space="preserve">H70010</t>
  </si>
  <si>
    <t xml:space="preserve">AS568 H70-GRN</t>
  </si>
  <si>
    <t xml:space="preserve">34469</t>
  </si>
  <si>
    <t xml:space="preserve">V90907-BRN</t>
  </si>
  <si>
    <t xml:space="preserve">AS568 V90</t>
  </si>
  <si>
    <t xml:space="preserve">34596</t>
  </si>
  <si>
    <t xml:space="preserve">H70220</t>
  </si>
  <si>
    <t xml:space="preserve">QV-216</t>
  </si>
  <si>
    <t xml:space="preserve">33793</t>
  </si>
  <si>
    <t xml:space="preserve">V75278</t>
  </si>
  <si>
    <t xml:space="preserve">32163</t>
  </si>
  <si>
    <t xml:space="preserve">S70272</t>
  </si>
  <si>
    <t xml:space="preserve">34214</t>
  </si>
  <si>
    <t xml:space="preserve">BV75153</t>
  </si>
  <si>
    <t xml:space="preserve">30581</t>
  </si>
  <si>
    <t xml:space="preserve">E70118</t>
  </si>
  <si>
    <t xml:space="preserve">V75019</t>
  </si>
  <si>
    <t xml:space="preserve">UL250-5.000-285-PTFE</t>
  </si>
  <si>
    <t xml:space="preserve">34386</t>
  </si>
  <si>
    <t xml:space="preserve">VN49 Martin Fluid Power</t>
  </si>
  <si>
    <t xml:space="preserve">BV75117</t>
  </si>
  <si>
    <t xml:space="preserve">35041</t>
  </si>
  <si>
    <t xml:space="preserve">N1.00X016.5</t>
  </si>
  <si>
    <t xml:space="preserve">32244</t>
  </si>
  <si>
    <t xml:space="preserve">A75217</t>
  </si>
  <si>
    <t xml:space="preserve">BV75339</t>
  </si>
  <si>
    <t xml:space="preserve">31597</t>
  </si>
  <si>
    <t xml:space="preserve">V75158</t>
  </si>
  <si>
    <t xml:space="preserve">30755</t>
  </si>
  <si>
    <t xml:space="preserve">V75.313</t>
  </si>
  <si>
    <t xml:space="preserve">34365</t>
  </si>
  <si>
    <t xml:space="preserve">V75007</t>
  </si>
  <si>
    <t xml:space="preserve">H70215</t>
  </si>
  <si>
    <t xml:space="preserve">V75006</t>
  </si>
  <si>
    <t xml:space="preserve">S70169</t>
  </si>
  <si>
    <t xml:space="preserve">33297</t>
  </si>
  <si>
    <t xml:space="preserve">B70021</t>
  </si>
  <si>
    <t xml:space="preserve">FFKM-445-SZ495</t>
  </si>
  <si>
    <t xml:space="preserve">E70.236</t>
  </si>
  <si>
    <t xml:space="preserve">33991</t>
  </si>
  <si>
    <t xml:space="preserve">B50031</t>
  </si>
  <si>
    <t xml:space="preserve">B70213</t>
  </si>
  <si>
    <t xml:space="preserve">34968</t>
  </si>
  <si>
    <t xml:space="preserve">B70019</t>
  </si>
  <si>
    <t xml:space="preserve">32249</t>
  </si>
  <si>
    <t xml:space="preserve">B70355-NSF</t>
  </si>
  <si>
    <t xml:space="preserve">AS568 B70-NSF</t>
  </si>
  <si>
    <t xml:space="preserve">34625</t>
  </si>
  <si>
    <t xml:space="preserve">QR-336</t>
  </si>
  <si>
    <t xml:space="preserve">30697</t>
  </si>
  <si>
    <t xml:space="preserve">V75136</t>
  </si>
  <si>
    <t xml:space="preserve">34842</t>
  </si>
  <si>
    <t xml:space="preserve">V75030-MS</t>
  </si>
  <si>
    <t xml:space="preserve">34899</t>
  </si>
  <si>
    <t xml:space="preserve">K32-CASE</t>
  </si>
  <si>
    <t xml:space="preserve">34988</t>
  </si>
  <si>
    <t xml:space="preserve">A75219</t>
  </si>
  <si>
    <t xml:space="preserve">E70.103</t>
  </si>
  <si>
    <t xml:space="preserve">33847</t>
  </si>
  <si>
    <t xml:space="preserve">UC70114</t>
  </si>
  <si>
    <t xml:space="preserve">B70449</t>
  </si>
  <si>
    <t xml:space="preserve">A75114</t>
  </si>
  <si>
    <t xml:space="preserve">B70385</t>
  </si>
  <si>
    <t xml:space="preserve">31999</t>
  </si>
  <si>
    <t xml:space="preserve">V75210</t>
  </si>
  <si>
    <t xml:space="preserve">SN70215</t>
  </si>
  <si>
    <t xml:space="preserve">AS568 SN70</t>
  </si>
  <si>
    <t xml:space="preserve">A75220</t>
  </si>
  <si>
    <t xml:space="preserve">33868</t>
  </si>
  <si>
    <t xml:space="preserve">A75023</t>
  </si>
  <si>
    <t xml:space="preserve">33606</t>
  </si>
  <si>
    <t xml:space="preserve">S1.50X005.5</t>
  </si>
  <si>
    <t xml:space="preserve">34070</t>
  </si>
  <si>
    <t xml:space="preserve">V75.118</t>
  </si>
  <si>
    <t xml:space="preserve">32844</t>
  </si>
  <si>
    <t xml:space="preserve">TEF215</t>
  </si>
  <si>
    <t xml:space="preserve">AS568 TEF</t>
  </si>
  <si>
    <t xml:space="preserve">30560</t>
  </si>
  <si>
    <t xml:space="preserve">V75010</t>
  </si>
  <si>
    <t xml:space="preserve">35049</t>
  </si>
  <si>
    <t xml:space="preserve">B70228</t>
  </si>
  <si>
    <t xml:space="preserve">E70014</t>
  </si>
  <si>
    <t xml:space="preserve">30671</t>
  </si>
  <si>
    <t xml:space="preserve">E80008-E454</t>
  </si>
  <si>
    <t xml:space="preserve">AS568 E454</t>
  </si>
  <si>
    <t xml:space="preserve">31099</t>
  </si>
  <si>
    <t xml:space="preserve">FFKM-218-SZ485</t>
  </si>
  <si>
    <t xml:space="preserve">33396</t>
  </si>
  <si>
    <t xml:space="preserve">SV75111</t>
  </si>
  <si>
    <t xml:space="preserve">AS568 SV75</t>
  </si>
  <si>
    <t xml:space="preserve">B70048</t>
  </si>
  <si>
    <t xml:space="preserve">31828</t>
  </si>
  <si>
    <t xml:space="preserve">CC.210</t>
  </si>
  <si>
    <t xml:space="preserve">34080</t>
  </si>
  <si>
    <t xml:space="preserve">A75017</t>
  </si>
  <si>
    <t xml:space="preserve">N0.50X032</t>
  </si>
  <si>
    <t xml:space="preserve">31518</t>
  </si>
  <si>
    <t xml:space="preserve">H70255</t>
  </si>
  <si>
    <t xml:space="preserve">32376</t>
  </si>
  <si>
    <t xml:space="preserve">B90015</t>
  </si>
  <si>
    <t xml:space="preserve">H70217</t>
  </si>
  <si>
    <t xml:space="preserve">V75140</t>
  </si>
  <si>
    <t xml:space="preserve">33296</t>
  </si>
  <si>
    <t xml:space="preserve">GV75216</t>
  </si>
  <si>
    <t xml:space="preserve">AS568-GV75</t>
  </si>
  <si>
    <t xml:space="preserve">N1.00X095</t>
  </si>
  <si>
    <t xml:space="preserve">34157</t>
  </si>
  <si>
    <t xml:space="preserve">TEV372</t>
  </si>
  <si>
    <t xml:space="preserve">AS568 TEV</t>
  </si>
  <si>
    <t xml:space="preserve">34892</t>
  </si>
  <si>
    <t xml:space="preserve">V75123</t>
  </si>
  <si>
    <t xml:space="preserve">35057</t>
  </si>
  <si>
    <t xml:space="preserve">S70015</t>
  </si>
  <si>
    <t xml:space="preserve">V75.250</t>
  </si>
  <si>
    <t xml:space="preserve">35023</t>
  </si>
  <si>
    <t xml:space="preserve">B70223</t>
  </si>
  <si>
    <t xml:space="preserve">35170</t>
  </si>
  <si>
    <t xml:space="preserve">V90014</t>
  </si>
  <si>
    <t xml:space="preserve">V75130</t>
  </si>
  <si>
    <t xml:space="preserve">E70132</t>
  </si>
  <si>
    <t xml:space="preserve">30763</t>
  </si>
  <si>
    <t xml:space="preserve">V75212</t>
  </si>
  <si>
    <t xml:space="preserve">32746</t>
  </si>
  <si>
    <t xml:space="preserve">UC70217</t>
  </si>
  <si>
    <t xml:space="preserve">V1.00X013.5</t>
  </si>
  <si>
    <t xml:space="preserve">V75227</t>
  </si>
  <si>
    <t xml:space="preserve">V75916</t>
  </si>
  <si>
    <t xml:space="preserve">34961</t>
  </si>
  <si>
    <t xml:space="preserve">H70121</t>
  </si>
  <si>
    <t xml:space="preserve">H70120</t>
  </si>
  <si>
    <t xml:space="preserve">V75028</t>
  </si>
  <si>
    <t xml:space="preserve">UC90112</t>
  </si>
  <si>
    <t xml:space="preserve">34554</t>
  </si>
  <si>
    <t xml:space="preserve">B70282</t>
  </si>
  <si>
    <t xml:space="preserve">34999</t>
  </si>
  <si>
    <t xml:space="preserve">A75009</t>
  </si>
  <si>
    <t xml:space="preserve">33450</t>
  </si>
  <si>
    <t xml:space="preserve">QV-115</t>
  </si>
  <si>
    <t xml:space="preserve">H70216</t>
  </si>
  <si>
    <t xml:space="preserve">N1.00X024</t>
  </si>
  <si>
    <t xml:space="preserve">N70.472</t>
  </si>
  <si>
    <t xml:space="preserve">SN90325</t>
  </si>
  <si>
    <t xml:space="preserve">34747</t>
  </si>
  <si>
    <t xml:space="preserve">AN-17-SH</t>
  </si>
  <si>
    <t xml:space="preserve">Hydraulic Inch Wipers</t>
  </si>
  <si>
    <t xml:space="preserve">34701</t>
  </si>
  <si>
    <t xml:space="preserve">CTC-1P3707</t>
  </si>
  <si>
    <t xml:space="preserve">OSK Hydraulic Seal Kits</t>
  </si>
  <si>
    <t xml:space="preserve">35020</t>
  </si>
  <si>
    <t xml:space="preserve">E70376-NSF</t>
  </si>
  <si>
    <t xml:space="preserve">34962</t>
  </si>
  <si>
    <t xml:space="preserve">FFKM-383-SZ485</t>
  </si>
  <si>
    <t xml:space="preserve">34817</t>
  </si>
  <si>
    <t xml:space="preserve">B90218</t>
  </si>
  <si>
    <t xml:space="preserve">V3.00X058-BRN</t>
  </si>
  <si>
    <t xml:space="preserve">33194</t>
  </si>
  <si>
    <t xml:space="preserve">B70232</t>
  </si>
  <si>
    <t xml:space="preserve">30675</t>
  </si>
  <si>
    <t xml:space="preserve">E70020-NSF</t>
  </si>
  <si>
    <t xml:space="preserve">32688</t>
  </si>
  <si>
    <t xml:space="preserve">A75215</t>
  </si>
  <si>
    <t xml:space="preserve">34030</t>
  </si>
  <si>
    <t xml:space="preserve">V90918</t>
  </si>
  <si>
    <t xml:space="preserve">34294</t>
  </si>
  <si>
    <t xml:space="preserve">H70119</t>
  </si>
  <si>
    <t xml:space="preserve">UC70007</t>
  </si>
  <si>
    <t xml:space="preserve">34140</t>
  </si>
  <si>
    <t xml:space="preserve">V3.50X181.5-90</t>
  </si>
  <si>
    <t xml:space="preserve">Metric MV90</t>
  </si>
  <si>
    <t xml:space="preserve">V75001</t>
  </si>
  <si>
    <t xml:space="preserve">31862</t>
  </si>
  <si>
    <t xml:space="preserve">VN59 Parco, Inc</t>
  </si>
  <si>
    <t xml:space="preserve">UC90335</t>
  </si>
  <si>
    <t xml:space="preserve">34443</t>
  </si>
  <si>
    <t xml:space="preserve">N2.00X045</t>
  </si>
  <si>
    <t xml:space="preserve">QR-111</t>
  </si>
  <si>
    <t xml:space="preserve">BV75212</t>
  </si>
  <si>
    <t xml:space="preserve">SN70359</t>
  </si>
  <si>
    <t xml:space="preserve">A75117</t>
  </si>
  <si>
    <t xml:space="preserve">FFKM-212-SZ485</t>
  </si>
  <si>
    <t xml:space="preserve">H70019</t>
  </si>
  <si>
    <t xml:space="preserve">S70361</t>
  </si>
  <si>
    <t xml:space="preserve">30555</t>
  </si>
  <si>
    <t xml:space="preserve">E70.118</t>
  </si>
  <si>
    <t xml:space="preserve">34845</t>
  </si>
  <si>
    <t xml:space="preserve">BV75226</t>
  </si>
  <si>
    <t xml:space="preserve">BV75019</t>
  </si>
  <si>
    <t xml:space="preserve">B70311</t>
  </si>
  <si>
    <t xml:space="preserve">CC.188</t>
  </si>
  <si>
    <t xml:space="preserve">35068</t>
  </si>
  <si>
    <t xml:space="preserve">V75.177</t>
  </si>
  <si>
    <t xml:space="preserve">N2.00X178</t>
  </si>
  <si>
    <t xml:space="preserve">S70.118</t>
  </si>
  <si>
    <t xml:space="preserve">30904</t>
  </si>
  <si>
    <t xml:space="preserve">B70024</t>
  </si>
  <si>
    <t xml:space="preserve">32239</t>
  </si>
  <si>
    <t xml:space="preserve">V2.00X037</t>
  </si>
  <si>
    <t xml:space="preserve">33560</t>
  </si>
  <si>
    <t xml:space="preserve">V75222</t>
  </si>
  <si>
    <t xml:space="preserve">QE-026</t>
  </si>
  <si>
    <t xml:space="preserve">AS568 QE</t>
  </si>
  <si>
    <t xml:space="preserve">34392</t>
  </si>
  <si>
    <t xml:space="preserve">6226-20</t>
  </si>
  <si>
    <t xml:space="preserve">Hydraulic Inch U-Cups 6226 Buna</t>
  </si>
  <si>
    <t xml:space="preserve">34671</t>
  </si>
  <si>
    <t xml:space="preserve">A75018</t>
  </si>
  <si>
    <t xml:space="preserve">B70034</t>
  </si>
  <si>
    <t xml:space="preserve">SN70012</t>
  </si>
  <si>
    <t xml:space="preserve">33169</t>
  </si>
  <si>
    <t xml:space="preserve">E70009-NSF</t>
  </si>
  <si>
    <t xml:space="preserve">V75.437</t>
  </si>
  <si>
    <t xml:space="preserve">34462</t>
  </si>
  <si>
    <t xml:space="preserve">UC90117</t>
  </si>
  <si>
    <t xml:space="preserve">34297</t>
  </si>
  <si>
    <t xml:space="preserve">V75221</t>
  </si>
  <si>
    <t xml:space="preserve">A75116</t>
  </si>
  <si>
    <t xml:space="preserve">CV75026</t>
  </si>
  <si>
    <t xml:space="preserve">PO30320</t>
  </si>
  <si>
    <t xml:space="preserve">GV75111</t>
  </si>
  <si>
    <t xml:space="preserve">V75.157</t>
  </si>
  <si>
    <t xml:space="preserve">30502</t>
  </si>
  <si>
    <t xml:space="preserve">V75131</t>
  </si>
  <si>
    <t xml:space="preserve">E70258</t>
  </si>
  <si>
    <t xml:space="preserve">32089</t>
  </si>
  <si>
    <t xml:space="preserve">B70455</t>
  </si>
  <si>
    <t xml:space="preserve">H70017</t>
  </si>
  <si>
    <t xml:space="preserve">V75021</t>
  </si>
  <si>
    <t xml:space="preserve">V75116</t>
  </si>
  <si>
    <t xml:space="preserve">B50026</t>
  </si>
  <si>
    <t xml:space="preserve">34782</t>
  </si>
  <si>
    <t xml:space="preserve">UC90017</t>
  </si>
  <si>
    <t xml:space="preserve">34397</t>
  </si>
  <si>
    <t xml:space="preserve">B70932</t>
  </si>
  <si>
    <t xml:space="preserve">30770</t>
  </si>
  <si>
    <t xml:space="preserve">B70121</t>
  </si>
  <si>
    <t xml:space="preserve">V75015-MS</t>
  </si>
  <si>
    <t xml:space="preserve">QR-015</t>
  </si>
  <si>
    <t xml:space="preserve">34156</t>
  </si>
  <si>
    <t xml:space="preserve">SE70124</t>
  </si>
  <si>
    <t xml:space="preserve">N1.00X029</t>
  </si>
  <si>
    <t xml:space="preserve">33270</t>
  </si>
  <si>
    <t xml:space="preserve">V1.00X003.5</t>
  </si>
  <si>
    <t xml:space="preserve">33812</t>
  </si>
  <si>
    <t xml:space="preserve">UC90029</t>
  </si>
  <si>
    <t xml:space="preserve">34237</t>
  </si>
  <si>
    <t xml:space="preserve">UC90317</t>
  </si>
  <si>
    <t xml:space="preserve">SFS-40</t>
  </si>
  <si>
    <t xml:space="preserve">Hydraulic Inch Flange Seals</t>
  </si>
  <si>
    <t xml:space="preserve">34739</t>
  </si>
  <si>
    <t xml:space="preserve">TORS-PICK</t>
  </si>
  <si>
    <t xml:space="preserve">OSK O-Ring Repair Kits</t>
  </si>
  <si>
    <t xml:space="preserve">34591</t>
  </si>
  <si>
    <t xml:space="preserve">B70446</t>
  </si>
  <si>
    <t xml:space="preserve">BV75126</t>
  </si>
  <si>
    <t xml:space="preserve">34910</t>
  </si>
  <si>
    <t xml:space="preserve">V90907</t>
  </si>
  <si>
    <t xml:space="preserve">34369</t>
  </si>
  <si>
    <t xml:space="preserve">A75212</t>
  </si>
  <si>
    <t xml:space="preserve">S1.90X006.8</t>
  </si>
  <si>
    <t xml:space="preserve">31731</t>
  </si>
  <si>
    <t xml:space="preserve">CV75016</t>
  </si>
  <si>
    <t xml:space="preserve">S70017</t>
  </si>
  <si>
    <t xml:space="preserve">A75218</t>
  </si>
  <si>
    <t xml:space="preserve">E70110-NSF</t>
  </si>
  <si>
    <t xml:space="preserve">33643</t>
  </si>
  <si>
    <t xml:space="preserve">S1.00X006-50</t>
  </si>
  <si>
    <t xml:space="preserve">31750</t>
  </si>
  <si>
    <t xml:space="preserve">V90920-BRN</t>
  </si>
  <si>
    <t xml:space="preserve">31650</t>
  </si>
  <si>
    <t xml:space="preserve">V1.78X006.35</t>
  </si>
  <si>
    <t xml:space="preserve">30553</t>
  </si>
  <si>
    <t xml:space="preserve">S70324</t>
  </si>
  <si>
    <t xml:space="preserve">34885</t>
  </si>
  <si>
    <t xml:space="preserve">B70136</t>
  </si>
  <si>
    <t xml:space="preserve">35032</t>
  </si>
  <si>
    <t xml:space="preserve">E70.210</t>
  </si>
  <si>
    <t xml:space="preserve">34698</t>
  </si>
  <si>
    <t xml:space="preserve">AM54-27503500-250</t>
  </si>
  <si>
    <t xml:space="preserve">34804</t>
  </si>
  <si>
    <t xml:space="preserve">B90425</t>
  </si>
  <si>
    <t xml:space="preserve">31859</t>
  </si>
  <si>
    <t xml:space="preserve">H70006</t>
  </si>
  <si>
    <t xml:space="preserve">34212</t>
  </si>
  <si>
    <t xml:space="preserve">CV75117</t>
  </si>
  <si>
    <t xml:space="preserve">V75.224</t>
  </si>
  <si>
    <t xml:space="preserve">30809</t>
  </si>
  <si>
    <t xml:space="preserve">FFKM-016-SZ486</t>
  </si>
  <si>
    <t xml:space="preserve">AS568 FFKM-486</t>
  </si>
  <si>
    <t xml:space="preserve">PR48-N85</t>
  </si>
  <si>
    <t xml:space="preserve">Hydraulic Inch Profile Seal PR</t>
  </si>
  <si>
    <t xml:space="preserve">E70021-NSF</t>
  </si>
  <si>
    <t xml:space="preserve">34153</t>
  </si>
  <si>
    <t xml:space="preserve">CV75128</t>
  </si>
  <si>
    <t xml:space="preserve">33818</t>
  </si>
  <si>
    <t xml:space="preserve">UC70220</t>
  </si>
  <si>
    <t xml:space="preserve">N70.590</t>
  </si>
  <si>
    <t xml:space="preserve">33536</t>
  </si>
  <si>
    <t xml:space="preserve">E70319</t>
  </si>
  <si>
    <t xml:space="preserve">31810</t>
  </si>
  <si>
    <t xml:space="preserve">H70219</t>
  </si>
  <si>
    <t xml:space="preserve">34334</t>
  </si>
  <si>
    <t xml:space="preserve">H70326</t>
  </si>
  <si>
    <t xml:space="preserve">B70229</t>
  </si>
  <si>
    <t xml:space="preserve">30572</t>
  </si>
  <si>
    <t xml:space="preserve">S70217</t>
  </si>
  <si>
    <t xml:space="preserve">31940</t>
  </si>
  <si>
    <t xml:space="preserve">B70254</t>
  </si>
  <si>
    <t xml:space="preserve">31857</t>
  </si>
  <si>
    <t xml:space="preserve">A75110</t>
  </si>
  <si>
    <t xml:space="preserve">FS70218</t>
  </si>
  <si>
    <t xml:space="preserve">A75119</t>
  </si>
  <si>
    <t xml:space="preserve">CV75034</t>
  </si>
  <si>
    <t xml:space="preserve">34995</t>
  </si>
  <si>
    <t xml:space="preserve">CV75028</t>
  </si>
  <si>
    <t xml:space="preserve">UL187-1.875-312B</t>
  </si>
  <si>
    <t xml:space="preserve">Hydraulic Inch U-Cups Loaded</t>
  </si>
  <si>
    <t xml:space="preserve">UL187-1.250-312B</t>
  </si>
  <si>
    <t xml:space="preserve">32969</t>
  </si>
  <si>
    <t xml:space="preserve">S70219</t>
  </si>
  <si>
    <t xml:space="preserve">32220</t>
  </si>
  <si>
    <t xml:space="preserve">S50102</t>
  </si>
  <si>
    <t xml:space="preserve">AS568 S50</t>
  </si>
  <si>
    <t xml:space="preserve">34556</t>
  </si>
  <si>
    <t xml:space="preserve">N6.00X017</t>
  </si>
  <si>
    <t xml:space="preserve">31871</t>
  </si>
  <si>
    <t xml:space="preserve">E70012-1E712A</t>
  </si>
  <si>
    <t xml:space="preserve">34767</t>
  </si>
  <si>
    <t xml:space="preserve">B70336</t>
  </si>
  <si>
    <t xml:space="preserve">BV75155</t>
  </si>
  <si>
    <t xml:space="preserve">35097</t>
  </si>
  <si>
    <t xml:space="preserve">B70240</t>
  </si>
  <si>
    <t xml:space="preserve">B90216</t>
  </si>
  <si>
    <t xml:space="preserve">34971</t>
  </si>
  <si>
    <t xml:space="preserve">CV75121</t>
  </si>
  <si>
    <t xml:space="preserve">34733</t>
  </si>
  <si>
    <t xml:space="preserve">E70225-NSF</t>
  </si>
  <si>
    <t xml:space="preserve">V3.00X042.5</t>
  </si>
  <si>
    <t xml:space="preserve">30625</t>
  </si>
  <si>
    <t xml:space="preserve">A75115</t>
  </si>
  <si>
    <t xml:space="preserve">34123</t>
  </si>
  <si>
    <t xml:space="preserve">E70009</t>
  </si>
  <si>
    <t xml:space="preserve">CV75216</t>
  </si>
  <si>
    <t xml:space="preserve">33816</t>
  </si>
  <si>
    <t xml:space="preserve">A75024</t>
  </si>
  <si>
    <t xml:space="preserve">S0.50X003</t>
  </si>
  <si>
    <t xml:space="preserve">34557</t>
  </si>
  <si>
    <t xml:space="preserve">N1.00X003</t>
  </si>
  <si>
    <t xml:space="preserve">34220</t>
  </si>
  <si>
    <t xml:space="preserve">FS70227</t>
  </si>
  <si>
    <t xml:space="preserve">N1.00X025.5</t>
  </si>
  <si>
    <t xml:space="preserve">32262</t>
  </si>
  <si>
    <t xml:space="preserve">A75216</t>
  </si>
  <si>
    <t xml:space="preserve">B70261</t>
  </si>
  <si>
    <t xml:space="preserve">BV75235</t>
  </si>
  <si>
    <t xml:space="preserve">32028</t>
  </si>
  <si>
    <t xml:space="preserve">FFKM-140-SZ498</t>
  </si>
  <si>
    <t xml:space="preserve">CV75023</t>
  </si>
  <si>
    <t xml:space="preserve">N4.00X008</t>
  </si>
  <si>
    <t xml:space="preserve">30563</t>
  </si>
  <si>
    <t xml:space="preserve">BV75218</t>
  </si>
  <si>
    <t xml:space="preserve">34888</t>
  </si>
  <si>
    <t xml:space="preserve">FFKM-238-SZ485</t>
  </si>
  <si>
    <t xml:space="preserve">34799</t>
  </si>
  <si>
    <t xml:space="preserve">UC90221</t>
  </si>
  <si>
    <t xml:space="preserve">33836</t>
  </si>
  <si>
    <t xml:space="preserve">FFKM-113-SZ485</t>
  </si>
  <si>
    <t xml:space="preserve">FS70115</t>
  </si>
  <si>
    <t xml:space="preserve">31251</t>
  </si>
  <si>
    <t xml:space="preserve">A75233</t>
  </si>
  <si>
    <t xml:space="preserve">NVM-400</t>
  </si>
  <si>
    <t xml:space="preserve">34754</t>
  </si>
  <si>
    <t xml:space="preserve">V75.236</t>
  </si>
  <si>
    <t xml:space="preserve">34009</t>
  </si>
  <si>
    <t xml:space="preserve">FS70908</t>
  </si>
  <si>
    <t xml:space="preserve">B70363</t>
  </si>
  <si>
    <t xml:space="preserve">30551</t>
  </si>
  <si>
    <t xml:space="preserve">N1.20X002.6</t>
  </si>
  <si>
    <t xml:space="preserve">V75.331</t>
  </si>
  <si>
    <t xml:space="preserve">V75203-MS</t>
  </si>
  <si>
    <t xml:space="preserve">32505</t>
  </si>
  <si>
    <t xml:space="preserve">A75135</t>
  </si>
  <si>
    <t xml:space="preserve">33676</t>
  </si>
  <si>
    <t xml:space="preserve">N2.00X136</t>
  </si>
  <si>
    <t xml:space="preserve">33966</t>
  </si>
  <si>
    <t xml:space="preserve">612-125-037</t>
  </si>
  <si>
    <t xml:space="preserve">Hydraulic Inch U-Cups Wear Rings</t>
  </si>
  <si>
    <t xml:space="preserve">34960</t>
  </si>
  <si>
    <t xml:space="preserve">UC90219</t>
  </si>
  <si>
    <t xml:space="preserve">33814</t>
  </si>
  <si>
    <t xml:space="preserve">612-150-037</t>
  </si>
  <si>
    <t xml:space="preserve">FS70120</t>
  </si>
  <si>
    <t xml:space="preserve">S70218</t>
  </si>
  <si>
    <t xml:space="preserve">A75120</t>
  </si>
  <si>
    <t xml:space="preserve">B70224</t>
  </si>
  <si>
    <t xml:space="preserve">CV75109</t>
  </si>
  <si>
    <t xml:space="preserve">33425</t>
  </si>
  <si>
    <t xml:space="preserve">S70161</t>
  </si>
  <si>
    <t xml:space="preserve">V75218-MS</t>
  </si>
  <si>
    <t xml:space="preserve">612-200-075</t>
  </si>
  <si>
    <t xml:space="preserve">35173</t>
  </si>
  <si>
    <t xml:space="preserve">CV75218</t>
  </si>
  <si>
    <t xml:space="preserve">V75.500</t>
  </si>
  <si>
    <t xml:space="preserve">33688</t>
  </si>
  <si>
    <t xml:space="preserve">B70011-N888</t>
  </si>
  <si>
    <t xml:space="preserve">AS568 B70-MS</t>
  </si>
  <si>
    <t xml:space="preserve">34245</t>
  </si>
  <si>
    <t xml:space="preserve">BV75266</t>
  </si>
  <si>
    <t xml:space="preserve">31925</t>
  </si>
  <si>
    <t xml:space="preserve">B70110-N888</t>
  </si>
  <si>
    <t xml:space="preserve">34786</t>
  </si>
  <si>
    <t xml:space="preserve">E80204-E454</t>
  </si>
  <si>
    <t xml:space="preserve">32578</t>
  </si>
  <si>
    <t xml:space="preserve">B70119-N888</t>
  </si>
  <si>
    <t xml:space="preserve">V75009-MS</t>
  </si>
  <si>
    <t xml:space="preserve">U250-1.125-250B</t>
  </si>
  <si>
    <t xml:space="preserve">34630</t>
  </si>
  <si>
    <t xml:space="preserve">UC90115</t>
  </si>
  <si>
    <t xml:space="preserve">34677</t>
  </si>
  <si>
    <t xml:space="preserve">B70024-N888</t>
  </si>
  <si>
    <t xml:space="preserve">UC90024</t>
  </si>
  <si>
    <t xml:space="preserve">C70117</t>
  </si>
  <si>
    <t xml:space="preserve">AS568 C70</t>
  </si>
  <si>
    <t xml:space="preserve">33785</t>
  </si>
  <si>
    <t xml:space="preserve">B70008-N888</t>
  </si>
  <si>
    <t xml:space="preserve">B70222-N888</t>
  </si>
  <si>
    <t xml:space="preserve">UC70129</t>
  </si>
  <si>
    <t xml:space="preserve">33074</t>
  </si>
  <si>
    <t xml:space="preserve">E80033-E454</t>
  </si>
  <si>
    <t xml:space="preserve">32857</t>
  </si>
  <si>
    <t xml:space="preserve">N1.00X031.8</t>
  </si>
  <si>
    <t xml:space="preserve">E80013-E454</t>
  </si>
  <si>
    <t xml:space="preserve">33797</t>
  </si>
  <si>
    <t xml:space="preserve">N1.00X026</t>
  </si>
  <si>
    <t xml:space="preserve">32241</t>
  </si>
  <si>
    <t xml:space="preserve">N2.40X018.8</t>
  </si>
  <si>
    <t xml:space="preserve">V75022-MS</t>
  </si>
  <si>
    <t xml:space="preserve">B70003</t>
  </si>
  <si>
    <t xml:space="preserve">FS70137</t>
  </si>
  <si>
    <t xml:space="preserve">34608</t>
  </si>
  <si>
    <t xml:space="preserve">BV75335</t>
  </si>
  <si>
    <t xml:space="preserve">33404</t>
  </si>
  <si>
    <t xml:space="preserve">H70325</t>
  </si>
  <si>
    <t xml:space="preserve">FFKM-219-SZ485</t>
  </si>
  <si>
    <t xml:space="preserve">32953</t>
  </si>
  <si>
    <t xml:space="preserve">V75017-MS</t>
  </si>
  <si>
    <t xml:space="preserve">34542</t>
  </si>
  <si>
    <t xml:space="preserve">BU018-P</t>
  </si>
  <si>
    <t xml:space="preserve">BU-Hytrel</t>
  </si>
  <si>
    <t xml:space="preserve">B70009-N888</t>
  </si>
  <si>
    <t xml:space="preserve">PU187-1.250-312B</t>
  </si>
  <si>
    <t xml:space="preserve">Hydraulic Inch Piston U-Cup</t>
  </si>
  <si>
    <t xml:space="preserve">33520</t>
  </si>
  <si>
    <t xml:space="preserve">B70112-N888</t>
  </si>
  <si>
    <t xml:space="preserve">34494</t>
  </si>
  <si>
    <t xml:space="preserve">K166-36 36-Hole</t>
  </si>
  <si>
    <t xml:space="preserve">B70443</t>
  </si>
  <si>
    <t xml:space="preserve">S1.00X015</t>
  </si>
  <si>
    <t xml:space="preserve">32236</t>
  </si>
  <si>
    <t xml:space="preserve">H70129</t>
  </si>
  <si>
    <t xml:space="preserve">34414</t>
  </si>
  <si>
    <t xml:space="preserve">CV75129</t>
  </si>
  <si>
    <t xml:space="preserve">6226-37</t>
  </si>
  <si>
    <t xml:space="preserve">B70329</t>
  </si>
  <si>
    <t xml:space="preserve">34978</t>
  </si>
  <si>
    <t xml:space="preserve">E80012-E454</t>
  </si>
  <si>
    <t xml:space="preserve">A75008</t>
  </si>
  <si>
    <t xml:space="preserve">32707</t>
  </si>
  <si>
    <t xml:space="preserve">A75111</t>
  </si>
  <si>
    <t xml:space="preserve">BU334-P</t>
  </si>
  <si>
    <t xml:space="preserve">34944</t>
  </si>
  <si>
    <t xml:space="preserve">BU365-B90</t>
  </si>
  <si>
    <t xml:space="preserve">BU-B90</t>
  </si>
  <si>
    <t xml:space="preserve">30607</t>
  </si>
  <si>
    <t xml:space="preserve">B70115-N888</t>
  </si>
  <si>
    <t xml:space="preserve">34536</t>
  </si>
  <si>
    <t xml:space="preserve">BU224-P</t>
  </si>
  <si>
    <t xml:space="preserve">33166</t>
  </si>
  <si>
    <t xml:space="preserve">E70008-NSF</t>
  </si>
  <si>
    <t xml:space="preserve">32443</t>
  </si>
  <si>
    <t xml:space="preserve">FFKM-217-SZ134</t>
  </si>
  <si>
    <t xml:space="preserve">FFKM Non-FST</t>
  </si>
  <si>
    <t xml:space="preserve">34461</t>
  </si>
  <si>
    <t xml:space="preserve">V75203-MD</t>
  </si>
  <si>
    <t xml:space="preserve">AS568 V75-MD</t>
  </si>
  <si>
    <t xml:space="preserve">34450</t>
  </si>
  <si>
    <t xml:space="preserve">E70012</t>
  </si>
  <si>
    <t xml:space="preserve">32312</t>
  </si>
  <si>
    <t xml:space="preserve">AN-03-SH</t>
  </si>
  <si>
    <t xml:space="preserve">B70016-N888</t>
  </si>
  <si>
    <t xml:space="preserve">H-0500</t>
  </si>
  <si>
    <t xml:space="preserve">34707</t>
  </si>
  <si>
    <t xml:space="preserve">FS70226</t>
  </si>
  <si>
    <t xml:space="preserve">E70007-NSF</t>
  </si>
  <si>
    <t xml:space="preserve">FFKM-010-SZ486</t>
  </si>
  <si>
    <t xml:space="preserve">34518</t>
  </si>
  <si>
    <t xml:space="preserve">B70236</t>
  </si>
  <si>
    <t xml:space="preserve">B70015-N888</t>
  </si>
  <si>
    <t xml:space="preserve">34532</t>
  </si>
  <si>
    <t xml:space="preserve">V75211-MS</t>
  </si>
  <si>
    <t xml:space="preserve">34873</t>
  </si>
  <si>
    <t xml:space="preserve">H70218</t>
  </si>
  <si>
    <t xml:space="preserve">V75146-MS</t>
  </si>
  <si>
    <t xml:space="preserve">33843</t>
  </si>
  <si>
    <t xml:space="preserve">S70214-VN30</t>
  </si>
  <si>
    <t xml:space="preserve">U125-0.625-187B</t>
  </si>
  <si>
    <t xml:space="preserve">Hydraulic Inch U-Cups</t>
  </si>
  <si>
    <t xml:space="preserve">33443</t>
  </si>
  <si>
    <t xml:space="preserve">V75122-MS</t>
  </si>
  <si>
    <t xml:space="preserve">34218</t>
  </si>
  <si>
    <t xml:space="preserve">E70150-NSF</t>
  </si>
  <si>
    <t xml:space="preserve">32907</t>
  </si>
  <si>
    <t xml:space="preserve">FS70217</t>
  </si>
  <si>
    <t xml:space="preserve">FFKM-2.00X028</t>
  </si>
  <si>
    <t xml:space="preserve">Metric FFKM</t>
  </si>
  <si>
    <t xml:space="preserve">34407</t>
  </si>
  <si>
    <t xml:space="preserve">QR-216</t>
  </si>
  <si>
    <t xml:space="preserve">32774</t>
  </si>
  <si>
    <t xml:space="preserve">V1.00X010</t>
  </si>
  <si>
    <t xml:space="preserve">32148</t>
  </si>
  <si>
    <t xml:space="preserve">V90906-MS</t>
  </si>
  <si>
    <t xml:space="preserve">33385</t>
  </si>
  <si>
    <t xml:space="preserve">B70032-N888</t>
  </si>
  <si>
    <t xml:space="preserve">33910</t>
  </si>
  <si>
    <t xml:space="preserve">N1.00X006</t>
  </si>
  <si>
    <t xml:space="preserve">V75903-MS</t>
  </si>
  <si>
    <t xml:space="preserve">32909</t>
  </si>
  <si>
    <t xml:space="preserve">E80108-E454</t>
  </si>
  <si>
    <t xml:space="preserve">33434</t>
  </si>
  <si>
    <t xml:space="preserve">UL375-2.750-375</t>
  </si>
  <si>
    <t xml:space="preserve">33675</t>
  </si>
  <si>
    <t xml:space="preserve">VN73 Shamrock Seals</t>
  </si>
  <si>
    <t xml:space="preserve">FFKM-230-SZ485</t>
  </si>
  <si>
    <t xml:space="preserve">34882</t>
  </si>
  <si>
    <t xml:space="preserve">UC70333</t>
  </si>
  <si>
    <t xml:space="preserve">FS70016</t>
  </si>
  <si>
    <t xml:space="preserve">CC.070</t>
  </si>
  <si>
    <t xml:space="preserve">34581</t>
  </si>
  <si>
    <t xml:space="preserve">CG-200-SIL-FEP</t>
  </si>
  <si>
    <t xml:space="preserve">CamLock Gaskets</t>
  </si>
  <si>
    <t xml:space="preserve">34816</t>
  </si>
  <si>
    <t xml:space="preserve">VN735 Vulcan Seals</t>
  </si>
  <si>
    <t xml:space="preserve">V75136-MS</t>
  </si>
  <si>
    <t xml:space="preserve">33552</t>
  </si>
  <si>
    <t xml:space="preserve">E70246</t>
  </si>
  <si>
    <t xml:space="preserve">30535</t>
  </si>
  <si>
    <t xml:space="preserve">E70031-NSF</t>
  </si>
  <si>
    <t xml:space="preserve">33161</t>
  </si>
  <si>
    <t xml:space="preserve">V75369</t>
  </si>
  <si>
    <t xml:space="preserve">31150</t>
  </si>
  <si>
    <t xml:space="preserve">RU250-1.750-375B</t>
  </si>
  <si>
    <t xml:space="preserve">Hydraulic Inch Rod U-Cup</t>
  </si>
  <si>
    <t xml:space="preserve">BV75336</t>
  </si>
  <si>
    <t xml:space="preserve">32058</t>
  </si>
  <si>
    <t xml:space="preserve">B70215-N888</t>
  </si>
  <si>
    <t xml:space="preserve">34639</t>
  </si>
  <si>
    <t xml:space="preserve">V75258-MS</t>
  </si>
  <si>
    <t xml:space="preserve">6226-43</t>
  </si>
  <si>
    <t xml:space="preserve">V1.00X065</t>
  </si>
  <si>
    <t xml:space="preserve">34311</t>
  </si>
  <si>
    <t xml:space="preserve">E70920</t>
  </si>
  <si>
    <t xml:space="preserve">E1.00X018</t>
  </si>
  <si>
    <t xml:space="preserve">Metric ME70</t>
  </si>
  <si>
    <t xml:space="preserve">A75012</t>
  </si>
  <si>
    <t xml:space="preserve">S70034</t>
  </si>
  <si>
    <t xml:space="preserve">6226-25</t>
  </si>
  <si>
    <t xml:space="preserve">34748</t>
  </si>
  <si>
    <t xml:space="preserve">BV75135</t>
  </si>
  <si>
    <t xml:space="preserve">V1.50X008</t>
  </si>
  <si>
    <t xml:space="preserve">32389</t>
  </si>
  <si>
    <t xml:space="preserve">E70005-NSF</t>
  </si>
  <si>
    <t xml:space="preserve">UC90901</t>
  </si>
  <si>
    <t xml:space="preserve">S70156</t>
  </si>
  <si>
    <t xml:space="preserve">30898</t>
  </si>
  <si>
    <t xml:space="preserve">V4.50X056</t>
  </si>
  <si>
    <t xml:space="preserve">33654</t>
  </si>
  <si>
    <t xml:space="preserve">S70113</t>
  </si>
  <si>
    <t xml:space="preserve">33655</t>
  </si>
  <si>
    <t xml:space="preserve">V1.00X009</t>
  </si>
  <si>
    <t xml:space="preserve">UC70018</t>
  </si>
  <si>
    <t xml:space="preserve">34485</t>
  </si>
  <si>
    <t xml:space="preserve">U187-1.500-312B</t>
  </si>
  <si>
    <t xml:space="preserve">Hydraulic Inch U-Cups Universal</t>
  </si>
  <si>
    <t xml:space="preserve">B70129</t>
  </si>
  <si>
    <t xml:space="preserve">35077</t>
  </si>
  <si>
    <t xml:space="preserve">BV75121</t>
  </si>
  <si>
    <t xml:space="preserve">30559</t>
  </si>
  <si>
    <t xml:space="preserve">FFKM-906-SZ134</t>
  </si>
  <si>
    <t xml:space="preserve">34329</t>
  </si>
  <si>
    <t xml:space="preserve">UC70229</t>
  </si>
  <si>
    <t xml:space="preserve">FS70914</t>
  </si>
  <si>
    <t xml:space="preserve">34285</t>
  </si>
  <si>
    <t xml:space="preserve">N1.20X007</t>
  </si>
  <si>
    <t xml:space="preserve">30580</t>
  </si>
  <si>
    <t xml:space="preserve">H70226</t>
  </si>
  <si>
    <t xml:space="preserve">WN70119</t>
  </si>
  <si>
    <t xml:space="preserve">AS568 WN70</t>
  </si>
  <si>
    <t xml:space="preserve">B70125</t>
  </si>
  <si>
    <t xml:space="preserve">FFKM-008-SZ486</t>
  </si>
  <si>
    <t xml:space="preserve">V2.50X021.5</t>
  </si>
  <si>
    <t xml:space="preserve">30860</t>
  </si>
  <si>
    <t xml:space="preserve">TEF211</t>
  </si>
  <si>
    <t xml:space="preserve">33777</t>
  </si>
  <si>
    <t xml:space="preserve">E2.00X040</t>
  </si>
  <si>
    <t xml:space="preserve">34023</t>
  </si>
  <si>
    <t xml:space="preserve">V75031-MS</t>
  </si>
  <si>
    <t xml:space="preserve">MUU-10X16X4</t>
  </si>
  <si>
    <t xml:space="preserve">32082</t>
  </si>
  <si>
    <t xml:space="preserve">E80010-E454</t>
  </si>
  <si>
    <t xml:space="preserve">V2.00X036.5</t>
  </si>
  <si>
    <t xml:space="preserve">32879</t>
  </si>
  <si>
    <t xml:space="preserve">B70220</t>
  </si>
  <si>
    <t xml:space="preserve">B70005</t>
  </si>
  <si>
    <t xml:space="preserve">C70213</t>
  </si>
  <si>
    <t xml:space="preserve">33424</t>
  </si>
  <si>
    <t xml:space="preserve">TEF219</t>
  </si>
  <si>
    <t xml:space="preserve">E70006-NSF</t>
  </si>
  <si>
    <t xml:space="preserve">FFKM-235-SZ485</t>
  </si>
  <si>
    <t xml:space="preserve">32989</t>
  </si>
  <si>
    <t xml:space="preserve">N1.00X009</t>
  </si>
  <si>
    <t xml:space="preserve">PO29931</t>
  </si>
  <si>
    <t xml:space="preserve">BV75313</t>
  </si>
  <si>
    <t xml:space="preserve">30682</t>
  </si>
  <si>
    <t xml:space="preserve">UC70224</t>
  </si>
  <si>
    <t xml:space="preserve">34735</t>
  </si>
  <si>
    <t xml:space="preserve">E70027-NSF</t>
  </si>
  <si>
    <t xml:space="preserve">32930</t>
  </si>
  <si>
    <t xml:space="preserve">FFKM-234-SZ485</t>
  </si>
  <si>
    <t xml:space="preserve">V2.50X027-BR</t>
  </si>
  <si>
    <t xml:space="preserve">32350</t>
  </si>
  <si>
    <t xml:space="preserve">N1.50X052</t>
  </si>
  <si>
    <t xml:space="preserve">32945</t>
  </si>
  <si>
    <t xml:space="preserve">TEF217</t>
  </si>
  <si>
    <t xml:space="preserve">34530</t>
  </si>
  <si>
    <t xml:space="preserve">UC90211</t>
  </si>
  <si>
    <t xml:space="preserve">S4.00X032</t>
  </si>
  <si>
    <t xml:space="preserve">30685</t>
  </si>
  <si>
    <t xml:space="preserve">FS70153</t>
  </si>
  <si>
    <t xml:space="preserve">FFKM-018-SZ498</t>
  </si>
  <si>
    <t xml:space="preserve">34020</t>
  </si>
  <si>
    <t xml:space="preserve">6226-18-E70</t>
  </si>
  <si>
    <t xml:space="preserve">Hydraulic Inch U-Cups 6226 EPDM</t>
  </si>
  <si>
    <t xml:space="preserve">35059</t>
  </si>
  <si>
    <t xml:space="preserve">VN65 Precision Associates, Inc.</t>
  </si>
  <si>
    <t xml:space="preserve">FFKM-218-SZ495</t>
  </si>
  <si>
    <t xml:space="preserve">35088</t>
  </si>
  <si>
    <t xml:space="preserve">CV75020</t>
  </si>
  <si>
    <t xml:space="preserve">34952</t>
  </si>
  <si>
    <t xml:space="preserve">B70209</t>
  </si>
  <si>
    <t xml:space="preserve">BV75131</t>
  </si>
  <si>
    <t xml:space="preserve">TEF212</t>
  </si>
  <si>
    <t xml:space="preserve">FFKM-110-SZ484</t>
  </si>
  <si>
    <t xml:space="preserve">AS568 FFKM-484</t>
  </si>
  <si>
    <t xml:space="preserve">E70155-NSF</t>
  </si>
  <si>
    <t xml:space="preserve">33698</t>
  </si>
  <si>
    <t xml:space="preserve">V75027-MS</t>
  </si>
  <si>
    <t xml:space="preserve">34132</t>
  </si>
  <si>
    <t xml:space="preserve">UC70019</t>
  </si>
  <si>
    <t xml:space="preserve">34347</t>
  </si>
  <si>
    <t xml:space="preserve">FFKM-023-SZ485</t>
  </si>
  <si>
    <t xml:space="preserve">33415</t>
  </si>
  <si>
    <t xml:space="preserve">B50117</t>
  </si>
  <si>
    <t xml:space="preserve">TEF214</t>
  </si>
  <si>
    <t xml:space="preserve">RTU125-1.250-250B</t>
  </si>
  <si>
    <t xml:space="preserve">33349</t>
  </si>
  <si>
    <t xml:space="preserve">FS70118</t>
  </si>
  <si>
    <t xml:space="preserve">FFKM-113-SZ498</t>
  </si>
  <si>
    <t xml:space="preserve">32700</t>
  </si>
  <si>
    <t xml:space="preserve">RTU250-1.750-312B</t>
  </si>
  <si>
    <t xml:space="preserve">33618</t>
  </si>
  <si>
    <t xml:space="preserve">V90110</t>
  </si>
  <si>
    <t xml:space="preserve">6226-26</t>
  </si>
  <si>
    <t xml:space="preserve">QR-204</t>
  </si>
  <si>
    <t xml:space="preserve">31898</t>
  </si>
  <si>
    <t xml:space="preserve">FFKM-022-SZ484</t>
  </si>
  <si>
    <t xml:space="preserve">33285</t>
  </si>
  <si>
    <t xml:space="preserve">E70.139</t>
  </si>
  <si>
    <t xml:space="preserve">B90906</t>
  </si>
  <si>
    <t xml:space="preserve">B50011</t>
  </si>
  <si>
    <t xml:space="preserve">34250</t>
  </si>
  <si>
    <t xml:space="preserve">FFKM-030-SZ495</t>
  </si>
  <si>
    <t xml:space="preserve">33293</t>
  </si>
  <si>
    <t xml:space="preserve">BU342-P</t>
  </si>
  <si>
    <t xml:space="preserve">N0.50X000.5</t>
  </si>
  <si>
    <t xml:space="preserve">34749</t>
  </si>
  <si>
    <t xml:space="preserve">FDABV75115</t>
  </si>
  <si>
    <t xml:space="preserve">AS568 FDABV75</t>
  </si>
  <si>
    <t xml:space="preserve">34571</t>
  </si>
  <si>
    <t xml:space="preserve">FFKM-019-SZ484</t>
  </si>
  <si>
    <t xml:space="preserve">34809</t>
  </si>
  <si>
    <t xml:space="preserve">FFKM-233-SZ485</t>
  </si>
  <si>
    <t xml:space="preserve">34465</t>
  </si>
  <si>
    <t xml:space="preserve">DWS2.125</t>
  </si>
  <si>
    <t xml:space="preserve">PO30159</t>
  </si>
  <si>
    <t xml:space="preserve">UL125-0.375-250B</t>
  </si>
  <si>
    <t xml:space="preserve">33389</t>
  </si>
  <si>
    <t xml:space="preserve">V1.00X020.5</t>
  </si>
  <si>
    <t xml:space="preserve">30380</t>
  </si>
  <si>
    <t xml:space="preserve">B50347</t>
  </si>
  <si>
    <t xml:space="preserve">31661</t>
  </si>
  <si>
    <t xml:space="preserve">B70353</t>
  </si>
  <si>
    <t xml:space="preserve">FFKM-217-SZ485</t>
  </si>
  <si>
    <t xml:space="preserve">31755</t>
  </si>
  <si>
    <t xml:space="preserve">FS70230</t>
  </si>
  <si>
    <t xml:space="preserve">V75154</t>
  </si>
  <si>
    <t xml:space="preserve">SN70014</t>
  </si>
  <si>
    <t xml:space="preserve">32250</t>
  </si>
  <si>
    <t xml:space="preserve">TEF218</t>
  </si>
  <si>
    <t xml:space="preserve">H70241</t>
  </si>
  <si>
    <t xml:space="preserve">S70239</t>
  </si>
  <si>
    <t xml:space="preserve">32232</t>
  </si>
  <si>
    <t xml:space="preserve">50-0035-ABL</t>
  </si>
  <si>
    <t xml:space="preserve">33940</t>
  </si>
  <si>
    <t xml:space="preserve">VN21 Domino Plastics Manufacturing. Inc.</t>
  </si>
  <si>
    <t xml:space="preserve">CC.437</t>
  </si>
  <si>
    <t xml:space="preserve">33778</t>
  </si>
  <si>
    <t xml:space="preserve">BU235-V90</t>
  </si>
  <si>
    <t xml:space="preserve">BU-V90</t>
  </si>
  <si>
    <t xml:space="preserve">34526</t>
  </si>
  <si>
    <t xml:space="preserve">V2.40X015.8</t>
  </si>
  <si>
    <t xml:space="preserve">30732</t>
  </si>
  <si>
    <t xml:space="preserve">CV75019</t>
  </si>
  <si>
    <t xml:space="preserve">B90457</t>
  </si>
  <si>
    <t xml:space="preserve">B70012-MD-BLUE</t>
  </si>
  <si>
    <t xml:space="preserve">AS568 B70-MD</t>
  </si>
  <si>
    <t xml:space="preserve">34351</t>
  </si>
  <si>
    <t xml:space="preserve">FDABV75219</t>
  </si>
  <si>
    <t xml:space="preserve">V75318</t>
  </si>
  <si>
    <t xml:space="preserve">34155</t>
  </si>
  <si>
    <t xml:space="preserve">WN70143</t>
  </si>
  <si>
    <t xml:space="preserve">31638</t>
  </si>
  <si>
    <t xml:space="preserve">WN70234</t>
  </si>
  <si>
    <t xml:space="preserve">B70216</t>
  </si>
  <si>
    <t xml:space="preserve">34650</t>
  </si>
  <si>
    <t xml:space="preserve">V75118</t>
  </si>
  <si>
    <t xml:space="preserve">34018</t>
  </si>
  <si>
    <t xml:space="preserve">TEF216</t>
  </si>
  <si>
    <t xml:space="preserve">A75213</t>
  </si>
  <si>
    <t xml:space="preserve">B70132</t>
  </si>
  <si>
    <t xml:space="preserve">E70022-NSF</t>
  </si>
  <si>
    <t xml:space="preserve">32675</t>
  </si>
  <si>
    <t xml:space="preserve">N6.00X011</t>
  </si>
  <si>
    <t xml:space="preserve">34982</t>
  </si>
  <si>
    <t xml:space="preserve">H70210</t>
  </si>
  <si>
    <t xml:space="preserve">PR42-N85</t>
  </si>
  <si>
    <t xml:space="preserve">H2.20X015.3</t>
  </si>
  <si>
    <t xml:space="preserve">Metric MN90</t>
  </si>
  <si>
    <t xml:space="preserve">FFKM-216-SZ498</t>
  </si>
  <si>
    <t xml:space="preserve">34724</t>
  </si>
  <si>
    <t xml:space="preserve">H70111</t>
  </si>
  <si>
    <t xml:space="preserve">34459</t>
  </si>
  <si>
    <t xml:space="preserve">V75117</t>
  </si>
  <si>
    <t xml:space="preserve">34763</t>
  </si>
  <si>
    <t xml:space="preserve">FDABV75151</t>
  </si>
  <si>
    <t xml:space="preserve">B70126</t>
  </si>
  <si>
    <t xml:space="preserve">V75215</t>
  </si>
  <si>
    <t xml:space="preserve">B90905</t>
  </si>
  <si>
    <t xml:space="preserve">QV-108</t>
  </si>
  <si>
    <t xml:space="preserve">SV75019</t>
  </si>
  <si>
    <t xml:space="preserve">33136</t>
  </si>
  <si>
    <t xml:space="preserve">B70120-NSF</t>
  </si>
  <si>
    <t xml:space="preserve">34927</t>
  </si>
  <si>
    <t xml:space="preserve">V75230</t>
  </si>
  <si>
    <t xml:space="preserve">6226-16</t>
  </si>
  <si>
    <t xml:space="preserve">34676</t>
  </si>
  <si>
    <t xml:space="preserve">FS70341</t>
  </si>
  <si>
    <t xml:space="preserve">34133</t>
  </si>
  <si>
    <t xml:space="preserve">UC70331</t>
  </si>
  <si>
    <t xml:space="preserve">BV75211</t>
  </si>
  <si>
    <t xml:space="preserve">FFKM-134-SZ485</t>
  </si>
  <si>
    <t xml:space="preserve">FFKM-228-SZ495</t>
  </si>
  <si>
    <t xml:space="preserve">35172</t>
  </si>
  <si>
    <t xml:space="preserve">V1.00X030</t>
  </si>
  <si>
    <t xml:space="preserve">32987</t>
  </si>
  <si>
    <t xml:space="preserve">B70361</t>
  </si>
  <si>
    <t xml:space="preserve">34482</t>
  </si>
  <si>
    <t xml:space="preserve">V75114</t>
  </si>
  <si>
    <t xml:space="preserve">34629</t>
  </si>
  <si>
    <t xml:space="preserve">FS70033</t>
  </si>
  <si>
    <t xml:space="preserve">33358</t>
  </si>
  <si>
    <t xml:space="preserve">BU129-P</t>
  </si>
  <si>
    <t xml:space="preserve">CV75004</t>
  </si>
  <si>
    <t xml:space="preserve">BV75134</t>
  </si>
  <si>
    <t xml:space="preserve">34868</t>
  </si>
  <si>
    <t xml:space="preserve">V75323</t>
  </si>
  <si>
    <t xml:space="preserve">34880</t>
  </si>
  <si>
    <t xml:space="preserve">V90208</t>
  </si>
  <si>
    <t xml:space="preserve">30638</t>
  </si>
  <si>
    <t xml:space="preserve">E70314-NSF</t>
  </si>
  <si>
    <t xml:space="preserve">34467</t>
  </si>
  <si>
    <t xml:space="preserve">B70044-N888</t>
  </si>
  <si>
    <t xml:space="preserve">V1.00X005</t>
  </si>
  <si>
    <t xml:space="preserve">A75121</t>
  </si>
  <si>
    <t xml:space="preserve">B50385</t>
  </si>
  <si>
    <t xml:space="preserve">33720</t>
  </si>
  <si>
    <t xml:space="preserve">V90121</t>
  </si>
  <si>
    <t xml:space="preserve">FDABV75335</t>
  </si>
  <si>
    <t xml:space="preserve">35208</t>
  </si>
  <si>
    <t xml:space="preserve">B50316</t>
  </si>
  <si>
    <t xml:space="preserve">E70146</t>
  </si>
  <si>
    <t xml:space="preserve">UC70112</t>
  </si>
  <si>
    <t xml:space="preserve">H70115</t>
  </si>
  <si>
    <t xml:space="preserve">34344</t>
  </si>
  <si>
    <t xml:space="preserve">E70910</t>
  </si>
  <si>
    <t xml:space="preserve">30696</t>
  </si>
  <si>
    <t xml:space="preserve">B50230</t>
  </si>
  <si>
    <t xml:space="preserve">34493</t>
  </si>
  <si>
    <t xml:space="preserve">TES012</t>
  </si>
  <si>
    <t xml:space="preserve">AS568 TES</t>
  </si>
  <si>
    <t xml:space="preserve">30614</t>
  </si>
  <si>
    <t xml:space="preserve">VN51 M-Cor Inc</t>
  </si>
  <si>
    <t xml:space="preserve">BU337-P</t>
  </si>
  <si>
    <t xml:space="preserve">30437</t>
  </si>
  <si>
    <t xml:space="preserve">SE70114</t>
  </si>
  <si>
    <t xml:space="preserve">34552</t>
  </si>
  <si>
    <t xml:space="preserve">U90322</t>
  </si>
  <si>
    <t xml:space="preserve">AS568 U90</t>
  </si>
  <si>
    <t xml:space="preserve">34529</t>
  </si>
  <si>
    <t xml:space="preserve">FFKM-141-SZ498</t>
  </si>
  <si>
    <t xml:space="preserve">33925</t>
  </si>
  <si>
    <t xml:space="preserve">V75916-MS</t>
  </si>
  <si>
    <t xml:space="preserve">FFKM-2.62X050.47</t>
  </si>
  <si>
    <t xml:space="preserve">35092</t>
  </si>
  <si>
    <t xml:space="preserve">6226-51</t>
  </si>
  <si>
    <t xml:space="preserve">UC70213</t>
  </si>
  <si>
    <t xml:space="preserve">32598</t>
  </si>
  <si>
    <t xml:space="preserve">S70023</t>
  </si>
  <si>
    <t xml:space="preserve">34441</t>
  </si>
  <si>
    <t xml:space="preserve">N0.80X005</t>
  </si>
  <si>
    <t xml:space="preserve">33985</t>
  </si>
  <si>
    <t xml:space="preserve">FDABV75118</t>
  </si>
  <si>
    <t xml:space="preserve">H70212</t>
  </si>
  <si>
    <t xml:space="preserve">FFKM-023-SZ495</t>
  </si>
  <si>
    <t xml:space="preserve">V4.50X006</t>
  </si>
  <si>
    <t xml:space="preserve">32649</t>
  </si>
  <si>
    <t xml:space="preserve">GC-9-752-100238</t>
  </si>
  <si>
    <t xml:space="preserve">33938</t>
  </si>
  <si>
    <t xml:space="preserve">A75230</t>
  </si>
  <si>
    <t xml:space="preserve">A75124</t>
  </si>
  <si>
    <t xml:space="preserve">A75019</t>
  </si>
  <si>
    <t xml:space="preserve">V75346-MS</t>
  </si>
  <si>
    <t xml:space="preserve">31539</t>
  </si>
  <si>
    <t xml:space="preserve">B90116</t>
  </si>
  <si>
    <t xml:space="preserve">31902</t>
  </si>
  <si>
    <t xml:space="preserve">FFKM-109-SZ485</t>
  </si>
  <si>
    <t xml:space="preserve">V75337</t>
  </si>
  <si>
    <t xml:space="preserve">QR-217</t>
  </si>
  <si>
    <t xml:space="preserve">33928</t>
  </si>
  <si>
    <t xml:space="preserve">N1.50X039</t>
  </si>
  <si>
    <t xml:space="preserve">31895</t>
  </si>
  <si>
    <t xml:space="preserve">UL187-1.500-312B</t>
  </si>
  <si>
    <t xml:space="preserve">30462</t>
  </si>
  <si>
    <t xml:space="preserve">B70208</t>
  </si>
  <si>
    <t xml:space="preserve">B70211</t>
  </si>
  <si>
    <t xml:space="preserve">FFKM-249-SZ485</t>
  </si>
  <si>
    <t xml:space="preserve">35072</t>
  </si>
  <si>
    <t xml:space="preserve">FFKM-020-SZ498</t>
  </si>
  <si>
    <t xml:space="preserve">33864</t>
  </si>
  <si>
    <t xml:space="preserve">V2.50X014</t>
  </si>
  <si>
    <t xml:space="preserve">34173</t>
  </si>
  <si>
    <t xml:space="preserve">FFKM-128-SZ485</t>
  </si>
  <si>
    <t xml:space="preserve">30372</t>
  </si>
  <si>
    <t xml:space="preserve">U125-0.625-125B</t>
  </si>
  <si>
    <t xml:space="preserve">H70110</t>
  </si>
  <si>
    <t xml:space="preserve">V3.00X020</t>
  </si>
  <si>
    <t xml:space="preserve">FFKM-136-SZ485</t>
  </si>
  <si>
    <t xml:space="preserve">UC70116</t>
  </si>
  <si>
    <t xml:space="preserve">626-011-5747</t>
  </si>
  <si>
    <t xml:space="preserve">Hydraulic Inch U-Cups HSU 626</t>
  </si>
  <si>
    <t xml:space="preserve">34730</t>
  </si>
  <si>
    <t xml:space="preserve">6226-22</t>
  </si>
  <si>
    <t xml:space="preserve">S70224</t>
  </si>
  <si>
    <t xml:space="preserve">30548</t>
  </si>
  <si>
    <t xml:space="preserve">E80022-E454</t>
  </si>
  <si>
    <t xml:space="preserve">PO30338</t>
  </si>
  <si>
    <t xml:space="preserve">BU217-TEF-SOL</t>
  </si>
  <si>
    <t xml:space="preserve">BU-PTFE-SPL</t>
  </si>
  <si>
    <t xml:space="preserve">33537</t>
  </si>
  <si>
    <t xml:space="preserve">B70344</t>
  </si>
  <si>
    <t xml:space="preserve">34598</t>
  </si>
  <si>
    <t xml:space="preserve">UL125-0.750-250B</t>
  </si>
  <si>
    <t xml:space="preserve">30788</t>
  </si>
  <si>
    <t xml:space="preserve">VN39 Hercules Sealing Products</t>
  </si>
  <si>
    <t xml:space="preserve">V75036</t>
  </si>
  <si>
    <t xml:space="preserve">34059</t>
  </si>
  <si>
    <t xml:space="preserve">A75452</t>
  </si>
  <si>
    <t xml:space="preserve">34291</t>
  </si>
  <si>
    <t xml:space="preserve">C70110</t>
  </si>
  <si>
    <t xml:space="preserve">AM54-20002500-250</t>
  </si>
  <si>
    <t xml:space="preserve">E70139</t>
  </si>
  <si>
    <t xml:space="preserve">31690</t>
  </si>
  <si>
    <t xml:space="preserve">B90341</t>
  </si>
  <si>
    <t xml:space="preserve">30748</t>
  </si>
  <si>
    <t xml:space="preserve">B50342</t>
  </si>
  <si>
    <t xml:space="preserve">34206</t>
  </si>
  <si>
    <t xml:space="preserve">FFKM-021-SZ485</t>
  </si>
  <si>
    <t xml:space="preserve">32103</t>
  </si>
  <si>
    <t xml:space="preserve">B70008</t>
  </si>
  <si>
    <t xml:space="preserve">SN70247</t>
  </si>
  <si>
    <t xml:space="preserve">34093</t>
  </si>
  <si>
    <t xml:space="preserve">E80015-E454</t>
  </si>
  <si>
    <t xml:space="preserve">30445</t>
  </si>
  <si>
    <t xml:space="preserve">V75230-MS</t>
  </si>
  <si>
    <t xml:space="preserve">34406</t>
  </si>
  <si>
    <t xml:space="preserve">QV-220</t>
  </si>
  <si>
    <t xml:space="preserve">34024</t>
  </si>
  <si>
    <t xml:space="preserve">N1.00X021</t>
  </si>
  <si>
    <t xml:space="preserve">32088</t>
  </si>
  <si>
    <t xml:space="preserve">BU266-P</t>
  </si>
  <si>
    <t xml:space="preserve">30655</t>
  </si>
  <si>
    <t xml:space="preserve">6226-41</t>
  </si>
  <si>
    <t xml:space="preserve">34251</t>
  </si>
  <si>
    <t xml:space="preserve">AN-27-SH</t>
  </si>
  <si>
    <t xml:space="preserve">34602</t>
  </si>
  <si>
    <t xml:space="preserve">BU219-TEF-SOL</t>
  </si>
  <si>
    <t xml:space="preserve">N1.50X006</t>
  </si>
  <si>
    <t xml:space="preserve">34504</t>
  </si>
  <si>
    <t xml:space="preserve">N3.00X018</t>
  </si>
  <si>
    <t xml:space="preserve">34108</t>
  </si>
  <si>
    <t xml:space="preserve">SN70126</t>
  </si>
  <si>
    <t xml:space="preserve">33852</t>
  </si>
  <si>
    <t xml:space="preserve">S70222</t>
  </si>
  <si>
    <t xml:space="preserve">6226-07-E70</t>
  </si>
  <si>
    <t xml:space="preserve">35214</t>
  </si>
  <si>
    <t xml:space="preserve">N3.00X055</t>
  </si>
  <si>
    <t xml:space="preserve">QR-316</t>
  </si>
  <si>
    <t xml:space="preserve">33264</t>
  </si>
  <si>
    <t xml:space="preserve">BU248-P</t>
  </si>
  <si>
    <t xml:space="preserve">34858</t>
  </si>
  <si>
    <t xml:space="preserve">B70910</t>
  </si>
  <si>
    <t xml:space="preserve">E80011-E454</t>
  </si>
  <si>
    <t xml:space="preserve">V2.50X008</t>
  </si>
  <si>
    <t xml:space="preserve">33003</t>
  </si>
  <si>
    <t xml:space="preserve">FFKM-211-SZ485</t>
  </si>
  <si>
    <t xml:space="preserve">6226-12</t>
  </si>
  <si>
    <t xml:space="preserve">34288</t>
  </si>
  <si>
    <t xml:space="preserve">B70201</t>
  </si>
  <si>
    <t xml:space="preserve">BU219-P</t>
  </si>
  <si>
    <t xml:space="preserve">31728</t>
  </si>
  <si>
    <t xml:space="preserve">FFKM-232-SZ485</t>
  </si>
  <si>
    <t xml:space="preserve">34613</t>
  </si>
  <si>
    <t xml:space="preserve">AN-06-SH</t>
  </si>
  <si>
    <t xml:space="preserve">S5.00X052</t>
  </si>
  <si>
    <t xml:space="preserve">N1.60X018.1</t>
  </si>
  <si>
    <t xml:space="preserve">S70.093</t>
  </si>
  <si>
    <t xml:space="preserve">33028</t>
  </si>
  <si>
    <t xml:space="preserve">SV75009</t>
  </si>
  <si>
    <t xml:space="preserve">31501</t>
  </si>
  <si>
    <t xml:space="preserve">BU369-P</t>
  </si>
  <si>
    <t xml:space="preserve">B50212</t>
  </si>
  <si>
    <t xml:space="preserve">E70268</t>
  </si>
  <si>
    <t xml:space="preserve">30905</t>
  </si>
  <si>
    <t xml:space="preserve">FFKM-116-SZ498</t>
  </si>
  <si>
    <t xml:space="preserve">V1.00X001.15</t>
  </si>
  <si>
    <t xml:space="preserve">N2.50X006.5</t>
  </si>
  <si>
    <t xml:space="preserve">V90220</t>
  </si>
  <si>
    <t xml:space="preserve">FS70202</t>
  </si>
  <si>
    <t xml:space="preserve">32346</t>
  </si>
  <si>
    <t xml:space="preserve">V75011-MS</t>
  </si>
  <si>
    <t xml:space="preserve">34112</t>
  </si>
  <si>
    <t xml:space="preserve">B70432</t>
  </si>
  <si>
    <t xml:space="preserve">V75910-MS</t>
  </si>
  <si>
    <t xml:space="preserve">32104</t>
  </si>
  <si>
    <t xml:space="preserve">B90028</t>
  </si>
  <si>
    <t xml:space="preserve">31585</t>
  </si>
  <si>
    <t xml:space="preserve">N2.00X007</t>
  </si>
  <si>
    <t xml:space="preserve">SN70133</t>
  </si>
  <si>
    <t xml:space="preserve">UC70139</t>
  </si>
  <si>
    <t xml:space="preserve">30521</t>
  </si>
  <si>
    <t xml:space="preserve">BU127-P</t>
  </si>
  <si>
    <t xml:space="preserve">H70003</t>
  </si>
  <si>
    <t xml:space="preserve">E1.00X000.5</t>
  </si>
  <si>
    <t xml:space="preserve">PO30337</t>
  </si>
  <si>
    <t xml:space="preserve">B50141</t>
  </si>
  <si>
    <t xml:space="preserve">34160</t>
  </si>
  <si>
    <t xml:space="preserve">TEF120</t>
  </si>
  <si>
    <t xml:space="preserve">UC70127</t>
  </si>
  <si>
    <t xml:space="preserve">B70154</t>
  </si>
  <si>
    <t xml:space="preserve">B70237-NSF</t>
  </si>
  <si>
    <t xml:space="preserve">UC70326</t>
  </si>
  <si>
    <t xml:space="preserve">B70319</t>
  </si>
  <si>
    <t xml:space="preserve">33666</t>
  </si>
  <si>
    <t xml:space="preserve">B50216</t>
  </si>
  <si>
    <t xml:space="preserve">34264</t>
  </si>
  <si>
    <t xml:space="preserve">A75455</t>
  </si>
  <si>
    <t xml:space="preserve">33329</t>
  </si>
  <si>
    <t xml:space="preserve">FDABV75215</t>
  </si>
  <si>
    <t xml:space="preserve">B50265</t>
  </si>
  <si>
    <t xml:space="preserve">V75.354</t>
  </si>
  <si>
    <t xml:space="preserve">32939</t>
  </si>
  <si>
    <t xml:space="preserve">A75242</t>
  </si>
  <si>
    <t xml:space="preserve">35093</t>
  </si>
  <si>
    <t xml:space="preserve">FFKM-245-SZ485</t>
  </si>
  <si>
    <t xml:space="preserve">N1.00X017</t>
  </si>
  <si>
    <t xml:space="preserve">SFS-20</t>
  </si>
  <si>
    <t xml:space="preserve">34718</t>
  </si>
  <si>
    <t xml:space="preserve">BU338-P</t>
  </si>
  <si>
    <t xml:space="preserve">33031</t>
  </si>
  <si>
    <t xml:space="preserve">UC90007</t>
  </si>
  <si>
    <t xml:space="preserve">FFKM-019-SZ498</t>
  </si>
  <si>
    <t xml:space="preserve">B50039</t>
  </si>
  <si>
    <t xml:space="preserve">34863</t>
  </si>
  <si>
    <t xml:space="preserve">VN823 Splendid Rubber Products Co., Ltd</t>
  </si>
  <si>
    <t xml:space="preserve">UC70030</t>
  </si>
  <si>
    <t xml:space="preserve">FFKM-008-SZ498</t>
  </si>
  <si>
    <t xml:space="preserve">32358</t>
  </si>
  <si>
    <t xml:space="preserve">N1.30X013</t>
  </si>
  <si>
    <t xml:space="preserve">FS70905</t>
  </si>
  <si>
    <t xml:space="preserve">34688</t>
  </si>
  <si>
    <t xml:space="preserve">BU015-TEF-SOL</t>
  </si>
  <si>
    <t xml:space="preserve">31843</t>
  </si>
  <si>
    <t xml:space="preserve">V2.00X003.5</t>
  </si>
  <si>
    <t xml:space="preserve">33230</t>
  </si>
  <si>
    <t xml:space="preserve">B70122</t>
  </si>
  <si>
    <t xml:space="preserve">B70143</t>
  </si>
  <si>
    <t xml:space="preserve">BV75018</t>
  </si>
  <si>
    <t xml:space="preserve">34972</t>
  </si>
  <si>
    <t xml:space="preserve">A75385</t>
  </si>
  <si>
    <t xml:space="preserve">34410</t>
  </si>
  <si>
    <t xml:space="preserve">SV75013</t>
  </si>
  <si>
    <t xml:space="preserve">34649</t>
  </si>
  <si>
    <t xml:space="preserve">QR-313</t>
  </si>
  <si>
    <t xml:space="preserve">34343</t>
  </si>
  <si>
    <t xml:space="preserve">A75112</t>
  </si>
  <si>
    <t xml:space="preserve">SN90007</t>
  </si>
  <si>
    <t xml:space="preserve">34904</t>
  </si>
  <si>
    <t xml:space="preserve">FFKM-1.00X001</t>
  </si>
  <si>
    <t xml:space="preserve">34764</t>
  </si>
  <si>
    <t xml:space="preserve">A75456</t>
  </si>
  <si>
    <t xml:space="preserve">S3.00X050</t>
  </si>
  <si>
    <t xml:space="preserve">V75248-MS</t>
  </si>
  <si>
    <t xml:space="preserve">V2.00X005</t>
  </si>
  <si>
    <t xml:space="preserve">BV75115</t>
  </si>
  <si>
    <t xml:space="preserve">34833</t>
  </si>
  <si>
    <t xml:space="preserve">UC90003</t>
  </si>
  <si>
    <t xml:space="preserve">V1.00X003</t>
  </si>
  <si>
    <t xml:space="preserve">31858</t>
  </si>
  <si>
    <t xml:space="preserve">B50209</t>
  </si>
  <si>
    <t xml:space="preserve">UL250-3.500-250</t>
  </si>
  <si>
    <t xml:space="preserve">UC70021</t>
  </si>
  <si>
    <t xml:space="preserve">V75005-MS</t>
  </si>
  <si>
    <t xml:space="preserve">34758</t>
  </si>
  <si>
    <t xml:space="preserve">B50115</t>
  </si>
  <si>
    <t xml:space="preserve">N8.00X030-FDA/NSF61</t>
  </si>
  <si>
    <t xml:space="preserve">34420</t>
  </si>
  <si>
    <t xml:space="preserve">B70317</t>
  </si>
  <si>
    <t xml:space="preserve">FDABV75121</t>
  </si>
  <si>
    <t xml:space="preserve">6226-02-E70</t>
  </si>
  <si>
    <t xml:space="preserve">SFS-12</t>
  </si>
  <si>
    <t xml:space="preserve">E1.00X002</t>
  </si>
  <si>
    <t xml:space="preserve">33882</t>
  </si>
  <si>
    <t xml:space="preserve">E80111-E454</t>
  </si>
  <si>
    <t xml:space="preserve">B70255-NSF</t>
  </si>
  <si>
    <t xml:space="preserve">FDABV75126</t>
  </si>
  <si>
    <t xml:space="preserve">34734</t>
  </si>
  <si>
    <t xml:space="preserve">A75234</t>
  </si>
  <si>
    <t xml:space="preserve">PO30324</t>
  </si>
  <si>
    <t xml:space="preserve">V75023</t>
  </si>
  <si>
    <t xml:space="preserve">33387</t>
  </si>
  <si>
    <t xml:space="preserve">B70039</t>
  </si>
  <si>
    <t xml:space="preserve">N1.00X016</t>
  </si>
  <si>
    <t xml:space="preserve">31738</t>
  </si>
  <si>
    <t xml:space="preserve">FDABV75113</t>
  </si>
  <si>
    <t xml:space="preserve">B70255</t>
  </si>
  <si>
    <t xml:space="preserve">30657</t>
  </si>
  <si>
    <t xml:space="preserve">FFKM-350-SZ486</t>
  </si>
  <si>
    <t xml:space="preserve">34627</t>
  </si>
  <si>
    <t xml:space="preserve">A75256</t>
  </si>
  <si>
    <t xml:space="preserve">A75006</t>
  </si>
  <si>
    <t xml:space="preserve">QR-018</t>
  </si>
  <si>
    <t xml:space="preserve">33495</t>
  </si>
  <si>
    <t xml:space="preserve">S50236</t>
  </si>
  <si>
    <t xml:space="preserve">N1.50X007.5</t>
  </si>
  <si>
    <t xml:space="preserve">34505</t>
  </si>
  <si>
    <t xml:space="preserve">V75124-MS</t>
  </si>
  <si>
    <t xml:space="preserve">S70018</t>
  </si>
  <si>
    <t xml:space="preserve">30590</t>
  </si>
  <si>
    <t xml:space="preserve">CV75221</t>
  </si>
  <si>
    <t xml:space="preserve">33762</t>
  </si>
  <si>
    <t xml:space="preserve">A75154</t>
  </si>
  <si>
    <t xml:space="preserve">32188</t>
  </si>
  <si>
    <t xml:space="preserve">B90447</t>
  </si>
  <si>
    <t xml:space="preserve">V75155-MS</t>
  </si>
  <si>
    <t xml:space="preserve">33438</t>
  </si>
  <si>
    <t xml:space="preserve">N1.50X022.5</t>
  </si>
  <si>
    <t xml:space="preserve">S50002</t>
  </si>
  <si>
    <t xml:space="preserve">V75321</t>
  </si>
  <si>
    <t xml:space="preserve">CV75277</t>
  </si>
  <si>
    <t xml:space="preserve">FFKM-222-SZ486</t>
  </si>
  <si>
    <t xml:space="preserve">FFKM-120-SZ486</t>
  </si>
  <si>
    <t xml:space="preserve">N1.00X050</t>
  </si>
  <si>
    <t xml:space="preserve">34011</t>
  </si>
  <si>
    <t xml:space="preserve">FDABV75017</t>
  </si>
  <si>
    <t xml:space="preserve">B90442</t>
  </si>
  <si>
    <t xml:space="preserve">FDABV75020</t>
  </si>
  <si>
    <t xml:space="preserve">B70137</t>
  </si>
  <si>
    <t xml:space="preserve">34062</t>
  </si>
  <si>
    <t xml:space="preserve">V75141-MS</t>
  </si>
  <si>
    <t xml:space="preserve">B70458</t>
  </si>
  <si>
    <t xml:space="preserve">30619</t>
  </si>
  <si>
    <t xml:space="preserve">UC70141</t>
  </si>
  <si>
    <t xml:space="preserve">33052</t>
  </si>
  <si>
    <t xml:space="preserve">N2.00X040</t>
  </si>
  <si>
    <t xml:space="preserve">33538</t>
  </si>
  <si>
    <t xml:space="preserve">BV75006</t>
  </si>
  <si>
    <t xml:space="preserve">QR-231</t>
  </si>
  <si>
    <t xml:space="preserve">A75231</t>
  </si>
  <si>
    <t xml:space="preserve">N4.00X015</t>
  </si>
  <si>
    <t xml:space="preserve">31938</t>
  </si>
  <si>
    <t xml:space="preserve">N3.50X093</t>
  </si>
  <si>
    <t xml:space="preserve">CV75266</t>
  </si>
  <si>
    <t xml:space="preserve">C70031</t>
  </si>
  <si>
    <t xml:space="preserve">32274</t>
  </si>
  <si>
    <t xml:space="preserve">UL250-1.500-250</t>
  </si>
  <si>
    <t xml:space="preserve">31611</t>
  </si>
  <si>
    <t xml:space="preserve">V75126-MS</t>
  </si>
  <si>
    <t xml:space="preserve">S70326</t>
  </si>
  <si>
    <t xml:space="preserve">B70035-NSF</t>
  </si>
  <si>
    <t xml:space="preserve">34830</t>
  </si>
  <si>
    <t xml:space="preserve">V1.00X002</t>
  </si>
  <si>
    <t xml:space="preserve">FDABV75226</t>
  </si>
  <si>
    <t xml:space="preserve">34977</t>
  </si>
  <si>
    <t xml:space="preserve">N1.50X100</t>
  </si>
  <si>
    <t xml:space="preserve">31153</t>
  </si>
  <si>
    <t xml:space="preserve">AN-19-SH</t>
  </si>
  <si>
    <t xml:space="preserve">U187-0.500-187B</t>
  </si>
  <si>
    <t xml:space="preserve">UC70115</t>
  </si>
  <si>
    <t xml:space="preserve">B70022-NSF</t>
  </si>
  <si>
    <t xml:space="preserve">TEF213</t>
  </si>
  <si>
    <t xml:space="preserve">V75110-MS</t>
  </si>
  <si>
    <t xml:space="preserve">34167</t>
  </si>
  <si>
    <t xml:space="preserve">S2.00X164</t>
  </si>
  <si>
    <t xml:space="preserve">34323</t>
  </si>
  <si>
    <t xml:space="preserve">FDABV75021</t>
  </si>
  <si>
    <t xml:space="preserve">N2.00X013.5</t>
  </si>
  <si>
    <t xml:space="preserve">SN70125</t>
  </si>
  <si>
    <t xml:space="preserve">E70114-NSF</t>
  </si>
  <si>
    <t xml:space="preserve">AN-11-SH</t>
  </si>
  <si>
    <t xml:space="preserve">30864</t>
  </si>
  <si>
    <t xml:space="preserve">TEV218</t>
  </si>
  <si>
    <t xml:space="preserve">30579</t>
  </si>
  <si>
    <t xml:space="preserve">UC90114</t>
  </si>
  <si>
    <t xml:space="preserve">34202</t>
  </si>
  <si>
    <t xml:space="preserve">B70217-NSF</t>
  </si>
  <si>
    <t xml:space="preserve">32377</t>
  </si>
  <si>
    <t xml:space="preserve">A75226</t>
  </si>
  <si>
    <t xml:space="preserve">FDABV75154</t>
  </si>
  <si>
    <t xml:space="preserve">35056</t>
  </si>
  <si>
    <t xml:space="preserve">TEF021</t>
  </si>
  <si>
    <t xml:space="preserve">30780</t>
  </si>
  <si>
    <t xml:space="preserve">BU240-P-ORANGE</t>
  </si>
  <si>
    <t xml:space="preserve">34692</t>
  </si>
  <si>
    <t xml:space="preserve">E70116-NSF</t>
  </si>
  <si>
    <t xml:space="preserve">V1.00X027</t>
  </si>
  <si>
    <t xml:space="preserve">N2.40X005.3</t>
  </si>
  <si>
    <t xml:space="preserve">33805</t>
  </si>
  <si>
    <t xml:space="preserve">B50278</t>
  </si>
  <si>
    <t xml:space="preserve">33378</t>
  </si>
  <si>
    <t xml:space="preserve">N3.00X085</t>
  </si>
  <si>
    <t xml:space="preserve">SN70223</t>
  </si>
  <si>
    <t xml:space="preserve">A75128</t>
  </si>
  <si>
    <t xml:space="preserve">32594</t>
  </si>
  <si>
    <t xml:space="preserve">UC90020</t>
  </si>
  <si>
    <t xml:space="preserve">32156</t>
  </si>
  <si>
    <t xml:space="preserve">UC70027</t>
  </si>
  <si>
    <t xml:space="preserve">AN-20-SH</t>
  </si>
  <si>
    <t xml:space="preserve">34337</t>
  </si>
  <si>
    <t xml:space="preserve">N1.00X032</t>
  </si>
  <si>
    <t xml:space="preserve">33281</t>
  </si>
  <si>
    <t xml:space="preserve">SFS-08</t>
  </si>
  <si>
    <t xml:space="preserve">PU187-1.375-312B</t>
  </si>
  <si>
    <t xml:space="preserve">31508</t>
  </si>
  <si>
    <t xml:space="preserve">N1.00X025</t>
  </si>
  <si>
    <t xml:space="preserve">31087</t>
  </si>
  <si>
    <t xml:space="preserve">B50206</t>
  </si>
  <si>
    <t xml:space="preserve">H2.40X016.8</t>
  </si>
  <si>
    <t xml:space="preserve">SN70018</t>
  </si>
  <si>
    <t xml:space="preserve">S50146</t>
  </si>
  <si>
    <t xml:space="preserve">V75.197</t>
  </si>
  <si>
    <t xml:space="preserve">FDABV75013</t>
  </si>
  <si>
    <t xml:space="preserve">34517</t>
  </si>
  <si>
    <t xml:space="preserve">V75906-MS</t>
  </si>
  <si>
    <t xml:space="preserve">V75124</t>
  </si>
  <si>
    <t xml:space="preserve">SN70132</t>
  </si>
  <si>
    <t xml:space="preserve">V75139-MS</t>
  </si>
  <si>
    <t xml:space="preserve">31058</t>
  </si>
  <si>
    <t xml:space="preserve">C70261</t>
  </si>
  <si>
    <t xml:space="preserve">34714</t>
  </si>
  <si>
    <t xml:space="preserve">FFKM-024-SZ498</t>
  </si>
  <si>
    <t xml:space="preserve">FDABV75211</t>
  </si>
  <si>
    <t xml:space="preserve">SN70135</t>
  </si>
  <si>
    <t xml:space="preserve">V75129-MS</t>
  </si>
  <si>
    <t xml:space="preserve">SN70025</t>
  </si>
  <si>
    <t xml:space="preserve">N5.70X314.3</t>
  </si>
  <si>
    <t xml:space="preserve">B70231-NSF</t>
  </si>
  <si>
    <t xml:space="preserve">TEF1.50X009</t>
  </si>
  <si>
    <t xml:space="preserve">33452</t>
  </si>
  <si>
    <t xml:space="preserve">A75236</t>
  </si>
  <si>
    <t xml:space="preserve">FS70018</t>
  </si>
  <si>
    <t xml:space="preserve">FDABV75019</t>
  </si>
  <si>
    <t xml:space="preserve">N70.177</t>
  </si>
  <si>
    <t xml:space="preserve">V2.00X018</t>
  </si>
  <si>
    <t xml:space="preserve">A75214</t>
  </si>
  <si>
    <t xml:space="preserve">E70219</t>
  </si>
  <si>
    <t xml:space="preserve">34317</t>
  </si>
  <si>
    <t xml:space="preserve">V2.40X005.6</t>
  </si>
  <si>
    <t xml:space="preserve">V1.50X022.5</t>
  </si>
  <si>
    <t xml:space="preserve">V1.00X001.5</t>
  </si>
  <si>
    <t xml:space="preserve">FS70325</t>
  </si>
  <si>
    <t xml:space="preserve">SN70136</t>
  </si>
  <si>
    <t xml:space="preserve">V90120</t>
  </si>
  <si>
    <t xml:space="preserve">QV-121</t>
  </si>
  <si>
    <t xml:space="preserve">V75215-MS</t>
  </si>
  <si>
    <t xml:space="preserve">SN70130</t>
  </si>
  <si>
    <t xml:space="preserve">E70029-NSF</t>
  </si>
  <si>
    <t xml:space="preserve">CV75210</t>
  </si>
  <si>
    <t xml:space="preserve">FDABV75041</t>
  </si>
  <si>
    <t xml:space="preserve">35063</t>
  </si>
  <si>
    <t xml:space="preserve">A75028</t>
  </si>
  <si>
    <t xml:space="preserve">V1.50X005</t>
  </si>
  <si>
    <t xml:space="preserve">32289</t>
  </si>
  <si>
    <t xml:space="preserve">B70210-NSF</t>
  </si>
  <si>
    <t xml:space="preserve">SN70027</t>
  </si>
  <si>
    <t xml:space="preserve">FS70005</t>
  </si>
  <si>
    <t xml:space="preserve">SN70026</t>
  </si>
  <si>
    <t xml:space="preserve">33617</t>
  </si>
  <si>
    <t xml:space="preserve">B50017</t>
  </si>
  <si>
    <t xml:space="preserve">34966</t>
  </si>
  <si>
    <t xml:space="preserve">FFKM-118-SZ486</t>
  </si>
  <si>
    <t xml:space="preserve">A75223</t>
  </si>
  <si>
    <t xml:space="preserve">E70156</t>
  </si>
  <si>
    <t xml:space="preserve">32272</t>
  </si>
  <si>
    <t xml:space="preserve">B70310</t>
  </si>
  <si>
    <t xml:space="preserve">B50232</t>
  </si>
  <si>
    <t xml:space="preserve">B50248</t>
  </si>
  <si>
    <t xml:space="preserve">FS75008</t>
  </si>
  <si>
    <t xml:space="preserve">AS568 FS75</t>
  </si>
  <si>
    <t xml:space="preserve">PO29620</t>
  </si>
  <si>
    <t xml:space="preserve">WN70337</t>
  </si>
  <si>
    <t xml:space="preserve">33291</t>
  </si>
  <si>
    <t xml:space="preserve">UC90121</t>
  </si>
  <si>
    <t xml:space="preserve">FS70214</t>
  </si>
  <si>
    <t xml:space="preserve">S50171</t>
  </si>
  <si>
    <t xml:space="preserve">FS75007</t>
  </si>
  <si>
    <t xml:space="preserve">B70218-NSF</t>
  </si>
  <si>
    <t xml:space="preserve">34878</t>
  </si>
  <si>
    <t xml:space="preserve">S70004</t>
  </si>
  <si>
    <t xml:space="preserve">BU234-TEF-SOL</t>
  </si>
  <si>
    <t xml:space="preserve">30534</t>
  </si>
  <si>
    <t xml:space="preserve">S70138</t>
  </si>
  <si>
    <t xml:space="preserve">FDABV75119</t>
  </si>
  <si>
    <t xml:space="preserve">FFKM-314-SZ485</t>
  </si>
  <si>
    <t xml:space="preserve">33828</t>
  </si>
  <si>
    <t xml:space="preserve">UC70241</t>
  </si>
  <si>
    <t xml:space="preserve">32764</t>
  </si>
  <si>
    <t xml:space="preserve">WN70014</t>
  </si>
  <si>
    <t xml:space="preserve">V1.50X024</t>
  </si>
  <si>
    <t xml:space="preserve">V75121-MS</t>
  </si>
  <si>
    <t xml:space="preserve">S4.00X045</t>
  </si>
  <si>
    <t xml:space="preserve">30790</t>
  </si>
  <si>
    <t xml:space="preserve">E70281</t>
  </si>
  <si>
    <t xml:space="preserve">30651</t>
  </si>
  <si>
    <t xml:space="preserve">B70338-NSF</t>
  </si>
  <si>
    <t xml:space="preserve">S70234</t>
  </si>
  <si>
    <t xml:space="preserve">FFKM-146-SZ495</t>
  </si>
  <si>
    <t xml:space="preserve">SN70030</t>
  </si>
  <si>
    <t xml:space="preserve">B50043</t>
  </si>
  <si>
    <t xml:space="preserve">V75236-MS</t>
  </si>
  <si>
    <t xml:space="preserve">31860</t>
  </si>
  <si>
    <t xml:space="preserve">N4.00X072</t>
  </si>
  <si>
    <t xml:space="preserve">34145</t>
  </si>
  <si>
    <t xml:space="preserve">N1.00X015</t>
  </si>
  <si>
    <t xml:space="preserve">33776</t>
  </si>
  <si>
    <t xml:space="preserve">FFKM-255-SZ485</t>
  </si>
  <si>
    <t xml:space="preserve">SN70446</t>
  </si>
  <si>
    <t xml:space="preserve">B70133-NSF</t>
  </si>
  <si>
    <t xml:space="preserve">N2.00X114</t>
  </si>
  <si>
    <t xml:space="preserve">S1.00X005.5</t>
  </si>
  <si>
    <t xml:space="preserve">B50037</t>
  </si>
  <si>
    <t xml:space="preserve">SN70020</t>
  </si>
  <si>
    <t xml:space="preserve">E70232-NSF</t>
  </si>
  <si>
    <t xml:space="preserve">34600</t>
  </si>
  <si>
    <t xml:space="preserve">B70112-NSF</t>
  </si>
  <si>
    <t xml:space="preserve">34871</t>
  </si>
  <si>
    <t xml:space="preserve">H70008</t>
  </si>
  <si>
    <t xml:space="preserve">32062</t>
  </si>
  <si>
    <t xml:space="preserve">TEV469</t>
  </si>
  <si>
    <t xml:space="preserve">34445</t>
  </si>
  <si>
    <t xml:space="preserve">H70004</t>
  </si>
  <si>
    <t xml:space="preserve">S70133</t>
  </si>
  <si>
    <t xml:space="preserve">N2.50X015</t>
  </si>
  <si>
    <t xml:space="preserve">33250</t>
  </si>
  <si>
    <t xml:space="preserve">N2.00X087</t>
  </si>
  <si>
    <t xml:space="preserve">B70144</t>
  </si>
  <si>
    <t xml:space="preserve">N1.00X027.5</t>
  </si>
  <si>
    <t xml:space="preserve">31408</t>
  </si>
  <si>
    <t xml:space="preserve">FDABV75249</t>
  </si>
  <si>
    <t xml:space="preserve">34784</t>
  </si>
  <si>
    <t xml:space="preserve">RTU187-1.625-375B</t>
  </si>
  <si>
    <t xml:space="preserve">30691</t>
  </si>
  <si>
    <t xml:space="preserve">QE-019</t>
  </si>
  <si>
    <t xml:space="preserve">33630</t>
  </si>
  <si>
    <t xml:space="preserve">AN-21-SH</t>
  </si>
  <si>
    <t xml:space="preserve">S1.50X003</t>
  </si>
  <si>
    <t xml:space="preserve">34384</t>
  </si>
  <si>
    <t xml:space="preserve">V75264-MS</t>
  </si>
  <si>
    <t xml:space="preserve">S50032</t>
  </si>
  <si>
    <t xml:space="preserve">33460</t>
  </si>
  <si>
    <t xml:space="preserve">FDABV75124</t>
  </si>
  <si>
    <t xml:space="preserve">34599</t>
  </si>
  <si>
    <t xml:space="preserve">HN-706-00047-017H</t>
  </si>
  <si>
    <t xml:space="preserve">34172</t>
  </si>
  <si>
    <t xml:space="preserve">V75013-MS</t>
  </si>
  <si>
    <t xml:space="preserve">34492</t>
  </si>
  <si>
    <t xml:space="preserve">CV75212</t>
  </si>
  <si>
    <t xml:space="preserve">SFS-48</t>
  </si>
  <si>
    <t xml:space="preserve">33989</t>
  </si>
  <si>
    <t xml:space="preserve">B70336-NSF</t>
  </si>
  <si>
    <t xml:space="preserve">AVIONIC-2638219HSA</t>
  </si>
  <si>
    <t xml:space="preserve">34859</t>
  </si>
  <si>
    <t xml:space="preserve">V75228-MD</t>
  </si>
  <si>
    <t xml:space="preserve">V90003</t>
  </si>
  <si>
    <t xml:space="preserve">QR-215</t>
  </si>
  <si>
    <t xml:space="preserve">35025</t>
  </si>
  <si>
    <t xml:space="preserve">QV-212</t>
  </si>
  <si>
    <t xml:space="preserve">33865</t>
  </si>
  <si>
    <t xml:space="preserve">UC70231</t>
  </si>
  <si>
    <t xml:space="preserve">32048</t>
  </si>
  <si>
    <t xml:space="preserve">UC70136</t>
  </si>
  <si>
    <t xml:space="preserve">33514</t>
  </si>
  <si>
    <t xml:space="preserve">TEF118</t>
  </si>
  <si>
    <t xml:space="preserve">V75.093</t>
  </si>
  <si>
    <t xml:space="preserve">V3.00X022.5</t>
  </si>
  <si>
    <t xml:space="preserve">34039</t>
  </si>
  <si>
    <t xml:space="preserve">E70334-NSF</t>
  </si>
  <si>
    <t xml:space="preserve">34249</t>
  </si>
  <si>
    <t xml:space="preserve">V90916-BRN</t>
  </si>
  <si>
    <t xml:space="preserve">33619</t>
  </si>
  <si>
    <t xml:space="preserve">H70211</t>
  </si>
  <si>
    <t xml:space="preserve">V75120-MS</t>
  </si>
  <si>
    <t xml:space="preserve">SN70232</t>
  </si>
  <si>
    <t xml:space="preserve">N2.50X028</t>
  </si>
  <si>
    <t xml:space="preserve">QR-338</t>
  </si>
  <si>
    <t xml:space="preserve">34986</t>
  </si>
  <si>
    <t xml:space="preserve">V75.098</t>
  </si>
  <si>
    <t xml:space="preserve">V75316</t>
  </si>
  <si>
    <t xml:space="preserve">31380</t>
  </si>
  <si>
    <t xml:space="preserve">TEF110</t>
  </si>
  <si>
    <t xml:space="preserve">33246</t>
  </si>
  <si>
    <t xml:space="preserve">B50146</t>
  </si>
  <si>
    <t xml:space="preserve">E70326-NSF</t>
  </si>
  <si>
    <t xml:space="preserve">S70360</t>
  </si>
  <si>
    <t xml:space="preserve">N3.00X012.5</t>
  </si>
  <si>
    <t xml:space="preserve">33044</t>
  </si>
  <si>
    <t xml:space="preserve">E70202-NSF</t>
  </si>
  <si>
    <t xml:space="preserve">34005</t>
  </si>
  <si>
    <t xml:space="preserve">B50004</t>
  </si>
  <si>
    <t xml:space="preserve">V2.40X011.3</t>
  </si>
  <si>
    <t xml:space="preserve">34615</t>
  </si>
  <si>
    <t xml:space="preserve">S70331</t>
  </si>
  <si>
    <t xml:space="preserve">31949</t>
  </si>
  <si>
    <t xml:space="preserve">V1.50X010</t>
  </si>
  <si>
    <t xml:space="preserve">TES108</t>
  </si>
  <si>
    <t xml:space="preserve">33823</t>
  </si>
  <si>
    <t xml:space="preserve">A214</t>
  </si>
  <si>
    <t xml:space="preserve">FFKM-112-SZ498</t>
  </si>
  <si>
    <t xml:space="preserve">UC70031</t>
  </si>
  <si>
    <t xml:space="preserve">FFKM-145-SZ485</t>
  </si>
  <si>
    <t xml:space="preserve">32280</t>
  </si>
  <si>
    <t xml:space="preserve">FS70113</t>
  </si>
  <si>
    <t xml:space="preserve">30558</t>
  </si>
  <si>
    <t xml:space="preserve">SN70134</t>
  </si>
  <si>
    <t xml:space="preserve">QR-122</t>
  </si>
  <si>
    <t xml:space="preserve">FS70206</t>
  </si>
  <si>
    <t xml:space="preserve">32523</t>
  </si>
  <si>
    <t xml:space="preserve">B90359</t>
  </si>
  <si>
    <t xml:space="preserve">B70008-NSF</t>
  </si>
  <si>
    <t xml:space="preserve">V75032-MD</t>
  </si>
  <si>
    <t xml:space="preserve">34769</t>
  </si>
  <si>
    <t xml:space="preserve">UC70230</t>
  </si>
  <si>
    <t xml:space="preserve">SN70419</t>
  </si>
  <si>
    <t xml:space="preserve">WN70268</t>
  </si>
  <si>
    <t xml:space="preserve">SN70312</t>
  </si>
  <si>
    <t xml:space="preserve">34071</t>
  </si>
  <si>
    <t xml:space="preserve">N70.750</t>
  </si>
  <si>
    <t xml:space="preserve">34507</t>
  </si>
  <si>
    <t xml:space="preserve">S70.070</t>
  </si>
  <si>
    <t xml:space="preserve">S2.00X027.5</t>
  </si>
  <si>
    <t xml:space="preserve">FDABV75377</t>
  </si>
  <si>
    <t xml:space="preserve">30741</t>
  </si>
  <si>
    <t xml:space="preserve">B70007-NSF</t>
  </si>
  <si>
    <t xml:space="preserve">34124</t>
  </si>
  <si>
    <t xml:space="preserve">S0.50X010</t>
  </si>
  <si>
    <t xml:space="preserve">33183</t>
  </si>
  <si>
    <t xml:space="preserve">CC.500</t>
  </si>
  <si>
    <t xml:space="preserve">33723</t>
  </si>
  <si>
    <t xml:space="preserve">N4.00X060</t>
  </si>
  <si>
    <t xml:space="preserve">BV75119</t>
  </si>
  <si>
    <t xml:space="preserve">30721</t>
  </si>
  <si>
    <t xml:space="preserve">SN70229</t>
  </si>
  <si>
    <t xml:space="preserve">FDABV75214</t>
  </si>
  <si>
    <t xml:space="preserve">34623</t>
  </si>
  <si>
    <t xml:space="preserve">V75151-MD</t>
  </si>
  <si>
    <t xml:space="preserve">E70242-NSF</t>
  </si>
  <si>
    <t xml:space="preserve">S2.00X045.5</t>
  </si>
  <si>
    <t xml:space="preserve">30501</t>
  </si>
  <si>
    <t xml:space="preserve">QE-212</t>
  </si>
  <si>
    <t xml:space="preserve">32343</t>
  </si>
  <si>
    <t xml:space="preserve">S70.188</t>
  </si>
  <si>
    <t xml:space="preserve">30750</t>
  </si>
  <si>
    <t xml:space="preserve">E70112-NSF</t>
  </si>
  <si>
    <t xml:space="preserve">B50218</t>
  </si>
  <si>
    <t xml:space="preserve">S70267</t>
  </si>
  <si>
    <t xml:space="preserve">N1.50X081</t>
  </si>
  <si>
    <t xml:space="preserve">V90910-BRN</t>
  </si>
  <si>
    <t xml:space="preserve">V90010</t>
  </si>
  <si>
    <t xml:space="preserve">E1.00X001.8</t>
  </si>
  <si>
    <t xml:space="preserve">32593</t>
  </si>
  <si>
    <t xml:space="preserve">B70242-NSF</t>
  </si>
  <si>
    <t xml:space="preserve">TEF121</t>
  </si>
  <si>
    <t xml:space="preserve">4318-OSK</t>
  </si>
  <si>
    <t xml:space="preserve">OSK™ Brewery Gaskets and Seals</t>
  </si>
  <si>
    <t xml:space="preserve">33069</t>
  </si>
  <si>
    <t xml:space="preserve">FFKM-024-SZ484</t>
  </si>
  <si>
    <t xml:space="preserve">AM54-12501750-250</t>
  </si>
  <si>
    <t xml:space="preserve">34603</t>
  </si>
  <si>
    <t xml:space="preserve">E70019</t>
  </si>
  <si>
    <t xml:space="preserve">30637</t>
  </si>
  <si>
    <t xml:space="preserve">H2.20X017.3</t>
  </si>
  <si>
    <t xml:space="preserve">34766</t>
  </si>
  <si>
    <t xml:space="preserve">4308-OSK</t>
  </si>
  <si>
    <t xml:space="preserve">33252</t>
  </si>
  <si>
    <t xml:space="preserve">V75902-MS</t>
  </si>
  <si>
    <t xml:space="preserve">30589</t>
  </si>
  <si>
    <t xml:space="preserve">6226-03-E70</t>
  </si>
  <si>
    <t xml:space="preserve">34438</t>
  </si>
  <si>
    <t xml:space="preserve">B70040</t>
  </si>
  <si>
    <t xml:space="preserve">S70117</t>
  </si>
  <si>
    <t xml:space="preserve">30775</t>
  </si>
  <si>
    <t xml:space="preserve">N3.00X011.5</t>
  </si>
  <si>
    <t xml:space="preserve">31732</t>
  </si>
  <si>
    <t xml:space="preserve">BU226-TEF-SOL</t>
  </si>
  <si>
    <t xml:space="preserve">30654</t>
  </si>
  <si>
    <t xml:space="preserve">S2.50X013</t>
  </si>
  <si>
    <t xml:space="preserve">WN70005</t>
  </si>
  <si>
    <t xml:space="preserve">B70204-NSF</t>
  </si>
  <si>
    <t xml:space="preserve">A75022</t>
  </si>
  <si>
    <t xml:space="preserve">WN70223</t>
  </si>
  <si>
    <t xml:space="preserve">33222</t>
  </si>
  <si>
    <t xml:space="preserve">QR-007</t>
  </si>
  <si>
    <t xml:space="preserve">34274</t>
  </si>
  <si>
    <t xml:space="preserve">A75237</t>
  </si>
  <si>
    <t xml:space="preserve">E70211</t>
  </si>
  <si>
    <t xml:space="preserve">31419</t>
  </si>
  <si>
    <t xml:space="preserve">V75315</t>
  </si>
  <si>
    <t xml:space="preserve">B50006</t>
  </si>
  <si>
    <t xml:space="preserve">102-521-OSK</t>
  </si>
  <si>
    <t xml:space="preserve">B50018</t>
  </si>
  <si>
    <t xml:space="preserve">34104</t>
  </si>
  <si>
    <t xml:space="preserve">B70007-MD-BLUE</t>
  </si>
  <si>
    <t xml:space="preserve">B50262</t>
  </si>
  <si>
    <t xml:space="preserve">CV75029</t>
  </si>
  <si>
    <t xml:space="preserve">SV75018</t>
  </si>
  <si>
    <t xml:space="preserve">30927</t>
  </si>
  <si>
    <t xml:space="preserve">S70422</t>
  </si>
  <si>
    <t xml:space="preserve">UC90144</t>
  </si>
  <si>
    <t xml:space="preserve">30855</t>
  </si>
  <si>
    <t xml:space="preserve">B70247-MD-BLUE</t>
  </si>
  <si>
    <t xml:space="preserve">V75223-MS</t>
  </si>
  <si>
    <t xml:space="preserve">34036</t>
  </si>
  <si>
    <t xml:space="preserve">E70138</t>
  </si>
  <si>
    <t xml:space="preserve">PO30339</t>
  </si>
  <si>
    <t xml:space="preserve">N2.00X010</t>
  </si>
  <si>
    <t xml:space="preserve">SN70346</t>
  </si>
  <si>
    <t xml:space="preserve">30564</t>
  </si>
  <si>
    <t xml:space="preserve">QR-033</t>
  </si>
  <si>
    <t xml:space="preserve">S50132</t>
  </si>
  <si>
    <t xml:space="preserve">FFKM-025-SZ498</t>
  </si>
  <si>
    <t xml:space="preserve">33632</t>
  </si>
  <si>
    <t xml:space="preserve">B90008</t>
  </si>
  <si>
    <t xml:space="preserve">32344</t>
  </si>
  <si>
    <t xml:space="preserve">QV-014</t>
  </si>
  <si>
    <t xml:space="preserve">TEV461</t>
  </si>
  <si>
    <t xml:space="preserve">UC70211</t>
  </si>
  <si>
    <t xml:space="preserve">V90234</t>
  </si>
  <si>
    <t xml:space="preserve">31771</t>
  </si>
  <si>
    <t xml:space="preserve">V75216-MD</t>
  </si>
  <si>
    <t xml:space="preserve">A75261</t>
  </si>
  <si>
    <t xml:space="preserve">34122</t>
  </si>
  <si>
    <t xml:space="preserve">B70030-NSF</t>
  </si>
  <si>
    <t xml:space="preserve">AM54-15002000-250</t>
  </si>
  <si>
    <t xml:space="preserve">FFKM-025-SZ484</t>
  </si>
  <si>
    <t xml:space="preserve">QR-028</t>
  </si>
  <si>
    <t xml:space="preserve">32670</t>
  </si>
  <si>
    <t xml:space="preserve">B90360</t>
  </si>
  <si>
    <t xml:space="preserve">B70326-NSF</t>
  </si>
  <si>
    <t xml:space="preserve">A75020</t>
  </si>
  <si>
    <t xml:space="preserve">QR-340</t>
  </si>
  <si>
    <t xml:space="preserve">33685</t>
  </si>
  <si>
    <t xml:space="preserve">V75464-MS</t>
  </si>
  <si>
    <t xml:space="preserve">33400</t>
  </si>
  <si>
    <t xml:space="preserve">V75118-MS</t>
  </si>
  <si>
    <t xml:space="preserve">34021</t>
  </si>
  <si>
    <t xml:space="preserve">BV75108</t>
  </si>
  <si>
    <t xml:space="preserve">31117</t>
  </si>
  <si>
    <t xml:space="preserve">V75139</t>
  </si>
  <si>
    <t xml:space="preserve">B90223</t>
  </si>
  <si>
    <t xml:space="preserve">102-376-OSK</t>
  </si>
  <si>
    <t xml:space="preserve">TPO30</t>
  </si>
  <si>
    <t xml:space="preserve">Hydraulic Inch T-Seals</t>
  </si>
  <si>
    <t xml:space="preserve">N4.00X046</t>
  </si>
  <si>
    <t xml:space="preserve">31352</t>
  </si>
  <si>
    <t xml:space="preserve">A75015</t>
  </si>
  <si>
    <t xml:space="preserve">UC70212</t>
  </si>
  <si>
    <t xml:space="preserve">V1.00X002.5</t>
  </si>
  <si>
    <t xml:space="preserve">QE-110</t>
  </si>
  <si>
    <t xml:space="preserve">A75227</t>
  </si>
  <si>
    <t xml:space="preserve">32429</t>
  </si>
  <si>
    <t xml:space="preserve">TRO24</t>
  </si>
  <si>
    <t xml:space="preserve">S70112</t>
  </si>
  <si>
    <t xml:space="preserve">U250-2.250-250B</t>
  </si>
  <si>
    <t xml:space="preserve">30407</t>
  </si>
  <si>
    <t xml:space="preserve">B90335</t>
  </si>
  <si>
    <t xml:space="preserve">34115</t>
  </si>
  <si>
    <t xml:space="preserve">FFKM-218-SZ486</t>
  </si>
  <si>
    <t xml:space="preserve">FFKM-254-SZ485</t>
  </si>
  <si>
    <t xml:space="preserve">34666</t>
  </si>
  <si>
    <t xml:space="preserve">B50108</t>
  </si>
  <si>
    <t xml:space="preserve">31206</t>
  </si>
  <si>
    <t xml:space="preserve">N1.50X030</t>
  </si>
  <si>
    <t xml:space="preserve">V2.40X012.8</t>
  </si>
  <si>
    <t xml:space="preserve">S2.50X035</t>
  </si>
  <si>
    <t xml:space="preserve">6226-48</t>
  </si>
  <si>
    <t xml:space="preserve">CG-400-FKM-FEP</t>
  </si>
  <si>
    <t xml:space="preserve">34857</t>
  </si>
  <si>
    <t xml:space="preserve">DWS1.625</t>
  </si>
  <si>
    <t xml:space="preserve">V3.00X053</t>
  </si>
  <si>
    <t xml:space="preserve">33930</t>
  </si>
  <si>
    <t xml:space="preserve">FS70014</t>
  </si>
  <si>
    <t xml:space="preserve">32085</t>
  </si>
  <si>
    <t xml:space="preserve">N2.40X009.8</t>
  </si>
  <si>
    <t xml:space="preserve">N2.40X007.6</t>
  </si>
  <si>
    <t xml:space="preserve">E2.50X030.5</t>
  </si>
  <si>
    <t xml:space="preserve">QR-312</t>
  </si>
  <si>
    <t xml:space="preserve">E80009-E454</t>
  </si>
  <si>
    <t xml:space="preserve">B70114-NSF</t>
  </si>
  <si>
    <t xml:space="preserve">N2.40X042.2</t>
  </si>
  <si>
    <t xml:space="preserve">PO30365</t>
  </si>
  <si>
    <t xml:space="preserve">B70221-NSF</t>
  </si>
  <si>
    <t xml:space="preserve">N3.00X020</t>
  </si>
  <si>
    <t xml:space="preserve">SN70235</t>
  </si>
  <si>
    <t xml:space="preserve">PO29933</t>
  </si>
  <si>
    <t xml:space="preserve">V5.70X299.3</t>
  </si>
  <si>
    <t xml:space="preserve">35073</t>
  </si>
  <si>
    <t xml:space="preserve">SN70144</t>
  </si>
  <si>
    <t xml:space="preserve">WN70451</t>
  </si>
  <si>
    <t xml:space="preserve">30731</t>
  </si>
  <si>
    <t xml:space="preserve">FDABV75027</t>
  </si>
  <si>
    <t xml:space="preserve">32080</t>
  </si>
  <si>
    <t xml:space="preserve">N2.40X015.8</t>
  </si>
  <si>
    <t xml:space="preserve">QV-226</t>
  </si>
  <si>
    <t xml:space="preserve">32184</t>
  </si>
  <si>
    <t xml:space="preserve">H2.90X038.6</t>
  </si>
  <si>
    <t xml:space="preserve">E80214-E454</t>
  </si>
  <si>
    <t xml:space="preserve">SN70006</t>
  </si>
  <si>
    <t xml:space="preserve">SN70253</t>
  </si>
  <si>
    <t xml:space="preserve">PO29651</t>
  </si>
  <si>
    <t xml:space="preserve">E70219-NSF</t>
  </si>
  <si>
    <t xml:space="preserve">32074</t>
  </si>
  <si>
    <t xml:space="preserve">FFKM-373-SZ485</t>
  </si>
  <si>
    <t xml:space="preserve">34432</t>
  </si>
  <si>
    <t xml:space="preserve">N1.40X002.5</t>
  </si>
  <si>
    <t xml:space="preserve">33830</t>
  </si>
  <si>
    <t xml:space="preserve">C70217</t>
  </si>
  <si>
    <t xml:space="preserve">E70115-NSF</t>
  </si>
  <si>
    <t xml:space="preserve">32949</t>
  </si>
  <si>
    <t xml:space="preserve">WN70133</t>
  </si>
  <si>
    <t xml:space="preserve">S50210</t>
  </si>
  <si>
    <t xml:space="preserve">V2.00X015</t>
  </si>
  <si>
    <t xml:space="preserve">35080</t>
  </si>
  <si>
    <t xml:space="preserve">QR-220</t>
  </si>
  <si>
    <t xml:space="preserve">BV75149</t>
  </si>
  <si>
    <t xml:space="preserve">UC70121</t>
  </si>
  <si>
    <t xml:space="preserve">RTU125-1.375-250B</t>
  </si>
  <si>
    <t xml:space="preserve">34328</t>
  </si>
  <si>
    <t xml:space="preserve">VN34 Hallite Seals Americas, Inc.</t>
  </si>
  <si>
    <t xml:space="preserve">SN70110</t>
  </si>
  <si>
    <t xml:space="preserve">V75111-MS</t>
  </si>
  <si>
    <t xml:space="preserve">FS70203</t>
  </si>
  <si>
    <t xml:space="preserve">V90033</t>
  </si>
  <si>
    <t xml:space="preserve">32199</t>
  </si>
  <si>
    <t xml:space="preserve">TEF014</t>
  </si>
  <si>
    <t xml:space="preserve">B70208-MD-BLUE</t>
  </si>
  <si>
    <t xml:space="preserve">QR-006</t>
  </si>
  <si>
    <t xml:space="preserve">QR-012</t>
  </si>
  <si>
    <t xml:space="preserve">TRI-3-E70-NSF</t>
  </si>
  <si>
    <t xml:space="preserve">S3.50X015</t>
  </si>
  <si>
    <t xml:space="preserve">BU217-P</t>
  </si>
  <si>
    <t xml:space="preserve">34752</t>
  </si>
  <si>
    <t xml:space="preserve">WN70154</t>
  </si>
  <si>
    <t xml:space="preserve">E70252-NSF</t>
  </si>
  <si>
    <t xml:space="preserve">TEV014</t>
  </si>
  <si>
    <t xml:space="preserve">33351</t>
  </si>
  <si>
    <t xml:space="preserve">N1.50X010</t>
  </si>
  <si>
    <t xml:space="preserve">N1.50X032</t>
  </si>
  <si>
    <t xml:space="preserve">V2.50X016-90</t>
  </si>
  <si>
    <t xml:space="preserve">B50222</t>
  </si>
  <si>
    <t xml:space="preserve">TEF117</t>
  </si>
  <si>
    <t xml:space="preserve">BV75125</t>
  </si>
  <si>
    <t xml:space="preserve">V1.30X002</t>
  </si>
  <si>
    <t xml:space="preserve">QR-230</t>
  </si>
  <si>
    <t xml:space="preserve">E70020</t>
  </si>
  <si>
    <t xml:space="preserve">34000</t>
  </si>
  <si>
    <t xml:space="preserve">WN70161</t>
  </si>
  <si>
    <t xml:space="preserve">B70027-NSF</t>
  </si>
  <si>
    <t xml:space="preserve">N1.90X006.8</t>
  </si>
  <si>
    <t xml:space="preserve">FDABV75381</t>
  </si>
  <si>
    <t xml:space="preserve">34854</t>
  </si>
  <si>
    <t xml:space="preserve">V1.20X007-BR</t>
  </si>
  <si>
    <t xml:space="preserve">30660</t>
  </si>
  <si>
    <t xml:space="preserve">TRO14</t>
  </si>
  <si>
    <t xml:space="preserve">N2.00X072</t>
  </si>
  <si>
    <t xml:space="preserve">34092</t>
  </si>
  <si>
    <t xml:space="preserve">4324-OSK</t>
  </si>
  <si>
    <t xml:space="preserve">S2.00X076</t>
  </si>
  <si>
    <t xml:space="preserve">UC90002</t>
  </si>
  <si>
    <t xml:space="preserve">30768</t>
  </si>
  <si>
    <t xml:space="preserve">SN70028</t>
  </si>
  <si>
    <t xml:space="preserve">S3.00X012</t>
  </si>
  <si>
    <t xml:space="preserve">V3.00X021</t>
  </si>
  <si>
    <t xml:space="preserve">N3.00X247</t>
  </si>
  <si>
    <t xml:space="preserve">H70016</t>
  </si>
  <si>
    <t xml:space="preserve">32120</t>
  </si>
  <si>
    <t xml:space="preserve">VN02 AJRWeb, Inc</t>
  </si>
  <si>
    <t xml:space="preserve">SN70031</t>
  </si>
  <si>
    <t xml:space="preserve">S2.00X012</t>
  </si>
  <si>
    <t xml:space="preserve">31912</t>
  </si>
  <si>
    <t xml:space="preserve">WN70033</t>
  </si>
  <si>
    <t xml:space="preserve">V2.00X046.5</t>
  </si>
  <si>
    <t xml:space="preserve">32248</t>
  </si>
  <si>
    <t xml:space="preserve">BV75146</t>
  </si>
  <si>
    <t xml:space="preserve">30723</t>
  </si>
  <si>
    <t xml:space="preserve">E70234-NSF</t>
  </si>
  <si>
    <t xml:space="preserve">32767</t>
  </si>
  <si>
    <t xml:space="preserve">V2.70X013.6</t>
  </si>
  <si>
    <t xml:space="preserve">SN70212</t>
  </si>
  <si>
    <t xml:space="preserve">BU123-P</t>
  </si>
  <si>
    <t xml:space="preserve">WN70042</t>
  </si>
  <si>
    <t xml:space="preserve">SV75010</t>
  </si>
  <si>
    <t xml:space="preserve">30478</t>
  </si>
  <si>
    <t xml:space="preserve">B70312</t>
  </si>
  <si>
    <t xml:space="preserve">BU013-TEF-SOL</t>
  </si>
  <si>
    <t xml:space="preserve">30695</t>
  </si>
  <si>
    <t xml:space="preserve">S1.00X015.5</t>
  </si>
  <si>
    <t xml:space="preserve">SFS-24</t>
  </si>
  <si>
    <t xml:space="preserve">CC.250</t>
  </si>
  <si>
    <t xml:space="preserve">34483</t>
  </si>
  <si>
    <t xml:space="preserve">WN70034</t>
  </si>
  <si>
    <t xml:space="preserve">FDABV75223</t>
  </si>
  <si>
    <t xml:space="preserve">34827</t>
  </si>
  <si>
    <t xml:space="preserve">N2.50X052.5</t>
  </si>
  <si>
    <t xml:space="preserve">V90236</t>
  </si>
  <si>
    <t xml:space="preserve">35033</t>
  </si>
  <si>
    <t xml:space="preserve">B70152-NSF</t>
  </si>
  <si>
    <t xml:space="preserve">B70212-NSF</t>
  </si>
  <si>
    <t xml:space="preserve">N1.50X002.8</t>
  </si>
  <si>
    <t xml:space="preserve">34807</t>
  </si>
  <si>
    <t xml:space="preserve">A75208</t>
  </si>
  <si>
    <t xml:space="preserve">B70318-NSF</t>
  </si>
  <si>
    <t xml:space="preserve">V1.00X003.2</t>
  </si>
  <si>
    <t xml:space="preserve">B50153</t>
  </si>
  <si>
    <t xml:space="preserve">N3.00X004</t>
  </si>
  <si>
    <t xml:space="preserve">SN70140</t>
  </si>
  <si>
    <t xml:space="preserve">30371</t>
  </si>
  <si>
    <t xml:space="preserve">SN70464</t>
  </si>
  <si>
    <t xml:space="preserve">N1.20X002</t>
  </si>
  <si>
    <t xml:space="preserve">B90013</t>
  </si>
  <si>
    <t xml:space="preserve">33951</t>
  </si>
  <si>
    <t xml:space="preserve">UL125-1.250-187B</t>
  </si>
  <si>
    <t xml:space="preserve">AN-14-SH</t>
  </si>
  <si>
    <t xml:space="preserve">V75341</t>
  </si>
  <si>
    <t xml:space="preserve">33262</t>
  </si>
  <si>
    <t xml:space="preserve">V90211</t>
  </si>
  <si>
    <t xml:space="preserve">FFKM-136-SZ498</t>
  </si>
  <si>
    <t xml:space="preserve">33980</t>
  </si>
  <si>
    <t xml:space="preserve">SN70321</t>
  </si>
  <si>
    <t xml:space="preserve">V90368</t>
  </si>
  <si>
    <t xml:space="preserve">33239</t>
  </si>
  <si>
    <t xml:space="preserve">V2.00X068</t>
  </si>
  <si>
    <t xml:space="preserve">S2.00X045</t>
  </si>
  <si>
    <t xml:space="preserve">SN70145</t>
  </si>
  <si>
    <t xml:space="preserve">S70347</t>
  </si>
  <si>
    <t xml:space="preserve">SN70214</t>
  </si>
  <si>
    <t xml:space="preserve">34578</t>
  </si>
  <si>
    <t xml:space="preserve">SN70023</t>
  </si>
  <si>
    <t xml:space="preserve">SN70345</t>
  </si>
  <si>
    <t xml:space="preserve">B70325-MD-BLUE</t>
  </si>
  <si>
    <t xml:space="preserve">34636</t>
  </si>
  <si>
    <t xml:space="preserve">N2.00X124.5</t>
  </si>
  <si>
    <t xml:space="preserve">S2.50X006</t>
  </si>
  <si>
    <t xml:space="preserve">FFKM-009-SZ495</t>
  </si>
  <si>
    <t xml:space="preserve">H3.50X037.7</t>
  </si>
  <si>
    <t xml:space="preserve">34067</t>
  </si>
  <si>
    <t xml:space="preserve">SN90210</t>
  </si>
  <si>
    <t xml:space="preserve">WN70260</t>
  </si>
  <si>
    <t xml:space="preserve">N1.50X094</t>
  </si>
  <si>
    <t xml:space="preserve">E70133-NSF</t>
  </si>
  <si>
    <t xml:space="preserve">B50266</t>
  </si>
  <si>
    <t xml:space="preserve">33839</t>
  </si>
  <si>
    <t xml:space="preserve">102-524-OSK</t>
  </si>
  <si>
    <t xml:space="preserve">33206</t>
  </si>
  <si>
    <t xml:space="preserve">E80104</t>
  </si>
  <si>
    <t xml:space="preserve">V75246-MS</t>
  </si>
  <si>
    <t xml:space="preserve">TEF036</t>
  </si>
  <si>
    <t xml:space="preserve">32712</t>
  </si>
  <si>
    <t xml:space="preserve">N2.50X020</t>
  </si>
  <si>
    <t xml:space="preserve">N2.00X073</t>
  </si>
  <si>
    <t xml:space="preserve">AN-16-SH</t>
  </si>
  <si>
    <t xml:space="preserve">N1.50X058</t>
  </si>
  <si>
    <t xml:space="preserve">E70004-NSF</t>
  </si>
  <si>
    <t xml:space="preserve">E70460</t>
  </si>
  <si>
    <t xml:space="preserve">30424</t>
  </si>
  <si>
    <t xml:space="preserve">E70134-NSF</t>
  </si>
  <si>
    <t xml:space="preserve">BU214-P</t>
  </si>
  <si>
    <t xml:space="preserve">V90124</t>
  </si>
  <si>
    <t xml:space="preserve">102-527-OSK</t>
  </si>
  <si>
    <t xml:space="preserve">FFKM-320-SZ498</t>
  </si>
  <si>
    <t xml:space="preserve">B70111-N888</t>
  </si>
  <si>
    <t xml:space="preserve">TRI-4-E70-NSF</t>
  </si>
  <si>
    <t xml:space="preserve">B90358</t>
  </si>
  <si>
    <t xml:space="preserve">E70131-NSF</t>
  </si>
  <si>
    <t xml:space="preserve">WN70155</t>
  </si>
  <si>
    <t xml:space="preserve">S3.10X024.4</t>
  </si>
  <si>
    <t xml:space="preserve">33023</t>
  </si>
  <si>
    <t xml:space="preserve">V2.00X021.5</t>
  </si>
  <si>
    <t xml:space="preserve">30744</t>
  </si>
  <si>
    <t xml:space="preserve">S6.00X088</t>
  </si>
  <si>
    <t xml:space="preserve">34320</t>
  </si>
  <si>
    <t xml:space="preserve">E70356-NSF</t>
  </si>
  <si>
    <t xml:space="preserve">E70126</t>
  </si>
  <si>
    <t xml:space="preserve">N4.00X021</t>
  </si>
  <si>
    <t xml:space="preserve">B70017-NSF</t>
  </si>
  <si>
    <t xml:space="preserve">DWS0.375</t>
  </si>
  <si>
    <t xml:space="preserve">33085</t>
  </si>
  <si>
    <t xml:space="preserve">SN70322</t>
  </si>
  <si>
    <t xml:space="preserve">33175</t>
  </si>
  <si>
    <t xml:space="preserve">UC70108</t>
  </si>
  <si>
    <t xml:space="preserve">E1.80X004.1</t>
  </si>
  <si>
    <t xml:space="preserve">E1.00X023</t>
  </si>
  <si>
    <t xml:space="preserve">SN70242</t>
  </si>
  <si>
    <t xml:space="preserve">34682</t>
  </si>
  <si>
    <t xml:space="preserve">N6.00X136</t>
  </si>
  <si>
    <t xml:space="preserve">GV75115</t>
  </si>
  <si>
    <t xml:space="preserve">31990</t>
  </si>
  <si>
    <t xml:space="preserve">N1.30X006.3</t>
  </si>
  <si>
    <t xml:space="preserve">34107</t>
  </si>
  <si>
    <t xml:space="preserve">CV75112</t>
  </si>
  <si>
    <t xml:space="preserve">B50023</t>
  </si>
  <si>
    <t xml:space="preserve">N3.00X040</t>
  </si>
  <si>
    <t xml:space="preserve">31463</t>
  </si>
  <si>
    <t xml:space="preserve">TEF115</t>
  </si>
  <si>
    <t xml:space="preserve">33043</t>
  </si>
  <si>
    <t xml:space="preserve">V75444</t>
  </si>
  <si>
    <t xml:space="preserve">30733</t>
  </si>
  <si>
    <t xml:space="preserve">S1.00X013.5</t>
  </si>
  <si>
    <t xml:space="preserve">SV75215</t>
  </si>
  <si>
    <t xml:space="preserve">WN70239</t>
  </si>
  <si>
    <t xml:space="preserve">SN70155</t>
  </si>
  <si>
    <t xml:space="preserve">N1.60X004.2</t>
  </si>
  <si>
    <t xml:space="preserve">N2.50X077</t>
  </si>
  <si>
    <t xml:space="preserve">SE70106</t>
  </si>
  <si>
    <t xml:space="preserve">V90113-FDA</t>
  </si>
  <si>
    <t xml:space="preserve">S2.00X061</t>
  </si>
  <si>
    <t xml:space="preserve">N2.00X130</t>
  </si>
  <si>
    <t xml:space="preserve">E70119-NSF</t>
  </si>
  <si>
    <t xml:space="preserve">E70235-NSF</t>
  </si>
  <si>
    <t xml:space="preserve">N2.00X003.5</t>
  </si>
  <si>
    <t xml:space="preserve">E70444</t>
  </si>
  <si>
    <t xml:space="preserve">30546</t>
  </si>
  <si>
    <t xml:space="preserve">N70.331</t>
  </si>
  <si>
    <t xml:space="preserve">34953</t>
  </si>
  <si>
    <t xml:space="preserve">S70279</t>
  </si>
  <si>
    <t xml:space="preserve">30706</t>
  </si>
  <si>
    <t xml:space="preserve">GV75022</t>
  </si>
  <si>
    <t xml:space="preserve">33647</t>
  </si>
  <si>
    <t xml:space="preserve">WN70431</t>
  </si>
  <si>
    <t xml:space="preserve">V3.00X012</t>
  </si>
  <si>
    <t xml:space="preserve">N1.00X010</t>
  </si>
  <si>
    <t xml:space="preserve">B50104</t>
  </si>
  <si>
    <t xml:space="preserve">34051</t>
  </si>
  <si>
    <t xml:space="preserve">S1.30X022</t>
  </si>
  <si>
    <t xml:space="preserve">E70033-NSF</t>
  </si>
  <si>
    <t xml:space="preserve">N2.00X064</t>
  </si>
  <si>
    <t xml:space="preserve">32656</t>
  </si>
  <si>
    <t xml:space="preserve">V1.80X007.1</t>
  </si>
  <si>
    <t xml:space="preserve">S70020</t>
  </si>
  <si>
    <t xml:space="preserve">34308</t>
  </si>
  <si>
    <t xml:space="preserve">WN70344</t>
  </si>
  <si>
    <t xml:space="preserve">WN70342</t>
  </si>
  <si>
    <t xml:space="preserve">N3.10X029.4</t>
  </si>
  <si>
    <t xml:space="preserve">N2.00X001</t>
  </si>
  <si>
    <t xml:space="preserve">S2.00X106</t>
  </si>
  <si>
    <t xml:space="preserve">S2.00X011</t>
  </si>
  <si>
    <t xml:space="preserve">V3.00X052</t>
  </si>
  <si>
    <t xml:space="preserve">30762</t>
  </si>
  <si>
    <t xml:space="preserve">SV75123</t>
  </si>
  <si>
    <t xml:space="preserve">34433</t>
  </si>
  <si>
    <t xml:space="preserve">TRI-1.5-E70-NSF</t>
  </si>
  <si>
    <t xml:space="preserve">V1.50X027</t>
  </si>
  <si>
    <t xml:space="preserve">E70125-NSF</t>
  </si>
  <si>
    <t xml:space="preserve">B70334-MD-BLUE</t>
  </si>
  <si>
    <t xml:space="preserve">E70236</t>
  </si>
  <si>
    <t xml:space="preserve">QR-119</t>
  </si>
  <si>
    <t xml:space="preserve">N1.50X026.5</t>
  </si>
  <si>
    <t xml:space="preserve">S70326-MD-RED</t>
  </si>
  <si>
    <t xml:space="preserve">BU114-P</t>
  </si>
  <si>
    <t xml:space="preserve">S2.50X031</t>
  </si>
  <si>
    <t xml:space="preserve">E70258-NSF</t>
  </si>
  <si>
    <t xml:space="preserve">V75329-MD</t>
  </si>
  <si>
    <t xml:space="preserve">E2.00X038.5</t>
  </si>
  <si>
    <t xml:space="preserve">B70220-NSF</t>
  </si>
  <si>
    <t xml:space="preserve">SN70313</t>
  </si>
  <si>
    <t xml:space="preserve">V75005</t>
  </si>
  <si>
    <t xml:space="preserve">FFKM-013-SZ498</t>
  </si>
  <si>
    <t xml:space="preserve">33149</t>
  </si>
  <si>
    <t xml:space="preserve">TRO25</t>
  </si>
  <si>
    <t xml:space="preserve">30540</t>
  </si>
  <si>
    <t xml:space="preserve">V90903</t>
  </si>
  <si>
    <t xml:space="preserve">E1.50X010.5</t>
  </si>
  <si>
    <t xml:space="preserve">N2.00X062.5</t>
  </si>
  <si>
    <t xml:space="preserve">V3.00X027.5</t>
  </si>
  <si>
    <t xml:space="preserve">S1.00X012.5</t>
  </si>
  <si>
    <t xml:space="preserve">30710</t>
  </si>
  <si>
    <t xml:space="preserve">B70013-NSF</t>
  </si>
  <si>
    <t xml:space="preserve">B70134-NSF</t>
  </si>
  <si>
    <t xml:space="preserve">PU375-4.250-375</t>
  </si>
  <si>
    <t xml:space="preserve">SN70013</t>
  </si>
  <si>
    <t xml:space="preserve">E70118-NSF</t>
  </si>
  <si>
    <t xml:space="preserve">BV75258</t>
  </si>
  <si>
    <t xml:space="preserve">N2.00X080</t>
  </si>
  <si>
    <t xml:space="preserve">E70018</t>
  </si>
  <si>
    <t xml:space="preserve">32138</t>
  </si>
  <si>
    <t xml:space="preserve">FDABV75272</t>
  </si>
  <si>
    <t xml:space="preserve">UC90132</t>
  </si>
  <si>
    <t xml:space="preserve">WN70329</t>
  </si>
  <si>
    <t xml:space="preserve">QR-219</t>
  </si>
  <si>
    <t xml:space="preserve">33598</t>
  </si>
  <si>
    <t xml:space="preserve">WN70227</t>
  </si>
  <si>
    <t xml:space="preserve">AN-12-SH</t>
  </si>
  <si>
    <t xml:space="preserve">34470</t>
  </si>
  <si>
    <t xml:space="preserve">E2.62X015</t>
  </si>
  <si>
    <t xml:space="preserve">E70126-NSF</t>
  </si>
  <si>
    <t xml:space="preserve">SN70022</t>
  </si>
  <si>
    <t xml:space="preserve">S50043</t>
  </si>
  <si>
    <t xml:space="preserve">V75131-MS</t>
  </si>
  <si>
    <t xml:space="preserve">TES009</t>
  </si>
  <si>
    <t xml:space="preserve">E2.00X019.5</t>
  </si>
  <si>
    <t xml:space="preserve">PO29888</t>
  </si>
  <si>
    <t xml:space="preserve">N1.00X012.5</t>
  </si>
  <si>
    <t xml:space="preserve">N2.00X002</t>
  </si>
  <si>
    <t xml:space="preserve">N2.00X015.5</t>
  </si>
  <si>
    <t xml:space="preserve">30725</t>
  </si>
  <si>
    <t xml:space="preserve">N1.20X027</t>
  </si>
  <si>
    <t xml:space="preserve">32157</t>
  </si>
  <si>
    <t xml:space="preserve">B70025-NSF</t>
  </si>
  <si>
    <t xml:space="preserve">N1.50X099</t>
  </si>
  <si>
    <t xml:space="preserve">E1.50X003.5</t>
  </si>
  <si>
    <t xml:space="preserve">QR-223</t>
  </si>
  <si>
    <t xml:space="preserve">H70124</t>
  </si>
  <si>
    <t xml:space="preserve">PO30345</t>
  </si>
  <si>
    <t xml:space="preserve">V75144</t>
  </si>
  <si>
    <t xml:space="preserve">V75438</t>
  </si>
  <si>
    <t xml:space="preserve">FFKM-136-SZ495</t>
  </si>
  <si>
    <t xml:space="preserve">V75127</t>
  </si>
  <si>
    <t xml:space="preserve">S70027</t>
  </si>
  <si>
    <t xml:space="preserve">N0.50X004</t>
  </si>
  <si>
    <t xml:space="preserve">34422</t>
  </si>
  <si>
    <t xml:space="preserve">N2.50X010</t>
  </si>
  <si>
    <t xml:space="preserve">B70016-NSF</t>
  </si>
  <si>
    <t xml:space="preserve">V2.50X130</t>
  </si>
  <si>
    <t xml:space="preserve">4311-OSK</t>
  </si>
  <si>
    <t xml:space="preserve">DWS2.000</t>
  </si>
  <si>
    <t xml:space="preserve">35098</t>
  </si>
  <si>
    <t xml:space="preserve">FFKM-149-SZ485</t>
  </si>
  <si>
    <t xml:space="preserve">31707</t>
  </si>
  <si>
    <t xml:space="preserve">FFKM-237-SZ498</t>
  </si>
  <si>
    <t xml:space="preserve">34380</t>
  </si>
  <si>
    <t xml:space="preserve">S2.40X019.8</t>
  </si>
  <si>
    <t xml:space="preserve">B70002</t>
  </si>
  <si>
    <t xml:space="preserve">33638</t>
  </si>
  <si>
    <t xml:space="preserve">FDABV75258</t>
  </si>
  <si>
    <t xml:space="preserve">31867</t>
  </si>
  <si>
    <t xml:space="preserve">TEF015</t>
  </si>
  <si>
    <t xml:space="preserve">30626</t>
  </si>
  <si>
    <t xml:space="preserve">BU344-TEF-SPL</t>
  </si>
  <si>
    <t xml:space="preserve">B50264</t>
  </si>
  <si>
    <t xml:space="preserve">N8.40X274.5</t>
  </si>
  <si>
    <t xml:space="preserve">B70226-NSF</t>
  </si>
  <si>
    <t xml:space="preserve">B70116-N888</t>
  </si>
  <si>
    <t xml:space="preserve">E70445</t>
  </si>
  <si>
    <t xml:space="preserve">GV75016</t>
  </si>
  <si>
    <t xml:space="preserve">31544</t>
  </si>
  <si>
    <t xml:space="preserve">C70009</t>
  </si>
  <si>
    <t xml:space="preserve">30562</t>
  </si>
  <si>
    <t xml:space="preserve">B50022</t>
  </si>
  <si>
    <t xml:space="preserve">34997</t>
  </si>
  <si>
    <t xml:space="preserve">TRI-2-E70-NSF</t>
  </si>
  <si>
    <t xml:space="preserve">E70011-NSF</t>
  </si>
  <si>
    <t xml:space="preserve">N2.40X014.8</t>
  </si>
  <si>
    <t xml:space="preserve">34638</t>
  </si>
  <si>
    <t xml:space="preserve">VN31 Gapi USA</t>
  </si>
  <si>
    <t xml:space="preserve">V2.00X008</t>
  </si>
  <si>
    <t xml:space="preserve">N3.50X029.7</t>
  </si>
  <si>
    <t xml:space="preserve">QV-007</t>
  </si>
  <si>
    <t xml:space="preserve">SN70019</t>
  </si>
  <si>
    <t xml:space="preserve">32728</t>
  </si>
  <si>
    <t xml:space="preserve">V90158</t>
  </si>
  <si>
    <t xml:space="preserve">E1.50X048</t>
  </si>
  <si>
    <t xml:space="preserve">34050</t>
  </si>
  <si>
    <t xml:space="preserve">N2.00X144.5</t>
  </si>
  <si>
    <t xml:space="preserve">E70228-NSF</t>
  </si>
  <si>
    <t xml:space="preserve">N1.00X008</t>
  </si>
  <si>
    <t xml:space="preserve">32434</t>
  </si>
  <si>
    <t xml:space="preserve">A75125</t>
  </si>
  <si>
    <t xml:space="preserve">GV75212</t>
  </si>
  <si>
    <t xml:space="preserve">BU011-P</t>
  </si>
  <si>
    <t xml:space="preserve">34537</t>
  </si>
  <si>
    <t xml:space="preserve">BU021-TEF-SPL</t>
  </si>
  <si>
    <t xml:space="preserve">34143</t>
  </si>
  <si>
    <t xml:space="preserve">V75328</t>
  </si>
  <si>
    <t xml:space="preserve">FS75006</t>
  </si>
  <si>
    <t xml:space="preserve">N3.00X103</t>
  </si>
  <si>
    <t xml:space="preserve">CV75324</t>
  </si>
  <si>
    <t xml:space="preserve">V75209</t>
  </si>
  <si>
    <t xml:space="preserve">S70108</t>
  </si>
  <si>
    <t xml:space="preserve">30694</t>
  </si>
  <si>
    <t xml:space="preserve">A75232</t>
  </si>
  <si>
    <t xml:space="preserve">N2.50X061</t>
  </si>
  <si>
    <t xml:space="preserve">H70114</t>
  </si>
  <si>
    <t xml:space="preserve">34086</t>
  </si>
  <si>
    <t xml:space="preserve">UC70142</t>
  </si>
  <si>
    <t xml:space="preserve">33782</t>
  </si>
  <si>
    <t xml:space="preserve">E2.00X080</t>
  </si>
  <si>
    <t xml:space="preserve">V2.62X022.22</t>
  </si>
  <si>
    <t xml:space="preserve">N2.50X008</t>
  </si>
  <si>
    <t xml:space="preserve">E3.50X026</t>
  </si>
  <si>
    <t xml:space="preserve">30539</t>
  </si>
  <si>
    <t xml:space="preserve">QR-325</t>
  </si>
  <si>
    <t xml:space="preserve">34419</t>
  </si>
  <si>
    <t xml:space="preserve">PU375-4.250-500B</t>
  </si>
  <si>
    <t xml:space="preserve">V75224</t>
  </si>
  <si>
    <t xml:space="preserve">34665</t>
  </si>
  <si>
    <t xml:space="preserve">V75115-MD</t>
  </si>
  <si>
    <t xml:space="preserve">B70126-NSF</t>
  </si>
  <si>
    <t xml:space="preserve">FDABV75122</t>
  </si>
  <si>
    <t xml:space="preserve">E5.00X050</t>
  </si>
  <si>
    <t xml:space="preserve">V75025-MS</t>
  </si>
  <si>
    <t xml:space="preserve">33082</t>
  </si>
  <si>
    <t xml:space="preserve">CV75223</t>
  </si>
  <si>
    <t xml:space="preserve">E70228</t>
  </si>
  <si>
    <t xml:space="preserve">SN70010</t>
  </si>
  <si>
    <t xml:space="preserve">34193</t>
  </si>
  <si>
    <t xml:space="preserve">BV75122</t>
  </si>
  <si>
    <t xml:space="preserve">GV75009</t>
  </si>
  <si>
    <t xml:space="preserve">B50249</t>
  </si>
  <si>
    <t xml:space="preserve">BV75046</t>
  </si>
  <si>
    <t xml:space="preserve">UC70219</t>
  </si>
  <si>
    <t xml:space="preserve">B90002</t>
  </si>
  <si>
    <t xml:space="preserve">34149</t>
  </si>
  <si>
    <t xml:space="preserve">WN70224</t>
  </si>
  <si>
    <t xml:space="preserve">33952</t>
  </si>
  <si>
    <t xml:space="preserve">H70221</t>
  </si>
  <si>
    <t xml:space="preserve">E70030-NSF</t>
  </si>
  <si>
    <t xml:space="preserve">H2.50X074</t>
  </si>
  <si>
    <t xml:space="preserve">34421</t>
  </si>
  <si>
    <t xml:space="preserve">FS70267</t>
  </si>
  <si>
    <t xml:space="preserve">33965</t>
  </si>
  <si>
    <t xml:space="preserve">N2.50X026</t>
  </si>
  <si>
    <t xml:space="preserve">B70145</t>
  </si>
  <si>
    <t xml:space="preserve">V90048</t>
  </si>
  <si>
    <t xml:space="preserve">PR33-N85</t>
  </si>
  <si>
    <t xml:space="preserve">S50159</t>
  </si>
  <si>
    <t xml:space="preserve">SN70256</t>
  </si>
  <si>
    <t xml:space="preserve">32478</t>
  </si>
  <si>
    <t xml:space="preserve">QR-145</t>
  </si>
  <si>
    <t xml:space="preserve">34041</t>
  </si>
  <si>
    <t xml:space="preserve">B70150</t>
  </si>
  <si>
    <t xml:space="preserve">E70135-NSF</t>
  </si>
  <si>
    <t xml:space="preserve">E3.00X032</t>
  </si>
  <si>
    <t xml:space="preserve">30785</t>
  </si>
  <si>
    <t xml:space="preserve">BU121-P</t>
  </si>
  <si>
    <t xml:space="preserve">BU224-B90</t>
  </si>
  <si>
    <t xml:space="preserve">WN70358</t>
  </si>
  <si>
    <t xml:space="preserve">S70320</t>
  </si>
  <si>
    <t xml:space="preserve">CV75209</t>
  </si>
  <si>
    <t xml:space="preserve">32374</t>
  </si>
  <si>
    <t xml:space="preserve">FS70902</t>
  </si>
  <si>
    <t xml:space="preserve">31397</t>
  </si>
  <si>
    <t xml:space="preserve">WN70216</t>
  </si>
  <si>
    <t xml:space="preserve">S70134</t>
  </si>
  <si>
    <t xml:space="preserve">V2.00X020</t>
  </si>
  <si>
    <t xml:space="preserve">34920</t>
  </si>
  <si>
    <t xml:space="preserve">SN70209</t>
  </si>
  <si>
    <t xml:space="preserve">34376</t>
  </si>
  <si>
    <t xml:space="preserve">WN70336</t>
  </si>
  <si>
    <t xml:space="preserve">E70208-NSF</t>
  </si>
  <si>
    <t xml:space="preserve">V75263</t>
  </si>
  <si>
    <t xml:space="preserve">S70019</t>
  </si>
  <si>
    <t xml:space="preserve">QR-275</t>
  </si>
  <si>
    <t xml:space="preserve">SN70314</t>
  </si>
  <si>
    <t xml:space="preserve">34670</t>
  </si>
  <si>
    <t xml:space="preserve">FFKM-129-SZ498</t>
  </si>
  <si>
    <t xml:space="preserve">34316</t>
  </si>
  <si>
    <t xml:space="preserve">FFKM-119-SZ485</t>
  </si>
  <si>
    <t xml:space="preserve">32486</t>
  </si>
  <si>
    <t xml:space="preserve">6226-13-E70</t>
  </si>
  <si>
    <t xml:space="preserve">E70367-NSF</t>
  </si>
  <si>
    <t xml:space="preserve">N2.00X017.5</t>
  </si>
  <si>
    <t xml:space="preserve">WN70215</t>
  </si>
  <si>
    <t xml:space="preserve">32963</t>
  </si>
  <si>
    <t xml:space="preserve">N2.00X021.9</t>
  </si>
  <si>
    <t xml:space="preserve">V75119-MS</t>
  </si>
  <si>
    <t xml:space="preserve">SN90222</t>
  </si>
  <si>
    <t xml:space="preserve">AS568 SN90</t>
  </si>
  <si>
    <t xml:space="preserve">SN70316</t>
  </si>
  <si>
    <t xml:space="preserve">S0.50X009</t>
  </si>
  <si>
    <t xml:space="preserve">V3.50X028.7</t>
  </si>
  <si>
    <t xml:space="preserve">N70.070</t>
  </si>
  <si>
    <t xml:space="preserve">34657</t>
  </si>
  <si>
    <t xml:space="preserve">BU005-TEF-SOL</t>
  </si>
  <si>
    <t xml:space="preserve">A75162</t>
  </si>
  <si>
    <t xml:space="preserve">BU212-TEF-SOL</t>
  </si>
  <si>
    <t xml:space="preserve">N4.00X039</t>
  </si>
  <si>
    <t xml:space="preserve">SN70368</t>
  </si>
  <si>
    <t xml:space="preserve">U250-2.000-250B</t>
  </si>
  <si>
    <t xml:space="preserve">N3.50X103</t>
  </si>
  <si>
    <t xml:space="preserve">E1.50X005</t>
  </si>
  <si>
    <t xml:space="preserve">N0.80X019.8</t>
  </si>
  <si>
    <t xml:space="preserve">32277</t>
  </si>
  <si>
    <t xml:space="preserve">N3.00X016</t>
  </si>
  <si>
    <t xml:space="preserve">N3.00X037.5</t>
  </si>
  <si>
    <t xml:space="preserve">V2.00X083.5</t>
  </si>
  <si>
    <t xml:space="preserve">31796</t>
  </si>
  <si>
    <t xml:space="preserve">N2.50X027</t>
  </si>
  <si>
    <t xml:space="preserve">S1.00X006.5</t>
  </si>
  <si>
    <t xml:space="preserve">30514</t>
  </si>
  <si>
    <t xml:space="preserve">V90906</t>
  </si>
  <si>
    <t xml:space="preserve">V5.00X029</t>
  </si>
  <si>
    <t xml:space="preserve">B90928</t>
  </si>
  <si>
    <t xml:space="preserve">35082</t>
  </si>
  <si>
    <t xml:space="preserve">S1.50X037</t>
  </si>
  <si>
    <t xml:space="preserve">QV-010</t>
  </si>
  <si>
    <t xml:space="preserve">E70133</t>
  </si>
  <si>
    <t xml:space="preserve">33224</t>
  </si>
  <si>
    <t xml:space="preserve">UC70004</t>
  </si>
  <si>
    <t xml:space="preserve">34169</t>
  </si>
  <si>
    <t xml:space="preserve">E70120-NSF</t>
  </si>
  <si>
    <t xml:space="preserve">E5.00X030</t>
  </si>
  <si>
    <t xml:space="preserve">S1.50X036</t>
  </si>
  <si>
    <t xml:space="preserve">WN70338</t>
  </si>
  <si>
    <t xml:space="preserve">30429</t>
  </si>
  <si>
    <t xml:space="preserve">B90224</t>
  </si>
  <si>
    <t xml:space="preserve">H70126</t>
  </si>
  <si>
    <t xml:space="preserve">N2.00X109.5</t>
  </si>
  <si>
    <t xml:space="preserve">S50116</t>
  </si>
  <si>
    <t xml:space="preserve">30519</t>
  </si>
  <si>
    <t xml:space="preserve">AN-23-SH</t>
  </si>
  <si>
    <t xml:space="preserve">S1.50X029.5</t>
  </si>
  <si>
    <t xml:space="preserve">34324</t>
  </si>
  <si>
    <t xml:space="preserve">V75431</t>
  </si>
  <si>
    <t xml:space="preserve">BU213-TEF-SOL</t>
  </si>
  <si>
    <t xml:space="preserve">B50341</t>
  </si>
  <si>
    <t xml:space="preserve">E70115</t>
  </si>
  <si>
    <t xml:space="preserve">34789</t>
  </si>
  <si>
    <t xml:space="preserve">S70216</t>
  </si>
  <si>
    <t xml:space="preserve">33472</t>
  </si>
  <si>
    <t xml:space="preserve">A75155</t>
  </si>
  <si>
    <t xml:space="preserve">S70.125</t>
  </si>
  <si>
    <t xml:space="preserve">32740</t>
  </si>
  <si>
    <t xml:space="preserve">BU218-TEF-SOL</t>
  </si>
  <si>
    <t xml:space="preserve">V2.00X057</t>
  </si>
  <si>
    <t xml:space="preserve">V75248</t>
  </si>
  <si>
    <t xml:space="preserve">V75371-MD</t>
  </si>
  <si>
    <t xml:space="preserve">H70224</t>
  </si>
  <si>
    <t xml:space="preserve">BU118-P</t>
  </si>
  <si>
    <t xml:space="preserve">V90928</t>
  </si>
  <si>
    <t xml:space="preserve">33773</t>
  </si>
  <si>
    <t xml:space="preserve">WN70007</t>
  </si>
  <si>
    <t xml:space="preserve">QR-337</t>
  </si>
  <si>
    <t xml:space="preserve">31942</t>
  </si>
  <si>
    <t xml:space="preserve">N1.50X038</t>
  </si>
  <si>
    <t xml:space="preserve">C70030</t>
  </si>
  <si>
    <t xml:space="preserve">33954</t>
  </si>
  <si>
    <t xml:space="preserve">FS70110</t>
  </si>
  <si>
    <t xml:space="preserve">30767</t>
  </si>
  <si>
    <t xml:space="preserve">UL125-0.625-187B</t>
  </si>
  <si>
    <t xml:space="preserve">S70313</t>
  </si>
  <si>
    <t xml:space="preserve">B70222-NSF</t>
  </si>
  <si>
    <t xml:space="preserve">V2.50X019</t>
  </si>
  <si>
    <t xml:space="preserve">35048</t>
  </si>
  <si>
    <t xml:space="preserve">V1.50X035.5</t>
  </si>
  <si>
    <t xml:space="preserve">35017</t>
  </si>
  <si>
    <t xml:space="preserve">N2.00X003</t>
  </si>
  <si>
    <t xml:space="preserve">FDABV75026</t>
  </si>
  <si>
    <t xml:space="preserve">32049</t>
  </si>
  <si>
    <t xml:space="preserve">SN70220</t>
  </si>
  <si>
    <t xml:space="preserve">E1.00X026</t>
  </si>
  <si>
    <t xml:space="preserve">FS70918</t>
  </si>
  <si>
    <t xml:space="preserve">RTUL187-1.500-375B</t>
  </si>
  <si>
    <t xml:space="preserve">34121</t>
  </si>
  <si>
    <t xml:space="preserve">S70110</t>
  </si>
  <si>
    <t xml:space="preserve">S2.50X034</t>
  </si>
  <si>
    <t xml:space="preserve">B70466-NSF</t>
  </si>
  <si>
    <t xml:space="preserve">V1.00X019.5</t>
  </si>
  <si>
    <t xml:space="preserve">32587</t>
  </si>
  <si>
    <t xml:space="preserve">B70241</t>
  </si>
  <si>
    <t xml:space="preserve">B70316-NSF</t>
  </si>
  <si>
    <t xml:space="preserve">N3.00X007</t>
  </si>
  <si>
    <t xml:space="preserve">SN70035</t>
  </si>
  <si>
    <t xml:space="preserve">32055</t>
  </si>
  <si>
    <t xml:space="preserve">SN70277</t>
  </si>
  <si>
    <t xml:space="preserve">32549</t>
  </si>
  <si>
    <t xml:space="preserve">S70213</t>
  </si>
  <si>
    <t xml:space="preserve">S1.50X024</t>
  </si>
  <si>
    <t xml:space="preserve">34574</t>
  </si>
  <si>
    <t xml:space="preserve">E70241-NSF</t>
  </si>
  <si>
    <t xml:space="preserve">V2.00X016</t>
  </si>
  <si>
    <t xml:space="preserve">N1.00X002.7</t>
  </si>
  <si>
    <t xml:space="preserve">35238</t>
  </si>
  <si>
    <t xml:space="preserve">N1.80X005</t>
  </si>
  <si>
    <t xml:space="preserve">SN70213</t>
  </si>
  <si>
    <t xml:space="preserve">SN70017</t>
  </si>
  <si>
    <t xml:space="preserve">E70003-NSF</t>
  </si>
  <si>
    <t xml:space="preserve">E70422-NSF</t>
  </si>
  <si>
    <t xml:space="preserve">B70920</t>
  </si>
  <si>
    <t xml:space="preserve">6226-31-E70</t>
  </si>
  <si>
    <t xml:space="preserve">E70261-NSF</t>
  </si>
  <si>
    <t xml:space="preserve">N1.00X042</t>
  </si>
  <si>
    <t xml:space="preserve">UC70120</t>
  </si>
  <si>
    <t xml:space="preserve">31221</t>
  </si>
  <si>
    <t xml:space="preserve">B70240-NSF</t>
  </si>
  <si>
    <t xml:space="preserve">B50021</t>
  </si>
  <si>
    <t xml:space="preserve">V1.00X011</t>
  </si>
  <si>
    <t xml:space="preserve">32400</t>
  </si>
  <si>
    <t xml:space="preserve">UC90222</t>
  </si>
  <si>
    <t xml:space="preserve">U125-1.125-125B</t>
  </si>
  <si>
    <t xml:space="preserve">N2.40X021.8</t>
  </si>
  <si>
    <t xml:space="preserve">FS70022</t>
  </si>
  <si>
    <t xml:space="preserve">V75109-MS</t>
  </si>
  <si>
    <t xml:space="preserve">UC70215</t>
  </si>
  <si>
    <t xml:space="preserve">BU010-P</t>
  </si>
  <si>
    <t xml:space="preserve">AM54-17502250-312</t>
  </si>
  <si>
    <t xml:space="preserve">31901</t>
  </si>
  <si>
    <t xml:space="preserve">S70029</t>
  </si>
  <si>
    <t xml:space="preserve">BU117-P</t>
  </si>
  <si>
    <t xml:space="preserve">S70135</t>
  </si>
  <si>
    <t xml:space="preserve">33589</t>
  </si>
  <si>
    <t xml:space="preserve">WN70008</t>
  </si>
  <si>
    <t xml:space="preserve">31866</t>
  </si>
  <si>
    <t xml:space="preserve">E70023</t>
  </si>
  <si>
    <t xml:space="preserve">SN70319</t>
  </si>
  <si>
    <t xml:space="preserve">FFKM-120-SZ495</t>
  </si>
  <si>
    <t xml:space="preserve">B70227-MD-BLUE</t>
  </si>
  <si>
    <t xml:space="preserve">E70116</t>
  </si>
  <si>
    <t xml:space="preserve">BU215-P</t>
  </si>
  <si>
    <t xml:space="preserve">B50029</t>
  </si>
  <si>
    <t xml:space="preserve">33496</t>
  </si>
  <si>
    <t xml:space="preserve">FS70129</t>
  </si>
  <si>
    <t xml:space="preserve">30782</t>
  </si>
  <si>
    <t xml:space="preserve">B70235-NSF</t>
  </si>
  <si>
    <t xml:space="preserve">S1.50X008</t>
  </si>
  <si>
    <t xml:space="preserve">34825</t>
  </si>
  <si>
    <t xml:space="preserve">FDABV75217</t>
  </si>
  <si>
    <t xml:space="preserve">32385</t>
  </si>
  <si>
    <t xml:space="preserve">BU014-P</t>
  </si>
  <si>
    <t xml:space="preserve">B70233</t>
  </si>
  <si>
    <t xml:space="preserve">BU114-TEF-SOL</t>
  </si>
  <si>
    <t xml:space="preserve">32858</t>
  </si>
  <si>
    <t xml:space="preserve">BU009-P</t>
  </si>
  <si>
    <t xml:space="preserve">BU120-P</t>
  </si>
  <si>
    <t xml:space="preserve">E70417-NSF</t>
  </si>
  <si>
    <t xml:space="preserve">CV75006</t>
  </si>
  <si>
    <t xml:space="preserve">BU119-B90</t>
  </si>
  <si>
    <t xml:space="preserve">V75128-MS</t>
  </si>
  <si>
    <t xml:space="preserve">30854</t>
  </si>
  <si>
    <t xml:space="preserve">B50008</t>
  </si>
  <si>
    <t xml:space="preserve">B70275-NSF</t>
  </si>
  <si>
    <t xml:space="preserve">34634</t>
  </si>
  <si>
    <t xml:space="preserve">612-150-025</t>
  </si>
  <si>
    <t xml:space="preserve">34947</t>
  </si>
  <si>
    <t xml:space="preserve">N1.78X098.05</t>
  </si>
  <si>
    <t xml:space="preserve">QR-014</t>
  </si>
  <si>
    <t xml:space="preserve">B70259</t>
  </si>
  <si>
    <t xml:space="preserve">34746</t>
  </si>
  <si>
    <t xml:space="preserve">N2.00X011.5</t>
  </si>
  <si>
    <t xml:space="preserve">FFKM-138-SZ485</t>
  </si>
  <si>
    <t xml:space="preserve">V75319</t>
  </si>
  <si>
    <t xml:space="preserve">BU018-TEF-SOL</t>
  </si>
  <si>
    <t xml:space="preserve">B50028</t>
  </si>
  <si>
    <t xml:space="preserve">A75016</t>
  </si>
  <si>
    <t xml:space="preserve">BU217-TEF-SPL</t>
  </si>
  <si>
    <t xml:space="preserve">33476</t>
  </si>
  <si>
    <t xml:space="preserve">DW0.750</t>
  </si>
  <si>
    <t xml:space="preserve">34471</t>
  </si>
  <si>
    <t xml:space="preserve">BU119-P</t>
  </si>
  <si>
    <t xml:space="preserve">N3.00X120</t>
  </si>
  <si>
    <t xml:space="preserve">N1.00X011</t>
  </si>
  <si>
    <t xml:space="preserve">SN70127</t>
  </si>
  <si>
    <t xml:space="preserve">E1.00X021.5</t>
  </si>
  <si>
    <t xml:space="preserve">34824</t>
  </si>
  <si>
    <t xml:space="preserve">S1.90X002.8</t>
  </si>
  <si>
    <t xml:space="preserve">V75135-MD</t>
  </si>
  <si>
    <t xml:space="preserve">S70022</t>
  </si>
  <si>
    <t xml:space="preserve">34348</t>
  </si>
  <si>
    <t xml:space="preserve">DWS2.625</t>
  </si>
  <si>
    <t xml:space="preserve">QR-113</t>
  </si>
  <si>
    <t xml:space="preserve">32548</t>
  </si>
  <si>
    <t xml:space="preserve">N2.40X016.6</t>
  </si>
  <si>
    <t xml:space="preserve">E70023-NSF</t>
  </si>
  <si>
    <t xml:space="preserve">N3.50X024.7</t>
  </si>
  <si>
    <t xml:space="preserve">BU216-TEF-SOL</t>
  </si>
  <si>
    <t xml:space="preserve">MUU-25X40X10</t>
  </si>
  <si>
    <t xml:space="preserve">Hydraulic Seals - Metric U-Cups</t>
  </si>
  <si>
    <t xml:space="preserve">33147</t>
  </si>
  <si>
    <t xml:space="preserve">V75232-MS</t>
  </si>
  <si>
    <t xml:space="preserve">33499</t>
  </si>
  <si>
    <t xml:space="preserve">H2.20X013.3</t>
  </si>
  <si>
    <t xml:space="preserve">FS70121</t>
  </si>
  <si>
    <t xml:space="preserve">SN70372</t>
  </si>
  <si>
    <t xml:space="preserve">BV75026</t>
  </si>
  <si>
    <t xml:space="preserve">FDABV75038</t>
  </si>
  <si>
    <t xml:space="preserve">31798</t>
  </si>
  <si>
    <t xml:space="preserve">RTU125-0.625-250B</t>
  </si>
  <si>
    <t xml:space="preserve">34950</t>
  </si>
  <si>
    <t xml:space="preserve">N3.10X039.4</t>
  </si>
  <si>
    <t xml:space="preserve">V1.20X007.6</t>
  </si>
  <si>
    <t xml:space="preserve">B90024</t>
  </si>
  <si>
    <t xml:space="preserve">B50231</t>
  </si>
  <si>
    <t xml:space="preserve">33447</t>
  </si>
  <si>
    <t xml:space="preserve">S70119</t>
  </si>
  <si>
    <t xml:space="preserve">33766</t>
  </si>
  <si>
    <t xml:space="preserve">QR-118</t>
  </si>
  <si>
    <t xml:space="preserve">32870</t>
  </si>
  <si>
    <t xml:space="preserve">V75123-MD</t>
  </si>
  <si>
    <t xml:space="preserve">N2.00X016</t>
  </si>
  <si>
    <t xml:space="preserve">HN-706-00047-027H</t>
  </si>
  <si>
    <t xml:space="preserve">34559</t>
  </si>
  <si>
    <t xml:space="preserve">TEF113</t>
  </si>
  <si>
    <t xml:space="preserve">N2.00X042</t>
  </si>
  <si>
    <t xml:space="preserve">N50.210</t>
  </si>
  <si>
    <t xml:space="preserve">Cord N50</t>
  </si>
  <si>
    <t xml:space="preserve">30592</t>
  </si>
  <si>
    <t xml:space="preserve">BU121-TEF-SPL</t>
  </si>
  <si>
    <t xml:space="preserve">B70119-NSF</t>
  </si>
  <si>
    <t xml:space="preserve">QV-215</t>
  </si>
  <si>
    <t xml:space="preserve">QR-208</t>
  </si>
  <si>
    <t xml:space="preserve">32894</t>
  </si>
  <si>
    <t xml:space="preserve">S2.00X017.5</t>
  </si>
  <si>
    <t xml:space="preserve">34900</t>
  </si>
  <si>
    <t xml:space="preserve">A75239</t>
  </si>
  <si>
    <t xml:space="preserve">E3.00X035</t>
  </si>
  <si>
    <t xml:space="preserve">DWS0.750</t>
  </si>
  <si>
    <t xml:space="preserve">34884</t>
  </si>
  <si>
    <t xml:space="preserve">S1.00X019</t>
  </si>
  <si>
    <t xml:space="preserve">N5.70X104.3</t>
  </si>
  <si>
    <t xml:space="preserve">31503</t>
  </si>
  <si>
    <t xml:space="preserve">GV75119</t>
  </si>
  <si>
    <t xml:space="preserve">BV75221</t>
  </si>
  <si>
    <t xml:space="preserve">31691</t>
  </si>
  <si>
    <t xml:space="preserve">WN70340</t>
  </si>
  <si>
    <t xml:space="preserve">TEF341</t>
  </si>
  <si>
    <t xml:space="preserve">30914</t>
  </si>
  <si>
    <t xml:space="preserve">N2.50X005.5</t>
  </si>
  <si>
    <t xml:space="preserve">QE-208</t>
  </si>
  <si>
    <t xml:space="preserve">N1.50X015</t>
  </si>
  <si>
    <t xml:space="preserve">SPI-0325-1-03</t>
  </si>
  <si>
    <t xml:space="preserve">Hydraulic Inch Piston Seal Assemblies</t>
  </si>
  <si>
    <t xml:space="preserve">33355</t>
  </si>
  <si>
    <t xml:space="preserve">VN80 T-Lon Products, Inc.</t>
  </si>
  <si>
    <t xml:space="preserve">N5.70X054.6</t>
  </si>
  <si>
    <t xml:space="preserve">34761</t>
  </si>
  <si>
    <t xml:space="preserve">FS70009</t>
  </si>
  <si>
    <t xml:space="preserve">V2.50X017</t>
  </si>
  <si>
    <t xml:space="preserve">34903</t>
  </si>
  <si>
    <t xml:space="preserve">V75006-MD</t>
  </si>
  <si>
    <t xml:space="preserve">BU008-P</t>
  </si>
  <si>
    <t xml:space="preserve">H70118</t>
  </si>
  <si>
    <t xml:space="preserve">V75032-MS</t>
  </si>
  <si>
    <t xml:space="preserve">A75384</t>
  </si>
  <si>
    <t xml:space="preserve">34418</t>
  </si>
  <si>
    <t xml:space="preserve">FDABV75025</t>
  </si>
  <si>
    <t xml:space="preserve">BU113-P</t>
  </si>
  <si>
    <t xml:space="preserve">QV-219</t>
  </si>
  <si>
    <t xml:space="preserve">WN70218</t>
  </si>
  <si>
    <t xml:space="preserve">V90009</t>
  </si>
  <si>
    <t xml:space="preserve">RTU125-0.750-125B</t>
  </si>
  <si>
    <t xml:space="preserve">34891</t>
  </si>
  <si>
    <t xml:space="preserve">A75005</t>
  </si>
  <si>
    <t xml:space="preserve">N2.00X048</t>
  </si>
  <si>
    <t xml:space="preserve">AN-02-SH</t>
  </si>
  <si>
    <t xml:space="preserve">33900</t>
  </si>
  <si>
    <t xml:space="preserve">WN70028</t>
  </si>
  <si>
    <t xml:space="preserve">32433</t>
  </si>
  <si>
    <t xml:space="preserve">S1.00X018</t>
  </si>
  <si>
    <t xml:space="preserve">H2.00X016</t>
  </si>
  <si>
    <t xml:space="preserve">BU110-P</t>
  </si>
  <si>
    <t xml:space="preserve">TPO16</t>
  </si>
  <si>
    <t xml:space="preserve">34186</t>
  </si>
  <si>
    <t xml:space="preserve">S2.50X022.5</t>
  </si>
  <si>
    <t xml:space="preserve">E70207-NSF</t>
  </si>
  <si>
    <t xml:space="preserve">N1.50X054</t>
  </si>
  <si>
    <t xml:space="preserve">HRU09-0.75-09</t>
  </si>
  <si>
    <t xml:space="preserve">SN70112</t>
  </si>
  <si>
    <t xml:space="preserve">V75212-MS</t>
  </si>
  <si>
    <t xml:space="preserve">SV75212</t>
  </si>
  <si>
    <t xml:space="preserve">32753</t>
  </si>
  <si>
    <t xml:space="preserve">S70430</t>
  </si>
  <si>
    <t xml:space="preserve">30597</t>
  </si>
  <si>
    <t xml:space="preserve">V1.00X001.2</t>
  </si>
  <si>
    <t xml:space="preserve">E70256-NSF</t>
  </si>
  <si>
    <t xml:space="preserve">S50028</t>
  </si>
  <si>
    <t xml:space="preserve">E70312</t>
  </si>
  <si>
    <t xml:space="preserve">SN70342</t>
  </si>
  <si>
    <t xml:space="preserve">BU211-TEF-SOL</t>
  </si>
  <si>
    <t xml:space="preserve">CV75003</t>
  </si>
  <si>
    <t xml:space="preserve">E70233-NSF</t>
  </si>
  <si>
    <t xml:space="preserve">E70132-NSF</t>
  </si>
  <si>
    <t xml:space="preserve">V3.00X075</t>
  </si>
  <si>
    <t xml:space="preserve">B70360-NSF</t>
  </si>
  <si>
    <t xml:space="preserve">N2.00X030</t>
  </si>
  <si>
    <t xml:space="preserve">BU111-P</t>
  </si>
  <si>
    <t xml:space="preserve">18264TA</t>
  </si>
  <si>
    <t xml:space="preserve">Oil Seals Inch</t>
  </si>
  <si>
    <t xml:space="preserve">BV75170</t>
  </si>
  <si>
    <t xml:space="preserve">32170</t>
  </si>
  <si>
    <t xml:space="preserve">N2.00X007.5</t>
  </si>
  <si>
    <t xml:space="preserve">V3.00X088</t>
  </si>
  <si>
    <t xml:space="preserve">A75107</t>
  </si>
  <si>
    <t xml:space="preserve">35053</t>
  </si>
  <si>
    <t xml:space="preserve">N4.00X083</t>
  </si>
  <si>
    <t xml:space="preserve">34205</t>
  </si>
  <si>
    <t xml:space="preserve">V2.50X025</t>
  </si>
  <si>
    <t xml:space="preserve">34956</t>
  </si>
  <si>
    <t xml:space="preserve">A75252</t>
  </si>
  <si>
    <t xml:space="preserve">UC90021</t>
  </si>
  <si>
    <t xml:space="preserve">N4.00X014.5</t>
  </si>
  <si>
    <t xml:space="preserve">V2.50X020</t>
  </si>
  <si>
    <t xml:space="preserve">BU216-P</t>
  </si>
  <si>
    <t xml:space="preserve">RTU250-2.000-375B</t>
  </si>
  <si>
    <t xml:space="preserve">RTUL250-2.000-375B</t>
  </si>
  <si>
    <t xml:space="preserve">B50151</t>
  </si>
  <si>
    <t xml:space="preserve">E1.50X010</t>
  </si>
  <si>
    <t xml:space="preserve">FS70125</t>
  </si>
  <si>
    <t xml:space="preserve">32557</t>
  </si>
  <si>
    <t xml:space="preserve">B50378</t>
  </si>
  <si>
    <t xml:space="preserve">33117</t>
  </si>
  <si>
    <t xml:space="preserve">SN70.210</t>
  </si>
  <si>
    <t xml:space="preserve">N3.00X027</t>
  </si>
  <si>
    <t xml:space="preserve">BU118-TEF-SOL</t>
  </si>
  <si>
    <t xml:space="preserve">UL375-1.750-375</t>
  </si>
  <si>
    <t xml:space="preserve">31863</t>
  </si>
  <si>
    <t xml:space="preserve">V90005</t>
  </si>
  <si>
    <t xml:space="preserve">V75908-MS</t>
  </si>
  <si>
    <t xml:space="preserve">N3.50X045.7</t>
  </si>
  <si>
    <t xml:space="preserve">WN70225</t>
  </si>
  <si>
    <t xml:space="preserve">32897</t>
  </si>
  <si>
    <t xml:space="preserve">V75010-MS</t>
  </si>
  <si>
    <t xml:space="preserve">BU218-TEF-SPL</t>
  </si>
  <si>
    <t xml:space="preserve">V2.00X048.5</t>
  </si>
  <si>
    <t xml:space="preserve">34864</t>
  </si>
  <si>
    <t xml:space="preserve">H2.90X056.6</t>
  </si>
  <si>
    <t xml:space="preserve">BU116-TEF-SOL</t>
  </si>
  <si>
    <t xml:space="preserve">SN70117</t>
  </si>
  <si>
    <t xml:space="preserve">33376</t>
  </si>
  <si>
    <t xml:space="preserve">B70010-N888</t>
  </si>
  <si>
    <t xml:space="preserve">32672</t>
  </si>
  <si>
    <t xml:space="preserve">FFKM-2.00X072</t>
  </si>
  <si>
    <t xml:space="preserve">34841</t>
  </si>
  <si>
    <t xml:space="preserve">GV75108</t>
  </si>
  <si>
    <t xml:space="preserve">31651</t>
  </si>
  <si>
    <t xml:space="preserve">N1.00X056</t>
  </si>
  <si>
    <t xml:space="preserve">N2.00X035</t>
  </si>
  <si>
    <t xml:space="preserve">SN70236</t>
  </si>
  <si>
    <t xml:space="preserve">SN70206</t>
  </si>
  <si>
    <t xml:space="preserve">33146</t>
  </si>
  <si>
    <t xml:space="preserve">V1.50X026</t>
  </si>
  <si>
    <t xml:space="preserve">CG-300-FKM-FEP</t>
  </si>
  <si>
    <t xml:space="preserve">BV75009</t>
  </si>
  <si>
    <t xml:space="preserve">34697</t>
  </si>
  <si>
    <t xml:space="preserve">N1.00X020.5</t>
  </si>
  <si>
    <t xml:space="preserve">33292</t>
  </si>
  <si>
    <t xml:space="preserve">BU014-TEF-SOL</t>
  </si>
  <si>
    <t xml:space="preserve">E1.00X011</t>
  </si>
  <si>
    <t xml:space="preserve">BV75348</t>
  </si>
  <si>
    <t xml:space="preserve">31845</t>
  </si>
  <si>
    <t xml:space="preserve">BU015-P</t>
  </si>
  <si>
    <t xml:space="preserve">N1.60X010.1</t>
  </si>
  <si>
    <t xml:space="preserve">PO29727</t>
  </si>
  <si>
    <t xml:space="preserve">S70316</t>
  </si>
  <si>
    <t xml:space="preserve">34777</t>
  </si>
  <si>
    <t xml:space="preserve">V1.50X031</t>
  </si>
  <si>
    <t xml:space="preserve">34912</t>
  </si>
  <si>
    <t xml:space="preserve">S2.00X028</t>
  </si>
  <si>
    <t xml:space="preserve">N2.50X029</t>
  </si>
  <si>
    <t xml:space="preserve">TEF114</t>
  </si>
  <si>
    <t xml:space="preserve">B70354</t>
  </si>
  <si>
    <t xml:space="preserve">TEV015</t>
  </si>
  <si>
    <t xml:space="preserve">33269</t>
  </si>
  <si>
    <t xml:space="preserve">N2.50X045</t>
  </si>
  <si>
    <t xml:space="preserve">SN70226</t>
  </si>
  <si>
    <t xml:space="preserve">N2.40X011</t>
  </si>
  <si>
    <t xml:space="preserve">FFKM-034-SZ495</t>
  </si>
  <si>
    <t xml:space="preserve">34822</t>
  </si>
  <si>
    <t xml:space="preserve">V90021</t>
  </si>
  <si>
    <t xml:space="preserve">N2.40X004.3</t>
  </si>
  <si>
    <t xml:space="preserve">6226-30</t>
  </si>
  <si>
    <t xml:space="preserve">V5.00X053</t>
  </si>
  <si>
    <t xml:space="preserve">34520</t>
  </si>
  <si>
    <t xml:space="preserve">N1.50X018</t>
  </si>
  <si>
    <t xml:space="preserve">33652</t>
  </si>
  <si>
    <t xml:space="preserve">N1.00X034</t>
  </si>
  <si>
    <t xml:space="preserve">V2.00X073</t>
  </si>
  <si>
    <t xml:space="preserve">N4.00X025</t>
  </si>
  <si>
    <t xml:space="preserve">34800</t>
  </si>
  <si>
    <t xml:space="preserve">V1.50X014</t>
  </si>
  <si>
    <t xml:space="preserve">BU210-B90</t>
  </si>
  <si>
    <t xml:space="preserve">34569</t>
  </si>
  <si>
    <t xml:space="preserve">N3.50X043.7</t>
  </si>
  <si>
    <t xml:space="preserve">B70115-NSF</t>
  </si>
  <si>
    <t xml:space="preserve">N2.00X062</t>
  </si>
  <si>
    <t xml:space="preserve">34643</t>
  </si>
  <si>
    <t xml:space="preserve">B70402</t>
  </si>
  <si>
    <t xml:space="preserve">H1.00X009</t>
  </si>
  <si>
    <t xml:space="preserve">FFKM-026-SZ485</t>
  </si>
  <si>
    <t xml:space="preserve">BV75350</t>
  </si>
  <si>
    <t xml:space="preserve">B70014-NSF</t>
  </si>
  <si>
    <t xml:space="preserve">N2.40X014.3</t>
  </si>
  <si>
    <t xml:space="preserve">V1.50X020</t>
  </si>
  <si>
    <t xml:space="preserve">N1.50X024.5</t>
  </si>
  <si>
    <t xml:space="preserve">34284</t>
  </si>
  <si>
    <t xml:space="preserve">N1.00X005</t>
  </si>
  <si>
    <t xml:space="preserve">V1.00X007.5</t>
  </si>
  <si>
    <t xml:space="preserve">34715</t>
  </si>
  <si>
    <t xml:space="preserve">N2.00X054</t>
  </si>
  <si>
    <t xml:space="preserve">34856</t>
  </si>
  <si>
    <t xml:space="preserve">N2.00X061.5</t>
  </si>
  <si>
    <t xml:space="preserve">34760</t>
  </si>
  <si>
    <t xml:space="preserve">B70266-NSF</t>
  </si>
  <si>
    <t xml:space="preserve">N3.50X034.7</t>
  </si>
  <si>
    <t xml:space="preserve">N1.80X004.5</t>
  </si>
  <si>
    <t xml:space="preserve">34641</t>
  </si>
  <si>
    <t xml:space="preserve">N5.70X164.3</t>
  </si>
  <si>
    <t xml:space="preserve">BU215-TEF-SOL</t>
  </si>
  <si>
    <t xml:space="preserve">A75030</t>
  </si>
  <si>
    <t xml:space="preserve">UC70226</t>
  </si>
  <si>
    <t xml:space="preserve">30876</t>
  </si>
  <si>
    <t xml:space="preserve">N4.00X145</t>
  </si>
  <si>
    <t xml:space="preserve">BU115-P</t>
  </si>
  <si>
    <t xml:space="preserve">N2.50X023</t>
  </si>
  <si>
    <t xml:space="preserve">V1.50X006</t>
  </si>
  <si>
    <t xml:space="preserve">N2.00X032</t>
  </si>
  <si>
    <t xml:space="preserve">N5.00X091</t>
  </si>
  <si>
    <t xml:space="preserve">33306</t>
  </si>
  <si>
    <t xml:space="preserve">N3.00X032</t>
  </si>
  <si>
    <t xml:space="preserve">PO30261</t>
  </si>
  <si>
    <t xml:space="preserve">N3.00X013.5</t>
  </si>
  <si>
    <t xml:space="preserve">E2.00X012</t>
  </si>
  <si>
    <t xml:space="preserve">34973</t>
  </si>
  <si>
    <t xml:space="preserve">S2.40X011.8</t>
  </si>
  <si>
    <t xml:space="preserve">N4.00X016</t>
  </si>
  <si>
    <t xml:space="preserve">V2.00X060</t>
  </si>
  <si>
    <t xml:space="preserve">V2.50X017.5</t>
  </si>
  <si>
    <t xml:space="preserve">N2.00X019.5</t>
  </si>
  <si>
    <t xml:space="preserve">B70905</t>
  </si>
  <si>
    <t xml:space="preserve">30704</t>
  </si>
  <si>
    <t xml:space="preserve">N2.50X037</t>
  </si>
  <si>
    <t xml:space="preserve">QR-2.00X018</t>
  </si>
  <si>
    <t xml:space="preserve">B90340</t>
  </si>
  <si>
    <t xml:space="preserve">FFKM-251-SZ495</t>
  </si>
  <si>
    <t xml:space="preserve">S50108</t>
  </si>
  <si>
    <t xml:space="preserve">N1.00X018.5</t>
  </si>
  <si>
    <t xml:space="preserve">BU016-TEF-SOL</t>
  </si>
  <si>
    <t xml:space="preserve">N1.00X017.5</t>
  </si>
  <si>
    <t xml:space="preserve">N2.00X064.5</t>
  </si>
  <si>
    <t xml:space="preserve">34135</t>
  </si>
  <si>
    <t xml:space="preserve">E70359-NSF</t>
  </si>
  <si>
    <t xml:space="preserve">B70330-NSF</t>
  </si>
  <si>
    <t xml:space="preserve">34562</t>
  </si>
  <si>
    <t xml:space="preserve">V75906</t>
  </si>
  <si>
    <t xml:space="preserve">N2.00X042.5</t>
  </si>
  <si>
    <t xml:space="preserve">S50254</t>
  </si>
  <si>
    <t xml:space="preserve">V2.00X042.5</t>
  </si>
  <si>
    <t xml:space="preserve">E1.00X004</t>
  </si>
  <si>
    <t xml:space="preserve">E3.00X011.5</t>
  </si>
  <si>
    <t xml:space="preserve">34456</t>
  </si>
  <si>
    <t xml:space="preserve">E4.00X024</t>
  </si>
  <si>
    <t xml:space="preserve">30474</t>
  </si>
  <si>
    <t xml:space="preserve">QR-239</t>
  </si>
  <si>
    <t xml:space="preserve">S70151</t>
  </si>
  <si>
    <t xml:space="preserve">N1.50X008.5</t>
  </si>
  <si>
    <t xml:space="preserve">N1.00X046</t>
  </si>
  <si>
    <t xml:space="preserve">FS70236</t>
  </si>
  <si>
    <t xml:space="preserve">BU013-P</t>
  </si>
  <si>
    <t xml:space="preserve">33956</t>
  </si>
  <si>
    <t xml:space="preserve">V1.00X016</t>
  </si>
  <si>
    <t xml:space="preserve">S3.10X034.4</t>
  </si>
  <si>
    <t xml:space="preserve">N1.90X005.8</t>
  </si>
  <si>
    <t xml:space="preserve">E70230-NSF</t>
  </si>
  <si>
    <t xml:space="preserve">B90007</t>
  </si>
  <si>
    <t xml:space="preserve">V1.50X025</t>
  </si>
  <si>
    <t xml:space="preserve">QR-017</t>
  </si>
  <si>
    <t xml:space="preserve">B70038</t>
  </si>
  <si>
    <t xml:space="preserve">B70201-NSF</t>
  </si>
  <si>
    <t xml:space="preserve">UC70221</t>
  </si>
  <si>
    <t xml:space="preserve">QR-229</t>
  </si>
  <si>
    <t xml:space="preserve">TEF019</t>
  </si>
  <si>
    <t xml:space="preserve">FDABV75120</t>
  </si>
  <si>
    <t xml:space="preserve">V75026</t>
  </si>
  <si>
    <t xml:space="preserve">N2.50X025</t>
  </si>
  <si>
    <t xml:space="preserve">GV75014</t>
  </si>
  <si>
    <t xml:space="preserve">V75116-MS</t>
  </si>
  <si>
    <t xml:space="preserve">BU129-TEF-SPL</t>
  </si>
  <si>
    <t xml:space="preserve">31835</t>
  </si>
  <si>
    <t xml:space="preserve">N1.50X019.5</t>
  </si>
  <si>
    <t xml:space="preserve">N3.00X031</t>
  </si>
  <si>
    <t xml:space="preserve">V75329</t>
  </si>
  <si>
    <t xml:space="preserve">N1.50X019</t>
  </si>
  <si>
    <t xml:space="preserve">33063</t>
  </si>
  <si>
    <t xml:space="preserve">TES111</t>
  </si>
  <si>
    <t xml:space="preserve">FS70019</t>
  </si>
  <si>
    <t xml:space="preserve">33596</t>
  </si>
  <si>
    <t xml:space="preserve">CC.375</t>
  </si>
  <si>
    <t xml:space="preserve">N2.00X009.5</t>
  </si>
  <si>
    <t xml:space="preserve">N1.50X003.5</t>
  </si>
  <si>
    <t xml:space="preserve">SN70048</t>
  </si>
  <si>
    <t xml:space="preserve">TEV224</t>
  </si>
  <si>
    <t xml:space="preserve">34183</t>
  </si>
  <si>
    <t xml:space="preserve">N2.40X017.8</t>
  </si>
  <si>
    <t xml:space="preserve">E70032</t>
  </si>
  <si>
    <t xml:space="preserve">SN70033</t>
  </si>
  <si>
    <t xml:space="preserve">N3.00X014</t>
  </si>
  <si>
    <t xml:space="preserve">FS75012</t>
  </si>
  <si>
    <t xml:space="preserve">33045</t>
  </si>
  <si>
    <t xml:space="preserve">N4.50X172</t>
  </si>
  <si>
    <t xml:space="preserve">34302</t>
  </si>
  <si>
    <t xml:space="preserve">N2.40X009.3</t>
  </si>
  <si>
    <t xml:space="preserve">UC90129</t>
  </si>
  <si>
    <t xml:space="preserve">34387</t>
  </si>
  <si>
    <t xml:space="preserve">FS70124</t>
  </si>
  <si>
    <t xml:space="preserve">BU017-P</t>
  </si>
  <si>
    <t xml:space="preserve">V1.00X041</t>
  </si>
  <si>
    <t xml:space="preserve">34242</t>
  </si>
  <si>
    <t xml:space="preserve">IIR70112</t>
  </si>
  <si>
    <t xml:space="preserve">34890</t>
  </si>
  <si>
    <t xml:space="preserve">S2.00X006</t>
  </si>
  <si>
    <t xml:space="preserve">33421</t>
  </si>
  <si>
    <t xml:space="preserve">E80115-E454</t>
  </si>
  <si>
    <t xml:space="preserve">N2.50X005</t>
  </si>
  <si>
    <t xml:space="preserve">N2.00X079.5</t>
  </si>
  <si>
    <t xml:space="preserve">H70904</t>
  </si>
  <si>
    <t xml:space="preserve">JIG</t>
  </si>
  <si>
    <t xml:space="preserve">OSK Custom Kits</t>
  </si>
  <si>
    <t xml:space="preserve">N3.00X009.5</t>
  </si>
  <si>
    <t xml:space="preserve">N5.00X034</t>
  </si>
  <si>
    <t xml:space="preserve">V75239-MD</t>
  </si>
  <si>
    <t xml:space="preserve">AN-08-SH</t>
  </si>
  <si>
    <t xml:space="preserve">N2.00X016-NSF</t>
  </si>
  <si>
    <t xml:space="preserve">BU116-TEF-SPL</t>
  </si>
  <si>
    <t xml:space="preserve">WN70120</t>
  </si>
  <si>
    <t xml:space="preserve">WN70015</t>
  </si>
  <si>
    <t xml:space="preserve">N2.50X017</t>
  </si>
  <si>
    <t xml:space="preserve">B90031</t>
  </si>
  <si>
    <t xml:space="preserve">WN70331</t>
  </si>
  <si>
    <t xml:space="preserve">A75224</t>
  </si>
  <si>
    <t xml:space="preserve">BU218-P</t>
  </si>
  <si>
    <t xml:space="preserve">TPO17</t>
  </si>
  <si>
    <t xml:space="preserve">30669</t>
  </si>
  <si>
    <t xml:space="preserve">E70226-NSF</t>
  </si>
  <si>
    <t xml:space="preserve">B70136-NSF</t>
  </si>
  <si>
    <t xml:space="preserve">BU016-TEF-SPL</t>
  </si>
  <si>
    <t xml:space="preserve">32559</t>
  </si>
  <si>
    <t xml:space="preserve">N2.00X015</t>
  </si>
  <si>
    <t xml:space="preserve">V75129-MD</t>
  </si>
  <si>
    <t xml:space="preserve">B50109</t>
  </si>
  <si>
    <t xml:space="preserve">N1.50X006.5</t>
  </si>
  <si>
    <t xml:space="preserve">V75117-MS</t>
  </si>
  <si>
    <t xml:space="preserve">QR-112</t>
  </si>
  <si>
    <t xml:space="preserve">FFKM-2.50X034</t>
  </si>
  <si>
    <t xml:space="preserve">34319</t>
  </si>
  <si>
    <t xml:space="preserve">B70272</t>
  </si>
  <si>
    <t xml:space="preserve">33899</t>
  </si>
  <si>
    <t xml:space="preserve">S1.00X002</t>
  </si>
  <si>
    <t xml:space="preserve">E70362</t>
  </si>
  <si>
    <t xml:space="preserve">N2.00X008.5</t>
  </si>
  <si>
    <t xml:space="preserve">N3.00X048</t>
  </si>
  <si>
    <t xml:space="preserve">34484</t>
  </si>
  <si>
    <t xml:space="preserve">N6.00X037-NSF</t>
  </si>
  <si>
    <t xml:space="preserve">34879</t>
  </si>
  <si>
    <t xml:space="preserve">N0.80X008.4</t>
  </si>
  <si>
    <t xml:space="preserve">N3.10X024.4</t>
  </si>
  <si>
    <t xml:space="preserve">N1.00X004.5</t>
  </si>
  <si>
    <t xml:space="preserve">E70.070</t>
  </si>
  <si>
    <t xml:space="preserve">N3.50X022</t>
  </si>
  <si>
    <t xml:space="preserve">V1.00X017</t>
  </si>
  <si>
    <t xml:space="preserve">33152</t>
  </si>
  <si>
    <t xml:space="preserve">V90108</t>
  </si>
  <si>
    <t xml:space="preserve">BU118-TEF-SPL</t>
  </si>
  <si>
    <t xml:space="preserve">33665</t>
  </si>
  <si>
    <t xml:space="preserve">A75243</t>
  </si>
  <si>
    <t xml:space="preserve">BU021-TEF-SOL</t>
  </si>
  <si>
    <t xml:space="preserve">30622</t>
  </si>
  <si>
    <t xml:space="preserve">V3.50X051</t>
  </si>
  <si>
    <t xml:space="preserve">QV-232</t>
  </si>
  <si>
    <t xml:space="preserve">B50254</t>
  </si>
  <si>
    <t xml:space="preserve">33367</t>
  </si>
  <si>
    <t xml:space="preserve">V5.00X085</t>
  </si>
  <si>
    <t xml:space="preserve">BV75264</t>
  </si>
  <si>
    <t xml:space="preserve">N2.50X062</t>
  </si>
  <si>
    <t xml:space="preserve">TEF010</t>
  </si>
  <si>
    <t xml:space="preserve">34949</t>
  </si>
  <si>
    <t xml:space="preserve">V4.00X037</t>
  </si>
  <si>
    <t xml:space="preserve">33851</t>
  </si>
  <si>
    <t xml:space="preserve">N3.50X020</t>
  </si>
  <si>
    <t xml:space="preserve">E80116-E454</t>
  </si>
  <si>
    <t xml:space="preserve">33735</t>
  </si>
  <si>
    <t xml:space="preserve">FS70032</t>
  </si>
  <si>
    <t xml:space="preserve">TEF111</t>
  </si>
  <si>
    <t xml:space="preserve">32838</t>
  </si>
  <si>
    <t xml:space="preserve">SV75218</t>
  </si>
  <si>
    <t xml:space="preserve">FFKM-1.78X028.3</t>
  </si>
  <si>
    <t xml:space="preserve">A75138</t>
  </si>
  <si>
    <t xml:space="preserve">30542</t>
  </si>
  <si>
    <t xml:space="preserve">S70261</t>
  </si>
  <si>
    <t xml:space="preserve">FFKM-125-SZ485</t>
  </si>
  <si>
    <t xml:space="preserve">BV75439</t>
  </si>
  <si>
    <t xml:space="preserve">FDABV75015</t>
  </si>
  <si>
    <t xml:space="preserve">32543</t>
  </si>
  <si>
    <t xml:space="preserve">N2.50X006</t>
  </si>
  <si>
    <t xml:space="preserve">WN70142</t>
  </si>
  <si>
    <t xml:space="preserve">AM54-11871625-250</t>
  </si>
  <si>
    <t xml:space="preserve">N2.50X022.5</t>
  </si>
  <si>
    <t xml:space="preserve">BU121-TEF-SOL</t>
  </si>
  <si>
    <t xml:space="preserve">N2.50X019</t>
  </si>
  <si>
    <t xml:space="preserve">E3.50X049</t>
  </si>
  <si>
    <t xml:space="preserve">33375</t>
  </si>
  <si>
    <t xml:space="preserve">N2.50X013</t>
  </si>
  <si>
    <t xml:space="preserve">SN70.313</t>
  </si>
  <si>
    <t xml:space="preserve">34307</t>
  </si>
  <si>
    <t xml:space="preserve">QE-319</t>
  </si>
  <si>
    <t xml:space="preserve">BU012-P</t>
  </si>
  <si>
    <t xml:space="preserve">BU117-TEF-SOL</t>
  </si>
  <si>
    <t xml:space="preserve">B90006</t>
  </si>
  <si>
    <t xml:space="preserve">30497</t>
  </si>
  <si>
    <t xml:space="preserve">V2.00X040</t>
  </si>
  <si>
    <t xml:space="preserve">SN70119</t>
  </si>
  <si>
    <t xml:space="preserve">WN70010</t>
  </si>
  <si>
    <t xml:space="preserve">B50227</t>
  </si>
  <si>
    <t xml:space="preserve">N3.00X021</t>
  </si>
  <si>
    <t xml:space="preserve">30377</t>
  </si>
  <si>
    <t xml:space="preserve">BU211-P</t>
  </si>
  <si>
    <t xml:space="preserve">N1.60X027.1</t>
  </si>
  <si>
    <t xml:space="preserve">B50120</t>
  </si>
  <si>
    <t xml:space="preserve">UC90018</t>
  </si>
  <si>
    <t xml:space="preserve">N2.50X141</t>
  </si>
  <si>
    <t xml:space="preserve">V2.40X069.6</t>
  </si>
  <si>
    <t xml:space="preserve">N1.50X004</t>
  </si>
  <si>
    <t xml:space="preserve">33871</t>
  </si>
  <si>
    <t xml:space="preserve">V75225-MS</t>
  </si>
  <si>
    <t xml:space="preserve">33764</t>
  </si>
  <si>
    <t xml:space="preserve">N1.00X011.5</t>
  </si>
  <si>
    <t xml:space="preserve">WN70148</t>
  </si>
  <si>
    <t xml:space="preserve">BU214-TEF-SPL</t>
  </si>
  <si>
    <t xml:space="preserve">E70328</t>
  </si>
  <si>
    <t xml:space="preserve">31440</t>
  </si>
  <si>
    <t xml:space="preserve">FS70037</t>
  </si>
  <si>
    <t xml:space="preserve">V1.90X002.8</t>
  </si>
  <si>
    <t xml:space="preserve">N2.00X127</t>
  </si>
  <si>
    <t xml:space="preserve">BU117-TEF-SPL</t>
  </si>
  <si>
    <t xml:space="preserve">QR-115</t>
  </si>
  <si>
    <t xml:space="preserve">FS70027</t>
  </si>
  <si>
    <t xml:space="preserve">32166</t>
  </si>
  <si>
    <t xml:space="preserve">AN-18-SH</t>
  </si>
  <si>
    <t xml:space="preserve">WN70022</t>
  </si>
  <si>
    <t xml:space="preserve">B70274</t>
  </si>
  <si>
    <t xml:space="preserve">34299</t>
  </si>
  <si>
    <t xml:space="preserve">S50044</t>
  </si>
  <si>
    <t xml:space="preserve">33937</t>
  </si>
  <si>
    <t xml:space="preserve">HRU12-0.75-12V</t>
  </si>
  <si>
    <t xml:space="preserve">Hydraulic Inch U-Cups HRU 666</t>
  </si>
  <si>
    <t xml:space="preserve">34022</t>
  </si>
  <si>
    <t xml:space="preserve">SN70114</t>
  </si>
  <si>
    <t xml:space="preserve">BU212-P</t>
  </si>
  <si>
    <t xml:space="preserve">E70017</t>
  </si>
  <si>
    <t xml:space="preserve">B50123</t>
  </si>
  <si>
    <t xml:space="preserve">FDABV75046</t>
  </si>
  <si>
    <t xml:space="preserve">N1.50X003</t>
  </si>
  <si>
    <t xml:space="preserve">BU213-P</t>
  </si>
  <si>
    <t xml:space="preserve">GV75210</t>
  </si>
  <si>
    <t xml:space="preserve">31106</t>
  </si>
  <si>
    <t xml:space="preserve">N3.50X022.1</t>
  </si>
  <si>
    <t xml:space="preserve">BU220-TEF-SOL</t>
  </si>
  <si>
    <t xml:space="preserve">FFKM-127-SZ498</t>
  </si>
  <si>
    <t xml:space="preserve">34675</t>
  </si>
  <si>
    <t xml:space="preserve">V75435-MS</t>
  </si>
  <si>
    <t xml:space="preserve">FS70225</t>
  </si>
  <si>
    <t xml:space="preserve">S1.00X006</t>
  </si>
  <si>
    <t xml:space="preserve">V90920</t>
  </si>
  <si>
    <t xml:space="preserve">31640</t>
  </si>
  <si>
    <t xml:space="preserve">WN70326</t>
  </si>
  <si>
    <t xml:space="preserve">S70333</t>
  </si>
  <si>
    <t xml:space="preserve">33014</t>
  </si>
  <si>
    <t xml:space="preserve">BU012-TEF-SOL</t>
  </si>
  <si>
    <t xml:space="preserve">V75112-MS</t>
  </si>
  <si>
    <t xml:space="preserve">BU111-TEF-SOL</t>
  </si>
  <si>
    <t xml:space="preserve">FFKM-2.50X014</t>
  </si>
  <si>
    <t xml:space="preserve">34430</t>
  </si>
  <si>
    <t xml:space="preserve">N2.50X100</t>
  </si>
  <si>
    <t xml:space="preserve">E70231-NSF</t>
  </si>
  <si>
    <t xml:space="preserve">FDABV75009</t>
  </si>
  <si>
    <t xml:space="preserve">V90226</t>
  </si>
  <si>
    <t xml:space="preserve">33391</t>
  </si>
  <si>
    <t xml:space="preserve">N2.40X020.8</t>
  </si>
  <si>
    <t xml:space="preserve">30670</t>
  </si>
  <si>
    <t xml:space="preserve">V90219</t>
  </si>
  <si>
    <t xml:space="preserve">BU022-TEF-SPL</t>
  </si>
  <si>
    <t xml:space="preserve">V75122</t>
  </si>
  <si>
    <t xml:space="preserve">612-325-050</t>
  </si>
  <si>
    <t xml:space="preserve">V3.53X061.9</t>
  </si>
  <si>
    <t xml:space="preserve">B70347-NSF</t>
  </si>
  <si>
    <t xml:space="preserve">E70327-NSF</t>
  </si>
  <si>
    <t xml:space="preserve">N2.00X043.5</t>
  </si>
  <si>
    <t xml:space="preserve">30412</t>
  </si>
  <si>
    <t xml:space="preserve">V1.00X005.5</t>
  </si>
  <si>
    <t xml:space="preserve">QR-209</t>
  </si>
  <si>
    <t xml:space="preserve">BV75023</t>
  </si>
  <si>
    <t xml:space="preserve">SN70246</t>
  </si>
  <si>
    <t xml:space="preserve">V90235</t>
  </si>
  <si>
    <t xml:space="preserve">34727</t>
  </si>
  <si>
    <t xml:space="preserve">B70321-NSF</t>
  </si>
  <si>
    <t xml:space="preserve">QR-016</t>
  </si>
  <si>
    <t xml:space="preserve">B70214-N888</t>
  </si>
  <si>
    <t xml:space="preserve">BU112-P</t>
  </si>
  <si>
    <t xml:space="preserve">B70320-NSF</t>
  </si>
  <si>
    <t xml:space="preserve">N3.50X027.7</t>
  </si>
  <si>
    <t xml:space="preserve">HRU09-0.43-09</t>
  </si>
  <si>
    <t xml:space="preserve">S1.00X007.5</t>
  </si>
  <si>
    <t xml:space="preserve">SN70327</t>
  </si>
  <si>
    <t xml:space="preserve">E70369-NSF</t>
  </si>
  <si>
    <t xml:space="preserve">H2.00X006</t>
  </si>
  <si>
    <t xml:space="preserve">B70322-MD-BLUE</t>
  </si>
  <si>
    <t xml:space="preserve">BU011-TEF-SOL</t>
  </si>
  <si>
    <t xml:space="preserve">V1.00X018.5</t>
  </si>
  <si>
    <t xml:space="preserve">B50112</t>
  </si>
  <si>
    <t xml:space="preserve">E70346-NSF</t>
  </si>
  <si>
    <t xml:space="preserve">N1.00X001</t>
  </si>
  <si>
    <t xml:space="preserve">30713</t>
  </si>
  <si>
    <t xml:space="preserve">V90213</t>
  </si>
  <si>
    <t xml:space="preserve">N2.00X004.5</t>
  </si>
  <si>
    <t xml:space="preserve">V2.50X018</t>
  </si>
  <si>
    <t xml:space="preserve">SN70016</t>
  </si>
  <si>
    <t xml:space="preserve">31816</t>
  </si>
  <si>
    <t xml:space="preserve">RTU187-1.250-312B</t>
  </si>
  <si>
    <t xml:space="preserve">V3.50X031.7</t>
  </si>
  <si>
    <t xml:space="preserve">30754</t>
  </si>
  <si>
    <t xml:space="preserve">N1.00X005.5</t>
  </si>
  <si>
    <t xml:space="preserve">CV75113</t>
  </si>
  <si>
    <t xml:space="preserve">32373</t>
  </si>
  <si>
    <t xml:space="preserve">V4.50X016</t>
  </si>
  <si>
    <t xml:space="preserve">E70021</t>
  </si>
  <si>
    <t xml:space="preserve">32481</t>
  </si>
  <si>
    <t xml:space="preserve">B90109</t>
  </si>
  <si>
    <t xml:space="preserve">V75143</t>
  </si>
  <si>
    <t xml:space="preserve">34213</t>
  </si>
  <si>
    <t xml:space="preserve">V75033</t>
  </si>
  <si>
    <t xml:space="preserve">N1.50X018.5</t>
  </si>
  <si>
    <t xml:space="preserve">QR-429</t>
  </si>
  <si>
    <t xml:space="preserve">WN70018</t>
  </si>
  <si>
    <t xml:space="preserve">TPO34</t>
  </si>
  <si>
    <t xml:space="preserve">N1.30X016.8</t>
  </si>
  <si>
    <t xml:space="preserve">B50155</t>
  </si>
  <si>
    <t xml:space="preserve">N4.00X078</t>
  </si>
  <si>
    <t xml:space="preserve">30404</t>
  </si>
  <si>
    <t xml:space="preserve">S50.125</t>
  </si>
  <si>
    <t xml:space="preserve">33399</t>
  </si>
  <si>
    <t xml:space="preserve">N1.50X087</t>
  </si>
  <si>
    <t xml:space="preserve">S70030</t>
  </si>
  <si>
    <t xml:space="preserve">QV-209</t>
  </si>
  <si>
    <t xml:space="preserve">V75027</t>
  </si>
  <si>
    <t xml:space="preserve">QR-124</t>
  </si>
  <si>
    <t xml:space="preserve">WN70333</t>
  </si>
  <si>
    <t xml:space="preserve">B70358-MD-BLUE</t>
  </si>
  <si>
    <t xml:space="preserve">QR-010</t>
  </si>
  <si>
    <t xml:space="preserve">6226-21-E70</t>
  </si>
  <si>
    <t xml:space="preserve">33982</t>
  </si>
  <si>
    <t xml:space="preserve">BU006-P</t>
  </si>
  <si>
    <t xml:space="preserve">E70212-NSF</t>
  </si>
  <si>
    <t xml:space="preserve">SN70219</t>
  </si>
  <si>
    <t xml:space="preserve">H70116</t>
  </si>
  <si>
    <t xml:space="preserve">H70018</t>
  </si>
  <si>
    <t xml:space="preserve">S70032</t>
  </si>
  <si>
    <t xml:space="preserve">QR-138</t>
  </si>
  <si>
    <t xml:space="preserve">N0.50X004.3</t>
  </si>
  <si>
    <t xml:space="preserve">E70331</t>
  </si>
  <si>
    <t xml:space="preserve">31487</t>
  </si>
  <si>
    <t xml:space="preserve">6226-10-E70</t>
  </si>
  <si>
    <t xml:space="preserve">FDABV75221</t>
  </si>
  <si>
    <t xml:space="preserve">34416</t>
  </si>
  <si>
    <t xml:space="preserve">V4.00X023</t>
  </si>
  <si>
    <t xml:space="preserve">BV75222</t>
  </si>
  <si>
    <t xml:space="preserve">B70386</t>
  </si>
  <si>
    <t xml:space="preserve">BU216-TEF-SPL</t>
  </si>
  <si>
    <t xml:space="preserve">E70356</t>
  </si>
  <si>
    <t xml:space="preserve">33529</t>
  </si>
  <si>
    <t xml:space="preserve">N1.50X022</t>
  </si>
  <si>
    <t xml:space="preserve">34595</t>
  </si>
  <si>
    <t xml:space="preserve">BU336-TEF-SOL</t>
  </si>
  <si>
    <t xml:space="preserve">A75326</t>
  </si>
  <si>
    <t xml:space="preserve">E70123-NSF</t>
  </si>
  <si>
    <t xml:space="preserve">BU005-TEF-SPL</t>
  </si>
  <si>
    <t xml:space="preserve">N3.00X010</t>
  </si>
  <si>
    <t xml:space="preserve">A75106</t>
  </si>
  <si>
    <t xml:space="preserve">H2.90X044.6</t>
  </si>
  <si>
    <t xml:space="preserve">E70013</t>
  </si>
  <si>
    <t xml:space="preserve">E70250-NSF</t>
  </si>
  <si>
    <t xml:space="preserve">TRO07</t>
  </si>
  <si>
    <t xml:space="preserve">E2.00X036</t>
  </si>
  <si>
    <t xml:space="preserve">TPO15</t>
  </si>
  <si>
    <t xml:space="preserve">E2.00X046</t>
  </si>
  <si>
    <t xml:space="preserve">33616</t>
  </si>
  <si>
    <t xml:space="preserve">E70155</t>
  </si>
  <si>
    <t xml:space="preserve">31572</t>
  </si>
  <si>
    <t xml:space="preserve">V75127-MS</t>
  </si>
  <si>
    <t xml:space="preserve">32405</t>
  </si>
  <si>
    <t xml:space="preserve">PU250-3.500-375B</t>
  </si>
  <si>
    <t xml:space="preserve">SN70.139</t>
  </si>
  <si>
    <t xml:space="preserve">31987</t>
  </si>
  <si>
    <t xml:space="preserve">B70005-NSF</t>
  </si>
  <si>
    <t xml:space="preserve">31618</t>
  </si>
  <si>
    <t xml:space="preserve">626-330-5747</t>
  </si>
  <si>
    <t xml:space="preserve">32720</t>
  </si>
  <si>
    <t xml:space="preserve">SN70.103</t>
  </si>
  <si>
    <t xml:space="preserve">34312</t>
  </si>
  <si>
    <t xml:space="preserve">N5.70X089.6</t>
  </si>
  <si>
    <t xml:space="preserve">N1.50X010.5</t>
  </si>
  <si>
    <t xml:space="preserve">N1.50X011</t>
  </si>
  <si>
    <t xml:space="preserve">34772</t>
  </si>
  <si>
    <t xml:space="preserve">WN70226</t>
  </si>
  <si>
    <t xml:space="preserve">B90113</t>
  </si>
  <si>
    <t xml:space="preserve">31474</t>
  </si>
  <si>
    <t xml:space="preserve">V75134</t>
  </si>
  <si>
    <t xml:space="preserve">N2.65X018</t>
  </si>
  <si>
    <t xml:space="preserve">FS75013</t>
  </si>
  <si>
    <t xml:space="preserve">PO30313</t>
  </si>
  <si>
    <t xml:space="preserve">S70235</t>
  </si>
  <si>
    <t xml:space="preserve">34716</t>
  </si>
  <si>
    <t xml:space="preserve">QV-218</t>
  </si>
  <si>
    <t xml:space="preserve">34889</t>
  </si>
  <si>
    <t xml:space="preserve">N2.00X018</t>
  </si>
  <si>
    <t xml:space="preserve">E70208</t>
  </si>
  <si>
    <t xml:space="preserve">WN70222</t>
  </si>
  <si>
    <t xml:space="preserve">BU214-TEF-SOL</t>
  </si>
  <si>
    <t xml:space="preserve">B90213</t>
  </si>
  <si>
    <t xml:space="preserve">S50163</t>
  </si>
  <si>
    <t xml:space="preserve">V3.10X109.4</t>
  </si>
  <si>
    <t xml:space="preserve">A75335</t>
  </si>
  <si>
    <t xml:space="preserve">PO30334</t>
  </si>
  <si>
    <t xml:space="preserve">TEF127</t>
  </si>
  <si>
    <t xml:space="preserve">34236</t>
  </si>
  <si>
    <t xml:space="preserve">B50046</t>
  </si>
  <si>
    <t xml:space="preserve">E70457</t>
  </si>
  <si>
    <t xml:space="preserve">TEF112</t>
  </si>
  <si>
    <t xml:space="preserve">V90031</t>
  </si>
  <si>
    <t xml:space="preserve">34656</t>
  </si>
  <si>
    <t xml:space="preserve">N1.00X015.5</t>
  </si>
  <si>
    <t xml:space="preserve">32837</t>
  </si>
  <si>
    <t xml:space="preserve">B50453</t>
  </si>
  <si>
    <t xml:space="preserve">B50030</t>
  </si>
  <si>
    <t xml:space="preserve">B50256</t>
  </si>
  <si>
    <t xml:space="preserve">N2.00X011</t>
  </si>
  <si>
    <t xml:space="preserve">34403</t>
  </si>
  <si>
    <t xml:space="preserve">V75113-MS</t>
  </si>
  <si>
    <t xml:space="preserve">33395</t>
  </si>
  <si>
    <t xml:space="preserve">V1.00X026</t>
  </si>
  <si>
    <t xml:space="preserve">E70026</t>
  </si>
  <si>
    <t xml:space="preserve">E70114</t>
  </si>
  <si>
    <t xml:space="preserve">SN70211</t>
  </si>
  <si>
    <t xml:space="preserve">B90004</t>
  </si>
  <si>
    <t xml:space="preserve">N1.90X008.8</t>
  </si>
  <si>
    <t xml:space="preserve">V75018-MS</t>
  </si>
  <si>
    <t xml:space="preserve">E70249</t>
  </si>
  <si>
    <t xml:space="preserve">N4.00X056</t>
  </si>
  <si>
    <t xml:space="preserve">S1.00X008</t>
  </si>
  <si>
    <t xml:space="preserve">31909</t>
  </si>
  <si>
    <t xml:space="preserve">V90251</t>
  </si>
  <si>
    <t xml:space="preserve">31504</t>
  </si>
  <si>
    <t xml:space="preserve">S2.00X111</t>
  </si>
  <si>
    <t xml:space="preserve">S2.50X007</t>
  </si>
  <si>
    <t xml:space="preserve">QV-116</t>
  </si>
  <si>
    <t xml:space="preserve">35257</t>
  </si>
  <si>
    <t xml:space="preserve">E70325-NSF</t>
  </si>
  <si>
    <t xml:space="preserve">B90918</t>
  </si>
  <si>
    <t xml:space="preserve">V2.50X074</t>
  </si>
  <si>
    <t xml:space="preserve">32928</t>
  </si>
  <si>
    <t xml:space="preserve">H2.50X018</t>
  </si>
  <si>
    <t xml:space="preserve">N4.00X048</t>
  </si>
  <si>
    <t xml:space="preserve">V3.50X010</t>
  </si>
  <si>
    <t xml:space="preserve">V90231</t>
  </si>
  <si>
    <t xml:space="preserve">E70212</t>
  </si>
  <si>
    <t xml:space="preserve">V4.00X044</t>
  </si>
  <si>
    <t xml:space="preserve">BU120-TEF-SOL</t>
  </si>
  <si>
    <t xml:space="preserve">B90349</t>
  </si>
  <si>
    <t xml:space="preserve">32494</t>
  </si>
  <si>
    <t xml:space="preserve">S1.50X054</t>
  </si>
  <si>
    <t xml:space="preserve">FFKM-151-SZ485</t>
  </si>
  <si>
    <t xml:space="preserve">33904</t>
  </si>
  <si>
    <t xml:space="preserve">N1.50X048</t>
  </si>
  <si>
    <t xml:space="preserve">N1.50X053</t>
  </si>
  <si>
    <t xml:space="preserve">V90035</t>
  </si>
  <si>
    <t xml:space="preserve">V75106</t>
  </si>
  <si>
    <t xml:space="preserve">33102</t>
  </si>
  <si>
    <t xml:space="preserve">BU010-TEF-SOL</t>
  </si>
  <si>
    <t xml:space="preserve">TPO39</t>
  </si>
  <si>
    <t xml:space="preserve">V75907</t>
  </si>
  <si>
    <t xml:space="preserve">32668</t>
  </si>
  <si>
    <t xml:space="preserve">HRU09-0.68-09</t>
  </si>
  <si>
    <t xml:space="preserve">34232</t>
  </si>
  <si>
    <t xml:space="preserve">E70216-NSF</t>
  </si>
  <si>
    <t xml:space="preserve">V75205</t>
  </si>
  <si>
    <t xml:space="preserve">N3.50X046</t>
  </si>
  <si>
    <t xml:space="preserve">30899</t>
  </si>
  <si>
    <t xml:space="preserve">MUU-45X60X10</t>
  </si>
  <si>
    <t xml:space="preserve">30628</t>
  </si>
  <si>
    <t xml:space="preserve">CV75131</t>
  </si>
  <si>
    <t xml:space="preserve">BU119-TEF-SOL</t>
  </si>
  <si>
    <t xml:space="preserve">N1.50X015.5</t>
  </si>
  <si>
    <t xml:space="preserve">V90007</t>
  </si>
  <si>
    <t xml:space="preserve">N3.00X015</t>
  </si>
  <si>
    <t xml:space="preserve">WN70025</t>
  </si>
  <si>
    <t xml:space="preserve">V3.00X050</t>
  </si>
  <si>
    <t xml:space="preserve">BU219-TEF-SPL</t>
  </si>
  <si>
    <t xml:space="preserve">TES116</t>
  </si>
  <si>
    <t xml:space="preserve">S3.00X003</t>
  </si>
  <si>
    <t xml:space="preserve">30795</t>
  </si>
  <si>
    <t xml:space="preserve">N3.00X030</t>
  </si>
  <si>
    <t xml:space="preserve">V75361-MS</t>
  </si>
  <si>
    <t xml:space="preserve">33808</t>
  </si>
  <si>
    <t xml:space="preserve">N3.00X006</t>
  </si>
  <si>
    <t xml:space="preserve">H3.50X029.7</t>
  </si>
  <si>
    <t xml:space="preserve">N1.50X125</t>
  </si>
  <si>
    <t xml:space="preserve">UC70105</t>
  </si>
  <si>
    <t xml:space="preserve">32001</t>
  </si>
  <si>
    <t xml:space="preserve">FS70003</t>
  </si>
  <si>
    <t xml:space="preserve">V2.00X024</t>
  </si>
  <si>
    <t xml:space="preserve">V2.50X022.5</t>
  </si>
  <si>
    <t xml:space="preserve">31351</t>
  </si>
  <si>
    <t xml:space="preserve">S70204</t>
  </si>
  <si>
    <t xml:space="preserve">UC70222</t>
  </si>
  <si>
    <t xml:space="preserve">N2.50X038</t>
  </si>
  <si>
    <t xml:space="preserve">PO29965</t>
  </si>
  <si>
    <t xml:space="preserve">N2.00X012</t>
  </si>
  <si>
    <t xml:space="preserve">UC70109</t>
  </si>
  <si>
    <t xml:space="preserve">SN70325</t>
  </si>
  <si>
    <t xml:space="preserve">N3.00X008</t>
  </si>
  <si>
    <t xml:space="preserve">N0.50X001</t>
  </si>
  <si>
    <t xml:space="preserve">34738</t>
  </si>
  <si>
    <t xml:space="preserve">U187-0.625-187B</t>
  </si>
  <si>
    <t xml:space="preserve">33820</t>
  </si>
  <si>
    <t xml:space="preserve">V75204</t>
  </si>
  <si>
    <t xml:space="preserve">34164</t>
  </si>
  <si>
    <t xml:space="preserve">TEF222</t>
  </si>
  <si>
    <t xml:space="preserve">32814</t>
  </si>
  <si>
    <t xml:space="preserve">TRO32</t>
  </si>
  <si>
    <t xml:space="preserve">BU112-TEF-SOL</t>
  </si>
  <si>
    <t xml:space="preserve">U250-1.375-375B</t>
  </si>
  <si>
    <t xml:space="preserve">BU006-TEF-SPL</t>
  </si>
  <si>
    <t xml:space="preserve">TEF020</t>
  </si>
  <si>
    <t xml:space="preserve">32474</t>
  </si>
  <si>
    <t xml:space="preserve">N1.00X044</t>
  </si>
  <si>
    <t xml:space="preserve">B90215</t>
  </si>
  <si>
    <t xml:space="preserve">TEF229</t>
  </si>
  <si>
    <t xml:space="preserve">34568</t>
  </si>
  <si>
    <t xml:space="preserve">N3.00X111</t>
  </si>
  <si>
    <t xml:space="preserve">31103</t>
  </si>
  <si>
    <t xml:space="preserve">B70141-N888</t>
  </si>
  <si>
    <t xml:space="preserve">V2.00X012.5</t>
  </si>
  <si>
    <t xml:space="preserve">UC70214</t>
  </si>
  <si>
    <t xml:space="preserve">S0.50X002</t>
  </si>
  <si>
    <t xml:space="preserve">N1.50X013.5</t>
  </si>
  <si>
    <t xml:space="preserve">B50234</t>
  </si>
  <si>
    <t xml:space="preserve">B70315</t>
  </si>
  <si>
    <t xml:space="preserve">B90903</t>
  </si>
  <si>
    <t xml:space="preserve">TES125</t>
  </si>
  <si>
    <t xml:space="preserve">33113</t>
  </si>
  <si>
    <t xml:space="preserve">V3.50X062</t>
  </si>
  <si>
    <t xml:space="preserve">35078</t>
  </si>
  <si>
    <t xml:space="preserve">E70027</t>
  </si>
  <si>
    <t xml:space="preserve">V90116</t>
  </si>
  <si>
    <t xml:space="preserve">FS70128</t>
  </si>
  <si>
    <t xml:space="preserve">PO29324</t>
  </si>
  <si>
    <t xml:space="preserve">TEF905</t>
  </si>
  <si>
    <t xml:space="preserve">34896</t>
  </si>
  <si>
    <t xml:space="preserve">N2.00X074</t>
  </si>
  <si>
    <t xml:space="preserve">N1.50X021</t>
  </si>
  <si>
    <t xml:space="preserve">V2.00X045</t>
  </si>
  <si>
    <t xml:space="preserve">H-0625</t>
  </si>
  <si>
    <t xml:space="preserve">QV-120</t>
  </si>
  <si>
    <t xml:space="preserve">N1.02X002.54</t>
  </si>
  <si>
    <t xml:space="preserve">S3.50X021.7</t>
  </si>
  <si>
    <t xml:space="preserve">B70277</t>
  </si>
  <si>
    <t xml:space="preserve">N1.80X005.6</t>
  </si>
  <si>
    <t xml:space="preserve">33585</t>
  </si>
  <si>
    <t xml:space="preserve">V3.50X023.7</t>
  </si>
  <si>
    <t xml:space="preserve">30569</t>
  </si>
  <si>
    <t xml:space="preserve">UL187-1.500-187</t>
  </si>
  <si>
    <t xml:space="preserve">34001</t>
  </si>
  <si>
    <t xml:space="preserve">WN70111</t>
  </si>
  <si>
    <t xml:space="preserve">31159</t>
  </si>
  <si>
    <t xml:space="preserve">B70256-NSF</t>
  </si>
  <si>
    <t xml:space="preserve">34350</t>
  </si>
  <si>
    <t xml:space="preserve">V75202</t>
  </si>
  <si>
    <t xml:space="preserve">B90337</t>
  </si>
  <si>
    <t xml:space="preserve">B70314-NSF</t>
  </si>
  <si>
    <t xml:space="preserve">V2.20X009.3</t>
  </si>
  <si>
    <t xml:space="preserve">V75142</t>
  </si>
  <si>
    <t xml:space="preserve">33608</t>
  </si>
  <si>
    <t xml:space="preserve">E1.00X006</t>
  </si>
  <si>
    <t xml:space="preserve">V3.50X024.7</t>
  </si>
  <si>
    <t xml:space="preserve">RU187-2.000-312B</t>
  </si>
  <si>
    <t xml:space="preserve">PO30109</t>
  </si>
  <si>
    <t xml:space="preserve">B70340</t>
  </si>
  <si>
    <t xml:space="preserve">6226-52-E70</t>
  </si>
  <si>
    <t xml:space="preserve">34981</t>
  </si>
  <si>
    <t xml:space="preserve">V5.00X032</t>
  </si>
  <si>
    <t xml:space="preserve">FFKM-106-SZ498</t>
  </si>
  <si>
    <t xml:space="preserve">U125-1.000-250B</t>
  </si>
  <si>
    <t xml:space="preserve">FFKM-1.00X006</t>
  </si>
  <si>
    <t xml:space="preserve">33891</t>
  </si>
  <si>
    <t xml:space="preserve">BU215-TEF-SPL</t>
  </si>
  <si>
    <t xml:space="preserve">FDABV75346</t>
  </si>
  <si>
    <t xml:space="preserve">34271</t>
  </si>
  <si>
    <t xml:space="preserve">BV75005</t>
  </si>
  <si>
    <t xml:space="preserve">30913</t>
  </si>
  <si>
    <t xml:space="preserve">N1.20X009</t>
  </si>
  <si>
    <t xml:space="preserve">31749</t>
  </si>
  <si>
    <t xml:space="preserve">HRU09-0.18-09</t>
  </si>
  <si>
    <t xml:space="preserve">SN70021</t>
  </si>
  <si>
    <t xml:space="preserve">B90023</t>
  </si>
  <si>
    <t xml:space="preserve">B50221</t>
  </si>
  <si>
    <t xml:space="preserve">C70327</t>
  </si>
  <si>
    <t xml:space="preserve">V2.00X021</t>
  </si>
  <si>
    <t xml:space="preserve">TPO37</t>
  </si>
  <si>
    <t xml:space="preserve">TEF039</t>
  </si>
  <si>
    <t xml:space="preserve">S70211</t>
  </si>
  <si>
    <t xml:space="preserve">33482</t>
  </si>
  <si>
    <t xml:space="preserve">TEV446</t>
  </si>
  <si>
    <t xml:space="preserve">34590</t>
  </si>
  <si>
    <t xml:space="preserve">V2.50X013</t>
  </si>
  <si>
    <t xml:space="preserve">E1.50X002</t>
  </si>
  <si>
    <t xml:space="preserve">33427</t>
  </si>
  <si>
    <t xml:space="preserve">TEV010</t>
  </si>
  <si>
    <t xml:space="preserve">BU120-TEF-SPL</t>
  </si>
  <si>
    <t xml:space="preserve">E70.157</t>
  </si>
  <si>
    <t xml:space="preserve">QV-324</t>
  </si>
  <si>
    <t xml:space="preserve">B90114</t>
  </si>
  <si>
    <t xml:space="preserve">BV75020</t>
  </si>
  <si>
    <t xml:space="preserve">34805</t>
  </si>
  <si>
    <t xml:space="preserve">S2.00X128</t>
  </si>
  <si>
    <t xml:space="preserve">N1.50X027.5</t>
  </si>
  <si>
    <t xml:space="preserve">31481</t>
  </si>
  <si>
    <t xml:space="preserve">B90038</t>
  </si>
  <si>
    <t xml:space="preserve">BU346-P</t>
  </si>
  <si>
    <t xml:space="preserve">V75.063</t>
  </si>
  <si>
    <t xml:space="preserve">UC70140</t>
  </si>
  <si>
    <t xml:space="preserve">B70901</t>
  </si>
  <si>
    <t xml:space="preserve">32261</t>
  </si>
  <si>
    <t xml:space="preserve">V75021-MS</t>
  </si>
  <si>
    <t xml:space="preserve">V2.00X030-90</t>
  </si>
  <si>
    <t xml:space="preserve">QV-009</t>
  </si>
  <si>
    <t xml:space="preserve">33532</t>
  </si>
  <si>
    <t xml:space="preserve">B70265</t>
  </si>
  <si>
    <t xml:space="preserve">32787</t>
  </si>
  <si>
    <t xml:space="preserve">V1.00X023</t>
  </si>
  <si>
    <t xml:space="preserve">WN70012</t>
  </si>
  <si>
    <t xml:space="preserve">B70473-NSF</t>
  </si>
  <si>
    <t xml:space="preserve">S2.50X027.5</t>
  </si>
  <si>
    <t xml:space="preserve">V1.00X012.5</t>
  </si>
  <si>
    <t xml:space="preserve">31596</t>
  </si>
  <si>
    <t xml:space="preserve">B50134</t>
  </si>
  <si>
    <t xml:space="preserve">S1.00X004.5</t>
  </si>
  <si>
    <t xml:space="preserve">B70404</t>
  </si>
  <si>
    <t xml:space="preserve">H3.00X020</t>
  </si>
  <si>
    <t xml:space="preserve">V2.50X011</t>
  </si>
  <si>
    <t xml:space="preserve">33915</t>
  </si>
  <si>
    <t xml:space="preserve">S0.50X000.8</t>
  </si>
  <si>
    <t xml:space="preserve">N2.65X031.5</t>
  </si>
  <si>
    <t xml:space="preserve">PO30008</t>
  </si>
  <si>
    <t xml:space="preserve">TEF220</t>
  </si>
  <si>
    <t xml:space="preserve">33570</t>
  </si>
  <si>
    <t xml:space="preserve">N3.00X017</t>
  </si>
  <si>
    <t xml:space="preserve">E1.50X007</t>
  </si>
  <si>
    <t xml:space="preserve">N2.00X061</t>
  </si>
  <si>
    <t xml:space="preserve">B90326</t>
  </si>
  <si>
    <t xml:space="preserve">V1.00X004</t>
  </si>
  <si>
    <t xml:space="preserve">B70422</t>
  </si>
  <si>
    <t xml:space="preserve">33592</t>
  </si>
  <si>
    <t xml:space="preserve">MUU-14X22X5</t>
  </si>
  <si>
    <t xml:space="preserve">34010</t>
  </si>
  <si>
    <t xml:space="preserve">N1.50X023.5</t>
  </si>
  <si>
    <t xml:space="preserve">E2.00X015</t>
  </si>
  <si>
    <t xml:space="preserve">V2.50X010</t>
  </si>
  <si>
    <t xml:space="preserve">32275</t>
  </si>
  <si>
    <t xml:space="preserve">VN38 Hercules OEM</t>
  </si>
  <si>
    <t xml:space="preserve">S70.394</t>
  </si>
  <si>
    <t xml:space="preserve">32155</t>
  </si>
  <si>
    <t xml:space="preserve">QR-328</t>
  </si>
  <si>
    <t xml:space="preserve">S1.00X002.7</t>
  </si>
  <si>
    <t xml:space="preserve">PFS-1.000</t>
  </si>
  <si>
    <t xml:space="preserve">33017</t>
  </si>
  <si>
    <t xml:space="preserve">V3.50X027</t>
  </si>
  <si>
    <t xml:space="preserve">35152</t>
  </si>
  <si>
    <t xml:space="preserve">B90020</t>
  </si>
  <si>
    <t xml:space="preserve">N1.90X008.8-50</t>
  </si>
  <si>
    <t xml:space="preserve">B50224</t>
  </si>
  <si>
    <t xml:space="preserve">N1.50X025</t>
  </si>
  <si>
    <t xml:space="preserve">B90019</t>
  </si>
  <si>
    <t xml:space="preserve">BU147-TEF-SOL</t>
  </si>
  <si>
    <t xml:space="preserve">V1.50X028</t>
  </si>
  <si>
    <t xml:space="preserve">N4.00X098</t>
  </si>
  <si>
    <t xml:space="preserve">V90343</t>
  </si>
  <si>
    <t xml:space="preserve">E2.50X020</t>
  </si>
  <si>
    <t xml:space="preserve">S2.00X035</t>
  </si>
  <si>
    <t xml:space="preserve">B90281</t>
  </si>
  <si>
    <t xml:space="preserve">RTU125-1.750-250B</t>
  </si>
  <si>
    <t xml:space="preserve">V2.00X017</t>
  </si>
  <si>
    <t xml:space="preserve">V90132</t>
  </si>
  <si>
    <t xml:space="preserve">6226-09</t>
  </si>
  <si>
    <t xml:space="preserve">B90030</t>
  </si>
  <si>
    <t xml:space="preserve">BU145-TEF-SPL</t>
  </si>
  <si>
    <t xml:space="preserve">A75132</t>
  </si>
  <si>
    <t xml:space="preserve">34137</t>
  </si>
  <si>
    <t xml:space="preserve">S70263</t>
  </si>
  <si>
    <t xml:space="preserve">BU008-TEF-SOL</t>
  </si>
  <si>
    <t xml:space="preserve">B50326</t>
  </si>
  <si>
    <t xml:space="preserve">HRU12-0.62-12</t>
  </si>
  <si>
    <t xml:space="preserve">30527</t>
  </si>
  <si>
    <t xml:space="preserve">S3.00X026</t>
  </si>
  <si>
    <t xml:space="preserve">V90126</t>
  </si>
  <si>
    <t xml:space="preserve">B50005</t>
  </si>
  <si>
    <t xml:space="preserve">V1.50X023</t>
  </si>
  <si>
    <t xml:space="preserve">S70025</t>
  </si>
  <si>
    <t xml:space="preserve">B90148</t>
  </si>
  <si>
    <t xml:space="preserve">34379</t>
  </si>
  <si>
    <t xml:space="preserve">B90437</t>
  </si>
  <si>
    <t xml:space="preserve">V75208</t>
  </si>
  <si>
    <t xml:space="preserve">S2.00X074</t>
  </si>
  <si>
    <t xml:space="preserve">B90142</t>
  </si>
  <si>
    <t xml:space="preserve">TPO32</t>
  </si>
  <si>
    <t xml:space="preserve">E1.50X009</t>
  </si>
  <si>
    <t xml:space="preserve">30450</t>
  </si>
  <si>
    <t xml:space="preserve">N2.50X078</t>
  </si>
  <si>
    <t xml:space="preserve">UC90325</t>
  </si>
  <si>
    <t xml:space="preserve">S70130</t>
  </si>
  <si>
    <t xml:space="preserve">N2.50X035.5</t>
  </si>
  <si>
    <t xml:space="preserve">A75331</t>
  </si>
  <si>
    <t xml:space="preserve">TEF026</t>
  </si>
  <si>
    <t xml:space="preserve">34458</t>
  </si>
  <si>
    <t xml:space="preserve">V2.00X058</t>
  </si>
  <si>
    <t xml:space="preserve">32040</t>
  </si>
  <si>
    <t xml:space="preserve">N2.40X063.9</t>
  </si>
  <si>
    <t xml:space="preserve">TEF2.00X035</t>
  </si>
  <si>
    <t xml:space="preserve">Metric TEF</t>
  </si>
  <si>
    <t xml:space="preserve">34342</t>
  </si>
  <si>
    <t xml:space="preserve">FS70237</t>
  </si>
  <si>
    <t xml:space="preserve">BU020-TEF-SPL</t>
  </si>
  <si>
    <t xml:space="preserve">QR-346</t>
  </si>
  <si>
    <t xml:space="preserve">33418</t>
  </si>
  <si>
    <t xml:space="preserve">B70912-NSF</t>
  </si>
  <si>
    <t xml:space="preserve">B70202</t>
  </si>
  <si>
    <t xml:space="preserve">FFKM-1.78X021.95</t>
  </si>
  <si>
    <t xml:space="preserve">V3.50X029</t>
  </si>
  <si>
    <t xml:space="preserve">TEV024</t>
  </si>
  <si>
    <t xml:space="preserve">32270</t>
  </si>
  <si>
    <t xml:space="preserve">B70311-NSF</t>
  </si>
  <si>
    <t xml:space="preserve">V2.00X016.5</t>
  </si>
  <si>
    <t xml:space="preserve">S70340</t>
  </si>
  <si>
    <t xml:space="preserve">34719</t>
  </si>
  <si>
    <t xml:space="preserve">AM54-20002686-375</t>
  </si>
  <si>
    <t xml:space="preserve">33626</t>
  </si>
  <si>
    <t xml:space="preserve">BU137-B90</t>
  </si>
  <si>
    <t xml:space="preserve">BV75124</t>
  </si>
  <si>
    <t xml:space="preserve">BU117-V90</t>
  </si>
  <si>
    <t xml:space="preserve">31911</t>
  </si>
  <si>
    <t xml:space="preserve">6226-04</t>
  </si>
  <si>
    <t xml:space="preserve">AM54-22502750-250</t>
  </si>
  <si>
    <t xml:space="preserve">34253</t>
  </si>
  <si>
    <t xml:space="preserve">B70378</t>
  </si>
  <si>
    <t xml:space="preserve">QV-237</t>
  </si>
  <si>
    <t xml:space="preserve">PU187-1.625-375B</t>
  </si>
  <si>
    <t xml:space="preserve">32459</t>
  </si>
  <si>
    <t xml:space="preserve">TEF368</t>
  </si>
  <si>
    <t xml:space="preserve">V75351</t>
  </si>
  <si>
    <t xml:space="preserve">B90025</t>
  </si>
  <si>
    <t xml:space="preserve">6226-02</t>
  </si>
  <si>
    <t xml:space="preserve">31552</t>
  </si>
  <si>
    <t xml:space="preserve">BU210-P</t>
  </si>
  <si>
    <t xml:space="preserve">V90131</t>
  </si>
  <si>
    <t xml:space="preserve">BU024-TEF-SPL</t>
  </si>
  <si>
    <t xml:space="preserve">32699</t>
  </si>
  <si>
    <t xml:space="preserve">N1.78X085.34</t>
  </si>
  <si>
    <t xml:space="preserve">N1.80X046.5</t>
  </si>
  <si>
    <t xml:space="preserve">TRO06</t>
  </si>
  <si>
    <t xml:space="preserve">N2.00X024</t>
  </si>
  <si>
    <t xml:space="preserve">B70106-NSF</t>
  </si>
  <si>
    <t xml:space="preserve">N2.00X097</t>
  </si>
  <si>
    <t xml:space="preserve">V90119</t>
  </si>
  <si>
    <t xml:space="preserve">BU134-TEF-SPL</t>
  </si>
  <si>
    <t xml:space="preserve">34359</t>
  </si>
  <si>
    <t xml:space="preserve">N1.50X033</t>
  </si>
  <si>
    <t xml:space="preserve">V75010-MD</t>
  </si>
  <si>
    <t xml:space="preserve">N2.40X027.6</t>
  </si>
  <si>
    <t xml:space="preserve">S70132</t>
  </si>
  <si>
    <t xml:space="preserve">B70141-NSF</t>
  </si>
  <si>
    <t xml:space="preserve">WN70121</t>
  </si>
  <si>
    <t xml:space="preserve">H2.20X009.3</t>
  </si>
  <si>
    <t xml:space="preserve">S70254</t>
  </si>
  <si>
    <t xml:space="preserve">34229</t>
  </si>
  <si>
    <t xml:space="preserve">V75238-MD</t>
  </si>
  <si>
    <t xml:space="preserve">N2.00X126</t>
  </si>
  <si>
    <t xml:space="preserve">N3.00X007.5</t>
  </si>
  <si>
    <t xml:space="preserve">N2.50X003.5</t>
  </si>
  <si>
    <t xml:space="preserve">FDABV75148</t>
  </si>
  <si>
    <t xml:space="preserve">35247</t>
  </si>
  <si>
    <t xml:space="preserve">A75105</t>
  </si>
  <si>
    <t xml:space="preserve">33274</t>
  </si>
  <si>
    <t xml:space="preserve">N2.50X018</t>
  </si>
  <si>
    <t xml:space="preserve">SN70261</t>
  </si>
  <si>
    <t xml:space="preserve">V90924</t>
  </si>
  <si>
    <t xml:space="preserve">N4.50X092</t>
  </si>
  <si>
    <t xml:space="preserve">30757</t>
  </si>
  <si>
    <t xml:space="preserve">V75219</t>
  </si>
  <si>
    <t xml:space="preserve">34341</t>
  </si>
  <si>
    <t xml:space="preserve">QV-117</t>
  </si>
  <si>
    <t xml:space="preserve">32749</t>
  </si>
  <si>
    <t xml:space="preserve">N2.50X022</t>
  </si>
  <si>
    <t xml:space="preserve">SN70008</t>
  </si>
  <si>
    <t xml:space="preserve">33866</t>
  </si>
  <si>
    <t xml:space="preserve">E70233</t>
  </si>
  <si>
    <t xml:space="preserve">32905</t>
  </si>
  <si>
    <t xml:space="preserve">SN70265</t>
  </si>
  <si>
    <t xml:space="preserve">N1.50X053.5</t>
  </si>
  <si>
    <t xml:space="preserve">V75035</t>
  </si>
  <si>
    <t xml:space="preserve">N1.90X011</t>
  </si>
  <si>
    <t xml:space="preserve">34144</t>
  </si>
  <si>
    <t xml:space="preserve">AM54-06251125-312</t>
  </si>
  <si>
    <t xml:space="preserve">33689</t>
  </si>
  <si>
    <t xml:space="preserve">B50034</t>
  </si>
  <si>
    <t xml:space="preserve">CV75105</t>
  </si>
  <si>
    <t xml:space="preserve">V1.20X009-FDA</t>
  </si>
  <si>
    <t xml:space="preserve">0435-114-000</t>
  </si>
  <si>
    <t xml:space="preserve">32864</t>
  </si>
  <si>
    <t xml:space="preserve">WN70241</t>
  </si>
  <si>
    <t xml:space="preserve">BV75385</t>
  </si>
  <si>
    <t xml:space="preserve">34915</t>
  </si>
  <si>
    <t xml:space="preserve">N2.50X030</t>
  </si>
  <si>
    <t xml:space="preserve">V1.50X004.5</t>
  </si>
  <si>
    <t xml:space="preserve">HRU12-0.50-12V</t>
  </si>
  <si>
    <t xml:space="preserve">34605</t>
  </si>
  <si>
    <t xml:space="preserve">FFKM-014-SZ498</t>
  </si>
  <si>
    <t xml:space="preserve">V75153</t>
  </si>
  <si>
    <t xml:space="preserve">S70033</t>
  </si>
  <si>
    <t xml:space="preserve">34911</t>
  </si>
  <si>
    <t xml:space="preserve">QV-005</t>
  </si>
  <si>
    <t xml:space="preserve">35084</t>
  </si>
  <si>
    <t xml:space="preserve">BU009-TEF-SPL</t>
  </si>
  <si>
    <t xml:space="preserve">B70004-NSF</t>
  </si>
  <si>
    <t xml:space="preserve">34374</t>
  </si>
  <si>
    <t xml:space="preserve">FDABV75144</t>
  </si>
  <si>
    <t xml:space="preserve">31460</t>
  </si>
  <si>
    <t xml:space="preserve">RTU250-2.250-375B</t>
  </si>
  <si>
    <t xml:space="preserve">6226-44-E70</t>
  </si>
  <si>
    <t xml:space="preserve">32143</t>
  </si>
  <si>
    <t xml:space="preserve">N1.20X028</t>
  </si>
  <si>
    <t xml:space="preserve">V75045</t>
  </si>
  <si>
    <t xml:space="preserve">34695</t>
  </si>
  <si>
    <t xml:space="preserve">S1.50X022</t>
  </si>
  <si>
    <t xml:space="preserve">33384</t>
  </si>
  <si>
    <t xml:space="preserve">B70144-NSF</t>
  </si>
  <si>
    <t xml:space="preserve">BU045-B90</t>
  </si>
  <si>
    <t xml:space="preserve">CV75233</t>
  </si>
  <si>
    <t xml:space="preserve">S70153</t>
  </si>
  <si>
    <t xml:space="preserve">34687</t>
  </si>
  <si>
    <t xml:space="preserve">V1.20X006</t>
  </si>
  <si>
    <t xml:space="preserve">BU210-TEF-SPL</t>
  </si>
  <si>
    <t xml:space="preserve">S2.00X040</t>
  </si>
  <si>
    <t xml:space="preserve">V75116-MD</t>
  </si>
  <si>
    <t xml:space="preserve">S70026</t>
  </si>
  <si>
    <t xml:space="preserve">B70216-NSF</t>
  </si>
  <si>
    <t xml:space="preserve">34446</t>
  </si>
  <si>
    <t xml:space="preserve">B70048-NSF</t>
  </si>
  <si>
    <t xml:space="preserve">B50215</t>
  </si>
  <si>
    <t xml:space="preserve">WN70125</t>
  </si>
  <si>
    <t xml:space="preserve">PR12-F80</t>
  </si>
  <si>
    <t xml:space="preserve">E70220</t>
  </si>
  <si>
    <t xml:space="preserve">34515</t>
  </si>
  <si>
    <t xml:space="preserve">E2.40X017.8</t>
  </si>
  <si>
    <t xml:space="preserve">N1.50X028</t>
  </si>
  <si>
    <t xml:space="preserve">32053</t>
  </si>
  <si>
    <t xml:space="preserve">UL125-0.500-125B</t>
  </si>
  <si>
    <t xml:space="preserve">PO29319</t>
  </si>
  <si>
    <t xml:space="preserve">V75148</t>
  </si>
  <si>
    <t xml:space="preserve">N1.50X042</t>
  </si>
  <si>
    <t xml:space="preserve">S70.224</t>
  </si>
  <si>
    <t xml:space="preserve">S70345</t>
  </si>
  <si>
    <t xml:space="preserve">626-326-5747</t>
  </si>
  <si>
    <t xml:space="preserve">33178</t>
  </si>
  <si>
    <t xml:space="preserve">S1.00X003.5</t>
  </si>
  <si>
    <t xml:space="preserve">N1.50X012.5</t>
  </si>
  <si>
    <t xml:space="preserve">QR-326</t>
  </si>
  <si>
    <t xml:space="preserve">V90019</t>
  </si>
  <si>
    <t xml:space="preserve">H70112</t>
  </si>
  <si>
    <t xml:space="preserve">E70036</t>
  </si>
  <si>
    <t xml:space="preserve">32194</t>
  </si>
  <si>
    <t xml:space="preserve">B90249</t>
  </si>
  <si>
    <t xml:space="preserve">33678</t>
  </si>
  <si>
    <t xml:space="preserve">V75244</t>
  </si>
  <si>
    <t xml:space="preserve">34785</t>
  </si>
  <si>
    <t xml:space="preserve">U125-0.875-125B</t>
  </si>
  <si>
    <t xml:space="preserve">B90324</t>
  </si>
  <si>
    <t xml:space="preserve">34069</t>
  </si>
  <si>
    <t xml:space="preserve">PU187-1.750-375B</t>
  </si>
  <si>
    <t xml:space="preserve">WN70214</t>
  </si>
  <si>
    <t xml:space="preserve">B90132</t>
  </si>
  <si>
    <t xml:space="preserve">34327</t>
  </si>
  <si>
    <t xml:space="preserve">HRU18-0.75-18</t>
  </si>
  <si>
    <t xml:space="preserve">U125-0.500-125B</t>
  </si>
  <si>
    <t xml:space="preserve">SE70119</t>
  </si>
  <si>
    <t xml:space="preserve">V75126</t>
  </si>
  <si>
    <t xml:space="preserve">HRU12-1.00-12</t>
  </si>
  <si>
    <t xml:space="preserve">31928</t>
  </si>
  <si>
    <t xml:space="preserve">N1.50X010.7</t>
  </si>
  <si>
    <t xml:space="preserve">QN70.210</t>
  </si>
  <si>
    <t xml:space="preserve">Cord QN70</t>
  </si>
  <si>
    <t xml:space="preserve">33591</t>
  </si>
  <si>
    <t xml:space="preserve">TEV119</t>
  </si>
  <si>
    <t xml:space="preserve">33095</t>
  </si>
  <si>
    <t xml:space="preserve">V2.50X012</t>
  </si>
  <si>
    <t xml:space="preserve">V1.60X013.1</t>
  </si>
  <si>
    <t xml:space="preserve">BU126-TEF-SOL</t>
  </si>
  <si>
    <t xml:space="preserve">V75237</t>
  </si>
  <si>
    <t xml:space="preserve">N2.00X044</t>
  </si>
  <si>
    <t xml:space="preserve">BU041-TEF-SPL</t>
  </si>
  <si>
    <t xml:space="preserve">S1.00X007</t>
  </si>
  <si>
    <t xml:space="preserve">V90136</t>
  </si>
  <si>
    <t xml:space="preserve">FFKM-011-SZ495</t>
  </si>
  <si>
    <t xml:space="preserve">QR-021</t>
  </si>
  <si>
    <t xml:space="preserve">SN70011</t>
  </si>
  <si>
    <t xml:space="preserve">SN70109</t>
  </si>
  <si>
    <t xml:space="preserve">N2.40X069.3</t>
  </si>
  <si>
    <t xml:space="preserve">BU011-B90</t>
  </si>
  <si>
    <t xml:space="preserve">34091</t>
  </si>
  <si>
    <t xml:space="preserve">BU127-TEF-SPL</t>
  </si>
  <si>
    <t xml:space="preserve">S70338</t>
  </si>
  <si>
    <t xml:space="preserve">BU369-B90</t>
  </si>
  <si>
    <t xml:space="preserve">30659</t>
  </si>
  <si>
    <t xml:space="preserve">B70105-NSF</t>
  </si>
  <si>
    <t xml:space="preserve">TEF135</t>
  </si>
  <si>
    <t xml:space="preserve">34684</t>
  </si>
  <si>
    <t xml:space="preserve">BU028-TEF-SPL</t>
  </si>
  <si>
    <t xml:space="preserve">34064</t>
  </si>
  <si>
    <t xml:space="preserve">E70005</t>
  </si>
  <si>
    <t xml:space="preserve">30891</t>
  </si>
  <si>
    <t xml:space="preserve">E70316</t>
  </si>
  <si>
    <t xml:space="preserve">S70269</t>
  </si>
  <si>
    <t xml:space="preserve">34527</t>
  </si>
  <si>
    <t xml:space="preserve">S70372</t>
  </si>
  <si>
    <t xml:space="preserve">FDABV75114</t>
  </si>
  <si>
    <t xml:space="preserve">34935</t>
  </si>
  <si>
    <t xml:space="preserve">N1.50X037</t>
  </si>
  <si>
    <t xml:space="preserve">N6.00X048</t>
  </si>
  <si>
    <t xml:space="preserve">H-438-RTX</t>
  </si>
  <si>
    <t xml:space="preserve">34895</t>
  </si>
  <si>
    <t xml:space="preserve">BU243-B90</t>
  </si>
  <si>
    <t xml:space="preserve">BU254-TEF-SPL</t>
  </si>
  <si>
    <t xml:space="preserve">E70111</t>
  </si>
  <si>
    <t xml:space="preserve">34992</t>
  </si>
  <si>
    <t xml:space="preserve">V2.00X054</t>
  </si>
  <si>
    <t xml:space="preserve">31746</t>
  </si>
  <si>
    <t xml:space="preserve">FDABV75341</t>
  </si>
  <si>
    <t xml:space="preserve">34179</t>
  </si>
  <si>
    <t xml:space="preserve">BU331-TEF-SPL</t>
  </si>
  <si>
    <t xml:space="preserve">BU227-B90</t>
  </si>
  <si>
    <t xml:space="preserve">FDABV75209</t>
  </si>
  <si>
    <t xml:space="preserve">N1.78X003.2</t>
  </si>
  <si>
    <t xml:space="preserve">V3.00X024</t>
  </si>
  <si>
    <t xml:space="preserve">N1.00X019</t>
  </si>
  <si>
    <t xml:space="preserve">BU252-B90</t>
  </si>
  <si>
    <t xml:space="preserve">V3.00X031.5</t>
  </si>
  <si>
    <t xml:space="preserve">B90907</t>
  </si>
  <si>
    <t xml:space="preserve">TEF227</t>
  </si>
  <si>
    <t xml:space="preserve">E70119</t>
  </si>
  <si>
    <t xml:space="preserve">B90036</t>
  </si>
  <si>
    <t xml:space="preserve">V75125</t>
  </si>
  <si>
    <t xml:space="preserve">N1.60X011.1</t>
  </si>
  <si>
    <t xml:space="preserve">E70355</t>
  </si>
  <si>
    <t xml:space="preserve">B90143</t>
  </si>
  <si>
    <t xml:space="preserve">N2.50X017.5</t>
  </si>
  <si>
    <t xml:space="preserve">A75143</t>
  </si>
  <si>
    <t xml:space="preserve">N2.65X035.5</t>
  </si>
  <si>
    <t xml:space="preserve">V75279</t>
  </si>
  <si>
    <t xml:space="preserve">S70329</t>
  </si>
  <si>
    <t xml:space="preserve">33853</t>
  </si>
  <si>
    <t xml:space="preserve">B70327-NSF</t>
  </si>
  <si>
    <t xml:space="preserve">H-0750</t>
  </si>
  <si>
    <t xml:space="preserve">35223</t>
  </si>
  <si>
    <t xml:space="preserve">S2.00X058</t>
  </si>
  <si>
    <t xml:space="preserve">N4.00X023</t>
  </si>
  <si>
    <t xml:space="preserve">V75247</t>
  </si>
  <si>
    <t xml:space="preserve">V90015</t>
  </si>
  <si>
    <t xml:space="preserve">BU133-P</t>
  </si>
  <si>
    <t xml:space="preserve">34865</t>
  </si>
  <si>
    <t xml:space="preserve">N4.00X024</t>
  </si>
  <si>
    <t xml:space="preserve">30485</t>
  </si>
  <si>
    <t xml:space="preserve">N2.00X055</t>
  </si>
  <si>
    <t xml:space="preserve">N1.30X013.5</t>
  </si>
  <si>
    <t xml:space="preserve">33164</t>
  </si>
  <si>
    <t xml:space="preserve">B70318</t>
  </si>
  <si>
    <t xml:space="preserve">33115</t>
  </si>
  <si>
    <t xml:space="preserve">N0.50X006</t>
  </si>
  <si>
    <t xml:space="preserve">33290</t>
  </si>
  <si>
    <t xml:space="preserve">E70278</t>
  </si>
  <si>
    <t xml:space="preserve">33506</t>
  </si>
  <si>
    <t xml:space="preserve">S70.331</t>
  </si>
  <si>
    <t xml:space="preserve">30557</t>
  </si>
  <si>
    <t xml:space="preserve">BU140-TEF-SOL</t>
  </si>
  <si>
    <t xml:space="preserve">S70362</t>
  </si>
  <si>
    <t xml:space="preserve">B50263</t>
  </si>
  <si>
    <t xml:space="preserve">BU337-TEF-SPL</t>
  </si>
  <si>
    <t xml:space="preserve">BU142-B90</t>
  </si>
  <si>
    <t xml:space="preserve">BU210-V90</t>
  </si>
  <si>
    <t xml:space="preserve">FDABV75042</t>
  </si>
  <si>
    <t xml:space="preserve">B70206-NSF</t>
  </si>
  <si>
    <t xml:space="preserve">V3.00X030</t>
  </si>
  <si>
    <t xml:space="preserve">E70251</t>
  </si>
  <si>
    <t xml:space="preserve">TEF903</t>
  </si>
  <si>
    <t xml:space="preserve">V1.00X017.5</t>
  </si>
  <si>
    <t xml:space="preserve">B70257</t>
  </si>
  <si>
    <t xml:space="preserve">B50322</t>
  </si>
  <si>
    <t xml:space="preserve">34346</t>
  </si>
  <si>
    <t xml:space="preserve">FFKM-126-SZ484</t>
  </si>
  <si>
    <t xml:space="preserve">B70369</t>
  </si>
  <si>
    <t xml:space="preserve">B50130</t>
  </si>
  <si>
    <t xml:space="preserve">E70309</t>
  </si>
  <si>
    <t xml:space="preserve">PO30355</t>
  </si>
  <si>
    <t xml:space="preserve">FFKM-120-SZ498</t>
  </si>
  <si>
    <t xml:space="preserve">B90037</t>
  </si>
  <si>
    <t xml:space="preserve">BU110-TEF-SPL</t>
  </si>
  <si>
    <t xml:space="preserve">B90120</t>
  </si>
  <si>
    <t xml:space="preserve">BU128-TEF-SPL</t>
  </si>
  <si>
    <t xml:space="preserve">S70163</t>
  </si>
  <si>
    <t xml:space="preserve">BV75123</t>
  </si>
  <si>
    <t xml:space="preserve">FFKM-131-SZ485</t>
  </si>
  <si>
    <t xml:space="preserve">33850</t>
  </si>
  <si>
    <t xml:space="preserve">U250-1.500-250B</t>
  </si>
  <si>
    <t xml:space="preserve">31881</t>
  </si>
  <si>
    <t xml:space="preserve">N1.50X014.5</t>
  </si>
  <si>
    <t xml:space="preserve">B70389</t>
  </si>
  <si>
    <t xml:space="preserve">35076</t>
  </si>
  <si>
    <t xml:space="preserve">E70131</t>
  </si>
  <si>
    <t xml:space="preserve">34819</t>
  </si>
  <si>
    <t xml:space="preserve">BU209-B90</t>
  </si>
  <si>
    <t xml:space="preserve">U250-1.000-375B</t>
  </si>
  <si>
    <t xml:space="preserve">6226-01</t>
  </si>
  <si>
    <t xml:space="preserve">31570</t>
  </si>
  <si>
    <t xml:space="preserve">N1.30X002.5</t>
  </si>
  <si>
    <t xml:space="preserve">S70238</t>
  </si>
  <si>
    <t xml:space="preserve">H70222</t>
  </si>
  <si>
    <t xml:space="preserve">QV-146</t>
  </si>
  <si>
    <t xml:space="preserve">33330</t>
  </si>
  <si>
    <t xml:space="preserve">B90138</t>
  </si>
  <si>
    <t xml:space="preserve">BU329-TEF-SPL</t>
  </si>
  <si>
    <t xml:space="preserve">32891</t>
  </si>
  <si>
    <t xml:space="preserve">BV75382</t>
  </si>
  <si>
    <t xml:space="preserve">WN70116</t>
  </si>
  <si>
    <t xml:space="preserve">BV75346</t>
  </si>
  <si>
    <t xml:space="preserve">30712</t>
  </si>
  <si>
    <t xml:space="preserve">B70346-NSF</t>
  </si>
  <si>
    <t xml:space="preserve">V1.50X012</t>
  </si>
  <si>
    <t xml:space="preserve">E70901</t>
  </si>
  <si>
    <t xml:space="preserve">34431</t>
  </si>
  <si>
    <t xml:space="preserve">612-200-050</t>
  </si>
  <si>
    <t xml:space="preserve">PR27-N85</t>
  </si>
  <si>
    <t xml:space="preserve">QR-327</t>
  </si>
  <si>
    <t xml:space="preserve">E70254</t>
  </si>
  <si>
    <t xml:space="preserve">BU332-P</t>
  </si>
  <si>
    <t xml:space="preserve">V1.80X007.5-GR</t>
  </si>
  <si>
    <t xml:space="preserve">TEF024</t>
  </si>
  <si>
    <t xml:space="preserve">E70279</t>
  </si>
  <si>
    <t xml:space="preserve">33918</t>
  </si>
  <si>
    <t xml:space="preserve">WN70016</t>
  </si>
  <si>
    <t xml:space="preserve">A75258</t>
  </si>
  <si>
    <t xml:space="preserve">DWS1.875</t>
  </si>
  <si>
    <t xml:space="preserve">V75041</t>
  </si>
  <si>
    <t xml:space="preserve">E70031</t>
  </si>
  <si>
    <t xml:space="preserve">SV75012</t>
  </si>
  <si>
    <t xml:space="preserve">32775</t>
  </si>
  <si>
    <t xml:space="preserve">B90115</t>
  </si>
  <si>
    <t xml:space="preserve">E70447</t>
  </si>
  <si>
    <t xml:space="preserve">S70221</t>
  </si>
  <si>
    <t xml:space="preserve">31214</t>
  </si>
  <si>
    <t xml:space="preserve">B70019-NSF</t>
  </si>
  <si>
    <t xml:space="preserve">N2.00X137</t>
  </si>
  <si>
    <t xml:space="preserve">B70271</t>
  </si>
  <si>
    <t xml:space="preserve">33642</t>
  </si>
  <si>
    <t xml:space="preserve">DWS1.250</t>
  </si>
  <si>
    <t xml:space="preserve">33629</t>
  </si>
  <si>
    <t xml:space="preserve">S70244</t>
  </si>
  <si>
    <t xml:space="preserve">BU339-B90</t>
  </si>
  <si>
    <t xml:space="preserve">TEF1.50X002</t>
  </si>
  <si>
    <t xml:space="preserve">FS70030</t>
  </si>
  <si>
    <t xml:space="preserve">30742</t>
  </si>
  <si>
    <t xml:space="preserve">B70024-NSF</t>
  </si>
  <si>
    <t xml:space="preserve">S70205</t>
  </si>
  <si>
    <t xml:space="preserve">33209</t>
  </si>
  <si>
    <t xml:space="preserve">BU130-TEF-SPL</t>
  </si>
  <si>
    <t xml:space="preserve">30942</t>
  </si>
  <si>
    <t xml:space="preserve">TEF322</t>
  </si>
  <si>
    <t xml:space="preserve">34425</t>
  </si>
  <si>
    <t xml:space="preserve">PR08-F80</t>
  </si>
  <si>
    <t xml:space="preserve">34480</t>
  </si>
  <si>
    <t xml:space="preserve">FDABV75201</t>
  </si>
  <si>
    <t xml:space="preserve">FDABV75363</t>
  </si>
  <si>
    <t xml:space="preserve">GV75008</t>
  </si>
  <si>
    <t xml:space="preserve">V75903</t>
  </si>
  <si>
    <t xml:space="preserve">32259</t>
  </si>
  <si>
    <t xml:space="preserve">BU334-TEF-SPL</t>
  </si>
  <si>
    <t xml:space="preserve">S1.00X020</t>
  </si>
  <si>
    <t xml:space="preserve">BU443-B90</t>
  </si>
  <si>
    <t xml:space="preserve">34870</t>
  </si>
  <si>
    <t xml:space="preserve">TEF016</t>
  </si>
  <si>
    <t xml:space="preserve">B50163</t>
  </si>
  <si>
    <t xml:space="preserve">B70916</t>
  </si>
  <si>
    <t xml:space="preserve">C70.210</t>
  </si>
  <si>
    <t xml:space="preserve">Cord C70</t>
  </si>
  <si>
    <t xml:space="preserve">30469</t>
  </si>
  <si>
    <t xml:space="preserve">E70237</t>
  </si>
  <si>
    <t xml:space="preserve">BU213-TEF-SPL</t>
  </si>
  <si>
    <t xml:space="preserve">FFKM-046-SZ485</t>
  </si>
  <si>
    <t xml:space="preserve">FDABV75206</t>
  </si>
  <si>
    <t xml:space="preserve">31598</t>
  </si>
  <si>
    <t xml:space="preserve">V1.60X007.1</t>
  </si>
  <si>
    <t xml:space="preserve">E2.50X015</t>
  </si>
  <si>
    <t xml:space="preserve">E70127</t>
  </si>
  <si>
    <t xml:space="preserve">30394</t>
  </si>
  <si>
    <t xml:space="preserve">S1.00X014</t>
  </si>
  <si>
    <t xml:space="preserve">31275</t>
  </si>
  <si>
    <t xml:space="preserve">BU343-P</t>
  </si>
  <si>
    <t xml:space="preserve">32632</t>
  </si>
  <si>
    <t xml:space="preserve">V90023</t>
  </si>
  <si>
    <t xml:space="preserve">V75163</t>
  </si>
  <si>
    <t xml:space="preserve">34726</t>
  </si>
  <si>
    <t xml:space="preserve">V1.50X020-BR</t>
  </si>
  <si>
    <t xml:space="preserve">S70123</t>
  </si>
  <si>
    <t xml:space="preserve">V75166</t>
  </si>
  <si>
    <t xml:space="preserve">S70259</t>
  </si>
  <si>
    <t xml:space="preserve">N5.00X006</t>
  </si>
  <si>
    <t xml:space="preserve">N4.50X051</t>
  </si>
  <si>
    <t xml:space="preserve">V3.50X048.7</t>
  </si>
  <si>
    <t xml:space="preserve">31744</t>
  </si>
  <si>
    <t xml:space="preserve">SN70115</t>
  </si>
  <si>
    <t xml:space="preserve">FS70320</t>
  </si>
  <si>
    <t xml:space="preserve">V75266</t>
  </si>
  <si>
    <t xml:space="preserve">34584</t>
  </si>
  <si>
    <t xml:space="preserve">BU009-TEF-SOL</t>
  </si>
  <si>
    <t xml:space="preserve">B50327</t>
  </si>
  <si>
    <t xml:space="preserve">N2.20X018</t>
  </si>
  <si>
    <t xml:space="preserve">34964</t>
  </si>
  <si>
    <t xml:space="preserve">BU018-V90</t>
  </si>
  <si>
    <t xml:space="preserve">V4.50X027</t>
  </si>
  <si>
    <t xml:space="preserve">N3.00X026</t>
  </si>
  <si>
    <t xml:space="preserve">S70024</t>
  </si>
  <si>
    <t xml:space="preserve">V2.50X034</t>
  </si>
  <si>
    <t xml:space="preserve">BU154-TEF-SOL</t>
  </si>
  <si>
    <t xml:space="preserve">33947</t>
  </si>
  <si>
    <t xml:space="preserve">E70206-NSF</t>
  </si>
  <si>
    <t xml:space="preserve">E70046</t>
  </si>
  <si>
    <t xml:space="preserve">35094</t>
  </si>
  <si>
    <t xml:space="preserve">BV75050</t>
  </si>
  <si>
    <t xml:space="preserve">TEF139</t>
  </si>
  <si>
    <t xml:space="preserve">N1.00X072</t>
  </si>
  <si>
    <t xml:space="preserve">6226-49-E70</t>
  </si>
  <si>
    <t xml:space="preserve">V75924</t>
  </si>
  <si>
    <t xml:space="preserve">B90005</t>
  </si>
  <si>
    <t xml:space="preserve">V2.40X008.6</t>
  </si>
  <si>
    <t xml:space="preserve">S70230</t>
  </si>
  <si>
    <t xml:space="preserve">A75332</t>
  </si>
  <si>
    <t xml:space="preserve">PR22-N85</t>
  </si>
  <si>
    <t xml:space="preserve">AN-31-SH</t>
  </si>
  <si>
    <t xml:space="preserve">30627</t>
  </si>
  <si>
    <t xml:space="preserve">S70380</t>
  </si>
  <si>
    <t xml:space="preserve">B90149</t>
  </si>
  <si>
    <t xml:space="preserve">B90336</t>
  </si>
  <si>
    <t xml:space="preserve">QR-110</t>
  </si>
  <si>
    <t xml:space="preserve">BV75001</t>
  </si>
  <si>
    <t xml:space="preserve">TPO09</t>
  </si>
  <si>
    <t xml:space="preserve">34260</t>
  </si>
  <si>
    <t xml:space="preserve">N2.00X027</t>
  </si>
  <si>
    <t xml:space="preserve">N2.00X039.5</t>
  </si>
  <si>
    <t xml:space="preserve">31417</t>
  </si>
  <si>
    <t xml:space="preserve">V90330</t>
  </si>
  <si>
    <t xml:space="preserve">BU127-TEF-SOL</t>
  </si>
  <si>
    <t xml:space="preserve">B70116-NSF</t>
  </si>
  <si>
    <t xml:space="preserve">B90139</t>
  </si>
  <si>
    <t xml:space="preserve">N2.40X079.3</t>
  </si>
  <si>
    <t xml:space="preserve">V2.50X060</t>
  </si>
  <si>
    <t xml:space="preserve">B50229</t>
  </si>
  <si>
    <t xml:space="preserve">H70909</t>
  </si>
  <si>
    <t xml:space="preserve">PS1704C-020</t>
  </si>
  <si>
    <t xml:space="preserve">FDABV75242</t>
  </si>
  <si>
    <t xml:space="preserve">TEV366</t>
  </si>
  <si>
    <t xml:space="preserve">S70314</t>
  </si>
  <si>
    <t xml:space="preserve">UC70023</t>
  </si>
  <si>
    <t xml:space="preserve">N3.20X019</t>
  </si>
  <si>
    <t xml:space="preserve">30515</t>
  </si>
  <si>
    <t xml:space="preserve">E70047</t>
  </si>
  <si>
    <t xml:space="preserve">V1.00X049</t>
  </si>
  <si>
    <t xml:space="preserve">33058</t>
  </si>
  <si>
    <t xml:space="preserve">BU342-B90</t>
  </si>
  <si>
    <t xml:space="preserve">N1.50X041</t>
  </si>
  <si>
    <t xml:space="preserve">33100</t>
  </si>
  <si>
    <t xml:space="preserve">BU032-B90</t>
  </si>
  <si>
    <t xml:space="preserve">V90222</t>
  </si>
  <si>
    <t xml:space="preserve">32545</t>
  </si>
  <si>
    <t xml:space="preserve">V75220</t>
  </si>
  <si>
    <t xml:space="preserve">BU030-TEF-SPL</t>
  </si>
  <si>
    <t xml:space="preserve">FDABV75314</t>
  </si>
  <si>
    <t xml:space="preserve">FDABV75213</t>
  </si>
  <si>
    <t xml:space="preserve">32440</t>
  </si>
  <si>
    <t xml:space="preserve">U125-1.000-125B</t>
  </si>
  <si>
    <t xml:space="preserve">V3.00X057</t>
  </si>
  <si>
    <t xml:space="preserve">S70241</t>
  </si>
  <si>
    <t xml:space="preserve">33872</t>
  </si>
  <si>
    <t xml:space="preserve">V1.00X015.5</t>
  </si>
  <si>
    <t xml:space="preserve">612-275-100</t>
  </si>
  <si>
    <t xml:space="preserve">E2.00X017</t>
  </si>
  <si>
    <t xml:space="preserve">BU112-TEF-SPL</t>
  </si>
  <si>
    <t xml:space="preserve">CV75027</t>
  </si>
  <si>
    <t xml:space="preserve">B90255</t>
  </si>
  <si>
    <t xml:space="preserve">S3.00X042</t>
  </si>
  <si>
    <t xml:space="preserve">N2.50X003</t>
  </si>
  <si>
    <t xml:space="preserve">BU137-TEF-SOL</t>
  </si>
  <si>
    <t xml:space="preserve">N1.50X023</t>
  </si>
  <si>
    <t xml:space="preserve">E4.00X022</t>
  </si>
  <si>
    <t xml:space="preserve">B90162</t>
  </si>
  <si>
    <t xml:space="preserve">34394</t>
  </si>
  <si>
    <t xml:space="preserve">C70224</t>
  </si>
  <si>
    <t xml:space="preserve">B70341-NSF</t>
  </si>
  <si>
    <t xml:space="preserve">S3.00X005</t>
  </si>
  <si>
    <t xml:space="preserve">BU115-TEF-SPL</t>
  </si>
  <si>
    <t xml:space="preserve">N3.00X014.5</t>
  </si>
  <si>
    <t xml:space="preserve">34188</t>
  </si>
  <si>
    <t xml:space="preserve">S70041</t>
  </si>
  <si>
    <t xml:space="preserve">34125</t>
  </si>
  <si>
    <t xml:space="preserve">BU210-TEF-SOL</t>
  </si>
  <si>
    <t xml:space="preserve">SN70439</t>
  </si>
  <si>
    <t xml:space="preserve">QR-212</t>
  </si>
  <si>
    <t xml:space="preserve">E70140</t>
  </si>
  <si>
    <t xml:space="preserve">H70108</t>
  </si>
  <si>
    <t xml:space="preserve">BU033-B90</t>
  </si>
  <si>
    <t xml:space="preserve">33590</t>
  </si>
  <si>
    <t xml:space="preserve">B90045</t>
  </si>
  <si>
    <t xml:space="preserve">BV75237</t>
  </si>
  <si>
    <t xml:space="preserve">31896</t>
  </si>
  <si>
    <t xml:space="preserve">N1.50X035</t>
  </si>
  <si>
    <t xml:space="preserve">35254</t>
  </si>
  <si>
    <t xml:space="preserve">TEF005</t>
  </si>
  <si>
    <t xml:space="preserve">V90111</t>
  </si>
  <si>
    <t xml:space="preserve">BV75916</t>
  </si>
  <si>
    <t xml:space="preserve">E70241</t>
  </si>
  <si>
    <t xml:space="preserve">V75039</t>
  </si>
  <si>
    <t xml:space="preserve">B50439</t>
  </si>
  <si>
    <t xml:space="preserve">N2.00X020</t>
  </si>
  <si>
    <t xml:space="preserve">V3.00X011</t>
  </si>
  <si>
    <t xml:space="preserve">BV75144</t>
  </si>
  <si>
    <t xml:space="preserve">V2.00X062.5</t>
  </si>
  <si>
    <t xml:space="preserve">N1.50X063</t>
  </si>
  <si>
    <t xml:space="preserve">BU023-B90</t>
  </si>
  <si>
    <t xml:space="preserve">30550</t>
  </si>
  <si>
    <t xml:space="preserve">B50442</t>
  </si>
  <si>
    <t xml:space="preserve">B70379</t>
  </si>
  <si>
    <t xml:space="preserve">BU032-TEF-SPL</t>
  </si>
  <si>
    <t xml:space="preserve">E70908</t>
  </si>
  <si>
    <t xml:space="preserve">PB12-200-062-SC</t>
  </si>
  <si>
    <t xml:space="preserve">33833</t>
  </si>
  <si>
    <t xml:space="preserve">V90233</t>
  </si>
  <si>
    <t xml:space="preserve">BU010-TEF-SPL</t>
  </si>
  <si>
    <t xml:space="preserve">B70243</t>
  </si>
  <si>
    <t xml:space="preserve">FFKM-017-SZ485</t>
  </si>
  <si>
    <t xml:space="preserve">33707</t>
  </si>
  <si>
    <t xml:space="preserve">B70339</t>
  </si>
  <si>
    <t xml:space="preserve">V75046</t>
  </si>
  <si>
    <t xml:space="preserve">B90205</t>
  </si>
  <si>
    <t xml:space="preserve">B90136</t>
  </si>
  <si>
    <t xml:space="preserve">BV75225</t>
  </si>
  <si>
    <t xml:space="preserve">BV75381</t>
  </si>
  <si>
    <t xml:space="preserve">B70146-NSF</t>
  </si>
  <si>
    <t xml:space="preserve">V2.50X056</t>
  </si>
  <si>
    <t xml:space="preserve">30420</t>
  </si>
  <si>
    <t xml:space="preserve">TEF012</t>
  </si>
  <si>
    <t xml:space="preserve">SV75131</t>
  </si>
  <si>
    <t xml:space="preserve">BU228-P</t>
  </si>
  <si>
    <t xml:space="preserve">PR10-F80</t>
  </si>
  <si>
    <t xml:space="preserve">B50040</t>
  </si>
  <si>
    <t xml:space="preserve">B50233</t>
  </si>
  <si>
    <t xml:space="preserve">BV75132</t>
  </si>
  <si>
    <t xml:space="preserve">N6.00X345</t>
  </si>
  <si>
    <t xml:space="preserve">33908</t>
  </si>
  <si>
    <t xml:space="preserve">BU113-TEF-SPL</t>
  </si>
  <si>
    <t xml:space="preserve">B50225</t>
  </si>
  <si>
    <t xml:space="preserve">B90209</t>
  </si>
  <si>
    <t xml:space="preserve">34081</t>
  </si>
  <si>
    <t xml:space="preserve">E70373</t>
  </si>
  <si>
    <t xml:space="preserve">V90125</t>
  </si>
  <si>
    <t xml:space="preserve">TEF018</t>
  </si>
  <si>
    <t xml:space="preserve">30588</t>
  </si>
  <si>
    <t xml:space="preserve">V3.50X020</t>
  </si>
  <si>
    <t xml:space="preserve">BU340-B90</t>
  </si>
  <si>
    <t xml:space="preserve">V75222-MS</t>
  </si>
  <si>
    <t xml:space="preserve">N2.00X010.5</t>
  </si>
  <si>
    <t xml:space="preserve">B90323</t>
  </si>
  <si>
    <t xml:space="preserve">E70344</t>
  </si>
  <si>
    <t xml:space="preserve">32942</t>
  </si>
  <si>
    <t xml:space="preserve">BU218-B90</t>
  </si>
  <si>
    <t xml:space="preserve">S70127</t>
  </si>
  <si>
    <t xml:space="preserve">31916</t>
  </si>
  <si>
    <t xml:space="preserve">BU237-P</t>
  </si>
  <si>
    <t xml:space="preserve">FDABV75255</t>
  </si>
  <si>
    <t xml:space="preserve">FS70020</t>
  </si>
  <si>
    <t xml:space="preserve">B90022</t>
  </si>
  <si>
    <t xml:space="preserve">S70228</t>
  </si>
  <si>
    <t xml:space="preserve">34770</t>
  </si>
  <si>
    <t xml:space="preserve">IIR70023</t>
  </si>
  <si>
    <t xml:space="preserve">30747</t>
  </si>
  <si>
    <t xml:space="preserve">B70374</t>
  </si>
  <si>
    <t xml:space="preserve">S70349</t>
  </si>
  <si>
    <t xml:space="preserve">S2.00X008</t>
  </si>
  <si>
    <t xml:space="preserve">BU452-V90</t>
  </si>
  <si>
    <t xml:space="preserve">QR-032</t>
  </si>
  <si>
    <t xml:space="preserve">BU256-V90</t>
  </si>
  <si>
    <t xml:space="preserve">TEV445</t>
  </si>
  <si>
    <t xml:space="preserve">S2.00X044</t>
  </si>
  <si>
    <t xml:space="preserve">N1.50X047</t>
  </si>
  <si>
    <t xml:space="preserve">N1.00X030</t>
  </si>
  <si>
    <t xml:space="preserve">33895</t>
  </si>
  <si>
    <t xml:space="preserve">WN70003</t>
  </si>
  <si>
    <t xml:space="preserve">BU155-TEF-SOL</t>
  </si>
  <si>
    <t xml:space="preserve">SPI-0200-1-03</t>
  </si>
  <si>
    <t xml:space="preserve">33186</t>
  </si>
  <si>
    <t xml:space="preserve">B70164</t>
  </si>
  <si>
    <t xml:space="preserve">E70245</t>
  </si>
  <si>
    <t xml:space="preserve">34534</t>
  </si>
  <si>
    <t xml:space="preserve">N4.00X022</t>
  </si>
  <si>
    <t xml:space="preserve">BU218-V90</t>
  </si>
  <si>
    <t xml:space="preserve">S70005</t>
  </si>
  <si>
    <t xml:space="preserve">33889</t>
  </si>
  <si>
    <t xml:space="preserve">V75173</t>
  </si>
  <si>
    <t xml:space="preserve">V90913</t>
  </si>
  <si>
    <t xml:space="preserve">BU115-B90</t>
  </si>
  <si>
    <t xml:space="preserve">BU212-TEF-SPL</t>
  </si>
  <si>
    <t xml:space="preserve">33879</t>
  </si>
  <si>
    <t xml:space="preserve">N2.40X015.8-VN10</t>
  </si>
  <si>
    <t xml:space="preserve">S70334</t>
  </si>
  <si>
    <t xml:space="preserve">B90332</t>
  </si>
  <si>
    <t xml:space="preserve">TEF238</t>
  </si>
  <si>
    <t xml:space="preserve">BV75325</t>
  </si>
  <si>
    <t xml:space="preserve">QR-388</t>
  </si>
  <si>
    <t xml:space="preserve">B50149</t>
  </si>
  <si>
    <t xml:space="preserve">V75427</t>
  </si>
  <si>
    <t xml:space="preserve">S1.50X004</t>
  </si>
  <si>
    <t xml:space="preserve">34058</t>
  </si>
  <si>
    <t xml:space="preserve">S70150</t>
  </si>
  <si>
    <t xml:space="preserve">B90901</t>
  </si>
  <si>
    <t xml:space="preserve">V75337-MD</t>
  </si>
  <si>
    <t xml:space="preserve">B90026</t>
  </si>
  <si>
    <t xml:space="preserve">V75201</t>
  </si>
  <si>
    <t xml:space="preserve">32327</t>
  </si>
  <si>
    <t xml:space="preserve">WN70020</t>
  </si>
  <si>
    <t xml:space="preserve">B70419</t>
  </si>
  <si>
    <t xml:space="preserve">QR-005</t>
  </si>
  <si>
    <t xml:space="preserve">B50211</t>
  </si>
  <si>
    <t xml:space="preserve">BU112-B90</t>
  </si>
  <si>
    <t xml:space="preserve">612-300-025</t>
  </si>
  <si>
    <t xml:space="preserve">32614</t>
  </si>
  <si>
    <t xml:space="preserve">DWS2.750</t>
  </si>
  <si>
    <t xml:space="preserve">A75359</t>
  </si>
  <si>
    <t xml:space="preserve">N1.00X038</t>
  </si>
  <si>
    <t xml:space="preserve">S70144</t>
  </si>
  <si>
    <t xml:space="preserve">33835</t>
  </si>
  <si>
    <t xml:space="preserve">QR-218</t>
  </si>
  <si>
    <t xml:space="preserve">B90221</t>
  </si>
  <si>
    <t xml:space="preserve">C70211</t>
  </si>
  <si>
    <t xml:space="preserve">BU007-TEF-SOL</t>
  </si>
  <si>
    <t xml:space="preserve">E70358</t>
  </si>
  <si>
    <t xml:space="preserve">N3.50X031.2</t>
  </si>
  <si>
    <t xml:space="preserve">B90226</t>
  </si>
  <si>
    <t xml:space="preserve">E70327</t>
  </si>
  <si>
    <t xml:space="preserve">33189</t>
  </si>
  <si>
    <t xml:space="preserve">V1.00X036.5</t>
  </si>
  <si>
    <t xml:space="preserve">FS70924</t>
  </si>
  <si>
    <t xml:space="preserve">WN70210</t>
  </si>
  <si>
    <t xml:space="preserve">33890</t>
  </si>
  <si>
    <t xml:space="preserve">S70167</t>
  </si>
  <si>
    <t xml:space="preserve">TEF1.00X015</t>
  </si>
  <si>
    <t xml:space="preserve">34490</t>
  </si>
  <si>
    <t xml:space="preserve">TEF1.00X011</t>
  </si>
  <si>
    <t xml:space="preserve">E70242</t>
  </si>
  <si>
    <t xml:space="preserve">33059</t>
  </si>
  <si>
    <t xml:space="preserve">U125-1.250-187B</t>
  </si>
  <si>
    <t xml:space="preserve">N2.00X013</t>
  </si>
  <si>
    <t xml:space="preserve">FDABV75332</t>
  </si>
  <si>
    <t xml:space="preserve">BV75223</t>
  </si>
  <si>
    <t xml:space="preserve">B90131</t>
  </si>
  <si>
    <t xml:space="preserve">S2.50X055</t>
  </si>
  <si>
    <t xml:space="preserve">PR18-N85</t>
  </si>
  <si>
    <t xml:space="preserve">34338</t>
  </si>
  <si>
    <t xml:space="preserve">PR60-F80</t>
  </si>
  <si>
    <t xml:space="preserve">N2.50X020.5</t>
  </si>
  <si>
    <t xml:space="preserve">AN-15-SH</t>
  </si>
  <si>
    <t xml:space="preserve">B90118</t>
  </si>
  <si>
    <t xml:space="preserve">33631</t>
  </si>
  <si>
    <t xml:space="preserve">V90117</t>
  </si>
  <si>
    <t xml:space="preserve">AM54-15002125-312</t>
  </si>
  <si>
    <t xml:space="preserve">34872</t>
  </si>
  <si>
    <t xml:space="preserve">H1.00X006</t>
  </si>
  <si>
    <t xml:space="preserve">B70914</t>
  </si>
  <si>
    <t xml:space="preserve">BU217-B90</t>
  </si>
  <si>
    <t xml:space="preserve">612-200-025</t>
  </si>
  <si>
    <t xml:space="preserve">B50119</t>
  </si>
  <si>
    <t xml:space="preserve">BV75365</t>
  </si>
  <si>
    <t xml:space="preserve">TES126</t>
  </si>
  <si>
    <t xml:space="preserve">33968</t>
  </si>
  <si>
    <t xml:space="preserve">B70447</t>
  </si>
  <si>
    <t xml:space="preserve">BU013-B90</t>
  </si>
  <si>
    <t xml:space="preserve">HNBR2.00X004</t>
  </si>
  <si>
    <t xml:space="preserve">Metric HNBR</t>
  </si>
  <si>
    <t xml:space="preserve">BU111-TEF-SPL</t>
  </si>
  <si>
    <t xml:space="preserve">V75312</t>
  </si>
  <si>
    <t xml:space="preserve">31921</t>
  </si>
  <si>
    <t xml:space="preserve">B70918</t>
  </si>
  <si>
    <t xml:space="preserve">TEF334</t>
  </si>
  <si>
    <t xml:space="preserve">WN70114</t>
  </si>
  <si>
    <t xml:space="preserve">FDABV75012</t>
  </si>
  <si>
    <t xml:space="preserve">N3.00X046</t>
  </si>
  <si>
    <t xml:space="preserve">B90140</t>
  </si>
  <si>
    <t xml:space="preserve">BU131-TEF-SPL</t>
  </si>
  <si>
    <t xml:space="preserve">FDABV75320</t>
  </si>
  <si>
    <t xml:space="preserve">34207</t>
  </si>
  <si>
    <t xml:space="preserve">E70365</t>
  </si>
  <si>
    <t xml:space="preserve">S3.00X010</t>
  </si>
  <si>
    <t xml:space="preserve">V75147</t>
  </si>
  <si>
    <t xml:space="preserve">6226-49</t>
  </si>
  <si>
    <t xml:space="preserve">30639</t>
  </si>
  <si>
    <t xml:space="preserve">B70325-NSF</t>
  </si>
  <si>
    <t xml:space="preserve">N1.50X021.5</t>
  </si>
  <si>
    <t xml:space="preserve">B90174</t>
  </si>
  <si>
    <t xml:space="preserve">N5.70X194.3</t>
  </si>
  <si>
    <t xml:space="preserve">B50334</t>
  </si>
  <si>
    <t xml:space="preserve">V75379</t>
  </si>
  <si>
    <t xml:space="preserve">33670</t>
  </si>
  <si>
    <t xml:space="preserve">FDABV75159</t>
  </si>
  <si>
    <t xml:space="preserve">B70354-NSF</t>
  </si>
  <si>
    <t xml:space="preserve">UL125-0.125-125</t>
  </si>
  <si>
    <t xml:space="preserve">33331</t>
  </si>
  <si>
    <t xml:space="preserve">S3.00X033</t>
  </si>
  <si>
    <t xml:space="preserve">H70136</t>
  </si>
  <si>
    <t xml:space="preserve">V75016-MS</t>
  </si>
  <si>
    <t xml:space="preserve">33667</t>
  </si>
  <si>
    <t xml:space="preserve">SV75214</t>
  </si>
  <si>
    <t xml:space="preserve">E70238-NSF</t>
  </si>
  <si>
    <t xml:space="preserve">A75244</t>
  </si>
  <si>
    <t xml:space="preserve">E70160</t>
  </si>
  <si>
    <t xml:space="preserve">30498</t>
  </si>
  <si>
    <t xml:space="preserve">E70230</t>
  </si>
  <si>
    <t xml:space="preserve">E70143</t>
  </si>
  <si>
    <t xml:space="preserve">BV75347</t>
  </si>
  <si>
    <t xml:space="preserve">N6.00X044</t>
  </si>
  <si>
    <t xml:space="preserve">B70462</t>
  </si>
  <si>
    <t xml:space="preserve">MUU-12X18X6</t>
  </si>
  <si>
    <t xml:space="preserve">QV-118</t>
  </si>
  <si>
    <t xml:space="preserve">33089</t>
  </si>
  <si>
    <t xml:space="preserve">S70003</t>
  </si>
  <si>
    <t xml:space="preserve">B50352</t>
  </si>
  <si>
    <t xml:space="preserve">31812</t>
  </si>
  <si>
    <t xml:space="preserve">V3.50X035.2</t>
  </si>
  <si>
    <t xml:space="preserve">V3.50X037.7</t>
  </si>
  <si>
    <t xml:space="preserve">B70270</t>
  </si>
  <si>
    <t xml:space="preserve">B90343</t>
  </si>
  <si>
    <t xml:space="preserve">E1.80X005</t>
  </si>
  <si>
    <t xml:space="preserve">V1.50X007.5</t>
  </si>
  <si>
    <t xml:space="preserve">V2.50X007.5</t>
  </si>
  <si>
    <t xml:space="preserve">33491</t>
  </si>
  <si>
    <t xml:space="preserve">E70231</t>
  </si>
  <si>
    <t xml:space="preserve">33815</t>
  </si>
  <si>
    <t xml:space="preserve">V75.059</t>
  </si>
  <si>
    <t xml:space="preserve">32229</t>
  </si>
  <si>
    <t xml:space="preserve">V90216</t>
  </si>
  <si>
    <t xml:space="preserve">DWS1.375</t>
  </si>
  <si>
    <t xml:space="preserve">FS70108</t>
  </si>
  <si>
    <t xml:space="preserve">34356</t>
  </si>
  <si>
    <t xml:space="preserve">B90348</t>
  </si>
  <si>
    <t xml:space="preserve">S70240</t>
  </si>
  <si>
    <t xml:space="preserve">CV75259</t>
  </si>
  <si>
    <t xml:space="preserve">BV75246</t>
  </si>
  <si>
    <t xml:space="preserve">V90020</t>
  </si>
  <si>
    <t xml:space="preserve">DWS2.500</t>
  </si>
  <si>
    <t xml:space="preserve">34247</t>
  </si>
  <si>
    <t xml:space="preserve">BU019-TEF-SOL</t>
  </si>
  <si>
    <t xml:space="preserve">E70353</t>
  </si>
  <si>
    <t xml:space="preserve">V75417</t>
  </si>
  <si>
    <t xml:space="preserve">U187-0.375-250B</t>
  </si>
  <si>
    <t xml:space="preserve">N1.00X007</t>
  </si>
  <si>
    <t xml:space="preserve">34398</t>
  </si>
  <si>
    <t xml:space="preserve">BV75033</t>
  </si>
  <si>
    <t xml:space="preserve">33663</t>
  </si>
  <si>
    <t xml:space="preserve">V90246</t>
  </si>
  <si>
    <t xml:space="preserve">N1.60X002.8</t>
  </si>
  <si>
    <t xml:space="preserve">32161</t>
  </si>
  <si>
    <t xml:space="preserve">V3.50X032</t>
  </si>
  <si>
    <t xml:space="preserve">N3.50X040.7</t>
  </si>
  <si>
    <t xml:space="preserve">31765</t>
  </si>
  <si>
    <t xml:space="preserve">H70908-BLK</t>
  </si>
  <si>
    <t xml:space="preserve">E3.50X049.7</t>
  </si>
  <si>
    <t xml:space="preserve">BV75232</t>
  </si>
  <si>
    <t xml:space="preserve">33521</t>
  </si>
  <si>
    <t xml:space="preserve">BV75247</t>
  </si>
  <si>
    <t xml:space="preserve">BU258-B90</t>
  </si>
  <si>
    <t xml:space="preserve">E2.00X001.5</t>
  </si>
  <si>
    <t xml:space="preserve">V90210</t>
  </si>
  <si>
    <t xml:space="preserve">30640</t>
  </si>
  <si>
    <t xml:space="preserve">S70252</t>
  </si>
  <si>
    <t xml:space="preserve">33553</t>
  </si>
  <si>
    <t xml:space="preserve">V1.60X010.1</t>
  </si>
  <si>
    <t xml:space="preserve">B70283</t>
  </si>
  <si>
    <t xml:space="preserve">N2.62X012.7</t>
  </si>
  <si>
    <t xml:space="preserve">H-1250</t>
  </si>
  <si>
    <t xml:space="preserve">32451</t>
  </si>
  <si>
    <t xml:space="preserve">B90446</t>
  </si>
  <si>
    <t xml:space="preserve">N3.50X027</t>
  </si>
  <si>
    <t xml:space="preserve">E70916</t>
  </si>
  <si>
    <t xml:space="preserve">B50330</t>
  </si>
  <si>
    <t xml:space="preserve">FS70220</t>
  </si>
  <si>
    <t xml:space="preserve">FS70117</t>
  </si>
  <si>
    <t xml:space="preserve">S70131</t>
  </si>
  <si>
    <t xml:space="preserve">PO30361</t>
  </si>
  <si>
    <t xml:space="preserve">A75459</t>
  </si>
  <si>
    <t xml:space="preserve">H70213</t>
  </si>
  <si>
    <t xml:space="preserve">V75141</t>
  </si>
  <si>
    <t xml:space="preserve">E70037</t>
  </si>
  <si>
    <t xml:space="preserve">33979</t>
  </si>
  <si>
    <t xml:space="preserve">V90909</t>
  </si>
  <si>
    <t xml:space="preserve">N5.00X067</t>
  </si>
  <si>
    <t xml:space="preserve">34043</t>
  </si>
  <si>
    <t xml:space="preserve">E1.50X013</t>
  </si>
  <si>
    <t xml:space="preserve">B50125</t>
  </si>
  <si>
    <t xml:space="preserve">B70441</t>
  </si>
  <si>
    <t xml:space="preserve">BU228-B90</t>
  </si>
  <si>
    <t xml:space="preserve">E2.00X017.5</t>
  </si>
  <si>
    <t xml:space="preserve">N3.00X063</t>
  </si>
  <si>
    <t xml:space="preserve">33986</t>
  </si>
  <si>
    <t xml:space="preserve">BU211-TEF-SPL</t>
  </si>
  <si>
    <t xml:space="preserve">33334</t>
  </si>
  <si>
    <t xml:space="preserve">N0.50X030</t>
  </si>
  <si>
    <t xml:space="preserve">34292</t>
  </si>
  <si>
    <t xml:space="preserve">V75435</t>
  </si>
  <si>
    <t xml:space="preserve">S70148</t>
  </si>
  <si>
    <t xml:space="preserve">B50272</t>
  </si>
  <si>
    <t xml:space="preserve">CV75025</t>
  </si>
  <si>
    <t xml:space="preserve">S70157</t>
  </si>
  <si>
    <t xml:space="preserve">34653</t>
  </si>
  <si>
    <t xml:space="preserve">E70034-NSF</t>
  </si>
  <si>
    <t xml:space="preserve">B70451</t>
  </si>
  <si>
    <t xml:space="preserve">33807</t>
  </si>
  <si>
    <t xml:space="preserve">BV75044</t>
  </si>
  <si>
    <t xml:space="preserve">S1.00X009.5</t>
  </si>
  <si>
    <t xml:space="preserve">B50015</t>
  </si>
  <si>
    <t xml:space="preserve">V1.00X004.5</t>
  </si>
  <si>
    <t xml:space="preserve">H5.70X089.6</t>
  </si>
  <si>
    <t xml:space="preserve">N2.00X028</t>
  </si>
  <si>
    <t xml:space="preserve">S70207</t>
  </si>
  <si>
    <t xml:space="preserve">BU360-TEF-SOL</t>
  </si>
  <si>
    <t xml:space="preserve">N2.00X086</t>
  </si>
  <si>
    <t xml:space="preserve">35060</t>
  </si>
  <si>
    <t xml:space="preserve">TEF1.50X004.5</t>
  </si>
  <si>
    <t xml:space="preserve">BU141-TEF-SPL</t>
  </si>
  <si>
    <t xml:space="preserve">HNBR2.00X012</t>
  </si>
  <si>
    <t xml:space="preserve">V5.00X150</t>
  </si>
  <si>
    <t xml:space="preserve">N2.65X032.5</t>
  </si>
  <si>
    <t xml:space="preserve">B90129</t>
  </si>
  <si>
    <t xml:space="preserve">QV-008</t>
  </si>
  <si>
    <t xml:space="preserve">V75340</t>
  </si>
  <si>
    <t xml:space="preserve">34354</t>
  </si>
  <si>
    <t xml:space="preserve">FS70238</t>
  </si>
  <si>
    <t xml:space="preserve">B70924</t>
  </si>
  <si>
    <t xml:space="preserve">30652</t>
  </si>
  <si>
    <t xml:space="preserve">B90123</t>
  </si>
  <si>
    <t xml:space="preserve">U187-2.125-250B</t>
  </si>
  <si>
    <t xml:space="preserve">31803</t>
  </si>
  <si>
    <t xml:space="preserve">FDABV75128</t>
  </si>
  <si>
    <t xml:space="preserve">34808</t>
  </si>
  <si>
    <t xml:space="preserve">N2.00X018.5</t>
  </si>
  <si>
    <t xml:space="preserve">31260</t>
  </si>
  <si>
    <t xml:space="preserve">U250-0.625-250B</t>
  </si>
  <si>
    <t xml:space="preserve">33957</t>
  </si>
  <si>
    <t xml:space="preserve">S70.197</t>
  </si>
  <si>
    <t xml:space="preserve">33623</t>
  </si>
  <si>
    <t xml:space="preserve">TEF030</t>
  </si>
  <si>
    <t xml:space="preserve">AN-33-SH</t>
  </si>
  <si>
    <t xml:space="preserve">V1.80X008.76</t>
  </si>
  <si>
    <t xml:space="preserve">33896</t>
  </si>
  <si>
    <t xml:space="preserve">UL250-1.500-375B</t>
  </si>
  <si>
    <t xml:space="preserve">V75108-MS</t>
  </si>
  <si>
    <t xml:space="preserve">UL250-2.000-250</t>
  </si>
  <si>
    <t xml:space="preserve">33040</t>
  </si>
  <si>
    <t xml:space="preserve">V5.70X084.6</t>
  </si>
  <si>
    <t xml:space="preserve">H2.40X011</t>
  </si>
  <si>
    <t xml:space="preserve">V75012-MS</t>
  </si>
  <si>
    <t xml:space="preserve">33066</t>
  </si>
  <si>
    <t xml:space="preserve">N3.00X064</t>
  </si>
  <si>
    <t xml:space="preserve">6226-27</t>
  </si>
  <si>
    <t xml:space="preserve">31387</t>
  </si>
  <si>
    <t xml:space="preserve">E70263</t>
  </si>
  <si>
    <t xml:space="preserve">BU135-TEF-SOL</t>
  </si>
  <si>
    <t xml:space="preserve">6226-19</t>
  </si>
  <si>
    <t xml:space="preserve">S70322</t>
  </si>
  <si>
    <t xml:space="preserve">E70203</t>
  </si>
  <si>
    <t xml:space="preserve">31622</t>
  </si>
  <si>
    <t xml:space="preserve">CV75024</t>
  </si>
  <si>
    <t xml:space="preserve">N4.00X220</t>
  </si>
  <si>
    <t xml:space="preserve">B50437</t>
  </si>
  <si>
    <t xml:space="preserve">N3.50X076</t>
  </si>
  <si>
    <t xml:space="preserve">V75217-MD</t>
  </si>
  <si>
    <t xml:space="preserve">B70373</t>
  </si>
  <si>
    <t xml:space="preserve">N2.50X033</t>
  </si>
  <si>
    <t xml:space="preserve">V75441-MS</t>
  </si>
  <si>
    <t xml:space="preserve">31894</t>
  </si>
  <si>
    <t xml:space="preserve">B70018-NSF</t>
  </si>
  <si>
    <t xml:space="preserve">31883</t>
  </si>
  <si>
    <t xml:space="preserve">626-110-5747</t>
  </si>
  <si>
    <t xml:space="preserve">FDABV75347</t>
  </si>
  <si>
    <t xml:space="preserve">34391</t>
  </si>
  <si>
    <t xml:space="preserve">N2.00X070</t>
  </si>
  <si>
    <t xml:space="preserve">HRU12-1.18-12</t>
  </si>
  <si>
    <t xml:space="preserve">HRU12-1.25-12</t>
  </si>
  <si>
    <t xml:space="preserve">B70413-NSF</t>
  </si>
  <si>
    <t xml:space="preserve">N1.25X008</t>
  </si>
  <si>
    <t xml:space="preserve">32431</t>
  </si>
  <si>
    <t xml:space="preserve">BV75003</t>
  </si>
  <si>
    <t xml:space="preserve">V2.00X038</t>
  </si>
  <si>
    <t xml:space="preserve">N2.50X086</t>
  </si>
  <si>
    <t xml:space="preserve">V1.00X008.5</t>
  </si>
  <si>
    <t xml:space="preserve">V3.10X029.4</t>
  </si>
  <si>
    <t xml:space="preserve">S3.00X007</t>
  </si>
  <si>
    <t xml:space="preserve">FFKM-1.78X015.6</t>
  </si>
  <si>
    <t xml:space="preserve">E1.50X016</t>
  </si>
  <si>
    <t xml:space="preserve">BV75450</t>
  </si>
  <si>
    <t xml:space="preserve">N2.00X116</t>
  </si>
  <si>
    <t xml:space="preserve">BU125-TEF-SPL</t>
  </si>
  <si>
    <t xml:space="preserve">PR30-F80</t>
  </si>
  <si>
    <t xml:space="preserve">FFKM-1.50X007</t>
  </si>
  <si>
    <t xml:space="preserve">34478</t>
  </si>
  <si>
    <t xml:space="preserve">KT-FA-801</t>
  </si>
  <si>
    <t xml:space="preserve">Reliability Provin</t>
  </si>
  <si>
    <t xml:space="preserve">34472</t>
  </si>
  <si>
    <t xml:space="preserve">VN61 Peace Industries</t>
  </si>
  <si>
    <t xml:space="preserve">N3.10X079.4</t>
  </si>
  <si>
    <t xml:space="preserve">N0.50X000.7</t>
  </si>
  <si>
    <t xml:space="preserve">B70383-NSF</t>
  </si>
  <si>
    <t xml:space="preserve">B70314</t>
  </si>
  <si>
    <t xml:space="preserve">RTU187-2.500-375B</t>
  </si>
  <si>
    <t xml:space="preserve">V3.00X073</t>
  </si>
  <si>
    <t xml:space="preserve">E70264</t>
  </si>
  <si>
    <t xml:space="preserve">V75271</t>
  </si>
  <si>
    <t xml:space="preserve">E70004</t>
  </si>
  <si>
    <t xml:space="preserve">31705</t>
  </si>
  <si>
    <t xml:space="preserve">PR42-F80</t>
  </si>
  <si>
    <t xml:space="preserve">E1.50X019</t>
  </si>
  <si>
    <t xml:space="preserve">V1.50X011</t>
  </si>
  <si>
    <t xml:space="preserve">BV75243</t>
  </si>
  <si>
    <t xml:space="preserve">V75260</t>
  </si>
  <si>
    <t xml:space="preserve">N2.00X043</t>
  </si>
  <si>
    <t xml:space="preserve">BU110-TEF-SOL</t>
  </si>
  <si>
    <t xml:space="preserve">30820</t>
  </si>
  <si>
    <t xml:space="preserve">E70136</t>
  </si>
  <si>
    <t xml:space="preserve">B50319</t>
  </si>
  <si>
    <t xml:space="preserve">PO29433</t>
  </si>
  <si>
    <t xml:space="preserve">TEF007</t>
  </si>
  <si>
    <t xml:space="preserve">B70278</t>
  </si>
  <si>
    <t xml:space="preserve">N1.78X004.76</t>
  </si>
  <si>
    <t xml:space="preserve">E70226</t>
  </si>
  <si>
    <t xml:space="preserve">34120</t>
  </si>
  <si>
    <t xml:space="preserve">E70336</t>
  </si>
  <si>
    <t xml:space="preserve">V2.50X008.5</t>
  </si>
  <si>
    <t xml:space="preserve">B70168</t>
  </si>
  <si>
    <t xml:space="preserve">E70244</t>
  </si>
  <si>
    <t xml:space="preserve">V90122</t>
  </si>
  <si>
    <t xml:space="preserve">31531</t>
  </si>
  <si>
    <t xml:space="preserve">N2.00X025</t>
  </si>
  <si>
    <t xml:space="preserve">33534</t>
  </si>
  <si>
    <t xml:space="preserve">BV75025</t>
  </si>
  <si>
    <t xml:space="preserve">B70432-NSF</t>
  </si>
  <si>
    <t xml:space="preserve">E70038</t>
  </si>
  <si>
    <t xml:space="preserve">33170</t>
  </si>
  <si>
    <t xml:space="preserve">C70012</t>
  </si>
  <si>
    <t xml:space="preserve">V1.00X030-GR</t>
  </si>
  <si>
    <t xml:space="preserve">BU232-TEF-SOL</t>
  </si>
  <si>
    <t xml:space="preserve">31278</t>
  </si>
  <si>
    <t xml:space="preserve">TES024</t>
  </si>
  <si>
    <t xml:space="preserve">PR22-F80</t>
  </si>
  <si>
    <t xml:space="preserve">V75261</t>
  </si>
  <si>
    <t xml:space="preserve">34506</t>
  </si>
  <si>
    <t xml:space="preserve">V3.50X185</t>
  </si>
  <si>
    <t xml:space="preserve">DWS1.750</t>
  </si>
  <si>
    <t xml:space="preserve">S1.50X010</t>
  </si>
  <si>
    <t xml:space="preserve">34230</t>
  </si>
  <si>
    <t xml:space="preserve">TEF221</t>
  </si>
  <si>
    <t xml:space="preserve">31357</t>
  </si>
  <si>
    <t xml:space="preserve">FFKM-150-SZ495</t>
  </si>
  <si>
    <t xml:space="preserve">34755</t>
  </si>
  <si>
    <t xml:space="preserve">C70218</t>
  </si>
  <si>
    <t xml:space="preserve">TEF031</t>
  </si>
  <si>
    <t xml:space="preserve">HRU18-1.75-18</t>
  </si>
  <si>
    <t xml:space="preserve">N2.00X035.5</t>
  </si>
  <si>
    <t xml:space="preserve">HRU12-0.31-12</t>
  </si>
  <si>
    <t xml:space="preserve">32674</t>
  </si>
  <si>
    <t xml:space="preserve">E2.50X013</t>
  </si>
  <si>
    <t xml:space="preserve">34812</t>
  </si>
  <si>
    <t xml:space="preserve">V90924-BRN</t>
  </si>
  <si>
    <t xml:space="preserve">33548</t>
  </si>
  <si>
    <t xml:space="preserve">B70159</t>
  </si>
  <si>
    <t xml:space="preserve">S70040</t>
  </si>
  <si>
    <t xml:space="preserve">V75358</t>
  </si>
  <si>
    <t xml:space="preserve">32428</t>
  </si>
  <si>
    <t xml:space="preserve">N1.50X007</t>
  </si>
  <si>
    <t xml:space="preserve">H2.00X020</t>
  </si>
  <si>
    <t xml:space="preserve">BU024-TEF-SOL</t>
  </si>
  <si>
    <t xml:space="preserve">N2.50X035</t>
  </si>
  <si>
    <t xml:space="preserve">BU211-B90</t>
  </si>
  <si>
    <t xml:space="preserve">N3.00X020.5</t>
  </si>
  <si>
    <t xml:space="preserve">E70253</t>
  </si>
  <si>
    <t xml:space="preserve">BU115-TEF-SOL</t>
  </si>
  <si>
    <t xml:space="preserve">E70205-NSF</t>
  </si>
  <si>
    <t xml:space="preserve">BU006-TEF-SOL</t>
  </si>
  <si>
    <t xml:space="preserve">B90257</t>
  </si>
  <si>
    <t xml:space="preserve">30423</t>
  </si>
  <si>
    <t xml:space="preserve">N3.00X134</t>
  </si>
  <si>
    <t xml:space="preserve">U250-1.750-250B</t>
  </si>
  <si>
    <t xml:space="preserve">34227</t>
  </si>
  <si>
    <t xml:space="preserve">N5.00X027</t>
  </si>
  <si>
    <t xml:space="preserve">B70431</t>
  </si>
  <si>
    <t xml:space="preserve">V1.50X013</t>
  </si>
  <si>
    <t xml:space="preserve">FS70021</t>
  </si>
  <si>
    <t xml:space="preserve">QE-111</t>
  </si>
  <si>
    <t xml:space="preserve">B90152</t>
  </si>
  <si>
    <t xml:space="preserve">V1.50X013.5</t>
  </si>
  <si>
    <t xml:space="preserve">QR-011</t>
  </si>
  <si>
    <t xml:space="preserve">E70025</t>
  </si>
  <si>
    <t xml:space="preserve">31177</t>
  </si>
  <si>
    <t xml:space="preserve">PS2700-048</t>
  </si>
  <si>
    <t xml:space="preserve">33458</t>
  </si>
  <si>
    <t xml:space="preserve">V4.00X046</t>
  </si>
  <si>
    <t xml:space="preserve">QV-228</t>
  </si>
  <si>
    <t xml:space="preserve">BU215-B90</t>
  </si>
  <si>
    <t xml:space="preserve">B70338-MD-BLUE</t>
  </si>
  <si>
    <t xml:space="preserve">N1.00X028</t>
  </si>
  <si>
    <t xml:space="preserve">H70109</t>
  </si>
  <si>
    <t xml:space="preserve">BU225-TEF-SOL</t>
  </si>
  <si>
    <t xml:space="preserve">32412</t>
  </si>
  <si>
    <t xml:space="preserve">S2.00X016</t>
  </si>
  <si>
    <t xml:space="preserve">S70109</t>
  </si>
  <si>
    <t xml:space="preserve">34282</t>
  </si>
  <si>
    <t xml:space="preserve">V3.00X009</t>
  </si>
  <si>
    <t xml:space="preserve">N2.40X008.6</t>
  </si>
  <si>
    <t xml:space="preserve">E2.00X003</t>
  </si>
  <si>
    <t xml:space="preserve">V3.50X025.7</t>
  </si>
  <si>
    <t xml:space="preserve">B90256</t>
  </si>
  <si>
    <t xml:space="preserve">H70117</t>
  </si>
  <si>
    <t xml:space="preserve">31802</t>
  </si>
  <si>
    <t xml:space="preserve">UL250-1.375-375B</t>
  </si>
  <si>
    <t xml:space="preserve">B70333-NSF</t>
  </si>
  <si>
    <t xml:space="preserve">31358</t>
  </si>
  <si>
    <t xml:space="preserve">H3.50X035.7</t>
  </si>
  <si>
    <t xml:space="preserve">E70152</t>
  </si>
  <si>
    <t xml:space="preserve">33781</t>
  </si>
  <si>
    <t xml:space="preserve">HRU18-1.00-18</t>
  </si>
  <si>
    <t xml:space="preserve">S1.50X014</t>
  </si>
  <si>
    <t xml:space="preserve">E1.50X012</t>
  </si>
  <si>
    <t xml:space="preserve">BU228-TEF-SPL</t>
  </si>
  <si>
    <t xml:space="preserve">33173</t>
  </si>
  <si>
    <t xml:space="preserve">BU016-B90</t>
  </si>
  <si>
    <t xml:space="preserve">B90250</t>
  </si>
  <si>
    <t xml:space="preserve">33256</t>
  </si>
  <si>
    <t xml:space="preserve">N1.00X020</t>
  </si>
  <si>
    <t xml:space="preserve">FDABV75235</t>
  </si>
  <si>
    <t xml:space="preserve">WN70107</t>
  </si>
  <si>
    <t xml:space="preserve">E70227-NSF</t>
  </si>
  <si>
    <t xml:space="preserve">S1.50X001.5</t>
  </si>
  <si>
    <t xml:space="preserve">SN70241</t>
  </si>
  <si>
    <t xml:space="preserve">V75314</t>
  </si>
  <si>
    <t xml:space="preserve">E2.50X017</t>
  </si>
  <si>
    <t xml:space="preserve">FS70123</t>
  </si>
  <si>
    <t xml:space="preserve">V90325</t>
  </si>
  <si>
    <t xml:space="preserve">QR-232</t>
  </si>
  <si>
    <t xml:space="preserve">31790</t>
  </si>
  <si>
    <t xml:space="preserve">N3.00X274</t>
  </si>
  <si>
    <t xml:space="preserve">BU222-V90</t>
  </si>
  <si>
    <t xml:space="preserve">32375</t>
  </si>
  <si>
    <t xml:space="preserve">E70214-NSF</t>
  </si>
  <si>
    <t xml:space="preserve">H3.10X089.4</t>
  </si>
  <si>
    <t xml:space="preserve">H70024</t>
  </si>
  <si>
    <t xml:space="preserve">E70428</t>
  </si>
  <si>
    <t xml:space="preserve">32951</t>
  </si>
  <si>
    <t xml:space="preserve">TEV115</t>
  </si>
  <si>
    <t xml:space="preserve">V2.40X059.6</t>
  </si>
  <si>
    <t xml:space="preserve">V75905</t>
  </si>
  <si>
    <t xml:space="preserve">HNBR2.00X005</t>
  </si>
  <si>
    <t xml:space="preserve">A75140</t>
  </si>
  <si>
    <t xml:space="preserve">A75340</t>
  </si>
  <si>
    <t xml:space="preserve">V75466</t>
  </si>
  <si>
    <t xml:space="preserve">QV-325</t>
  </si>
  <si>
    <t xml:space="preserve">34180</t>
  </si>
  <si>
    <t xml:space="preserve">B70907</t>
  </si>
  <si>
    <t xml:space="preserve">V2.00X005.5</t>
  </si>
  <si>
    <t xml:space="preserve">B50166</t>
  </si>
  <si>
    <t xml:space="preserve">V75355</t>
  </si>
  <si>
    <t xml:space="preserve">B50033</t>
  </si>
  <si>
    <t xml:space="preserve">B70381-NSF</t>
  </si>
  <si>
    <t xml:space="preserve">34389</t>
  </si>
  <si>
    <t xml:space="preserve">V75040</t>
  </si>
  <si>
    <t xml:space="preserve">PR16-F80</t>
  </si>
  <si>
    <t xml:space="preserve">BU018-TEF-SPL</t>
  </si>
  <si>
    <t xml:space="preserve">TORS16</t>
  </si>
  <si>
    <t xml:space="preserve">B90121</t>
  </si>
  <si>
    <t xml:space="preserve">BU219-B90</t>
  </si>
  <si>
    <t xml:space="preserve">A75041</t>
  </si>
  <si>
    <t xml:space="preserve">V2.00X023.5</t>
  </si>
  <si>
    <t xml:space="preserve">B70405</t>
  </si>
  <si>
    <t xml:space="preserve">32142</t>
  </si>
  <si>
    <t xml:space="preserve">S70002</t>
  </si>
  <si>
    <t xml:space="preserve">33758</t>
  </si>
  <si>
    <t xml:space="preserve">N3.50X038</t>
  </si>
  <si>
    <t xml:space="preserve">S2.50X058</t>
  </si>
  <si>
    <t xml:space="preserve">N3.10X099.4</t>
  </si>
  <si>
    <t xml:space="preserve">N2.00X083</t>
  </si>
  <si>
    <t xml:space="preserve">BV75157</t>
  </si>
  <si>
    <t xml:space="preserve">U187-1.125-187B</t>
  </si>
  <si>
    <t xml:space="preserve">31569</t>
  </si>
  <si>
    <t xml:space="preserve">HNBR2.00X016</t>
  </si>
  <si>
    <t xml:space="preserve">6226-44</t>
  </si>
  <si>
    <t xml:space="preserve">B70364</t>
  </si>
  <si>
    <t xml:space="preserve">QR-139</t>
  </si>
  <si>
    <t xml:space="preserve">BV75373</t>
  </si>
  <si>
    <t xml:space="preserve">V2.00X011</t>
  </si>
  <si>
    <t xml:space="preserve">BV75250</t>
  </si>
  <si>
    <t xml:space="preserve">BU242-P</t>
  </si>
  <si>
    <t xml:space="preserve">BU140-B90</t>
  </si>
  <si>
    <t xml:space="preserve">V75437</t>
  </si>
  <si>
    <t xml:space="preserve">E1.50X003</t>
  </si>
  <si>
    <t xml:space="preserve">34820</t>
  </si>
  <si>
    <t xml:space="preserve">N3.00X093</t>
  </si>
  <si>
    <t xml:space="preserve">V2.00X006.5</t>
  </si>
  <si>
    <t xml:space="preserve">HRU12-0.43-12-EPDM</t>
  </si>
  <si>
    <t xml:space="preserve">V4.00X023.5</t>
  </si>
  <si>
    <t xml:space="preserve">V3.00X008.5</t>
  </si>
  <si>
    <t xml:space="preserve">B50107</t>
  </si>
  <si>
    <t xml:space="preserve">BU236-TEF-SOL</t>
  </si>
  <si>
    <t xml:space="preserve">34004</t>
  </si>
  <si>
    <t xml:space="preserve">B70050</t>
  </si>
  <si>
    <t xml:space="preserve">E2.00X003.5</t>
  </si>
  <si>
    <t xml:space="preserve">32004</t>
  </si>
  <si>
    <t xml:space="preserve">E70454</t>
  </si>
  <si>
    <t xml:space="preserve">V1.00X013</t>
  </si>
  <si>
    <t xml:space="preserve">V90026</t>
  </si>
  <si>
    <t xml:space="preserve">C70149</t>
  </si>
  <si>
    <t xml:space="preserve">E3.00X006</t>
  </si>
  <si>
    <t xml:space="preserve">S70260</t>
  </si>
  <si>
    <t xml:space="preserve">FDABV75004</t>
  </si>
  <si>
    <t xml:space="preserve">33236</t>
  </si>
  <si>
    <t xml:space="preserve">A75047</t>
  </si>
  <si>
    <t xml:space="preserve">33108</t>
  </si>
  <si>
    <t xml:space="preserve">N1.80X012.5</t>
  </si>
  <si>
    <t xml:space="preserve">A75160</t>
  </si>
  <si>
    <t xml:space="preserve">BV75370</t>
  </si>
  <si>
    <t xml:space="preserve">PR17-F80</t>
  </si>
  <si>
    <t xml:space="preserve">E2.00X011.5</t>
  </si>
  <si>
    <t xml:space="preserve">V75430</t>
  </si>
  <si>
    <t xml:space="preserve">PR20-F80</t>
  </si>
  <si>
    <t xml:space="preserve">N3.50X025.7</t>
  </si>
  <si>
    <t xml:space="preserve">N1.50X027</t>
  </si>
  <si>
    <t xml:space="preserve">V75047</t>
  </si>
  <si>
    <t xml:space="preserve">N6.00X020</t>
  </si>
  <si>
    <t xml:space="preserve">N1.30X017</t>
  </si>
  <si>
    <t xml:space="preserve">V90224</t>
  </si>
  <si>
    <t xml:space="preserve">BU449-B90</t>
  </si>
  <si>
    <t xml:space="preserve">BU217-V90</t>
  </si>
  <si>
    <t xml:space="preserve">B50027</t>
  </si>
  <si>
    <t xml:space="preserve">V1.50X018.5</t>
  </si>
  <si>
    <t xml:space="preserve">34440</t>
  </si>
  <si>
    <t xml:space="preserve">V1.60X006.1</t>
  </si>
  <si>
    <t xml:space="preserve">N2.40X013.8</t>
  </si>
  <si>
    <t xml:space="preserve">B90338</t>
  </si>
  <si>
    <t xml:space="preserve">30872</t>
  </si>
  <si>
    <t xml:space="preserve">UC90218</t>
  </si>
  <si>
    <t xml:space="preserve">S70902</t>
  </si>
  <si>
    <t xml:space="preserve">TEF029</t>
  </si>
  <si>
    <t xml:space="preserve">V75004</t>
  </si>
  <si>
    <t xml:space="preserve">N2.50X034</t>
  </si>
  <si>
    <t xml:space="preserve">N2.50X060</t>
  </si>
  <si>
    <t xml:space="preserve">V90118</t>
  </si>
  <si>
    <t xml:space="preserve">N2.50X044</t>
  </si>
  <si>
    <t xml:space="preserve">QR-324</t>
  </si>
  <si>
    <t xml:space="preserve">32149</t>
  </si>
  <si>
    <t xml:space="preserve">V2.50X007</t>
  </si>
  <si>
    <t xml:space="preserve">V75349</t>
  </si>
  <si>
    <t xml:space="preserve">V1.00X018</t>
  </si>
  <si>
    <t xml:space="preserve">E1.00X017</t>
  </si>
  <si>
    <t xml:space="preserve">BU030-B90</t>
  </si>
  <si>
    <t xml:space="preserve">BV75128</t>
  </si>
  <si>
    <t xml:space="preserve">BV75317</t>
  </si>
  <si>
    <t xml:space="preserve">34385</t>
  </si>
  <si>
    <t xml:space="preserve">S2.00X009</t>
  </si>
  <si>
    <t xml:space="preserve">PS1500-032</t>
  </si>
  <si>
    <t xml:space="preserve">N3.50X043</t>
  </si>
  <si>
    <t xml:space="preserve">B50160</t>
  </si>
  <si>
    <t xml:space="preserve">N6.00X088</t>
  </si>
  <si>
    <t xml:space="preserve">BU040-B90</t>
  </si>
  <si>
    <t xml:space="preserve">BV75920</t>
  </si>
  <si>
    <t xml:space="preserve">33825</t>
  </si>
  <si>
    <t xml:space="preserve">H3.50X022.1</t>
  </si>
  <si>
    <t xml:space="preserve">UC70131</t>
  </si>
  <si>
    <t xml:space="preserve">QR-135</t>
  </si>
  <si>
    <t xml:space="preserve">33837</t>
  </si>
  <si>
    <t xml:space="preserve">U250-1.375-250B</t>
  </si>
  <si>
    <t xml:space="preserve">V3.50X034.7</t>
  </si>
  <si>
    <t xml:space="preserve">6226-34</t>
  </si>
  <si>
    <t xml:space="preserve">32923</t>
  </si>
  <si>
    <t xml:space="preserve">N2.40X010.6</t>
  </si>
  <si>
    <t xml:space="preserve">BU445-B90</t>
  </si>
  <si>
    <t xml:space="preserve">PS2700-020</t>
  </si>
  <si>
    <t xml:space="preserve">33475</t>
  </si>
  <si>
    <t xml:space="preserve">SN70120</t>
  </si>
  <si>
    <t xml:space="preserve">V4.00X031</t>
  </si>
  <si>
    <t xml:space="preserve">33013</t>
  </si>
  <si>
    <t xml:space="preserve">N70.197</t>
  </si>
  <si>
    <t xml:space="preserve">35225</t>
  </si>
  <si>
    <t xml:space="preserve">B70906</t>
  </si>
  <si>
    <t xml:space="preserve">V1.80X006.7</t>
  </si>
  <si>
    <t xml:space="preserve">E3.00X054</t>
  </si>
  <si>
    <t xml:space="preserve">V90911</t>
  </si>
  <si>
    <t xml:space="preserve">35260</t>
  </si>
  <si>
    <t xml:space="preserve">V1.00X019-BR</t>
  </si>
  <si>
    <t xml:space="preserve">31799</t>
  </si>
  <si>
    <t xml:space="preserve">B70313</t>
  </si>
  <si>
    <t xml:space="preserve">V1.50X006.5</t>
  </si>
  <si>
    <t xml:space="preserve">E70346</t>
  </si>
  <si>
    <t xml:space="preserve">B70042</t>
  </si>
  <si>
    <t xml:space="preserve">H-1375</t>
  </si>
  <si>
    <t xml:space="preserve">33780</t>
  </si>
  <si>
    <t xml:space="preserve">WPB-12501500-125</t>
  </si>
  <si>
    <t xml:space="preserve">B50226</t>
  </si>
  <si>
    <t xml:space="preserve">BV75272</t>
  </si>
  <si>
    <t xml:space="preserve">B90122</t>
  </si>
  <si>
    <t xml:space="preserve">BV75240</t>
  </si>
  <si>
    <t xml:space="preserve">E2.50X021</t>
  </si>
  <si>
    <t xml:space="preserve">C70226</t>
  </si>
  <si>
    <t xml:space="preserve">BV75209</t>
  </si>
  <si>
    <t xml:space="preserve">A75139</t>
  </si>
  <si>
    <t xml:space="preserve">BU123-B90</t>
  </si>
  <si>
    <t xml:space="preserve">H70132</t>
  </si>
  <si>
    <t xml:space="preserve">TES204</t>
  </si>
  <si>
    <t xml:space="preserve">34996</t>
  </si>
  <si>
    <t xml:space="preserve">E70456</t>
  </si>
  <si>
    <t xml:space="preserve">6226-33</t>
  </si>
  <si>
    <t xml:space="preserve">B90125</t>
  </si>
  <si>
    <t xml:space="preserve">E2.00X007.5</t>
  </si>
  <si>
    <t xml:space="preserve">TEF004</t>
  </si>
  <si>
    <t xml:space="preserve">V3.00X018.5</t>
  </si>
  <si>
    <t xml:space="preserve">V3.10X059.4</t>
  </si>
  <si>
    <t xml:space="preserve">N1.00X037</t>
  </si>
  <si>
    <t xml:space="preserve">33333</t>
  </si>
  <si>
    <t xml:space="preserve">BU124-TEF-SOL</t>
  </si>
  <si>
    <t xml:space="preserve">V2.00X005-90</t>
  </si>
  <si>
    <t xml:space="preserve">B70366</t>
  </si>
  <si>
    <t xml:space="preserve">N3.00X012</t>
  </si>
  <si>
    <t xml:space="preserve">E70106</t>
  </si>
  <si>
    <t xml:space="preserve">30446</t>
  </si>
  <si>
    <t xml:space="preserve">BU017-TEF-SPL</t>
  </si>
  <si>
    <t xml:space="preserve">S1.00X003</t>
  </si>
  <si>
    <t xml:space="preserve">U312-1.250-375B</t>
  </si>
  <si>
    <t xml:space="preserve">33760</t>
  </si>
  <si>
    <t xml:space="preserve">S2.00X014.5</t>
  </si>
  <si>
    <t xml:space="preserve">S3.00X006.5</t>
  </si>
  <si>
    <t xml:space="preserve">B70359-NSF</t>
  </si>
  <si>
    <t xml:space="preserve">U250-2.750-375B</t>
  </si>
  <si>
    <t xml:space="preserve">32662</t>
  </si>
  <si>
    <t xml:space="preserve">V2.50X059</t>
  </si>
  <si>
    <t xml:space="preserve">BU120-V90</t>
  </si>
  <si>
    <t xml:space="preserve">V2.50X052</t>
  </si>
  <si>
    <t xml:space="preserve">FDABV75007</t>
  </si>
  <si>
    <t xml:space="preserve">N1.00X019.5</t>
  </si>
  <si>
    <t xml:space="preserve">V2.40X014.8</t>
  </si>
  <si>
    <t xml:space="preserve">FS70903</t>
  </si>
  <si>
    <t xml:space="preserve">V2.00X008.5</t>
  </si>
  <si>
    <t xml:space="preserve">PO30347</t>
  </si>
  <si>
    <t xml:space="preserve">BU017-TEF-SOL</t>
  </si>
  <si>
    <t xml:space="preserve">N1.50X078</t>
  </si>
  <si>
    <t xml:space="preserve">V90134</t>
  </si>
  <si>
    <t xml:space="preserve">6226-08</t>
  </si>
  <si>
    <t xml:space="preserve">31491</t>
  </si>
  <si>
    <t xml:space="preserve">E70349</t>
  </si>
  <si>
    <t xml:space="preserve">33073</t>
  </si>
  <si>
    <t xml:space="preserve">N1.22X006.3</t>
  </si>
  <si>
    <t xml:space="preserve">626-006-5747</t>
  </si>
  <si>
    <t xml:space="preserve">31668</t>
  </si>
  <si>
    <t xml:space="preserve">N1.50X005</t>
  </si>
  <si>
    <t xml:space="preserve">V75317</t>
  </si>
  <si>
    <t xml:space="preserve">S70337</t>
  </si>
  <si>
    <t xml:space="preserve">33432</t>
  </si>
  <si>
    <t xml:space="preserve">S1.00X030</t>
  </si>
  <si>
    <t xml:space="preserve">B50132</t>
  </si>
  <si>
    <t xml:space="preserve">32841</t>
  </si>
  <si>
    <t xml:space="preserve">N3.10X044.4</t>
  </si>
  <si>
    <t xml:space="preserve">V5.00X115-BR</t>
  </si>
  <si>
    <t xml:space="preserve">BV75143</t>
  </si>
  <si>
    <t xml:space="preserve">V3.00X065</t>
  </si>
  <si>
    <t xml:space="preserve">34774</t>
  </si>
  <si>
    <t xml:space="preserve">H1.60X013.1</t>
  </si>
  <si>
    <t xml:space="preserve">B70046</t>
  </si>
  <si>
    <t xml:space="preserve">N2.40X019.8</t>
  </si>
  <si>
    <t xml:space="preserve">34098</t>
  </si>
  <si>
    <t xml:space="preserve">B90325</t>
  </si>
  <si>
    <t xml:space="preserve">30596</t>
  </si>
  <si>
    <t xml:space="preserve">H1.50X005</t>
  </si>
  <si>
    <t xml:space="preserve">BV75333</t>
  </si>
  <si>
    <t xml:space="preserve">33960</t>
  </si>
  <si>
    <t xml:space="preserve">626-113 5747</t>
  </si>
  <si>
    <t xml:space="preserve">31704</t>
  </si>
  <si>
    <t xml:space="preserve">A75031</t>
  </si>
  <si>
    <t xml:space="preserve">N2.40X021.6</t>
  </si>
  <si>
    <t xml:space="preserve">V90129</t>
  </si>
  <si>
    <t xml:space="preserve">E70458</t>
  </si>
  <si>
    <t xml:space="preserve">V90152</t>
  </si>
  <si>
    <t xml:space="preserve">N4.00X028</t>
  </si>
  <si>
    <t xml:space="preserve">N1.50X004.5</t>
  </si>
  <si>
    <t xml:space="preserve">V75240</t>
  </si>
  <si>
    <t xml:space="preserve">V4.50X066</t>
  </si>
  <si>
    <t xml:space="preserve">GV75005</t>
  </si>
  <si>
    <t xml:space="preserve">BU228-TEF-SOL</t>
  </si>
  <si>
    <t xml:space="preserve">WN70319</t>
  </si>
  <si>
    <t xml:space="preserve">N2.40X034.6</t>
  </si>
  <si>
    <t xml:space="preserve">N2.00X021</t>
  </si>
  <si>
    <t xml:space="preserve">BV75208</t>
  </si>
  <si>
    <t xml:space="preserve">B70430</t>
  </si>
  <si>
    <t xml:space="preserve">32590</t>
  </si>
  <si>
    <t xml:space="preserve">V2.00X027.5</t>
  </si>
  <si>
    <t xml:space="preserve">N2.00X022.5</t>
  </si>
  <si>
    <t xml:space="preserve">TEF137</t>
  </si>
  <si>
    <t xml:space="preserve">31814</t>
  </si>
  <si>
    <t xml:space="preserve">VN377 Pressure-Tek</t>
  </si>
  <si>
    <t xml:space="preserve">FDABV75002</t>
  </si>
  <si>
    <t xml:space="preserve">B50158</t>
  </si>
  <si>
    <t xml:space="preserve">C70326</t>
  </si>
  <si>
    <t xml:space="preserve">32520</t>
  </si>
  <si>
    <t xml:space="preserve">N5.33X089.69</t>
  </si>
  <si>
    <t xml:space="preserve">B90377</t>
  </si>
  <si>
    <t xml:space="preserve">N1.60X022.1</t>
  </si>
  <si>
    <t xml:space="preserve">N1.80X009</t>
  </si>
  <si>
    <t xml:space="preserve">34928</t>
  </si>
  <si>
    <t xml:space="preserve">24X52X7TC-T</t>
  </si>
  <si>
    <t xml:space="preserve">33771</t>
  </si>
  <si>
    <t xml:space="preserve">VN36 Harwal</t>
  </si>
  <si>
    <t xml:space="preserve">FDABV75130</t>
  </si>
  <si>
    <t xml:space="preserve">34783</t>
  </si>
  <si>
    <t xml:space="preserve">C70121</t>
  </si>
  <si>
    <t xml:space="preserve">N3.50X010</t>
  </si>
  <si>
    <t xml:space="preserve">FDABV75351</t>
  </si>
  <si>
    <t xml:space="preserve">N1.00X023.5</t>
  </si>
  <si>
    <t xml:space="preserve">122569</t>
  </si>
  <si>
    <t xml:space="preserve">OSK Replacement O-Rings</t>
  </si>
  <si>
    <t xml:space="preserve">S70452</t>
  </si>
  <si>
    <t xml:space="preserve">33492</t>
  </si>
  <si>
    <t xml:space="preserve">S2.00X002</t>
  </si>
  <si>
    <t xml:space="preserve">34500</t>
  </si>
  <si>
    <t xml:space="preserve">H2.40X004.3</t>
  </si>
  <si>
    <t xml:space="preserve">V2.40X057.6</t>
  </si>
  <si>
    <t xml:space="preserve">E70104</t>
  </si>
  <si>
    <t xml:space="preserve">B70049</t>
  </si>
  <si>
    <t xml:space="preserve">34259</t>
  </si>
  <si>
    <t xml:space="preserve">QR-116</t>
  </si>
  <si>
    <t xml:space="preserve">V2.40X019.3</t>
  </si>
  <si>
    <t xml:space="preserve">B50236</t>
  </si>
  <si>
    <t xml:space="preserve">V75910</t>
  </si>
  <si>
    <t xml:space="preserve">V5.00X057</t>
  </si>
  <si>
    <t xml:space="preserve">S70208</t>
  </si>
  <si>
    <t xml:space="preserve">E70248</t>
  </si>
  <si>
    <t xml:space="preserve">UC70325</t>
  </si>
  <si>
    <t xml:space="preserve">B50250</t>
  </si>
  <si>
    <t xml:space="preserve">S70149</t>
  </si>
  <si>
    <t xml:space="preserve">31761</t>
  </si>
  <si>
    <t xml:space="preserve">N2.50X043</t>
  </si>
  <si>
    <t xml:space="preserve">35081</t>
  </si>
  <si>
    <t xml:space="preserve">PU125-1.500-250B</t>
  </si>
  <si>
    <t xml:space="preserve">32504</t>
  </si>
  <si>
    <t xml:space="preserve">V3.53X068.26</t>
  </si>
  <si>
    <t xml:space="preserve">31462</t>
  </si>
  <si>
    <t xml:space="preserve">BV75446</t>
  </si>
  <si>
    <t xml:space="preserve">B50124</t>
  </si>
  <si>
    <t xml:space="preserve">N1.00X043</t>
  </si>
  <si>
    <t xml:space="preserve">B90211</t>
  </si>
  <si>
    <t xml:space="preserve">V90133</t>
  </si>
  <si>
    <t xml:space="preserve">34138</t>
  </si>
  <si>
    <t xml:space="preserve">S1.50X021</t>
  </si>
  <si>
    <t xml:space="preserve">E70040</t>
  </si>
  <si>
    <t xml:space="preserve">B50025</t>
  </si>
  <si>
    <t xml:space="preserve">H4.00X033</t>
  </si>
  <si>
    <t xml:space="preserve">TPO22</t>
  </si>
  <si>
    <t xml:space="preserve">E2.40X015.8</t>
  </si>
  <si>
    <t xml:space="preserve">H2.00X011</t>
  </si>
  <si>
    <t xml:space="preserve">32469</t>
  </si>
  <si>
    <t xml:space="preserve">E70363</t>
  </si>
  <si>
    <t xml:space="preserve">V75253</t>
  </si>
  <si>
    <t xml:space="preserve">34644</t>
  </si>
  <si>
    <t xml:space="preserve">E70148</t>
  </si>
  <si>
    <t xml:space="preserve">33444</t>
  </si>
  <si>
    <t xml:space="preserve">E70160-NSF</t>
  </si>
  <si>
    <t xml:space="preserve">V75130-MD</t>
  </si>
  <si>
    <t xml:space="preserve">V75366</t>
  </si>
  <si>
    <t xml:space="preserve">N1.60X003.1</t>
  </si>
  <si>
    <t xml:space="preserve">E2.00X005</t>
  </si>
  <si>
    <t xml:space="preserve">32342</t>
  </si>
  <si>
    <t xml:space="preserve">E1.00X004.5</t>
  </si>
  <si>
    <t xml:space="preserve">35054</t>
  </si>
  <si>
    <t xml:space="preserve">N1.00X036</t>
  </si>
  <si>
    <t xml:space="preserve">FDABV75107</t>
  </si>
  <si>
    <t xml:space="preserve">32834</t>
  </si>
  <si>
    <t xml:space="preserve">E2.50X007</t>
  </si>
  <si>
    <t xml:space="preserve">B70145-NSF</t>
  </si>
  <si>
    <t xml:space="preserve">B70026-MD-BLUE</t>
  </si>
  <si>
    <t xml:space="preserve">BU328-P</t>
  </si>
  <si>
    <t xml:space="preserve">E3.00X008</t>
  </si>
  <si>
    <t xml:space="preserve">30648</t>
  </si>
  <si>
    <t xml:space="preserve">E70256</t>
  </si>
  <si>
    <t xml:space="preserve">30403</t>
  </si>
  <si>
    <t xml:space="preserve">B70156</t>
  </si>
  <si>
    <t xml:space="preserve">UL125-1.000-250B</t>
  </si>
  <si>
    <t xml:space="preserve">E2.00X013</t>
  </si>
  <si>
    <t xml:space="preserve">SN70207</t>
  </si>
  <si>
    <t xml:space="preserve">B70343-NSF</t>
  </si>
  <si>
    <t xml:space="preserve">E2.50X033</t>
  </si>
  <si>
    <t xml:space="preserve">N2.50X010.5</t>
  </si>
  <si>
    <t xml:space="preserve">BV75032</t>
  </si>
  <si>
    <t xml:space="preserve">V90135</t>
  </si>
  <si>
    <t xml:space="preserve">A75204</t>
  </si>
  <si>
    <t xml:space="preserve">H1.60X004.1</t>
  </si>
  <si>
    <t xml:space="preserve">N1.00X018</t>
  </si>
  <si>
    <t xml:space="preserve">V75174</t>
  </si>
  <si>
    <t xml:space="preserve">C70230</t>
  </si>
  <si>
    <t xml:space="preserve">QV-135</t>
  </si>
  <si>
    <t xml:space="preserve">S0.50X001.5</t>
  </si>
  <si>
    <t xml:space="preserve">33435</t>
  </si>
  <si>
    <t xml:space="preserve">N1.50X026</t>
  </si>
  <si>
    <t xml:space="preserve">V2.00X025</t>
  </si>
  <si>
    <t xml:space="preserve">33216</t>
  </si>
  <si>
    <t xml:space="preserve">PS1600-18</t>
  </si>
  <si>
    <t xml:space="preserve">34654</t>
  </si>
  <si>
    <t xml:space="preserve">V2.50X020.5</t>
  </si>
  <si>
    <t xml:space="preserve">N1.00X035</t>
  </si>
  <si>
    <t xml:space="preserve">N4.00X070</t>
  </si>
  <si>
    <t xml:space="preserve">6226-50-E70</t>
  </si>
  <si>
    <t xml:space="preserve">V2.62X011.91</t>
  </si>
  <si>
    <t xml:space="preserve">32140</t>
  </si>
  <si>
    <t xml:space="preserve">V2.50X028</t>
  </si>
  <si>
    <t xml:space="preserve">N3.50X025.2</t>
  </si>
  <si>
    <t xml:space="preserve">H2.40X005.3</t>
  </si>
  <si>
    <t xml:space="preserve">V2.40X017.8</t>
  </si>
  <si>
    <t xml:space="preserve">B70130-NSF</t>
  </si>
  <si>
    <t xml:space="preserve">31729</t>
  </si>
  <si>
    <t xml:space="preserve">N2.50X009</t>
  </si>
  <si>
    <t xml:space="preserve">RTU250-3.000-375B</t>
  </si>
  <si>
    <t xml:space="preserve">34797</t>
  </si>
  <si>
    <t xml:space="preserve">N1.90X014.5</t>
  </si>
  <si>
    <t xml:space="preserve">N4.00X017</t>
  </si>
  <si>
    <t xml:space="preserve">E70438</t>
  </si>
  <si>
    <t xml:space="preserve">33501</t>
  </si>
  <si>
    <t xml:space="preserve">QR-047</t>
  </si>
  <si>
    <t xml:space="preserve">B70129-NSF</t>
  </si>
  <si>
    <t xml:space="preserve">S3.00X032</t>
  </si>
  <si>
    <t xml:space="preserve">BU231-TEF-SPL</t>
  </si>
  <si>
    <t xml:space="preserve">34087</t>
  </si>
  <si>
    <t xml:space="preserve">FFKM-124-SZ485</t>
  </si>
  <si>
    <t xml:space="preserve">E70342</t>
  </si>
  <si>
    <t xml:space="preserve">E1.50X024-FDA</t>
  </si>
  <si>
    <t xml:space="preserve">33584</t>
  </si>
  <si>
    <t xml:space="preserve">E70127-NSF</t>
  </si>
  <si>
    <t xml:space="preserve">E70334</t>
  </si>
  <si>
    <t xml:space="preserve">S4.00X037</t>
  </si>
  <si>
    <t xml:space="preserve">AN-26-SH</t>
  </si>
  <si>
    <t xml:space="preserve">35171</t>
  </si>
  <si>
    <t xml:space="preserve">MUU-30X40X6</t>
  </si>
  <si>
    <t xml:space="preserve">V75353</t>
  </si>
  <si>
    <t xml:space="preserve">BU208-P</t>
  </si>
  <si>
    <t xml:space="preserve">V2.00X004</t>
  </si>
  <si>
    <t xml:space="preserve">25X47X7TC</t>
  </si>
  <si>
    <t xml:space="preserve">35145</t>
  </si>
  <si>
    <t xml:space="preserve">BV75438</t>
  </si>
  <si>
    <t xml:space="preserve">V75137</t>
  </si>
  <si>
    <t xml:space="preserve">PR10-N85</t>
  </si>
  <si>
    <t xml:space="preserve">QR-129</t>
  </si>
  <si>
    <t xml:space="preserve">BU326-TEF-SPL</t>
  </si>
  <si>
    <t xml:space="preserve">33542</t>
  </si>
  <si>
    <t xml:space="preserve">V75913</t>
  </si>
  <si>
    <t xml:space="preserve">31089</t>
  </si>
  <si>
    <t xml:space="preserve">BV75902</t>
  </si>
  <si>
    <t xml:space="preserve">B70251</t>
  </si>
  <si>
    <t xml:space="preserve">34497</t>
  </si>
  <si>
    <t xml:space="preserve">BU122-TEF-SPL</t>
  </si>
  <si>
    <t xml:space="preserve">S4.00X038</t>
  </si>
  <si>
    <t xml:space="preserve">B70132-NSF</t>
  </si>
  <si>
    <t xml:space="preserve">V3.00X029</t>
  </si>
  <si>
    <t xml:space="preserve">RTU250-1.500-250B</t>
  </si>
  <si>
    <t xml:space="preserve">H3.50X039.7</t>
  </si>
  <si>
    <t xml:space="preserve">S1.00X017</t>
  </si>
  <si>
    <t xml:space="preserve">S2.40X013.8</t>
  </si>
  <si>
    <t xml:space="preserve">BU106-TEF-SPL</t>
  </si>
  <si>
    <t xml:space="preserve">N3.00X037.2</t>
  </si>
  <si>
    <t xml:space="preserve">C70233</t>
  </si>
  <si>
    <t xml:space="preserve">32446</t>
  </si>
  <si>
    <t xml:space="preserve">PR20-N85</t>
  </si>
  <si>
    <t xml:space="preserve">H70030</t>
  </si>
  <si>
    <t xml:space="preserve">32165</t>
  </si>
  <si>
    <t xml:space="preserve">FDABV75446</t>
  </si>
  <si>
    <t xml:space="preserve">N2.50X028.5</t>
  </si>
  <si>
    <t xml:space="preserve">FS75016</t>
  </si>
  <si>
    <t xml:space="preserve">DWS1.187</t>
  </si>
  <si>
    <t xml:space="preserve">B70178</t>
  </si>
  <si>
    <t xml:space="preserve">PO30366</t>
  </si>
  <si>
    <t xml:space="preserve">B90009</t>
  </si>
  <si>
    <t xml:space="preserve">S70126</t>
  </si>
  <si>
    <t xml:space="preserve">N2.00X084.5</t>
  </si>
  <si>
    <t xml:space="preserve">33831</t>
  </si>
  <si>
    <t xml:space="preserve">V3.00X027</t>
  </si>
  <si>
    <t xml:space="preserve">H70007</t>
  </si>
  <si>
    <t xml:space="preserve">UL187-1.750-187</t>
  </si>
  <si>
    <t xml:space="preserve">30528</t>
  </si>
  <si>
    <t xml:space="preserve">V3.10X049.4</t>
  </si>
  <si>
    <t xml:space="preserve">N2.50X007</t>
  </si>
  <si>
    <t xml:space="preserve">V3.00X040</t>
  </si>
  <si>
    <t xml:space="preserve">B70461</t>
  </si>
  <si>
    <t xml:space="preserve">N1.00X008.5</t>
  </si>
  <si>
    <t xml:space="preserve">S2.00X012.5</t>
  </si>
  <si>
    <t xml:space="preserve">V2.50X006</t>
  </si>
  <si>
    <t xml:space="preserve">N1.80X014</t>
  </si>
  <si>
    <t xml:space="preserve">V90331</t>
  </si>
  <si>
    <t xml:space="preserve">N1.00X013.5</t>
  </si>
  <si>
    <t xml:space="preserve">FS70043</t>
  </si>
  <si>
    <t xml:space="preserve">30832</t>
  </si>
  <si>
    <t xml:space="preserve">BU204-TEF-SPL</t>
  </si>
  <si>
    <t xml:space="preserve">34741</t>
  </si>
  <si>
    <t xml:space="preserve">V1.90X003.8</t>
  </si>
  <si>
    <t xml:space="preserve">V2.50X023.5</t>
  </si>
  <si>
    <t xml:space="preserve">V75450</t>
  </si>
  <si>
    <t xml:space="preserve">C70128</t>
  </si>
  <si>
    <t xml:space="preserve">E2.40X013.8</t>
  </si>
  <si>
    <t xml:space="preserve">B50016</t>
  </si>
  <si>
    <t xml:space="preserve">UL125-1.000-125</t>
  </si>
  <si>
    <t xml:space="preserve">33779</t>
  </si>
  <si>
    <t xml:space="preserve">N2.62X022.23</t>
  </si>
  <si>
    <t xml:space="preserve">34990</t>
  </si>
  <si>
    <t xml:space="preserve">V1.80X007.5</t>
  </si>
  <si>
    <t xml:space="preserve">30567</t>
  </si>
  <si>
    <t xml:space="preserve">H3.10X119.4</t>
  </si>
  <si>
    <t xml:space="preserve">S4.00X076</t>
  </si>
  <si>
    <t xml:space="preserve">33582</t>
  </si>
  <si>
    <t xml:space="preserve">AM54-37504250-312</t>
  </si>
  <si>
    <t xml:space="preserve">E70.098</t>
  </si>
  <si>
    <t xml:space="preserve">B70026-NSF</t>
  </si>
  <si>
    <t xml:space="preserve">V1.00X011.5</t>
  </si>
  <si>
    <t xml:space="preserve">WN70339</t>
  </si>
  <si>
    <t xml:space="preserve">N3.00X009</t>
  </si>
  <si>
    <t xml:space="preserve">606-137-050</t>
  </si>
  <si>
    <t xml:space="preserve">B70377-NSF</t>
  </si>
  <si>
    <t xml:space="preserve">BV75106</t>
  </si>
  <si>
    <t xml:space="preserve">V75156</t>
  </si>
  <si>
    <t xml:space="preserve">N3.00X036</t>
  </si>
  <si>
    <t xml:space="preserve">TES268</t>
  </si>
  <si>
    <t xml:space="preserve">V2.00X009</t>
  </si>
  <si>
    <t xml:space="preserve">V75254</t>
  </si>
  <si>
    <t xml:space="preserve">BV75256</t>
  </si>
  <si>
    <t xml:space="preserve">E70452</t>
  </si>
  <si>
    <t xml:space="preserve">32780</t>
  </si>
  <si>
    <t xml:space="preserve">V3.00X044</t>
  </si>
  <si>
    <t xml:space="preserve">V75024-MD</t>
  </si>
  <si>
    <t xml:space="preserve">E70019-NSF</t>
  </si>
  <si>
    <t xml:space="preserve">32097</t>
  </si>
  <si>
    <t xml:space="preserve">E70129</t>
  </si>
  <si>
    <t xml:space="preserve">33702</t>
  </si>
  <si>
    <t xml:space="preserve">N4.00X023.5</t>
  </si>
  <si>
    <t xml:space="preserve">FDABV75005</t>
  </si>
  <si>
    <t xml:space="preserve">H3.00X110</t>
  </si>
  <si>
    <t xml:space="preserve">S3.00X135</t>
  </si>
  <si>
    <t xml:space="preserve">V1.90X008.8</t>
  </si>
  <si>
    <t xml:space="preserve">S70369</t>
  </si>
  <si>
    <t xml:space="preserve">N1.50X115</t>
  </si>
  <si>
    <t xml:space="preserve">E70207</t>
  </si>
  <si>
    <t xml:space="preserve">N3.50X029.2</t>
  </si>
  <si>
    <t xml:space="preserve">S4.00X022</t>
  </si>
  <si>
    <t xml:space="preserve">30783</t>
  </si>
  <si>
    <t xml:space="preserve">FDABV75136</t>
  </si>
  <si>
    <t xml:space="preserve">32869</t>
  </si>
  <si>
    <t xml:space="preserve">S1.50X016</t>
  </si>
  <si>
    <t xml:space="preserve">V2.50X015</t>
  </si>
  <si>
    <t xml:space="preserve">TEF023</t>
  </si>
  <si>
    <t xml:space="preserve">V75911</t>
  </si>
  <si>
    <t xml:space="preserve">B70425-NSF</t>
  </si>
  <si>
    <t xml:space="preserve">KT-SE-160</t>
  </si>
  <si>
    <t xml:space="preserve">34095</t>
  </si>
  <si>
    <t xml:space="preserve">V75020-MD</t>
  </si>
  <si>
    <t xml:space="preserve">SPI-0275-1-03</t>
  </si>
  <si>
    <t xml:space="preserve">32713</t>
  </si>
  <si>
    <t xml:space="preserve">FDABV75129</t>
  </si>
  <si>
    <t xml:space="preserve">QR-334</t>
  </si>
  <si>
    <t xml:space="preserve">JD-AT41688</t>
  </si>
  <si>
    <t xml:space="preserve">34531</t>
  </si>
  <si>
    <t xml:space="preserve">C70020</t>
  </si>
  <si>
    <t xml:space="preserve">E70022</t>
  </si>
  <si>
    <t xml:space="preserve">GV75018</t>
  </si>
  <si>
    <t xml:space="preserve">A75036</t>
  </si>
  <si>
    <t xml:space="preserve">C70014</t>
  </si>
  <si>
    <t xml:space="preserve">B90236</t>
  </si>
  <si>
    <t xml:space="preserve">SN70202</t>
  </si>
  <si>
    <t xml:space="preserve">V90113</t>
  </si>
  <si>
    <t xml:space="preserve">V3.00X010.5</t>
  </si>
  <si>
    <t xml:space="preserve">FS70109</t>
  </si>
  <si>
    <t xml:space="preserve">QV-331</t>
  </si>
  <si>
    <t xml:space="preserve">V1.78X085.34</t>
  </si>
  <si>
    <t xml:space="preserve">N2.50X047</t>
  </si>
  <si>
    <t xml:space="preserve">V90255</t>
  </si>
  <si>
    <t xml:space="preserve">QR-234</t>
  </si>
  <si>
    <t xml:space="preserve">34460</t>
  </si>
  <si>
    <t xml:space="preserve">B50047</t>
  </si>
  <si>
    <t xml:space="preserve">B90134</t>
  </si>
  <si>
    <t xml:space="preserve">30796</t>
  </si>
  <si>
    <t xml:space="preserve">6226-07</t>
  </si>
  <si>
    <t xml:space="preserve">BV75338</t>
  </si>
  <si>
    <t xml:space="preserve">N1.90X007.8</t>
  </si>
  <si>
    <t xml:space="preserve">TEF916</t>
  </si>
  <si>
    <t xml:space="preserve">6226-11-E70</t>
  </si>
  <si>
    <t xml:space="preserve">S70129</t>
  </si>
  <si>
    <t xml:space="preserve">30805</t>
  </si>
  <si>
    <t xml:space="preserve">S2.00X041</t>
  </si>
  <si>
    <t xml:space="preserve">N1.90X009.8</t>
  </si>
  <si>
    <t xml:space="preserve">S70336</t>
  </si>
  <si>
    <t xml:space="preserve">A75026</t>
  </si>
  <si>
    <t xml:space="preserve">HRU09-0.56-09</t>
  </si>
  <si>
    <t xml:space="preserve">30503</t>
  </si>
  <si>
    <t xml:space="preserve">N3.50X056</t>
  </si>
  <si>
    <t xml:space="preserve">B90105</t>
  </si>
  <si>
    <t xml:space="preserve">BU020-P</t>
  </si>
  <si>
    <t xml:space="preserve">33829</t>
  </si>
  <si>
    <t xml:space="preserve">V90314</t>
  </si>
  <si>
    <t xml:space="preserve">31759</t>
  </si>
  <si>
    <t xml:space="preserve">TEV116</t>
  </si>
  <si>
    <t xml:space="preserve">V90229</t>
  </si>
  <si>
    <t xml:space="preserve">N3.00X096</t>
  </si>
  <si>
    <t xml:space="preserve">B90233</t>
  </si>
  <si>
    <t xml:space="preserve">33019</t>
  </si>
  <si>
    <t xml:space="preserve">V75214-MD</t>
  </si>
  <si>
    <t xml:space="preserve">FFKM-122-SZ495</t>
  </si>
  <si>
    <t xml:space="preserve">BU139-B90</t>
  </si>
  <si>
    <t xml:space="preserve">N3.00X049</t>
  </si>
  <si>
    <t xml:space="preserve">N3.00X039</t>
  </si>
  <si>
    <t xml:space="preserve">N2.40X012.3</t>
  </si>
  <si>
    <t xml:space="preserve">E70209-NSF</t>
  </si>
  <si>
    <t xml:space="preserve">N2.00X103</t>
  </si>
  <si>
    <t xml:space="preserve">E3.00X030</t>
  </si>
  <si>
    <t xml:space="preserve">N3.50X068</t>
  </si>
  <si>
    <t xml:space="preserve">V3.50X019</t>
  </si>
  <si>
    <t xml:space="preserve">V75310</t>
  </si>
  <si>
    <t xml:space="preserve">S1.50X013</t>
  </si>
  <si>
    <t xml:space="preserve">BV75366</t>
  </si>
  <si>
    <t xml:space="preserve">V3.00X015</t>
  </si>
  <si>
    <t xml:space="preserve">B90231</t>
  </si>
  <si>
    <t xml:space="preserve">E70912</t>
  </si>
  <si>
    <t xml:space="preserve">E2.00X055</t>
  </si>
  <si>
    <t xml:space="preserve">V75354</t>
  </si>
  <si>
    <t xml:space="preserve">33578</t>
  </si>
  <si>
    <t xml:space="preserve">B50128</t>
  </si>
  <si>
    <t xml:space="preserve">BV75361</t>
  </si>
  <si>
    <t xml:space="preserve">34560</t>
  </si>
  <si>
    <t xml:space="preserve">12182TC</t>
  </si>
  <si>
    <t xml:space="preserve">Oil Seals Inch Type TC</t>
  </si>
  <si>
    <t xml:space="preserve">V2.00X013</t>
  </si>
  <si>
    <t xml:space="preserve">BU014-TEF-SPL</t>
  </si>
  <si>
    <t xml:space="preserve">H3.00X072</t>
  </si>
  <si>
    <t xml:space="preserve">B70928</t>
  </si>
  <si>
    <t xml:space="preserve">A75339</t>
  </si>
  <si>
    <t xml:space="preserve">V75120-MD</t>
  </si>
  <si>
    <t xml:space="preserve">QR-117</t>
  </si>
  <si>
    <t xml:space="preserve">31716</t>
  </si>
  <si>
    <t xml:space="preserve">N2.50X057</t>
  </si>
  <si>
    <t xml:space="preserve">E70259</t>
  </si>
  <si>
    <t xml:space="preserve">KT-DF-648</t>
  </si>
  <si>
    <t xml:space="preserve">34788</t>
  </si>
  <si>
    <t xml:space="preserve">S70162</t>
  </si>
  <si>
    <t xml:space="preserve">B70009-NSF</t>
  </si>
  <si>
    <t xml:space="preserve">BU436-B90</t>
  </si>
  <si>
    <t xml:space="preserve">V75048</t>
  </si>
  <si>
    <t xml:space="preserve">32122</t>
  </si>
  <si>
    <t xml:space="preserve">TES242</t>
  </si>
  <si>
    <t xml:space="preserve">34703</t>
  </si>
  <si>
    <t xml:space="preserve">V75339</t>
  </si>
  <si>
    <t xml:space="preserve">B90445</t>
  </si>
  <si>
    <t xml:space="preserve">33834</t>
  </si>
  <si>
    <t xml:space="preserve">H5.70X052.6</t>
  </si>
  <si>
    <t xml:space="preserve">HNBR2.00X015</t>
  </si>
  <si>
    <t xml:space="preserve">V2.50X044</t>
  </si>
  <si>
    <t xml:space="preserve">30369</t>
  </si>
  <si>
    <t xml:space="preserve">H3.10X059.4</t>
  </si>
  <si>
    <t xml:space="preserve">34806</t>
  </si>
  <si>
    <t xml:space="preserve">CV75126</t>
  </si>
  <si>
    <t xml:space="preserve">V5.00X027</t>
  </si>
  <si>
    <t xml:space="preserve">E70906</t>
  </si>
  <si>
    <t xml:space="preserve">33863</t>
  </si>
  <si>
    <t xml:space="preserve">B70372</t>
  </si>
  <si>
    <t xml:space="preserve">RTU187-1.125-312B</t>
  </si>
  <si>
    <t xml:space="preserve">33586</t>
  </si>
  <si>
    <t xml:space="preserve">N0.80X003.2</t>
  </si>
  <si>
    <t xml:space="preserve">32608</t>
  </si>
  <si>
    <t xml:space="preserve">V1.50X010.5</t>
  </si>
  <si>
    <t xml:space="preserve">QV-111</t>
  </si>
  <si>
    <t xml:space="preserve">V2.50X009.5</t>
  </si>
  <si>
    <t xml:space="preserve">N4.00X040</t>
  </si>
  <si>
    <t xml:space="preserve">V1.50X025.5</t>
  </si>
  <si>
    <t xml:space="preserve">E1.00X008.5</t>
  </si>
  <si>
    <t xml:space="preserve">N1.90X002.4</t>
  </si>
  <si>
    <t xml:space="preserve">C70.070</t>
  </si>
  <si>
    <t xml:space="preserve">30598</t>
  </si>
  <si>
    <t xml:space="preserve">V75102</t>
  </si>
  <si>
    <t xml:space="preserve">B90329</t>
  </si>
  <si>
    <t xml:space="preserve">UL125-0.500-250B</t>
  </si>
  <si>
    <t xml:space="preserve">S70035</t>
  </si>
  <si>
    <t xml:space="preserve">N4.00X033.5</t>
  </si>
  <si>
    <t xml:space="preserve">B70418</t>
  </si>
  <si>
    <t xml:space="preserve">32929</t>
  </si>
  <si>
    <t xml:space="preserve">A75320</t>
  </si>
  <si>
    <t xml:space="preserve">B90175</t>
  </si>
  <si>
    <t xml:space="preserve">31265</t>
  </si>
  <si>
    <t xml:space="preserve">N1.60X013.1</t>
  </si>
  <si>
    <t xml:space="preserve">H2.40X008.6</t>
  </si>
  <si>
    <t xml:space="preserve">E70267</t>
  </si>
  <si>
    <t xml:space="preserve">N1.50X061</t>
  </si>
  <si>
    <t xml:space="preserve">QR-233</t>
  </si>
  <si>
    <t xml:space="preserve">N3.00X076</t>
  </si>
  <si>
    <t xml:space="preserve">33346</t>
  </si>
  <si>
    <t xml:space="preserve">E2.00X021</t>
  </si>
  <si>
    <t xml:space="preserve">H-1000</t>
  </si>
  <si>
    <t xml:space="preserve">MUU-16X24X5</t>
  </si>
  <si>
    <t xml:space="preserve">V75110-MD</t>
  </si>
  <si>
    <t xml:space="preserve">B90111</t>
  </si>
  <si>
    <t xml:space="preserve">35104</t>
  </si>
  <si>
    <t xml:space="preserve">N2.40X025.3</t>
  </si>
  <si>
    <t xml:space="preserve">34942</t>
  </si>
  <si>
    <t xml:space="preserve">RTU250-1.500-375B</t>
  </si>
  <si>
    <t xml:space="preserve">33050</t>
  </si>
  <si>
    <t xml:space="preserve">E2.50X011.5</t>
  </si>
  <si>
    <t xml:space="preserve">QR-206</t>
  </si>
  <si>
    <t xml:space="preserve">E70134</t>
  </si>
  <si>
    <t xml:space="preserve">E3.00X010</t>
  </si>
  <si>
    <t xml:space="preserve">V75011-MD</t>
  </si>
  <si>
    <t xml:space="preserve">KT-HA-910</t>
  </si>
  <si>
    <t xml:space="preserve">34364</t>
  </si>
  <si>
    <t xml:space="preserve">KT-DF-848</t>
  </si>
  <si>
    <t xml:space="preserve">35102</t>
  </si>
  <si>
    <t xml:space="preserve">N1.50X092</t>
  </si>
  <si>
    <t xml:space="preserve">N2.50X051</t>
  </si>
  <si>
    <t xml:space="preserve">B70453</t>
  </si>
  <si>
    <t xml:space="preserve">33156</t>
  </si>
  <si>
    <t xml:space="preserve">BV75242</t>
  </si>
  <si>
    <t xml:space="preserve">34175</t>
  </si>
  <si>
    <t xml:space="preserve">N3.50X230</t>
  </si>
  <si>
    <t xml:space="preserve">BU014-B90</t>
  </si>
  <si>
    <t xml:space="preserve">V2.40X021.8</t>
  </si>
  <si>
    <t xml:space="preserve">N2.40X011.6</t>
  </si>
  <si>
    <t xml:space="preserve">B90235</t>
  </si>
  <si>
    <t xml:space="preserve">S2.00X019</t>
  </si>
  <si>
    <t xml:space="preserve">FS70122</t>
  </si>
  <si>
    <t xml:space="preserve">PO30357</t>
  </si>
  <si>
    <t xml:space="preserve">E1.00X003.5</t>
  </si>
  <si>
    <t xml:space="preserve">B70031-NSF</t>
  </si>
  <si>
    <t xml:space="preserve">N2.00X052.5</t>
  </si>
  <si>
    <t xml:space="preserve">V1.50X016</t>
  </si>
  <si>
    <t xml:space="preserve">B70330</t>
  </si>
  <si>
    <t xml:space="preserve">N2.90X056.6</t>
  </si>
  <si>
    <t xml:space="preserve">N1.00X027</t>
  </si>
  <si>
    <t xml:space="preserve">N1.50X074</t>
  </si>
  <si>
    <t xml:space="preserve">PO30217</t>
  </si>
  <si>
    <t xml:space="preserve">S2.00X050</t>
  </si>
  <si>
    <t xml:space="preserve">N1.80X011.8</t>
  </si>
  <si>
    <t xml:space="preserve">QV-230</t>
  </si>
  <si>
    <t xml:space="preserve">N4.50X060</t>
  </si>
  <si>
    <t xml:space="preserve">32263</t>
  </si>
  <si>
    <t xml:space="preserve">BU015-V90</t>
  </si>
  <si>
    <t xml:space="preserve">N1.80X007.5</t>
  </si>
  <si>
    <t xml:space="preserve">PR21-F80</t>
  </si>
  <si>
    <t xml:space="preserve">BV75369</t>
  </si>
  <si>
    <t xml:space="preserve">N1.80X003.55</t>
  </si>
  <si>
    <t xml:space="preserve">N2.00X044.5</t>
  </si>
  <si>
    <t xml:space="preserve">AN-37-SH</t>
  </si>
  <si>
    <t xml:space="preserve">33840</t>
  </si>
  <si>
    <t xml:space="preserve">V1.00X007-BR</t>
  </si>
  <si>
    <t xml:space="preserve">31289</t>
  </si>
  <si>
    <t xml:space="preserve">V2.00X185</t>
  </si>
  <si>
    <t xml:space="preserve">N1.60X002.2</t>
  </si>
  <si>
    <t xml:space="preserve">E2.00X019</t>
  </si>
  <si>
    <t xml:space="preserve">N1.50X002</t>
  </si>
  <si>
    <t xml:space="preserve">E3.00X060</t>
  </si>
  <si>
    <t xml:space="preserve">BU326-P</t>
  </si>
  <si>
    <t xml:space="preserve">E1.00X008</t>
  </si>
  <si>
    <t xml:space="preserve">BU326-B90</t>
  </si>
  <si>
    <t xml:space="preserve">N1.50X002.5</t>
  </si>
  <si>
    <t xml:space="preserve">N2.50X055</t>
  </si>
  <si>
    <t xml:space="preserve">B50335</t>
  </si>
  <si>
    <t xml:space="preserve">34457</t>
  </si>
  <si>
    <t xml:space="preserve">MCDWS-2.000</t>
  </si>
  <si>
    <t xml:space="preserve">B90312</t>
  </si>
  <si>
    <t xml:space="preserve">FFKM-142-SZ485</t>
  </si>
  <si>
    <t xml:space="preserve">N3.00X004.5</t>
  </si>
  <si>
    <t xml:space="preserve">BV75017</t>
  </si>
  <si>
    <t xml:space="preserve">33373</t>
  </si>
  <si>
    <t xml:space="preserve">E70902</t>
  </si>
  <si>
    <t xml:space="preserve">N5.00X243</t>
  </si>
  <si>
    <t xml:space="preserve">30802</t>
  </si>
  <si>
    <t xml:space="preserve">V3.10X089.4</t>
  </si>
  <si>
    <t xml:space="preserve">HNBR2.00X008</t>
  </si>
  <si>
    <t xml:space="preserve">V1.00X019</t>
  </si>
  <si>
    <t xml:space="preserve">V3.50X043.7</t>
  </si>
  <si>
    <t xml:space="preserve">V75334</t>
  </si>
  <si>
    <t xml:space="preserve">B90106</t>
  </si>
  <si>
    <t xml:space="preserve">FS75011</t>
  </si>
  <si>
    <t xml:space="preserve">31054</t>
  </si>
  <si>
    <t xml:space="preserve">BU011-TEF-SPL</t>
  </si>
  <si>
    <t xml:space="preserve">E5.00X022</t>
  </si>
  <si>
    <t xml:space="preserve">B70246</t>
  </si>
  <si>
    <t xml:space="preserve">34216</t>
  </si>
  <si>
    <t xml:space="preserve">N4.80X042.9</t>
  </si>
  <si>
    <t xml:space="preserve">QV-224</t>
  </si>
  <si>
    <t xml:space="preserve">S70344</t>
  </si>
  <si>
    <t xml:space="preserve">33579</t>
  </si>
  <si>
    <t xml:space="preserve">E70314</t>
  </si>
  <si>
    <t xml:space="preserve">V3.50X033</t>
  </si>
  <si>
    <t xml:space="preserve">TRO09</t>
  </si>
  <si>
    <t xml:space="preserve">V2.50X004.5</t>
  </si>
  <si>
    <t xml:space="preserve">B70264-NSF</t>
  </si>
  <si>
    <t xml:space="preserve">22X35X7SC</t>
  </si>
  <si>
    <t xml:space="preserve">Oil Seals Metric Type SC</t>
  </si>
  <si>
    <t xml:space="preserve">V90230</t>
  </si>
  <si>
    <t xml:space="preserve">QR-335</t>
  </si>
  <si>
    <t xml:space="preserve">BU012-B90</t>
  </si>
  <si>
    <t xml:space="preserve">C70906</t>
  </si>
  <si>
    <t xml:space="preserve">PR16-N85</t>
  </si>
  <si>
    <t xml:space="preserve">BU224-TEF-SOL</t>
  </si>
  <si>
    <t xml:space="preserve">V2.00X022</t>
  </si>
  <si>
    <t xml:space="preserve">FDABV75157</t>
  </si>
  <si>
    <t xml:space="preserve">V90115</t>
  </si>
  <si>
    <t xml:space="preserve">30593</t>
  </si>
  <si>
    <t xml:space="preserve">V90149</t>
  </si>
  <si>
    <t xml:space="preserve">N2.65X025.8</t>
  </si>
  <si>
    <t xml:space="preserve">N4.00X037</t>
  </si>
  <si>
    <t xml:space="preserve">FS70130</t>
  </si>
  <si>
    <t xml:space="preserve">N1.80X006.3</t>
  </si>
  <si>
    <t xml:space="preserve">B90032</t>
  </si>
  <si>
    <t xml:space="preserve">BV75024</t>
  </si>
  <si>
    <t xml:space="preserve">B50345</t>
  </si>
  <si>
    <t xml:space="preserve">N3.00X094</t>
  </si>
  <si>
    <t xml:space="preserve">V2.50X049</t>
  </si>
  <si>
    <t xml:space="preserve">30370</t>
  </si>
  <si>
    <t xml:space="preserve">S70443</t>
  </si>
  <si>
    <t xml:space="preserve">B70177</t>
  </si>
  <si>
    <t xml:space="preserve">E2.00X011</t>
  </si>
  <si>
    <t xml:space="preserve">TEF2.00X018</t>
  </si>
  <si>
    <t xml:space="preserve">N1.00X030.5</t>
  </si>
  <si>
    <t xml:space="preserve">612-225-062</t>
  </si>
  <si>
    <t xml:space="preserve">V1.50X019.5</t>
  </si>
  <si>
    <t xml:space="preserve">A75122</t>
  </si>
  <si>
    <t xml:space="preserve">N1.30X025</t>
  </si>
  <si>
    <t xml:space="preserve">V3.50X025.2</t>
  </si>
  <si>
    <t xml:space="preserve">N1.80X008.5</t>
  </si>
  <si>
    <t xml:space="preserve">N3.00X039.5</t>
  </si>
  <si>
    <t xml:space="preserve">V1.00X031</t>
  </si>
  <si>
    <t xml:space="preserve">V2.50X029</t>
  </si>
  <si>
    <t xml:space="preserve">B90274</t>
  </si>
  <si>
    <t xml:space="preserve">BU119-V90</t>
  </si>
  <si>
    <t xml:space="preserve">H2.00X004</t>
  </si>
  <si>
    <t xml:space="preserve">V4.00X015</t>
  </si>
  <si>
    <t xml:space="preserve">30773</t>
  </si>
  <si>
    <t xml:space="preserve">BU019-TEF-SPL</t>
  </si>
  <si>
    <t xml:space="preserve">V2.40X011.8</t>
  </si>
  <si>
    <t xml:space="preserve">V75042</t>
  </si>
  <si>
    <t xml:space="preserve">V3.00X046</t>
  </si>
  <si>
    <t xml:space="preserve">N3.00X074.5</t>
  </si>
  <si>
    <t xml:space="preserve">S3.50X084</t>
  </si>
  <si>
    <t xml:space="preserve">E70040-NSF</t>
  </si>
  <si>
    <t xml:space="preserve">N3.00X144.5</t>
  </si>
  <si>
    <t xml:space="preserve">V2.00X004.5</t>
  </si>
  <si>
    <t xml:space="preserve">N2.50X008.5</t>
  </si>
  <si>
    <t xml:space="preserve">BU012-V90</t>
  </si>
  <si>
    <t xml:space="preserve">N1.50X057</t>
  </si>
  <si>
    <t xml:space="preserve">BU237-TEF-SOL</t>
  </si>
  <si>
    <t xml:space="preserve">B90229</t>
  </si>
  <si>
    <t xml:space="preserve">BU114-B90</t>
  </si>
  <si>
    <t xml:space="preserve">N5.00X210</t>
  </si>
  <si>
    <t xml:space="preserve">N2.50X014</t>
  </si>
  <si>
    <t xml:space="preserve">N2.00X075</t>
  </si>
  <si>
    <t xml:space="preserve">V4.00X010</t>
  </si>
  <si>
    <t xml:space="preserve">H2.40X005.6</t>
  </si>
  <si>
    <t xml:space="preserve">V3.00X019.5</t>
  </si>
  <si>
    <t xml:space="preserve">B90370</t>
  </si>
  <si>
    <t xml:space="preserve">B70467</t>
  </si>
  <si>
    <t xml:space="preserve">N3.00X054</t>
  </si>
  <si>
    <t xml:space="preserve">S50036</t>
  </si>
  <si>
    <t xml:space="preserve">SN70111</t>
  </si>
  <si>
    <t xml:space="preserve">B90440</t>
  </si>
  <si>
    <t xml:space="preserve">H3.00X033</t>
  </si>
  <si>
    <t xml:space="preserve">BU252-TEF-SOL</t>
  </si>
  <si>
    <t xml:space="preserve">B70450</t>
  </si>
  <si>
    <t xml:space="preserve">31717</t>
  </si>
  <si>
    <t xml:space="preserve">E3.00X009</t>
  </si>
  <si>
    <t xml:space="preserve">V2.00X036</t>
  </si>
  <si>
    <t xml:space="preserve">BU160-TEF-SPL</t>
  </si>
  <si>
    <t xml:space="preserve">E70240</t>
  </si>
  <si>
    <t xml:space="preserve">33845</t>
  </si>
  <si>
    <t xml:space="preserve">E1.50X002.5</t>
  </si>
  <si>
    <t xml:space="preserve">S0.50X001</t>
  </si>
  <si>
    <t xml:space="preserve">E1.50X004</t>
  </si>
  <si>
    <t xml:space="preserve">B90003</t>
  </si>
  <si>
    <t xml:space="preserve">N8.40X309.5</t>
  </si>
  <si>
    <t xml:space="preserve">H1.90X003.8</t>
  </si>
  <si>
    <t xml:space="preserve">BV75227</t>
  </si>
  <si>
    <t xml:space="preserve">B70029-NSF</t>
  </si>
  <si>
    <t xml:space="preserve">30545</t>
  </si>
  <si>
    <t xml:space="preserve">V90127</t>
  </si>
  <si>
    <t xml:space="preserve">6226-36</t>
  </si>
  <si>
    <t xml:space="preserve">N2.50X029.5</t>
  </si>
  <si>
    <t xml:space="preserve">N1.80X003.15</t>
  </si>
  <si>
    <t xml:space="preserve">N2.50X033.5</t>
  </si>
  <si>
    <t xml:space="preserve">QV-213</t>
  </si>
  <si>
    <t xml:space="preserve">34318</t>
  </si>
  <si>
    <t xml:space="preserve">A75136</t>
  </si>
  <si>
    <t xml:space="preserve">H3.50X045.7</t>
  </si>
  <si>
    <t xml:space="preserve">V2.00X044</t>
  </si>
  <si>
    <t xml:space="preserve">V2.40X006.6</t>
  </si>
  <si>
    <t xml:space="preserve">V90221</t>
  </si>
  <si>
    <t xml:space="preserve">H3.10X034.4</t>
  </si>
  <si>
    <t xml:space="preserve">BV75037</t>
  </si>
  <si>
    <t xml:space="preserve">B90146</t>
  </si>
  <si>
    <t xml:space="preserve">31327</t>
  </si>
  <si>
    <t xml:space="preserve">B70279</t>
  </si>
  <si>
    <t xml:space="preserve">V2.00X039.5</t>
  </si>
  <si>
    <t xml:space="preserve">BU212-V90</t>
  </si>
  <si>
    <t xml:space="preserve">N1.50X011.5</t>
  </si>
  <si>
    <t xml:space="preserve">N1.50X046</t>
  </si>
  <si>
    <t xml:space="preserve">BU214-V90</t>
  </si>
  <si>
    <t xml:space="preserve">B70170</t>
  </si>
  <si>
    <t xml:space="preserve">V2.00X031</t>
  </si>
  <si>
    <t xml:space="preserve">626-115-5747</t>
  </si>
  <si>
    <t xml:space="preserve">N2.00X029</t>
  </si>
  <si>
    <t xml:space="preserve">BU122-B90</t>
  </si>
  <si>
    <t xml:space="preserve">H3.00X028</t>
  </si>
  <si>
    <t xml:space="preserve">N1.80X008</t>
  </si>
  <si>
    <t xml:space="preserve">B70414</t>
  </si>
  <si>
    <t xml:space="preserve">N3.00X098</t>
  </si>
  <si>
    <t xml:space="preserve">WN70109</t>
  </si>
  <si>
    <t xml:space="preserve">N2.00X037</t>
  </si>
  <si>
    <t xml:space="preserve">N3.00X005.5</t>
  </si>
  <si>
    <t xml:space="preserve">BU018-B90</t>
  </si>
  <si>
    <t xml:space="preserve">S0.50X008.5</t>
  </si>
  <si>
    <t xml:space="preserve">PO28506</t>
  </si>
  <si>
    <t xml:space="preserve">VN25 ESCORT SEAL</t>
  </si>
  <si>
    <t xml:space="preserve">C70017</t>
  </si>
  <si>
    <t xml:space="preserve">31379</t>
  </si>
  <si>
    <t xml:space="preserve">V2.50X043</t>
  </si>
  <si>
    <t xml:space="preserve">WN70023</t>
  </si>
  <si>
    <t xml:space="preserve">B70252-NSF</t>
  </si>
  <si>
    <t xml:space="preserve">S70147</t>
  </si>
  <si>
    <t xml:space="preserve">31258</t>
  </si>
  <si>
    <t xml:space="preserve">S2.00X003</t>
  </si>
  <si>
    <t xml:space="preserve">H2.00X015</t>
  </si>
  <si>
    <t xml:space="preserve">N1.60X029.1</t>
  </si>
  <si>
    <t xml:space="preserve">FDABV75036</t>
  </si>
  <si>
    <t xml:space="preserve">B70175</t>
  </si>
  <si>
    <t xml:space="preserve">32406</t>
  </si>
  <si>
    <t xml:space="preserve">E1.00X012</t>
  </si>
  <si>
    <t xml:space="preserve">V2.00X048</t>
  </si>
  <si>
    <t xml:space="preserve">H1.50X013</t>
  </si>
  <si>
    <t xml:space="preserve">FFKM-1.50X006.5</t>
  </si>
  <si>
    <t xml:space="preserve">34728</t>
  </si>
  <si>
    <t xml:space="preserve">N1.00X022</t>
  </si>
  <si>
    <t xml:space="preserve">V3.50X018</t>
  </si>
  <si>
    <t xml:space="preserve">E3.50X018</t>
  </si>
  <si>
    <t xml:space="preserve">V4.00X154</t>
  </si>
  <si>
    <t xml:space="preserve">E70447-NSF</t>
  </si>
  <si>
    <t xml:space="preserve">N3.50X032.5</t>
  </si>
  <si>
    <t xml:space="preserve">BU007-TEF-SPL</t>
  </si>
  <si>
    <t xml:space="preserve">S2.00X052</t>
  </si>
  <si>
    <t xml:space="preserve">FDABV75030</t>
  </si>
  <si>
    <t xml:space="preserve">H3.10X069.4</t>
  </si>
  <si>
    <t xml:space="preserve">N1.50X035.5</t>
  </si>
  <si>
    <t xml:space="preserve">RTUL125-1.000-250B</t>
  </si>
  <si>
    <t xml:space="preserve">V3.50X036</t>
  </si>
  <si>
    <t xml:space="preserve">QV-042</t>
  </si>
  <si>
    <t xml:space="preserve">N3.00X119</t>
  </si>
  <si>
    <t xml:space="preserve">626-014-5747</t>
  </si>
  <si>
    <t xml:space="preserve">32357</t>
  </si>
  <si>
    <t xml:space="preserve">S3.00X040</t>
  </si>
  <si>
    <t xml:space="preserve">30702</t>
  </si>
  <si>
    <t xml:space="preserve">H70027</t>
  </si>
  <si>
    <t xml:space="preserve">E70108</t>
  </si>
  <si>
    <t xml:space="preserve">V1.50X017.5</t>
  </si>
  <si>
    <t xml:space="preserve">32524</t>
  </si>
  <si>
    <t xml:space="preserve">N2.00X135</t>
  </si>
  <si>
    <t xml:space="preserve">H2.50X011</t>
  </si>
  <si>
    <t xml:space="preserve">TEV239</t>
  </si>
  <si>
    <t xml:space="preserve">34901</t>
  </si>
  <si>
    <t xml:space="preserve">S3.50X055</t>
  </si>
  <si>
    <t xml:space="preserve">N6.00X025</t>
  </si>
  <si>
    <t xml:space="preserve">V3.00X017</t>
  </si>
  <si>
    <t xml:space="preserve">KT-SE-450</t>
  </si>
  <si>
    <t xml:space="preserve">33906</t>
  </si>
  <si>
    <t xml:space="preserve">PR48-F80</t>
  </si>
  <si>
    <t xml:space="preserve">E70210-NSF</t>
  </si>
  <si>
    <t xml:space="preserve">31965</t>
  </si>
  <si>
    <t xml:space="preserve">BU017-V90</t>
  </si>
  <si>
    <t xml:space="preserve">N4.00X020</t>
  </si>
  <si>
    <t xml:space="preserve">N3.00X016.5</t>
  </si>
  <si>
    <t xml:space="preserve">6226-18</t>
  </si>
  <si>
    <t xml:space="preserve">V5.70X059.6</t>
  </si>
  <si>
    <t xml:space="preserve">H3.10X079.4</t>
  </si>
  <si>
    <t xml:space="preserve">N2.00X090</t>
  </si>
  <si>
    <t xml:space="preserve">BU015-B90</t>
  </si>
  <si>
    <t xml:space="preserve">TRO22</t>
  </si>
  <si>
    <t xml:space="preserve">33093</t>
  </si>
  <si>
    <t xml:space="preserve">QR-142</t>
  </si>
  <si>
    <t xml:space="preserve">S70210</t>
  </si>
  <si>
    <t xml:space="preserve">A75126</t>
  </si>
  <si>
    <t xml:space="preserve">V4.00X008</t>
  </si>
  <si>
    <t xml:space="preserve">FDABV75329</t>
  </si>
  <si>
    <t xml:space="preserve">A75133</t>
  </si>
  <si>
    <t xml:space="preserve">E3.00X080</t>
  </si>
  <si>
    <t xml:space="preserve">V75026-MS</t>
  </si>
  <si>
    <t xml:space="preserve">N1.60X015.1</t>
  </si>
  <si>
    <t xml:space="preserve">31565</t>
  </si>
  <si>
    <t xml:space="preserve">V2.40X037.6</t>
  </si>
  <si>
    <t xml:space="preserve">B70442</t>
  </si>
  <si>
    <t xml:space="preserve">S1.00X009</t>
  </si>
  <si>
    <t xml:space="preserve">31561</t>
  </si>
  <si>
    <t xml:space="preserve">N5.00X070</t>
  </si>
  <si>
    <t xml:space="preserve">H1.90X007.8</t>
  </si>
  <si>
    <t xml:space="preserve">33627</t>
  </si>
  <si>
    <t xml:space="preserve">V4.00X114</t>
  </si>
  <si>
    <t xml:space="preserve">V3.00X043</t>
  </si>
  <si>
    <t xml:space="preserve">B70470</t>
  </si>
  <si>
    <t xml:space="preserve">BV75924</t>
  </si>
  <si>
    <t xml:space="preserve">E2.00X007</t>
  </si>
  <si>
    <t xml:space="preserve">B90316</t>
  </si>
  <si>
    <t xml:space="preserve">32908</t>
  </si>
  <si>
    <t xml:space="preserve">E70340</t>
  </si>
  <si>
    <t xml:space="preserve">V90257</t>
  </si>
  <si>
    <t xml:space="preserve">S70209</t>
  </si>
  <si>
    <t xml:space="preserve">V75029-MS</t>
  </si>
  <si>
    <t xml:space="preserve">QV-364</t>
  </si>
  <si>
    <t xml:space="preserve">V75114-MS</t>
  </si>
  <si>
    <t xml:space="preserve">N5.70X047.2</t>
  </si>
  <si>
    <t xml:space="preserve">E70034</t>
  </si>
  <si>
    <t xml:space="preserve">BU108-TEF-SOL</t>
  </si>
  <si>
    <t xml:space="preserve">C70130</t>
  </si>
  <si>
    <t xml:space="preserve">612-450-037</t>
  </si>
  <si>
    <t xml:space="preserve">N4.00X012</t>
  </si>
  <si>
    <t xml:space="preserve">BU005-B90</t>
  </si>
  <si>
    <t xml:space="preserve">C70225</t>
  </si>
  <si>
    <t xml:space="preserve">V3.00X031</t>
  </si>
  <si>
    <t xml:space="preserve">V3.50X028</t>
  </si>
  <si>
    <t xml:space="preserve">N3.00X068</t>
  </si>
  <si>
    <t xml:space="preserve">S1.50X018</t>
  </si>
  <si>
    <t xml:space="preserve">H70223</t>
  </si>
  <si>
    <t xml:space="preserve">C70008</t>
  </si>
  <si>
    <t xml:space="preserve">32514</t>
  </si>
  <si>
    <t xml:space="preserve">N1.60X008.1</t>
  </si>
  <si>
    <t xml:space="preserve">N1.50X044</t>
  </si>
  <si>
    <t xml:space="preserve">B70211-NSF</t>
  </si>
  <si>
    <t xml:space="preserve">H3.10X049.4</t>
  </si>
  <si>
    <t xml:space="preserve">E2.00X008</t>
  </si>
  <si>
    <t xml:space="preserve">E70318-NSF</t>
  </si>
  <si>
    <t xml:space="preserve">H1.50X012</t>
  </si>
  <si>
    <t xml:space="preserve">N2.00X031</t>
  </si>
  <si>
    <t xml:space="preserve">C70126</t>
  </si>
  <si>
    <t xml:space="preserve">H70044</t>
  </si>
  <si>
    <t xml:space="preserve">V2.50X025.5</t>
  </si>
  <si>
    <t xml:space="preserve">N3.50X045</t>
  </si>
  <si>
    <t xml:space="preserve">FDABV75108</t>
  </si>
  <si>
    <t xml:space="preserve">E70274</t>
  </si>
  <si>
    <t xml:space="preserve">E70122-NSF</t>
  </si>
  <si>
    <t xml:space="preserve">32294</t>
  </si>
  <si>
    <t xml:space="preserve">V3.00X061</t>
  </si>
  <si>
    <t xml:space="preserve">V2.50X022</t>
  </si>
  <si>
    <t xml:space="preserve">V4.00X051</t>
  </si>
  <si>
    <t xml:space="preserve">V2.00X067</t>
  </si>
  <si>
    <t xml:space="preserve">H2.00X012</t>
  </si>
  <si>
    <t xml:space="preserve">B70166-NSF</t>
  </si>
  <si>
    <t xml:space="preserve">N6.00X122</t>
  </si>
  <si>
    <t xml:space="preserve">SN70041</t>
  </si>
  <si>
    <t xml:space="preserve">S1.00X016</t>
  </si>
  <si>
    <t xml:space="preserve">BU240-B90</t>
  </si>
  <si>
    <t xml:space="preserve">PR17-N85</t>
  </si>
  <si>
    <t xml:space="preserve">B70382</t>
  </si>
  <si>
    <t xml:space="preserve">34103</t>
  </si>
  <si>
    <t xml:space="preserve">N2.62X017.46</t>
  </si>
  <si>
    <t xml:space="preserve">WN70122</t>
  </si>
  <si>
    <t xml:space="preserve">HRU06-0.25-06</t>
  </si>
  <si>
    <t xml:space="preserve">B70321</t>
  </si>
  <si>
    <t xml:space="preserve">AM54-21252625-250</t>
  </si>
  <si>
    <t xml:space="preserve">A75438</t>
  </si>
  <si>
    <t xml:space="preserve">30491</t>
  </si>
  <si>
    <t xml:space="preserve">B70041-NSF</t>
  </si>
  <si>
    <t xml:space="preserve">FS70107</t>
  </si>
  <si>
    <t xml:space="preserve">WN70112</t>
  </si>
  <si>
    <t xml:space="preserve">N3.00X051</t>
  </si>
  <si>
    <t xml:space="preserve">BU006-B90</t>
  </si>
  <si>
    <t xml:space="preserve">B90141</t>
  </si>
  <si>
    <t xml:space="preserve">S70152</t>
  </si>
  <si>
    <t xml:space="preserve">QR-369</t>
  </si>
  <si>
    <t xml:space="preserve">A75203</t>
  </si>
  <si>
    <t xml:space="preserve">BU118-B90</t>
  </si>
  <si>
    <t xml:space="preserve">V1.50X018</t>
  </si>
  <si>
    <t xml:space="preserve">N3.00X049.5</t>
  </si>
  <si>
    <t xml:space="preserve">BU121-B90</t>
  </si>
  <si>
    <t xml:space="preserve">MUU-10X15X3</t>
  </si>
  <si>
    <t xml:space="preserve">33855</t>
  </si>
  <si>
    <t xml:space="preserve">N3.00X018.5</t>
  </si>
  <si>
    <t xml:space="preserve">BU338-B90</t>
  </si>
  <si>
    <t xml:space="preserve">U187-0.375-312B</t>
  </si>
  <si>
    <t xml:space="preserve">34561</t>
  </si>
  <si>
    <t xml:space="preserve">6226-30-E70</t>
  </si>
  <si>
    <t xml:space="preserve">BU108-B90</t>
  </si>
  <si>
    <t xml:space="preserve">V2.50X023</t>
  </si>
  <si>
    <t xml:space="preserve">BU327-B90</t>
  </si>
  <si>
    <t xml:space="preserve">E2.00X028</t>
  </si>
  <si>
    <t xml:space="preserve">31890</t>
  </si>
  <si>
    <t xml:space="preserve">V2.00X022.5</t>
  </si>
  <si>
    <t xml:space="preserve">U250-1.250-250B</t>
  </si>
  <si>
    <t xml:space="preserve">B90124</t>
  </si>
  <si>
    <t xml:space="preserve">N3.50X021</t>
  </si>
  <si>
    <t xml:space="preserve">V1.00X039</t>
  </si>
  <si>
    <t xml:space="preserve">S1.50X002</t>
  </si>
  <si>
    <t xml:space="preserve">V2.00X019.5</t>
  </si>
  <si>
    <t xml:space="preserve">TES261</t>
  </si>
  <si>
    <t xml:space="preserve">33716</t>
  </si>
  <si>
    <t xml:space="preserve">MUU-22X30X6</t>
  </si>
  <si>
    <t xml:space="preserve">V4.00X036</t>
  </si>
  <si>
    <t xml:space="preserve">B90240</t>
  </si>
  <si>
    <t xml:space="preserve">N2.50X036</t>
  </si>
  <si>
    <t xml:space="preserve">B90017</t>
  </si>
  <si>
    <t xml:space="preserve">N3.50X036.5</t>
  </si>
  <si>
    <t xml:space="preserve">N4.00X093</t>
  </si>
  <si>
    <t xml:space="preserve">FFKM-122-SZ485</t>
  </si>
  <si>
    <t xml:space="preserve">34079</t>
  </si>
  <si>
    <t xml:space="preserve">H3.00X036</t>
  </si>
  <si>
    <t xml:space="preserve">BU220-TEF-SPL</t>
  </si>
  <si>
    <t xml:space="preserve">U187-2.125-187B</t>
  </si>
  <si>
    <t xml:space="preserve">E70375</t>
  </si>
  <si>
    <t xml:space="preserve">N3.00X088</t>
  </si>
  <si>
    <t xml:space="preserve">B70202-NSF</t>
  </si>
  <si>
    <t xml:space="preserve">30735</t>
  </si>
  <si>
    <t xml:space="preserve">BU334-B90</t>
  </si>
  <si>
    <t xml:space="preserve">BU246-B90</t>
  </si>
  <si>
    <t xml:space="preserve">N2.50X009.5</t>
  </si>
  <si>
    <t xml:space="preserve">N5.70X079.6</t>
  </si>
  <si>
    <t xml:space="preserve">S2.00X046</t>
  </si>
  <si>
    <t xml:space="preserve">C70227</t>
  </si>
  <si>
    <t xml:space="preserve">BU330-B90</t>
  </si>
  <si>
    <t xml:space="preserve">SN70205</t>
  </si>
  <si>
    <t xml:space="preserve">H2.00X007</t>
  </si>
  <si>
    <t xml:space="preserve">BV75162</t>
  </si>
  <si>
    <t xml:space="preserve">32359</t>
  </si>
  <si>
    <t xml:space="preserve">FFKM-132-SZ495</t>
  </si>
  <si>
    <t xml:space="preserve">N2.62X013.1</t>
  </si>
  <si>
    <t xml:space="preserve">32813</t>
  </si>
  <si>
    <t xml:space="preserve">B90334</t>
  </si>
  <si>
    <t xml:space="preserve">V2.40X009.8</t>
  </si>
  <si>
    <t xml:space="preserve">32370</t>
  </si>
  <si>
    <t xml:space="preserve">V90324</t>
  </si>
  <si>
    <t xml:space="preserve">33487</t>
  </si>
  <si>
    <t xml:space="preserve">V2.50X026</t>
  </si>
  <si>
    <t xml:space="preserve">BU116-B90</t>
  </si>
  <si>
    <t xml:space="preserve">N3.00X140</t>
  </si>
  <si>
    <t xml:space="preserve">V75258</t>
  </si>
  <si>
    <t xml:space="preserve">N4.00X125</t>
  </si>
  <si>
    <t xml:space="preserve">PO30137</t>
  </si>
  <si>
    <t xml:space="preserve">V3.00X016</t>
  </si>
  <si>
    <t xml:space="preserve">N2.50X067</t>
  </si>
  <si>
    <t xml:space="preserve">32087</t>
  </si>
  <si>
    <t xml:space="preserve">V90244</t>
  </si>
  <si>
    <t xml:space="preserve">E70236-NSF</t>
  </si>
  <si>
    <t xml:space="preserve">30536</t>
  </si>
  <si>
    <t xml:space="preserve">C70160</t>
  </si>
  <si>
    <t xml:space="preserve">N1.20X004</t>
  </si>
  <si>
    <t xml:space="preserve">V75120</t>
  </si>
  <si>
    <t xml:space="preserve">H2.00X005</t>
  </si>
  <si>
    <t xml:space="preserve">FDABV75139</t>
  </si>
  <si>
    <t xml:space="preserve">V4.50X031</t>
  </si>
  <si>
    <t xml:space="preserve">BU261-P</t>
  </si>
  <si>
    <t xml:space="preserve">33433</t>
  </si>
  <si>
    <t xml:space="preserve">C70166</t>
  </si>
  <si>
    <t xml:space="preserve">E3.00X074</t>
  </si>
  <si>
    <t xml:space="preserve">N0.50X011</t>
  </si>
  <si>
    <t xml:space="preserve">N3.10X109.4</t>
  </si>
  <si>
    <t xml:space="preserve">UC90108</t>
  </si>
  <si>
    <t xml:space="preserve">QR-318</t>
  </si>
  <si>
    <t xml:space="preserve">31947</t>
  </si>
  <si>
    <t xml:space="preserve">H3.00X024</t>
  </si>
  <si>
    <t xml:space="preserve">V3.00X195</t>
  </si>
  <si>
    <t xml:space="preserve">BU115-V90</t>
  </si>
  <si>
    <t xml:space="preserve">RTU125-1.125-250B</t>
  </si>
  <si>
    <t xml:space="preserve">V2.00X059.5</t>
  </si>
  <si>
    <t xml:space="preserve">V90326</t>
  </si>
  <si>
    <t xml:space="preserve">B70102</t>
  </si>
  <si>
    <t xml:space="preserve">TES334</t>
  </si>
  <si>
    <t xml:space="preserve">CV75038</t>
  </si>
  <si>
    <t xml:space="preserve">V3.50X023</t>
  </si>
  <si>
    <t xml:space="preserve">FS70105</t>
  </si>
  <si>
    <t xml:space="preserve">B70371</t>
  </si>
  <si>
    <t xml:space="preserve">N3.50X052</t>
  </si>
  <si>
    <t xml:space="preserve">33272</t>
  </si>
  <si>
    <t xml:space="preserve">S0.50X005</t>
  </si>
  <si>
    <t xml:space="preserve">V2.00X096</t>
  </si>
  <si>
    <t xml:space="preserve">33646</t>
  </si>
  <si>
    <t xml:space="preserve">PR12-N85</t>
  </si>
  <si>
    <t xml:space="preserve">U250-1.000-250B</t>
  </si>
  <si>
    <t xml:space="preserve">V2.40X006.3</t>
  </si>
  <si>
    <t xml:space="preserve">N4.00X210</t>
  </si>
  <si>
    <t xml:space="preserve">V3.50X045.7</t>
  </si>
  <si>
    <t xml:space="preserve">BU113-B90</t>
  </si>
  <si>
    <t xml:space="preserve">H4.00X044</t>
  </si>
  <si>
    <t xml:space="preserve">H3.50X048.7</t>
  </si>
  <si>
    <t xml:space="preserve">SPI-0250-1-03</t>
  </si>
  <si>
    <t xml:space="preserve">H3.00X009</t>
  </si>
  <si>
    <t xml:space="preserve">35046</t>
  </si>
  <si>
    <t xml:space="preserve">B70107-NSF</t>
  </si>
  <si>
    <t xml:space="preserve">B70174</t>
  </si>
  <si>
    <t xml:space="preserve">TPO19</t>
  </si>
  <si>
    <t xml:space="preserve">N2.00X049.5</t>
  </si>
  <si>
    <t xml:space="preserve">E70032-NSF</t>
  </si>
  <si>
    <t xml:space="preserve">30456</t>
  </si>
  <si>
    <t xml:space="preserve">AM54-15002000-312</t>
  </si>
  <si>
    <t xml:space="preserve">S1.00X004</t>
  </si>
  <si>
    <t xml:space="preserve">V1.00X023.5</t>
  </si>
  <si>
    <t xml:space="preserve">E1.00X009</t>
  </si>
  <si>
    <t xml:space="preserve">V2.50X129</t>
  </si>
  <si>
    <t xml:space="preserve">V4.00X030</t>
  </si>
  <si>
    <t xml:space="preserve">BU029-TEF-SPL</t>
  </si>
  <si>
    <t xml:space="preserve">C70142</t>
  </si>
  <si>
    <t xml:space="preserve">30877</t>
  </si>
  <si>
    <t xml:space="preserve">TEV029</t>
  </si>
  <si>
    <t xml:space="preserve">B70263-NSF</t>
  </si>
  <si>
    <t xml:space="preserve">TES011</t>
  </si>
  <si>
    <t xml:space="preserve">H70025</t>
  </si>
  <si>
    <t xml:space="preserve">V1.50X040</t>
  </si>
  <si>
    <t xml:space="preserve">33767</t>
  </si>
  <si>
    <t xml:space="preserve">H70259</t>
  </si>
  <si>
    <t xml:space="preserve">C70125</t>
  </si>
  <si>
    <t xml:space="preserve">FFKM-033-SZ495</t>
  </si>
  <si>
    <t xml:space="preserve">V90322</t>
  </si>
  <si>
    <t xml:space="preserve">BU429-P</t>
  </si>
  <si>
    <t xml:space="preserve">A75374</t>
  </si>
  <si>
    <t xml:space="preserve">B70366-NSF</t>
  </si>
  <si>
    <t xml:space="preserve">30X52X7TC</t>
  </si>
  <si>
    <t xml:space="preserve">BV75905</t>
  </si>
  <si>
    <t xml:space="preserve">BV75216</t>
  </si>
  <si>
    <t xml:space="preserve">B70269</t>
  </si>
  <si>
    <t xml:space="preserve">E2.00X010</t>
  </si>
  <si>
    <t xml:space="preserve">N4.00X029</t>
  </si>
  <si>
    <t xml:space="preserve">V4.50X009</t>
  </si>
  <si>
    <t xml:space="preserve">N6.00X166</t>
  </si>
  <si>
    <t xml:space="preserve">PS1704C-040</t>
  </si>
  <si>
    <t xml:space="preserve">A75343</t>
  </si>
  <si>
    <t xml:space="preserve">A75025</t>
  </si>
  <si>
    <t xml:space="preserve">N5.00X122</t>
  </si>
  <si>
    <t xml:space="preserve">N3.00X028</t>
  </si>
  <si>
    <t xml:space="preserve">A75141</t>
  </si>
  <si>
    <t xml:space="preserve">N5.00X030</t>
  </si>
  <si>
    <t xml:space="preserve">S2.00X004</t>
  </si>
  <si>
    <t xml:space="preserve">SN70443</t>
  </si>
  <si>
    <t xml:space="preserve">31332</t>
  </si>
  <si>
    <t xml:space="preserve">B70909</t>
  </si>
  <si>
    <t xml:space="preserve">31791</t>
  </si>
  <si>
    <t xml:space="preserve">B70448-NSF</t>
  </si>
  <si>
    <t xml:space="preserve">BU121-V90</t>
  </si>
  <si>
    <t xml:space="preserve">V2.40X012.3</t>
  </si>
  <si>
    <t xml:space="preserve">E2.50X015.5</t>
  </si>
  <si>
    <t xml:space="preserve">E3.00X015</t>
  </si>
  <si>
    <t xml:space="preserve">30797</t>
  </si>
  <si>
    <t xml:space="preserve">V75390</t>
  </si>
  <si>
    <t xml:space="preserve">B70254-NSF</t>
  </si>
  <si>
    <t xml:space="preserve">U125-0.125-125B</t>
  </si>
  <si>
    <t xml:space="preserve">BU117-B90</t>
  </si>
  <si>
    <t xml:space="preserve">31370</t>
  </si>
  <si>
    <t xml:space="preserve">V3.00X093</t>
  </si>
  <si>
    <t xml:space="preserve">N2.00X084</t>
  </si>
  <si>
    <t xml:space="preserve">AM54-08751375-312</t>
  </si>
  <si>
    <t xml:space="preserve">C70007</t>
  </si>
  <si>
    <t xml:space="preserve">N3.50X030.7</t>
  </si>
  <si>
    <t xml:space="preserve">E70239</t>
  </si>
  <si>
    <t xml:space="preserve">H2.40X010.8</t>
  </si>
  <si>
    <t xml:space="preserve">KT-DF-664</t>
  </si>
  <si>
    <t xml:space="preserve">33886</t>
  </si>
  <si>
    <t xml:space="preserve">N3.00X065</t>
  </si>
  <si>
    <t xml:space="preserve">V4.00X340</t>
  </si>
  <si>
    <t xml:space="preserve">H70144</t>
  </si>
  <si>
    <t xml:space="preserve">BV75140</t>
  </si>
  <si>
    <t xml:space="preserve">N3.00X099</t>
  </si>
  <si>
    <t xml:space="preserve">S70223</t>
  </si>
  <si>
    <t xml:space="preserve">612-225-031</t>
  </si>
  <si>
    <t xml:space="preserve">TES331</t>
  </si>
  <si>
    <t xml:space="preserve">BU118-V90</t>
  </si>
  <si>
    <t xml:space="preserve">N3.50X028.7</t>
  </si>
  <si>
    <t xml:space="preserve">BU444-B90</t>
  </si>
  <si>
    <t xml:space="preserve">H70208</t>
  </si>
  <si>
    <t xml:space="preserve">34626</t>
  </si>
  <si>
    <t xml:space="preserve">S70021</t>
  </si>
  <si>
    <t xml:space="preserve">S70319</t>
  </si>
  <si>
    <t xml:space="preserve">31824</t>
  </si>
  <si>
    <t xml:space="preserve">BU008-V90</t>
  </si>
  <si>
    <t xml:space="preserve">SPI-0350-1-03</t>
  </si>
  <si>
    <t xml:space="preserve">33022</t>
  </si>
  <si>
    <t xml:space="preserve">N3.10X139.4</t>
  </si>
  <si>
    <t xml:space="preserve">H70020</t>
  </si>
  <si>
    <t xml:space="preserve">E70045</t>
  </si>
  <si>
    <t xml:space="preserve">V2.00X070</t>
  </si>
  <si>
    <t xml:space="preserve">C70114</t>
  </si>
  <si>
    <t xml:space="preserve">V2.50X042</t>
  </si>
  <si>
    <t xml:space="preserve">E4.00X195</t>
  </si>
  <si>
    <t xml:space="preserve">14X24X5SC</t>
  </si>
  <si>
    <t xml:space="preserve">N4.50X018</t>
  </si>
  <si>
    <t xml:space="preserve">31636</t>
  </si>
  <si>
    <t xml:space="preserve">N1.80X006.9</t>
  </si>
  <si>
    <t xml:space="preserve">U187-0.875-250B</t>
  </si>
  <si>
    <t xml:space="preserve">BU250-B90</t>
  </si>
  <si>
    <t xml:space="preserve">B90151</t>
  </si>
  <si>
    <t xml:space="preserve">E5.00X340</t>
  </si>
  <si>
    <t xml:space="preserve">B50041</t>
  </si>
  <si>
    <t xml:space="preserve">V2.00X006</t>
  </si>
  <si>
    <t xml:space="preserve">N3.10X049.4</t>
  </si>
  <si>
    <t xml:space="preserve">V3.00X035</t>
  </si>
  <si>
    <t xml:space="preserve">N3.50X115</t>
  </si>
  <si>
    <t xml:space="preserve">BU226-TEF-SPL</t>
  </si>
  <si>
    <t xml:space="preserve">V90217</t>
  </si>
  <si>
    <t xml:space="preserve">H3.00X038</t>
  </si>
  <si>
    <t xml:space="preserve">E70342-NSF</t>
  </si>
  <si>
    <t xml:space="preserve">FS70156</t>
  </si>
  <si>
    <t xml:space="preserve">S1.50X015</t>
  </si>
  <si>
    <t xml:space="preserve">E3.00X090</t>
  </si>
  <si>
    <t xml:space="preserve">V5.00X100</t>
  </si>
  <si>
    <t xml:space="preserve">V90248</t>
  </si>
  <si>
    <t xml:space="preserve">BU021-B90</t>
  </si>
  <si>
    <t xml:space="preserve">TEF126</t>
  </si>
  <si>
    <t xml:space="preserve">QR-443</t>
  </si>
  <si>
    <t xml:space="preserve">B70050-NSF</t>
  </si>
  <si>
    <t xml:space="preserve">V3.50X038.7</t>
  </si>
  <si>
    <t xml:space="preserve">E70204-NSF</t>
  </si>
  <si>
    <t xml:space="preserve">B90365</t>
  </si>
  <si>
    <t xml:space="preserve">B70352</t>
  </si>
  <si>
    <t xml:space="preserve">H70206</t>
  </si>
  <si>
    <t xml:space="preserve">32609</t>
  </si>
  <si>
    <t xml:space="preserve">V2.50X115</t>
  </si>
  <si>
    <t xml:space="preserve">B90133</t>
  </si>
  <si>
    <t xml:space="preserve">N3.00X064.5</t>
  </si>
  <si>
    <t xml:space="preserve">V90333</t>
  </si>
  <si>
    <t xml:space="preserve">V1.00X044</t>
  </si>
  <si>
    <t xml:space="preserve">N6.00X085</t>
  </si>
  <si>
    <t xml:space="preserve">UC90105</t>
  </si>
  <si>
    <t xml:space="preserve">TEV342</t>
  </si>
  <si>
    <t xml:space="preserve">30431</t>
  </si>
  <si>
    <t xml:space="preserve">V90227</t>
  </si>
  <si>
    <t xml:space="preserve">V90238</t>
  </si>
  <si>
    <t xml:space="preserve">TORS15</t>
  </si>
  <si>
    <t xml:space="preserve">E70321-NSF</t>
  </si>
  <si>
    <t xml:space="preserve">E2.00X030</t>
  </si>
  <si>
    <t xml:space="preserve">N3.00X023</t>
  </si>
  <si>
    <t xml:space="preserve">34035</t>
  </si>
  <si>
    <t xml:space="preserve">N3.00X043</t>
  </si>
  <si>
    <t xml:space="preserve">N3.00X100</t>
  </si>
  <si>
    <t xml:space="preserve">E70164</t>
  </si>
  <si>
    <t xml:space="preserve">33055</t>
  </si>
  <si>
    <t xml:space="preserve">BU425-B90</t>
  </si>
  <si>
    <t xml:space="preserve">TPO55</t>
  </si>
  <si>
    <t xml:space="preserve">N4.50X066</t>
  </si>
  <si>
    <t xml:space="preserve">V1.50X010-BR</t>
  </si>
  <si>
    <t xml:space="preserve">B90042</t>
  </si>
  <si>
    <t xml:space="preserve">H3.10X074.4</t>
  </si>
  <si>
    <t xml:space="preserve">V3.50X039.7</t>
  </si>
  <si>
    <t xml:space="preserve">N2.00X021.5</t>
  </si>
  <si>
    <t xml:space="preserve">S70237</t>
  </si>
  <si>
    <t xml:space="preserve">V2.50X048</t>
  </si>
  <si>
    <t xml:space="preserve">BU248-B90</t>
  </si>
  <si>
    <t xml:space="preserve">V1.50X008.5</t>
  </si>
  <si>
    <t xml:space="preserve">S1.00X021</t>
  </si>
  <si>
    <t xml:space="preserve">S2.00X013</t>
  </si>
  <si>
    <t xml:space="preserve">32665</t>
  </si>
  <si>
    <t xml:space="preserve">V2.40X011.6</t>
  </si>
  <si>
    <t xml:space="preserve">BU214-B90</t>
  </si>
  <si>
    <t xml:space="preserve">H90111</t>
  </si>
  <si>
    <t xml:space="preserve">32240</t>
  </si>
  <si>
    <t xml:space="preserve">641106-00</t>
  </si>
  <si>
    <t xml:space="preserve">E70043-NSF</t>
  </si>
  <si>
    <t xml:space="preserve">30440</t>
  </si>
  <si>
    <t xml:space="preserve">N4.00X138</t>
  </si>
  <si>
    <t xml:space="preserve">N1.10X005.6</t>
  </si>
  <si>
    <t xml:space="preserve">V2.00X006-90</t>
  </si>
  <si>
    <t xml:space="preserve">C70019</t>
  </si>
  <si>
    <t xml:space="preserve">V1.50X003</t>
  </si>
  <si>
    <t xml:space="preserve">PR18-F80</t>
  </si>
  <si>
    <t xml:space="preserve">V2.50X045</t>
  </si>
  <si>
    <t xml:space="preserve">E70345</t>
  </si>
  <si>
    <t xml:space="preserve">E70372</t>
  </si>
  <si>
    <t xml:space="preserve">PS1500-056</t>
  </si>
  <si>
    <t xml:space="preserve">BU039-TEF-SOL</t>
  </si>
  <si>
    <t xml:space="preserve">BU329-P</t>
  </si>
  <si>
    <t xml:space="preserve">V3.00X009.5</t>
  </si>
  <si>
    <t xml:space="preserve">33761</t>
  </si>
  <si>
    <t xml:space="preserve">N6.00X305</t>
  </si>
  <si>
    <t xml:space="preserve">N3.00X035</t>
  </si>
  <si>
    <t xml:space="preserve">30373</t>
  </si>
  <si>
    <t xml:space="preserve">S2.00X070</t>
  </si>
  <si>
    <t xml:space="preserve">32033</t>
  </si>
  <si>
    <t xml:space="preserve">N1.78X008.73</t>
  </si>
  <si>
    <t xml:space="preserve">N2.00X055.5</t>
  </si>
  <si>
    <t xml:space="preserve">30X72X8TC</t>
  </si>
  <si>
    <t xml:space="preserve">V75002</t>
  </si>
  <si>
    <t xml:space="preserve">N4.00X011</t>
  </si>
  <si>
    <t xml:space="preserve">FDABV75006</t>
  </si>
  <si>
    <t xml:space="preserve">B70002-NSF</t>
  </si>
  <si>
    <t xml:space="preserve">SN70338</t>
  </si>
  <si>
    <t xml:space="preserve">AM54-30003750-375</t>
  </si>
  <si>
    <t xml:space="preserve">WN70437</t>
  </si>
  <si>
    <t xml:space="preserve">34423</t>
  </si>
  <si>
    <t xml:space="preserve">E4.00X015</t>
  </si>
  <si>
    <t xml:space="preserve">N2.00X082</t>
  </si>
  <si>
    <t xml:space="preserve">V2.00X029</t>
  </si>
  <si>
    <t xml:space="preserve">33724</t>
  </si>
  <si>
    <t xml:space="preserve">N2.50X014.5</t>
  </si>
  <si>
    <t xml:space="preserve">32957</t>
  </si>
  <si>
    <t xml:space="preserve">V1.50X034</t>
  </si>
  <si>
    <t xml:space="preserve">33711</t>
  </si>
  <si>
    <t xml:space="preserve">N4.00X014</t>
  </si>
  <si>
    <t xml:space="preserve">FDABV75321</t>
  </si>
  <si>
    <t xml:space="preserve">V2.50X032</t>
  </si>
  <si>
    <t xml:space="preserve">B50425</t>
  </si>
  <si>
    <t xml:space="preserve">25X52X10TC</t>
  </si>
  <si>
    <t xml:space="preserve">N1.60X035.1</t>
  </si>
  <si>
    <t xml:space="preserve">DWS1.000</t>
  </si>
  <si>
    <t xml:space="preserve">SN70367</t>
  </si>
  <si>
    <t xml:space="preserve">N1.50X111</t>
  </si>
  <si>
    <t xml:space="preserve">V1.00X022</t>
  </si>
  <si>
    <t xml:space="preserve">N1.00X048</t>
  </si>
  <si>
    <t xml:space="preserve">B70122-NSF</t>
  </si>
  <si>
    <t xml:space="preserve">N1.00X001.15</t>
  </si>
  <si>
    <t xml:space="preserve">N2.65X021.2</t>
  </si>
  <si>
    <t xml:space="preserve">B70223-NSF</t>
  </si>
  <si>
    <t xml:space="preserve">B70341</t>
  </si>
  <si>
    <t xml:space="preserve">VA-040</t>
  </si>
  <si>
    <t xml:space="preserve">05102SC</t>
  </si>
  <si>
    <t xml:space="preserve">Oil Seals Inch Type SC</t>
  </si>
  <si>
    <t xml:space="preserve">B70425</t>
  </si>
  <si>
    <t xml:space="preserve">S2.00X066</t>
  </si>
  <si>
    <t xml:space="preserve">33070</t>
  </si>
  <si>
    <t xml:space="preserve">N1.78X148.46</t>
  </si>
  <si>
    <t xml:space="preserve">647950-00</t>
  </si>
  <si>
    <t xml:space="preserve">B70225-NSF</t>
  </si>
  <si>
    <t xml:space="preserve">32806</t>
  </si>
  <si>
    <t xml:space="preserve">BU231-P</t>
  </si>
  <si>
    <t xml:space="preserve">V4.00X085</t>
  </si>
  <si>
    <t xml:space="preserve">N3.00X072</t>
  </si>
  <si>
    <t xml:space="preserve">V3.50X022</t>
  </si>
  <si>
    <t xml:space="preserve">V2.00X026.5</t>
  </si>
  <si>
    <t xml:space="preserve">N2.50X004.5</t>
  </si>
  <si>
    <t xml:space="preserve">N6.00X014</t>
  </si>
  <si>
    <t xml:space="preserve">31349</t>
  </si>
  <si>
    <t xml:space="preserve">B70205</t>
  </si>
  <si>
    <t xml:space="preserve">V3.50X035.7</t>
  </si>
  <si>
    <t xml:space="preserve">C70115</t>
  </si>
  <si>
    <t xml:space="preserve">AM54-18752375-312</t>
  </si>
  <si>
    <t xml:space="preserve">QR-022</t>
  </si>
  <si>
    <t xml:space="preserve">S3.00X019</t>
  </si>
  <si>
    <t xml:space="preserve">33408</t>
  </si>
  <si>
    <t xml:space="preserve">V3.50X037</t>
  </si>
  <si>
    <t xml:space="preserve">34592</t>
  </si>
  <si>
    <t xml:space="preserve">E70470</t>
  </si>
  <si>
    <t xml:space="preserve">E70221</t>
  </si>
  <si>
    <t xml:space="preserve">31409</t>
  </si>
  <si>
    <t xml:space="preserve">QR-322</t>
  </si>
  <si>
    <t xml:space="preserve">V2.00X095</t>
  </si>
  <si>
    <t xml:space="preserve">V1.00X014</t>
  </si>
  <si>
    <t xml:space="preserve">V1.60X029.1</t>
  </si>
  <si>
    <t xml:space="preserve">V1.60X016.1</t>
  </si>
  <si>
    <t xml:space="preserve">E1.50X014</t>
  </si>
  <si>
    <t xml:space="preserve">33127</t>
  </si>
  <si>
    <t xml:space="preserve">V1.60X003.1</t>
  </si>
  <si>
    <t xml:space="preserve">B70902</t>
  </si>
  <si>
    <t xml:space="preserve">33251</t>
  </si>
  <si>
    <t xml:space="preserve">B50012</t>
  </si>
  <si>
    <t xml:space="preserve">V90030</t>
  </si>
  <si>
    <t xml:space="preserve">N3.50X072</t>
  </si>
  <si>
    <t xml:space="preserve">BV75004</t>
  </si>
  <si>
    <t xml:space="preserve">WN70320</t>
  </si>
  <si>
    <t xml:space="preserve">B50310</t>
  </si>
  <si>
    <t xml:space="preserve">S1.50X014.5</t>
  </si>
  <si>
    <t xml:space="preserve">N2.00X036</t>
  </si>
  <si>
    <t xml:space="preserve">N1.00X045</t>
  </si>
  <si>
    <t xml:space="preserve">V5.00X014</t>
  </si>
  <si>
    <t xml:space="preserve">E3.00X021</t>
  </si>
  <si>
    <t xml:space="preserve">FDABV75239</t>
  </si>
  <si>
    <t xml:space="preserve">C70119</t>
  </si>
  <si>
    <t xml:space="preserve">31479</t>
  </si>
  <si>
    <t xml:space="preserve">N4.00X075</t>
  </si>
  <si>
    <t xml:space="preserve">32786</t>
  </si>
  <si>
    <t xml:space="preserve">N5.00X064</t>
  </si>
  <si>
    <t xml:space="preserve">B70205-NSF</t>
  </si>
  <si>
    <t xml:space="preserve">34737</t>
  </si>
  <si>
    <t xml:space="preserve">BU019-B90</t>
  </si>
  <si>
    <t xml:space="preserve">N0.75X005</t>
  </si>
  <si>
    <t xml:space="preserve">QN70.103</t>
  </si>
  <si>
    <t xml:space="preserve">E1.00X025</t>
  </si>
  <si>
    <t xml:space="preserve">FS70330</t>
  </si>
  <si>
    <t xml:space="preserve">N3.10X129.4</t>
  </si>
  <si>
    <t xml:space="preserve">V2.00X063</t>
  </si>
  <si>
    <t xml:space="preserve">E2.00X158</t>
  </si>
  <si>
    <t xml:space="preserve">N1.00X014</t>
  </si>
  <si>
    <t xml:space="preserve">V3.00X033</t>
  </si>
  <si>
    <t xml:space="preserve">N2.00X056</t>
  </si>
  <si>
    <t xml:space="preserve">H1.50X004</t>
  </si>
  <si>
    <t xml:space="preserve">V1.90X004.8</t>
  </si>
  <si>
    <t xml:space="preserve">V3.00X014</t>
  </si>
  <si>
    <t xml:space="preserve">V1.50X002.5</t>
  </si>
  <si>
    <t xml:space="preserve">V75425</t>
  </si>
  <si>
    <t xml:space="preserve">V2.00X030</t>
  </si>
  <si>
    <t xml:space="preserve">B70040-NSF</t>
  </si>
  <si>
    <t xml:space="preserve">WN70328</t>
  </si>
  <si>
    <t xml:space="preserve">B70118-NSF</t>
  </si>
  <si>
    <t xml:space="preserve">E3.50X015</t>
  </si>
  <si>
    <t xml:space="preserve">33984</t>
  </si>
  <si>
    <t xml:space="preserve">B70368</t>
  </si>
  <si>
    <t xml:space="preserve">33509</t>
  </si>
  <si>
    <t xml:space="preserve">A75916</t>
  </si>
  <si>
    <t xml:space="preserve">V2.00X031.5</t>
  </si>
  <si>
    <t xml:space="preserve">GV75219</t>
  </si>
  <si>
    <t xml:space="preserve">N2.00X134.5</t>
  </si>
  <si>
    <t xml:space="preserve">BV75045</t>
  </si>
  <si>
    <t xml:space="preserve">V3.50X031.2</t>
  </si>
  <si>
    <t xml:space="preserve">PU250-2.000-250B</t>
  </si>
  <si>
    <t xml:space="preserve">30601</t>
  </si>
  <si>
    <t xml:space="preserve">PS1500-036</t>
  </si>
  <si>
    <t xml:space="preserve">34117</t>
  </si>
  <si>
    <t xml:space="preserve">V3.50X013</t>
  </si>
  <si>
    <t xml:space="preserve">N5.70X279.3</t>
  </si>
  <si>
    <t xml:space="preserve">N1.78X009.52</t>
  </si>
  <si>
    <t xml:space="preserve">C70016</t>
  </si>
  <si>
    <t xml:space="preserve">V3.00X010</t>
  </si>
  <si>
    <t xml:space="preserve">V3.00X047</t>
  </si>
  <si>
    <t xml:space="preserve">SPI-0125-0-03</t>
  </si>
  <si>
    <t xml:space="preserve">U187-1.750-375B</t>
  </si>
  <si>
    <t xml:space="preserve">N4.00X123</t>
  </si>
  <si>
    <t xml:space="preserve">GV75211</t>
  </si>
  <si>
    <t xml:space="preserve">V3.00X091</t>
  </si>
  <si>
    <t xml:space="preserve">N3.50X018</t>
  </si>
  <si>
    <t xml:space="preserve">BU106-B90</t>
  </si>
  <si>
    <t xml:space="preserve">V75378</t>
  </si>
  <si>
    <t xml:space="preserve">V2.50X004</t>
  </si>
  <si>
    <t xml:space="preserve">PR08-N85</t>
  </si>
  <si>
    <t xml:space="preserve">N1.50X043</t>
  </si>
  <si>
    <t xml:space="preserve">FS70907</t>
  </si>
  <si>
    <t xml:space="preserve">V2.00X017.5</t>
  </si>
  <si>
    <t xml:space="preserve">33220</t>
  </si>
  <si>
    <t xml:space="preserve">AM54-07501250-312</t>
  </si>
  <si>
    <t xml:space="preserve">33423</t>
  </si>
  <si>
    <t xml:space="preserve">N2.00X077</t>
  </si>
  <si>
    <t xml:space="preserve">TES267</t>
  </si>
  <si>
    <t xml:space="preserve">34881</t>
  </si>
  <si>
    <t xml:space="preserve">BU344-B90</t>
  </si>
  <si>
    <t xml:space="preserve">E2.00X002</t>
  </si>
  <si>
    <t xml:space="preserve">BV75207</t>
  </si>
  <si>
    <t xml:space="preserve">WN70341</t>
  </si>
  <si>
    <t xml:space="preserve">B90352</t>
  </si>
  <si>
    <t xml:space="preserve">C70202</t>
  </si>
  <si>
    <t xml:space="preserve">30683</t>
  </si>
  <si>
    <t xml:space="preserve">E70144</t>
  </si>
  <si>
    <t xml:space="preserve">E70213-NSF</t>
  </si>
  <si>
    <t xml:space="preserve">32119</t>
  </si>
  <si>
    <t xml:space="preserve">A75262</t>
  </si>
  <si>
    <t xml:space="preserve">H70023</t>
  </si>
  <si>
    <t xml:space="preserve">33933</t>
  </si>
  <si>
    <t xml:space="preserve">N3.50X023.7</t>
  </si>
  <si>
    <t xml:space="preserve">E4.00X027</t>
  </si>
  <si>
    <t xml:space="preserve">QR-323</t>
  </si>
  <si>
    <t xml:space="preserve">33873</t>
  </si>
  <si>
    <t xml:space="preserve">N3.00X038</t>
  </si>
  <si>
    <t xml:space="preserve">QR-248</t>
  </si>
  <si>
    <t xml:space="preserve">33064</t>
  </si>
  <si>
    <t xml:space="preserve">N2.00X119.5</t>
  </si>
  <si>
    <t xml:space="preserve">S2.50X023</t>
  </si>
  <si>
    <t xml:space="preserve">B90266</t>
  </si>
  <si>
    <t xml:space="preserve">H3.50X044.7</t>
  </si>
  <si>
    <t xml:space="preserve">BU022-P</t>
  </si>
  <si>
    <t xml:space="preserve">E70343</t>
  </si>
  <si>
    <t xml:space="preserve">33909</t>
  </si>
  <si>
    <t xml:space="preserve">V90102</t>
  </si>
  <si>
    <t xml:space="preserve">31628</t>
  </si>
  <si>
    <t xml:space="preserve">QV-016</t>
  </si>
  <si>
    <t xml:space="preserve">N2.50X115</t>
  </si>
  <si>
    <t xml:space="preserve">C70018</t>
  </si>
  <si>
    <t xml:space="preserve">B70038-NSF</t>
  </si>
  <si>
    <t xml:space="preserve">HN-706-00047-047</t>
  </si>
  <si>
    <t xml:space="preserve">34090</t>
  </si>
  <si>
    <t xml:space="preserve">PR27-F80</t>
  </si>
  <si>
    <t xml:space="preserve">E1.00X014</t>
  </si>
  <si>
    <t xml:space="preserve">31043</t>
  </si>
  <si>
    <t xml:space="preserve">B70233-NSF</t>
  </si>
  <si>
    <t xml:space="preserve">V2.00X014</t>
  </si>
  <si>
    <t xml:space="preserve">E70253-NSF</t>
  </si>
  <si>
    <t xml:space="preserve">V1.50X009.5</t>
  </si>
  <si>
    <t xml:space="preserve">B70410</t>
  </si>
  <si>
    <t xml:space="preserve">30859</t>
  </si>
  <si>
    <t xml:space="preserve">U187-1.500-250B</t>
  </si>
  <si>
    <t xml:space="preserve">33981</t>
  </si>
  <si>
    <t xml:space="preserve">E70109</t>
  </si>
  <si>
    <t xml:space="preserve">H2.40X014.8</t>
  </si>
  <si>
    <t xml:space="preserve">TEF232</t>
  </si>
  <si>
    <t xml:space="preserve">E1.00X013</t>
  </si>
  <si>
    <t xml:space="preserve">B90154</t>
  </si>
  <si>
    <t xml:space="preserve">WN70219</t>
  </si>
  <si>
    <t xml:space="preserve">B70117-NSF</t>
  </si>
  <si>
    <t xml:space="preserve">B70150-NSF</t>
  </si>
  <si>
    <t xml:space="preserve">34330</t>
  </si>
  <si>
    <t xml:space="preserve">N2.50X119</t>
  </si>
  <si>
    <t xml:space="preserve">N3.50X037.7</t>
  </si>
  <si>
    <t xml:space="preserve">V1.50X005.5</t>
  </si>
  <si>
    <t xml:space="preserve">BU111-V90</t>
  </si>
  <si>
    <t xml:space="preserve">V75035-MS</t>
  </si>
  <si>
    <t xml:space="preserve">30495</t>
  </si>
  <si>
    <t xml:space="preserve">N4.50X150</t>
  </si>
  <si>
    <t xml:space="preserve">E2.00X020</t>
  </si>
  <si>
    <t xml:space="preserve">30618</t>
  </si>
  <si>
    <t xml:space="preserve">V2.00X084</t>
  </si>
  <si>
    <t xml:space="preserve">35058</t>
  </si>
  <si>
    <t xml:space="preserve">V3.00X025</t>
  </si>
  <si>
    <t xml:space="preserve">C70448</t>
  </si>
  <si>
    <t xml:space="preserve">C70212</t>
  </si>
  <si>
    <t xml:space="preserve">FDABV75345</t>
  </si>
  <si>
    <t xml:space="preserve">33738</t>
  </si>
  <si>
    <t xml:space="preserve">UL187-1.500-187B</t>
  </si>
  <si>
    <t xml:space="preserve">BU225-B90</t>
  </si>
  <si>
    <t xml:space="preserve">B90135</t>
  </si>
  <si>
    <t xml:space="preserve">33413</t>
  </si>
  <si>
    <t xml:space="preserve">S32109</t>
  </si>
  <si>
    <t xml:space="preserve">626-210-5747</t>
  </si>
  <si>
    <t xml:space="preserve">32063</t>
  </si>
  <si>
    <t xml:space="preserve">V90214-VN30</t>
  </si>
  <si>
    <t xml:space="preserve">B70234-NSF</t>
  </si>
  <si>
    <t xml:space="preserve">H3.10X054.4</t>
  </si>
  <si>
    <t xml:space="preserve">V75367</t>
  </si>
  <si>
    <t xml:space="preserve">A75209</t>
  </si>
  <si>
    <t xml:space="preserve">RTU187-1.500-375B</t>
  </si>
  <si>
    <t xml:space="preserve">BU165-B90</t>
  </si>
  <si>
    <t xml:space="preserve">TEF2.00X027</t>
  </si>
  <si>
    <t xml:space="preserve">34725</t>
  </si>
  <si>
    <t xml:space="preserve">H2.50X013</t>
  </si>
  <si>
    <t xml:space="preserve">N2.00X047</t>
  </si>
  <si>
    <t xml:space="preserve">V2.00X041.5</t>
  </si>
  <si>
    <t xml:space="preserve">SN70447</t>
  </si>
  <si>
    <t xml:space="preserve">UL250-1.750-312B</t>
  </si>
  <si>
    <t xml:space="preserve">BV75213</t>
  </si>
  <si>
    <t xml:space="preserve">33517</t>
  </si>
  <si>
    <t xml:space="preserve">BV75171</t>
  </si>
  <si>
    <t xml:space="preserve">N2.40X017.3</t>
  </si>
  <si>
    <t xml:space="preserve">395376-00</t>
  </si>
  <si>
    <t xml:space="preserve">V75265</t>
  </si>
  <si>
    <t xml:space="preserve">V2.50X085</t>
  </si>
  <si>
    <t xml:space="preserve">PS1500-072</t>
  </si>
  <si>
    <t xml:space="preserve">H70037</t>
  </si>
  <si>
    <t xml:space="preserve">32726</t>
  </si>
  <si>
    <t xml:space="preserve">S70358</t>
  </si>
  <si>
    <t xml:space="preserve">B50114</t>
  </si>
  <si>
    <t xml:space="preserve">FS70134</t>
  </si>
  <si>
    <t xml:space="preserve">30937</t>
  </si>
  <si>
    <t xml:space="preserve">V75371</t>
  </si>
  <si>
    <t xml:space="preserve">A75044</t>
  </si>
  <si>
    <t xml:space="preserve">31762</t>
  </si>
  <si>
    <t xml:space="preserve">N2.00X051</t>
  </si>
  <si>
    <t xml:space="preserve">S70128</t>
  </si>
  <si>
    <t xml:space="preserve">B90130</t>
  </si>
  <si>
    <t xml:space="preserve">612-225-075</t>
  </si>
  <si>
    <t xml:space="preserve">BU025-TEF-SPL</t>
  </si>
  <si>
    <t xml:space="preserve">BU345-B90</t>
  </si>
  <si>
    <t xml:space="preserve">BU167-B90</t>
  </si>
  <si>
    <t xml:space="preserve">E70140-NSF</t>
  </si>
  <si>
    <t xml:space="preserve">TEF136</t>
  </si>
  <si>
    <t xml:space="preserve">34618</t>
  </si>
  <si>
    <t xml:space="preserve">N3.00X029.2</t>
  </si>
  <si>
    <t xml:space="preserve">H1.00X004</t>
  </si>
  <si>
    <t xml:space="preserve">34893</t>
  </si>
  <si>
    <t xml:space="preserve">E2.50X016</t>
  </si>
  <si>
    <t xml:space="preserve">32569</t>
  </si>
  <si>
    <t xml:space="preserve">BU124-TEF-SPL</t>
  </si>
  <si>
    <t xml:space="preserve">N2.00X059</t>
  </si>
  <si>
    <t xml:space="preserve">N4.50X017</t>
  </si>
  <si>
    <t xml:space="preserve">BU229-TEF-SPL</t>
  </si>
  <si>
    <t xml:space="preserve">S1.00X013</t>
  </si>
  <si>
    <t xml:space="preserve">31674</t>
  </si>
  <si>
    <t xml:space="preserve">S70122</t>
  </si>
  <si>
    <t xml:space="preserve">B70440</t>
  </si>
  <si>
    <t xml:space="preserve">32568</t>
  </si>
  <si>
    <t xml:space="preserve">6226-06-E70</t>
  </si>
  <si>
    <t xml:space="preserve">UL125-1.375-250B</t>
  </si>
  <si>
    <t xml:space="preserve">BU226-B90</t>
  </si>
  <si>
    <t xml:space="preserve">32789</t>
  </si>
  <si>
    <t xml:space="preserve">TEF2.50X020</t>
  </si>
  <si>
    <t xml:space="preserve">34521</t>
  </si>
  <si>
    <t xml:space="preserve">A75245</t>
  </si>
  <si>
    <t xml:space="preserve">PR14-F80</t>
  </si>
  <si>
    <t xml:space="preserve">C70132</t>
  </si>
  <si>
    <t xml:space="preserve">N3.00X106</t>
  </si>
  <si>
    <t xml:space="preserve">H1.50X017</t>
  </si>
  <si>
    <t xml:space="preserve">B90909</t>
  </si>
  <si>
    <t xml:space="preserve">B90313</t>
  </si>
  <si>
    <t xml:space="preserve">BU332-B90</t>
  </si>
  <si>
    <t xml:space="preserve">31464</t>
  </si>
  <si>
    <t xml:space="preserve">H3.50X235</t>
  </si>
  <si>
    <t xml:space="preserve">35226</t>
  </si>
  <si>
    <t xml:space="preserve">N1.50X093</t>
  </si>
  <si>
    <t xml:space="preserve">H2.50X012</t>
  </si>
  <si>
    <t xml:space="preserve">32771</t>
  </si>
  <si>
    <t xml:space="preserve">B70164-NSF</t>
  </si>
  <si>
    <t xml:space="preserve">E70329</t>
  </si>
  <si>
    <t xml:space="preserve">V2.00X075-BR</t>
  </si>
  <si>
    <t xml:space="preserve">6226-48-E70</t>
  </si>
  <si>
    <t xml:space="preserve">6226-23</t>
  </si>
  <si>
    <t xml:space="preserve">N4.00X099</t>
  </si>
  <si>
    <t xml:space="preserve">B70275</t>
  </si>
  <si>
    <t xml:space="preserve">KT-BO-156</t>
  </si>
  <si>
    <t xml:space="preserve">B90119</t>
  </si>
  <si>
    <t xml:space="preserve">E70121-NSF</t>
  </si>
  <si>
    <t xml:space="preserve">H2.40X009.8</t>
  </si>
  <si>
    <t xml:space="preserve">V2.50X173</t>
  </si>
  <si>
    <t xml:space="preserve">S70048</t>
  </si>
  <si>
    <t xml:space="preserve">30673</t>
  </si>
  <si>
    <t xml:space="preserve">N1.60X009.1</t>
  </si>
  <si>
    <t xml:space="preserve">AM54-13751875-312</t>
  </si>
  <si>
    <t xml:space="preserve">34604</t>
  </si>
  <si>
    <t xml:space="preserve">GV75122</t>
  </si>
  <si>
    <t xml:space="preserve">N0.80X001.6</t>
  </si>
  <si>
    <t xml:space="preserve">B70229-NSF</t>
  </si>
  <si>
    <t xml:space="preserve">E70109-NSF</t>
  </si>
  <si>
    <t xml:space="preserve">E3.50X027.7</t>
  </si>
  <si>
    <t xml:space="preserve">BU043-B90</t>
  </si>
  <si>
    <t xml:space="preserve">32303</t>
  </si>
  <si>
    <t xml:space="preserve">V3.00X021.5</t>
  </si>
  <si>
    <t xml:space="preserve">C70223</t>
  </si>
  <si>
    <t xml:space="preserve">N3.50X136</t>
  </si>
  <si>
    <t xml:space="preserve">N4.50X006</t>
  </si>
  <si>
    <t xml:space="preserve">N0.50X008</t>
  </si>
  <si>
    <t xml:space="preserve">N2.50X048</t>
  </si>
  <si>
    <t xml:space="preserve">FDABV75003</t>
  </si>
  <si>
    <t xml:space="preserve">B70124-NSF</t>
  </si>
  <si>
    <t xml:space="preserve">33639</t>
  </si>
  <si>
    <t xml:space="preserve">QR-137</t>
  </si>
  <si>
    <t xml:space="preserve">32025</t>
  </si>
  <si>
    <t xml:space="preserve">AM54-10001375-187</t>
  </si>
  <si>
    <t xml:space="preserve">BU113-V90</t>
  </si>
  <si>
    <t xml:space="preserve">A75004</t>
  </si>
  <si>
    <t xml:space="preserve">V90128</t>
  </si>
  <si>
    <t xml:space="preserve">BU256-B90</t>
  </si>
  <si>
    <t xml:space="preserve">SN70364</t>
  </si>
  <si>
    <t xml:space="preserve">V90032</t>
  </si>
  <si>
    <t xml:space="preserve">32582</t>
  </si>
  <si>
    <t xml:space="preserve">H5.70X049.6</t>
  </si>
  <si>
    <t xml:space="preserve">BV75150</t>
  </si>
  <si>
    <t xml:space="preserve">S2.00X015</t>
  </si>
  <si>
    <t xml:space="preserve">32558</t>
  </si>
  <si>
    <t xml:space="preserve">AM54-20002625-250</t>
  </si>
  <si>
    <t xml:space="preserve">34174</t>
  </si>
  <si>
    <t xml:space="preserve">QR-357</t>
  </si>
  <si>
    <t xml:space="preserve">BV75251</t>
  </si>
  <si>
    <t xml:space="preserve">N5.00X033</t>
  </si>
  <si>
    <t xml:space="preserve">N2.40X033.3</t>
  </si>
  <si>
    <t xml:space="preserve">N3.00X052</t>
  </si>
  <si>
    <t xml:space="preserve">32980</t>
  </si>
  <si>
    <t xml:space="preserve">V90253</t>
  </si>
  <si>
    <t xml:space="preserve">E70224-NSF</t>
  </si>
  <si>
    <t xml:space="preserve">N2.62X017.86</t>
  </si>
  <si>
    <t xml:space="preserve">34257</t>
  </si>
  <si>
    <t xml:space="preserve">N3.00X010.5</t>
  </si>
  <si>
    <t xml:space="preserve">34466</t>
  </si>
  <si>
    <t xml:space="preserve">V90022</t>
  </si>
  <si>
    <t xml:space="preserve">MUU-35X43X6</t>
  </si>
  <si>
    <t xml:space="preserve">B90047</t>
  </si>
  <si>
    <t xml:space="preserve">S1.50X007</t>
  </si>
  <si>
    <t xml:space="preserve">V90040</t>
  </si>
  <si>
    <t xml:space="preserve">N1.50X036</t>
  </si>
  <si>
    <t xml:space="preserve">V75385</t>
  </si>
  <si>
    <t xml:space="preserve">35069</t>
  </si>
  <si>
    <t xml:space="preserve">A75329</t>
  </si>
  <si>
    <t xml:space="preserve">B70380-NSF</t>
  </si>
  <si>
    <t xml:space="preserve">BV75319</t>
  </si>
  <si>
    <t xml:space="preserve">V75024-MS</t>
  </si>
  <si>
    <t xml:space="preserve">S4.00X034</t>
  </si>
  <si>
    <t xml:space="preserve">PR14-N85</t>
  </si>
  <si>
    <t xml:space="preserve">34296</t>
  </si>
  <si>
    <t xml:space="preserve">B70125-NSF</t>
  </si>
  <si>
    <t xml:space="preserve">H3.50X031.7</t>
  </si>
  <si>
    <t xml:space="preserve">HRU12-0.68-12</t>
  </si>
  <si>
    <t xml:space="preserve">N2.50X036.5</t>
  </si>
  <si>
    <t xml:space="preserve">H-2000</t>
  </si>
  <si>
    <t xml:space="preserve">34388</t>
  </si>
  <si>
    <t xml:space="preserve">B90127</t>
  </si>
  <si>
    <t xml:space="preserve">N3.50X009</t>
  </si>
  <si>
    <t xml:space="preserve">V2.00X051</t>
  </si>
  <si>
    <t xml:space="preserve">BU241-TEF-SOL</t>
  </si>
  <si>
    <t xml:space="preserve">33011</t>
  </si>
  <si>
    <t xml:space="preserve">N2.50X050</t>
  </si>
  <si>
    <t xml:space="preserve">B50126</t>
  </si>
  <si>
    <t xml:space="preserve">BV75204</t>
  </si>
  <si>
    <t xml:space="preserve">E70024-NSF</t>
  </si>
  <si>
    <t xml:space="preserve">H70901</t>
  </si>
  <si>
    <t xml:space="preserve">B90243</t>
  </si>
  <si>
    <t xml:space="preserve">PO30340</t>
  </si>
  <si>
    <t xml:space="preserve">V1.50X049</t>
  </si>
  <si>
    <t xml:space="preserve">PO30263</t>
  </si>
  <si>
    <t xml:space="preserve">N3.00X059</t>
  </si>
  <si>
    <t xml:space="preserve">N5.00X042</t>
  </si>
  <si>
    <t xml:space="preserve">U187-1.000-250B</t>
  </si>
  <si>
    <t xml:space="preserve">34619</t>
  </si>
  <si>
    <t xml:space="preserve">B90126</t>
  </si>
  <si>
    <t xml:space="preserve">S1.50X027</t>
  </si>
  <si>
    <t xml:space="preserve">V75395</t>
  </si>
  <si>
    <t xml:space="preserve">H3.00X019</t>
  </si>
  <si>
    <t xml:space="preserve">WN70136</t>
  </si>
  <si>
    <t xml:space="preserve">E70904</t>
  </si>
  <si>
    <t xml:space="preserve">B70258-NSF</t>
  </si>
  <si>
    <t xml:space="preserve">B70155-NSF</t>
  </si>
  <si>
    <t xml:space="preserve">B90264</t>
  </si>
  <si>
    <t xml:space="preserve">V2.00X052.5</t>
  </si>
  <si>
    <t xml:space="preserve">GV75004</t>
  </si>
  <si>
    <t xml:space="preserve">B70906-NSF</t>
  </si>
  <si>
    <t xml:space="preserve">6226-32</t>
  </si>
  <si>
    <t xml:space="preserve">V2.00X034.5</t>
  </si>
  <si>
    <t xml:space="preserve">KT-PC-250</t>
  </si>
  <si>
    <t xml:space="preserve">V5.00X055</t>
  </si>
  <si>
    <t xml:space="preserve">B70128-NSF</t>
  </si>
  <si>
    <t xml:space="preserve">V3.50X049.7</t>
  </si>
  <si>
    <t xml:space="preserve">E2.00X100</t>
  </si>
  <si>
    <t xml:space="preserve">S70.295</t>
  </si>
  <si>
    <t xml:space="preserve">BU116-V90</t>
  </si>
  <si>
    <t xml:space="preserve">RTU250-3.375-375B</t>
  </si>
  <si>
    <t xml:space="preserve">N1.80X010</t>
  </si>
  <si>
    <t xml:space="preserve">N3.50X124</t>
  </si>
  <si>
    <t xml:space="preserve">V1.60X015.1</t>
  </si>
  <si>
    <t xml:space="preserve">33139</t>
  </si>
  <si>
    <t xml:space="preserve">H1.50X010</t>
  </si>
  <si>
    <t xml:space="preserve">N1.50X064</t>
  </si>
  <si>
    <t xml:space="preserve">BU008-B90</t>
  </si>
  <si>
    <t xml:space="preserve">B50202</t>
  </si>
  <si>
    <t xml:space="preserve">S1.50X006.5</t>
  </si>
  <si>
    <t xml:space="preserve">N3.00X138</t>
  </si>
  <si>
    <t xml:space="preserve">V2.00X011.5</t>
  </si>
  <si>
    <t xml:space="preserve">KT-DF-157E</t>
  </si>
  <si>
    <t xml:space="preserve">33955</t>
  </si>
  <si>
    <t xml:space="preserve">S70231</t>
  </si>
  <si>
    <t xml:space="preserve">V3.00X019</t>
  </si>
  <si>
    <t xml:space="preserve">N8.00X092</t>
  </si>
  <si>
    <t xml:space="preserve">E70046-NSF</t>
  </si>
  <si>
    <t xml:space="preserve">KT-SE-250</t>
  </si>
  <si>
    <t xml:space="preserve">V90139</t>
  </si>
  <si>
    <t xml:space="preserve">GV75217</t>
  </si>
  <si>
    <t xml:space="preserve">N3.50X006</t>
  </si>
  <si>
    <t xml:space="preserve">28X43X7SC</t>
  </si>
  <si>
    <t xml:space="preserve">H2.00X013</t>
  </si>
  <si>
    <t xml:space="preserve">E2.50X022</t>
  </si>
  <si>
    <t xml:space="preserve">N3.50X113</t>
  </si>
  <si>
    <t xml:space="preserve">B70284</t>
  </si>
  <si>
    <t xml:space="preserve">BU163-B90</t>
  </si>
  <si>
    <t xml:space="preserve">34839</t>
  </si>
  <si>
    <t xml:space="preserve">N3.50X023</t>
  </si>
  <si>
    <t xml:space="preserve">QR-333</t>
  </si>
  <si>
    <t xml:space="preserve">BU112-V90</t>
  </si>
  <si>
    <t xml:space="preserve">V1.80X009.5</t>
  </si>
  <si>
    <t xml:space="preserve">A75027</t>
  </si>
  <si>
    <t xml:space="preserve">GV75017</t>
  </si>
  <si>
    <t xml:space="preserve">N3.10X094.4</t>
  </si>
  <si>
    <t xml:space="preserve">N3.50X032</t>
  </si>
  <si>
    <t xml:space="preserve">V2.50X012.5</t>
  </si>
  <si>
    <t xml:space="preserve">H-1750</t>
  </si>
  <si>
    <t xml:space="preserve">FDABV75147</t>
  </si>
  <si>
    <t xml:space="preserve">BV75342</t>
  </si>
  <si>
    <t xml:space="preserve">S2.00X001</t>
  </si>
  <si>
    <t xml:space="preserve">E4.00X031</t>
  </si>
  <si>
    <t xml:space="preserve">N2.00X038</t>
  </si>
  <si>
    <t xml:space="preserve">TES266</t>
  </si>
  <si>
    <t xml:space="preserve">V2.50X051</t>
  </si>
  <si>
    <t xml:space="preserve">E1.00X019</t>
  </si>
  <si>
    <t xml:space="preserve">34056</t>
  </si>
  <si>
    <t xml:space="preserve">U125-1.375-187B</t>
  </si>
  <si>
    <t xml:space="preserve">E2.00X004</t>
  </si>
  <si>
    <t xml:space="preserve">UL187-1.500-250B</t>
  </si>
  <si>
    <t xml:space="preserve">BV75455</t>
  </si>
  <si>
    <t xml:space="preserve">BU131-P</t>
  </si>
  <si>
    <t xml:space="preserve">V1.50X001.85</t>
  </si>
  <si>
    <t xml:space="preserve">N2.00X109</t>
  </si>
  <si>
    <t xml:space="preserve">H2.50X014</t>
  </si>
  <si>
    <t xml:space="preserve">S2.50X020</t>
  </si>
  <si>
    <t xml:space="preserve">WPB-15001875-250</t>
  </si>
  <si>
    <t xml:space="preserve">B90357</t>
  </si>
  <si>
    <t xml:space="preserve">B90309</t>
  </si>
  <si>
    <t xml:space="preserve">N4.00X140</t>
  </si>
  <si>
    <t xml:space="preserve">V90323</t>
  </si>
  <si>
    <t xml:space="preserve">B90267</t>
  </si>
  <si>
    <t xml:space="preserve">QR-262</t>
  </si>
  <si>
    <t xml:space="preserve">V2.00X062</t>
  </si>
  <si>
    <t xml:space="preserve">S1.50X028</t>
  </si>
  <si>
    <t xml:space="preserve">V3.00X059</t>
  </si>
  <si>
    <t xml:space="preserve">N2.50X088</t>
  </si>
  <si>
    <t xml:space="preserve">QR-235</t>
  </si>
  <si>
    <t xml:space="preserve">KT-MA-611</t>
  </si>
  <si>
    <t xml:space="preserve">TEF1.00X014</t>
  </si>
  <si>
    <t xml:space="preserve">V2.00X020.5</t>
  </si>
  <si>
    <t xml:space="preserve">N1.50X049</t>
  </si>
  <si>
    <t xml:space="preserve">N3.50X047</t>
  </si>
  <si>
    <t xml:space="preserve">H5.70X339.3</t>
  </si>
  <si>
    <t xml:space="preserve">35244</t>
  </si>
  <si>
    <t xml:space="preserve">V1.60X009.1</t>
  </si>
  <si>
    <t xml:space="preserve">FS75010</t>
  </si>
  <si>
    <t xml:space="preserve">S1.00X019.5</t>
  </si>
  <si>
    <t xml:space="preserve">C70222</t>
  </si>
  <si>
    <t xml:space="preserve">B70103</t>
  </si>
  <si>
    <t xml:space="preserve">B70324-NSF</t>
  </si>
  <si>
    <t xml:space="preserve">V3.00X026</t>
  </si>
  <si>
    <t xml:space="preserve">N2.50X070</t>
  </si>
  <si>
    <t xml:space="preserve">34553</t>
  </si>
  <si>
    <t xml:space="preserve">N3.50X007</t>
  </si>
  <si>
    <t xml:space="preserve">N3.50X121</t>
  </si>
  <si>
    <t xml:space="preserve">N5.00X174</t>
  </si>
  <si>
    <t xml:space="preserve">E70369</t>
  </si>
  <si>
    <t xml:space="preserve">E70455</t>
  </si>
  <si>
    <t xml:space="preserve">19.5X30X6/6.4TCVRV</t>
  </si>
  <si>
    <t xml:space="preserve">B70375</t>
  </si>
  <si>
    <t xml:space="preserve">612-350-062</t>
  </si>
  <si>
    <t xml:space="preserve">N4.00X062</t>
  </si>
  <si>
    <t xml:space="preserve">N2.50X073</t>
  </si>
  <si>
    <t xml:space="preserve">N5.70X049.2</t>
  </si>
  <si>
    <t xml:space="preserve">PSC-218</t>
  </si>
  <si>
    <t xml:space="preserve">V90327</t>
  </si>
  <si>
    <t xml:space="preserve">N2.00X079</t>
  </si>
  <si>
    <t xml:space="preserve">E2.50X062</t>
  </si>
  <si>
    <t xml:space="preserve">V1.50X024.5</t>
  </si>
  <si>
    <t xml:space="preserve">B70165</t>
  </si>
  <si>
    <t xml:space="preserve">33426</t>
  </si>
  <si>
    <t xml:space="preserve">BU134-TEF-SOL</t>
  </si>
  <si>
    <t xml:space="preserve">E70215-NSF</t>
  </si>
  <si>
    <t xml:space="preserve">30520</t>
  </si>
  <si>
    <t xml:space="preserve">GV75215</t>
  </si>
  <si>
    <t xml:space="preserve">B70433</t>
  </si>
  <si>
    <t xml:space="preserve">33893</t>
  </si>
  <si>
    <t xml:space="preserve">H70142</t>
  </si>
  <si>
    <t xml:space="preserve">E70907</t>
  </si>
  <si>
    <t xml:space="preserve">N3.50X021.7</t>
  </si>
  <si>
    <t xml:space="preserve">V2.50X054</t>
  </si>
  <si>
    <t xml:space="preserve">V2.00X050</t>
  </si>
  <si>
    <t xml:space="preserve">RTU187-1.750-250B</t>
  </si>
  <si>
    <t xml:space="preserve">KT-PC-100</t>
  </si>
  <si>
    <t xml:space="preserve">B90913</t>
  </si>
  <si>
    <t xml:space="preserve">N3.00X024</t>
  </si>
  <si>
    <t xml:space="preserve">S2.00X030</t>
  </si>
  <si>
    <t xml:space="preserve">WPB-15002000-250</t>
  </si>
  <si>
    <t xml:space="preserve">S70332</t>
  </si>
  <si>
    <t xml:space="preserve">BU330-V90</t>
  </si>
  <si>
    <t xml:space="preserve">V2.50X013.5</t>
  </si>
  <si>
    <t xml:space="preserve">V3.10X069.4</t>
  </si>
  <si>
    <t xml:space="preserve">E2.40X019.8</t>
  </si>
  <si>
    <t xml:space="preserve">E70254-NSF</t>
  </si>
  <si>
    <t xml:space="preserve">N3.50X036</t>
  </si>
  <si>
    <t xml:space="preserve">H70153</t>
  </si>
  <si>
    <t xml:space="preserve">34304</t>
  </si>
  <si>
    <t xml:space="preserve">N1.90X003.8</t>
  </si>
  <si>
    <t xml:space="preserve">N2.40X003.3</t>
  </si>
  <si>
    <t xml:space="preserve">S70373</t>
  </si>
  <si>
    <t xml:space="preserve">BV75042</t>
  </si>
  <si>
    <t xml:space="preserve">31235</t>
  </si>
  <si>
    <t xml:space="preserve">N2.00X033.5</t>
  </si>
  <si>
    <t xml:space="preserve">V1.60X005.1</t>
  </si>
  <si>
    <t xml:space="preserve">32064</t>
  </si>
  <si>
    <t xml:space="preserve">A75150</t>
  </si>
  <si>
    <t xml:space="preserve">N1.00X001.78</t>
  </si>
  <si>
    <t xml:space="preserve">PR21-N85</t>
  </si>
  <si>
    <t xml:space="preserve">15X24X5TC</t>
  </si>
  <si>
    <t xml:space="preserve">V1.00X046</t>
  </si>
  <si>
    <t xml:space="preserve">B50045</t>
  </si>
  <si>
    <t xml:space="preserve">H70137</t>
  </si>
  <si>
    <t xml:space="preserve">V2.00X007-90</t>
  </si>
  <si>
    <t xml:space="preserve">13203TC</t>
  </si>
  <si>
    <t xml:space="preserve">V1.60X008.1</t>
  </si>
  <si>
    <t xml:space="preserve">31100</t>
  </si>
  <si>
    <t xml:space="preserve">E70441-NSF</t>
  </si>
  <si>
    <t xml:space="preserve">BU009-V90</t>
  </si>
  <si>
    <t xml:space="preserve">E70235</t>
  </si>
  <si>
    <t xml:space="preserve">N4.50X069</t>
  </si>
  <si>
    <t xml:space="preserve">30494</t>
  </si>
  <si>
    <t xml:space="preserve">BU017-B90</t>
  </si>
  <si>
    <t xml:space="preserve">V1.50X014.5</t>
  </si>
  <si>
    <t xml:space="preserve">35262</t>
  </si>
  <si>
    <t xml:space="preserve">E70154-NSF</t>
  </si>
  <si>
    <t xml:space="preserve">32447</t>
  </si>
  <si>
    <t xml:space="preserve">C70234</t>
  </si>
  <si>
    <t xml:space="preserve">N5.70X184.3</t>
  </si>
  <si>
    <t xml:space="preserve">33301</t>
  </si>
  <si>
    <t xml:space="preserve">BU153-P</t>
  </si>
  <si>
    <t xml:space="preserve">BV75447</t>
  </si>
  <si>
    <t xml:space="preserve">H70125</t>
  </si>
  <si>
    <t xml:space="preserve">32185</t>
  </si>
  <si>
    <t xml:space="preserve">FDABV75464</t>
  </si>
  <si>
    <t xml:space="preserve">34696</t>
  </si>
  <si>
    <t xml:space="preserve">GV75029</t>
  </si>
  <si>
    <t xml:space="preserve">C70144</t>
  </si>
  <si>
    <t xml:space="preserve">34535</t>
  </si>
  <si>
    <t xml:space="preserve">N1.90X008.9</t>
  </si>
  <si>
    <t xml:space="preserve">31086</t>
  </si>
  <si>
    <t xml:space="preserve">N2.50X072</t>
  </si>
  <si>
    <t xml:space="preserve">30367</t>
  </si>
  <si>
    <t xml:space="preserve">V2.40X008.3</t>
  </si>
  <si>
    <t xml:space="preserve">C70133</t>
  </si>
  <si>
    <t xml:space="preserve">E70326</t>
  </si>
  <si>
    <t xml:space="preserve">GV75019</t>
  </si>
  <si>
    <t xml:space="preserve">BU233-P</t>
  </si>
  <si>
    <t xml:space="preserve">V3.00X028</t>
  </si>
  <si>
    <t xml:space="preserve">BU111-B90</t>
  </si>
  <si>
    <t xml:space="preserve">071218SC</t>
  </si>
  <si>
    <t xml:space="preserve">BU010-V90</t>
  </si>
  <si>
    <t xml:space="preserve">050102TC</t>
  </si>
  <si>
    <t xml:space="preserve">FDABV75337</t>
  </si>
  <si>
    <t xml:space="preserve">32534</t>
  </si>
  <si>
    <t xml:space="preserve">FDABV75340</t>
  </si>
  <si>
    <t xml:space="preserve">B90339</t>
  </si>
  <si>
    <t xml:space="preserve">30729</t>
  </si>
  <si>
    <t xml:space="preserve">S2.50X010</t>
  </si>
  <si>
    <t xml:space="preserve">B90144</t>
  </si>
  <si>
    <t xml:space="preserve">BV75436</t>
  </si>
  <si>
    <t xml:space="preserve">V90107</t>
  </si>
  <si>
    <t xml:space="preserve">WN70135</t>
  </si>
  <si>
    <t xml:space="preserve">E3.00X022</t>
  </si>
  <si>
    <t xml:space="preserve">BU236-P</t>
  </si>
  <si>
    <t xml:space="preserve">B70209-NSF</t>
  </si>
  <si>
    <t xml:space="preserve">FDABV75202</t>
  </si>
  <si>
    <t xml:space="preserve">N1.90X004.9</t>
  </si>
  <si>
    <t xml:space="preserve">N3.10X034.4</t>
  </si>
  <si>
    <t xml:space="preserve">N1.90X006.4</t>
  </si>
  <si>
    <t xml:space="preserve">N2.00X111.5</t>
  </si>
  <si>
    <t xml:space="preserve">V5.00X059</t>
  </si>
  <si>
    <t xml:space="preserve">30912</t>
  </si>
  <si>
    <t xml:space="preserve">E70413</t>
  </si>
  <si>
    <t xml:space="preserve">BV75360</t>
  </si>
  <si>
    <t xml:space="preserve">35228</t>
  </si>
  <si>
    <t xml:space="preserve">H70253</t>
  </si>
  <si>
    <t xml:space="preserve">S70330</t>
  </si>
  <si>
    <t xml:space="preserve">N2.00X094.5</t>
  </si>
  <si>
    <t xml:space="preserve">B70309-NSF</t>
  </si>
  <si>
    <t xml:space="preserve">32790</t>
  </si>
  <si>
    <t xml:space="preserve">BU144-B90</t>
  </si>
  <si>
    <t xml:space="preserve">N4.00X155</t>
  </si>
  <si>
    <t xml:space="preserve">BU329-V90</t>
  </si>
  <si>
    <t xml:space="preserve">N1.50X177</t>
  </si>
  <si>
    <t xml:space="preserve">N4.00X063</t>
  </si>
  <si>
    <t xml:space="preserve">34411</t>
  </si>
  <si>
    <t xml:space="preserve">UL125-1.500-250</t>
  </si>
  <si>
    <t xml:space="preserve">33599</t>
  </si>
  <si>
    <t xml:space="preserve">DWS1.125</t>
  </si>
  <si>
    <t xml:space="preserve">33547</t>
  </si>
  <si>
    <t xml:space="preserve">N4.00X114</t>
  </si>
  <si>
    <t xml:space="preserve">32223</t>
  </si>
  <si>
    <t xml:space="preserve">V90206</t>
  </si>
  <si>
    <t xml:space="preserve">N2.50X087</t>
  </si>
  <si>
    <t xml:space="preserve">31907</t>
  </si>
  <si>
    <t xml:space="preserve">BU129-B90</t>
  </si>
  <si>
    <t xml:space="preserve">S1.50X035</t>
  </si>
  <si>
    <t xml:space="preserve">B70127-NSF</t>
  </si>
  <si>
    <t xml:space="preserve">E70350</t>
  </si>
  <si>
    <t xml:space="preserve">H2.40X013.8</t>
  </si>
  <si>
    <t xml:space="preserve">CF-203-004</t>
  </si>
  <si>
    <t xml:space="preserve">32305</t>
  </si>
  <si>
    <t xml:space="preserve">V1.00X006.5</t>
  </si>
  <si>
    <t xml:space="preserve">V75280</t>
  </si>
  <si>
    <t xml:space="preserve">A75159</t>
  </si>
  <si>
    <t xml:space="preserve">N3.00X115</t>
  </si>
  <si>
    <t xml:space="preserve">N4.50X050</t>
  </si>
  <si>
    <t xml:space="preserve">E70151</t>
  </si>
  <si>
    <t xml:space="preserve">QR-027</t>
  </si>
  <si>
    <t xml:space="preserve">V90367</t>
  </si>
  <si>
    <t xml:space="preserve">32388</t>
  </si>
  <si>
    <t xml:space="preserve">V3.00X028.5</t>
  </si>
  <si>
    <t xml:space="preserve">34486</t>
  </si>
  <si>
    <t xml:space="preserve">WPB-11251375-125</t>
  </si>
  <si>
    <t xml:space="preserve">V4.00X088</t>
  </si>
  <si>
    <t xml:space="preserve">N4.00X038</t>
  </si>
  <si>
    <t xml:space="preserve">S70354</t>
  </si>
  <si>
    <t xml:space="preserve">33171</t>
  </si>
  <si>
    <t xml:space="preserve">B70375-NSF</t>
  </si>
  <si>
    <t xml:space="preserve">GV75213</t>
  </si>
  <si>
    <t xml:space="preserve">V1.80X004</t>
  </si>
  <si>
    <t xml:space="preserve">N2.00X091</t>
  </si>
  <si>
    <t xml:space="preserve">0811818SC</t>
  </si>
  <si>
    <t xml:space="preserve">H70143</t>
  </si>
  <si>
    <t xml:space="preserve">H2.00X014</t>
  </si>
  <si>
    <t xml:space="preserve">N1.80X010.6</t>
  </si>
  <si>
    <t xml:space="preserve">V3.00X017.5</t>
  </si>
  <si>
    <t xml:space="preserve">31538</t>
  </si>
  <si>
    <t xml:space="preserve">E1.90X006.8</t>
  </si>
  <si>
    <t xml:space="preserve">N1.50X077</t>
  </si>
  <si>
    <t xml:space="preserve">34262</t>
  </si>
  <si>
    <t xml:space="preserve">N3.00X101</t>
  </si>
  <si>
    <t xml:space="preserve">S70407</t>
  </si>
  <si>
    <t xml:space="preserve">S70448</t>
  </si>
  <si>
    <t xml:space="preserve">V75326-MD</t>
  </si>
  <si>
    <t xml:space="preserve">34736</t>
  </si>
  <si>
    <t xml:space="preserve">B70410-NSF</t>
  </si>
  <si>
    <t xml:space="preserve">34731</t>
  </si>
  <si>
    <t xml:space="preserve">V2.00X089</t>
  </si>
  <si>
    <t xml:space="preserve">31416</t>
  </si>
  <si>
    <t xml:space="preserve">RTU187-2.000-375B</t>
  </si>
  <si>
    <t xml:space="preserve">TES341</t>
  </si>
  <si>
    <t xml:space="preserve">34085</t>
  </si>
  <si>
    <t xml:space="preserve">A75151</t>
  </si>
  <si>
    <t xml:space="preserve">31701</t>
  </si>
  <si>
    <t xml:space="preserve">B90911</t>
  </si>
  <si>
    <t xml:space="preserve">V75909</t>
  </si>
  <si>
    <t xml:space="preserve">V90161</t>
  </si>
  <si>
    <t xml:space="preserve">H70905</t>
  </si>
  <si>
    <t xml:space="preserve">BU133-TEF-SOL</t>
  </si>
  <si>
    <t xml:space="preserve">TEV110</t>
  </si>
  <si>
    <t xml:space="preserve">B70244-NSF</t>
  </si>
  <si>
    <t xml:space="preserve">V1.00X029</t>
  </si>
  <si>
    <t xml:space="preserve">B70469</t>
  </si>
  <si>
    <t xml:space="preserve">N3.00X116</t>
  </si>
  <si>
    <t xml:space="preserve">V90256</t>
  </si>
  <si>
    <t xml:space="preserve">N3.50X034</t>
  </si>
  <si>
    <t xml:space="preserve">SPI-0300-1-03</t>
  </si>
  <si>
    <t xml:space="preserve">34048</t>
  </si>
  <si>
    <t xml:space="preserve">QR-146</t>
  </si>
  <si>
    <t xml:space="preserve">612-300-037</t>
  </si>
  <si>
    <t xml:space="preserve">V2.50X066</t>
  </si>
  <si>
    <t xml:space="preserve">N2.50X015.5</t>
  </si>
  <si>
    <t xml:space="preserve">UL187-1.625-250</t>
  </si>
  <si>
    <t xml:space="preserve">S70901</t>
  </si>
  <si>
    <t xml:space="preserve">S1.50X026</t>
  </si>
  <si>
    <t xml:space="preserve">V75372</t>
  </si>
  <si>
    <t xml:space="preserve">V2.40X010.8</t>
  </si>
  <si>
    <t xml:space="preserve">08121SC</t>
  </si>
  <si>
    <t xml:space="preserve">B70456</t>
  </si>
  <si>
    <t xml:space="preserve">BU252-P</t>
  </si>
  <si>
    <t xml:space="preserve">S70170</t>
  </si>
  <si>
    <t xml:space="preserve">V3.10X084.4</t>
  </si>
  <si>
    <t xml:space="preserve">34683</t>
  </si>
  <si>
    <t xml:space="preserve">N5.00X110</t>
  </si>
  <si>
    <t xml:space="preserve">V1.50X001.5</t>
  </si>
  <si>
    <t xml:space="preserve">H3.10X044.4</t>
  </si>
  <si>
    <t xml:space="preserve">N5.00X036</t>
  </si>
  <si>
    <t xml:space="preserve">N5.00X222</t>
  </si>
  <si>
    <t xml:space="preserve">S70154</t>
  </si>
  <si>
    <t xml:space="preserve">V1.50X019</t>
  </si>
  <si>
    <t xml:space="preserve">E2.00X050</t>
  </si>
  <si>
    <t xml:space="preserve">31083</t>
  </si>
  <si>
    <t xml:space="preserve">S70411</t>
  </si>
  <si>
    <t xml:space="preserve">N1.60X007.1</t>
  </si>
  <si>
    <t xml:space="preserve">N2.65X080</t>
  </si>
  <si>
    <t xml:space="preserve">UL125-0.812-125</t>
  </si>
  <si>
    <t xml:space="preserve">BU110-V90</t>
  </si>
  <si>
    <t xml:space="preserve">B90145</t>
  </si>
  <si>
    <t xml:space="preserve">32664</t>
  </si>
  <si>
    <t xml:space="preserve">B70323-NSF</t>
  </si>
  <si>
    <t xml:space="preserve">31956</t>
  </si>
  <si>
    <t xml:space="preserve">V1.90X007.8</t>
  </si>
  <si>
    <t xml:space="preserve">B70406-NSF</t>
  </si>
  <si>
    <t xml:space="preserve">QR-108</t>
  </si>
  <si>
    <t xml:space="preserve">34105</t>
  </si>
  <si>
    <t xml:space="preserve">B90201</t>
  </si>
  <si>
    <t xml:space="preserve">E2.00X022.5</t>
  </si>
  <si>
    <t xml:space="preserve">30656</t>
  </si>
  <si>
    <t xml:space="preserve">E70323</t>
  </si>
  <si>
    <t xml:space="preserve">N2.40X037.6</t>
  </si>
  <si>
    <t xml:space="preserve">S5.00X018</t>
  </si>
  <si>
    <t xml:space="preserve">C70010</t>
  </si>
  <si>
    <t xml:space="preserve">N3.00X041</t>
  </si>
  <si>
    <t xml:space="preserve">B70904</t>
  </si>
  <si>
    <t xml:space="preserve">H70021</t>
  </si>
  <si>
    <t xml:space="preserve">33053</t>
  </si>
  <si>
    <t xml:space="preserve">S2.00X072</t>
  </si>
  <si>
    <t xml:space="preserve">V90318</t>
  </si>
  <si>
    <t xml:space="preserve">N3.00X084.5</t>
  </si>
  <si>
    <t xml:space="preserve">S70256</t>
  </si>
  <si>
    <t xml:space="preserve">B70910-NSF</t>
  </si>
  <si>
    <t xml:space="preserve">V50002</t>
  </si>
  <si>
    <t xml:space="preserve">S5.00X032</t>
  </si>
  <si>
    <t xml:space="preserve">BV75367</t>
  </si>
  <si>
    <t xml:space="preserve">QV-109</t>
  </si>
  <si>
    <t xml:space="preserve">V1.80X011.8</t>
  </si>
  <si>
    <t xml:space="preserve">33523</t>
  </si>
  <si>
    <t xml:space="preserve">V2.50X095</t>
  </si>
  <si>
    <t xml:space="preserve">N6.00X047</t>
  </si>
  <si>
    <t xml:space="preserve">N5.00X026</t>
  </si>
  <si>
    <t xml:space="preserve">N2.00X049</t>
  </si>
  <si>
    <t xml:space="preserve">V90037</t>
  </si>
  <si>
    <t xml:space="preserve">32147</t>
  </si>
  <si>
    <t xml:space="preserve">FFKM-049-SZ485</t>
  </si>
  <si>
    <t xml:space="preserve">PO29737</t>
  </si>
  <si>
    <t xml:space="preserve">FDABV75349</t>
  </si>
  <si>
    <t xml:space="preserve">B70434</t>
  </si>
  <si>
    <t xml:space="preserve">31822</t>
  </si>
  <si>
    <t xml:space="preserve">B90265</t>
  </si>
  <si>
    <t xml:space="preserve">E70161</t>
  </si>
  <si>
    <t xml:space="preserve">N2.00X175</t>
  </si>
  <si>
    <t xml:space="preserve">H2.50X024</t>
  </si>
  <si>
    <t xml:space="preserve">H2.40X014.3</t>
  </si>
  <si>
    <t xml:space="preserve">31023</t>
  </si>
  <si>
    <t xml:space="preserve">V75364</t>
  </si>
  <si>
    <t xml:space="preserve">QR-043</t>
  </si>
  <si>
    <t xml:space="preserve">33759</t>
  </si>
  <si>
    <t xml:space="preserve">BCK-6598343</t>
  </si>
  <si>
    <t xml:space="preserve">34989</t>
  </si>
  <si>
    <t xml:space="preserve">SN70231</t>
  </si>
  <si>
    <t xml:space="preserve">32634</t>
  </si>
  <si>
    <t xml:space="preserve">N3.00X123</t>
  </si>
  <si>
    <t xml:space="preserve">QR-039</t>
  </si>
  <si>
    <t xml:space="preserve">S70905</t>
  </si>
  <si>
    <t xml:space="preserve">068122SC</t>
  </si>
  <si>
    <t xml:space="preserve">34540</t>
  </si>
  <si>
    <t xml:space="preserve">N2.50X021.5</t>
  </si>
  <si>
    <t xml:space="preserve">E70147</t>
  </si>
  <si>
    <t xml:space="preserve">34339</t>
  </si>
  <si>
    <t xml:space="preserve">TEF025</t>
  </si>
  <si>
    <t xml:space="preserve">E70165</t>
  </si>
  <si>
    <t xml:space="preserve">N2.20X006</t>
  </si>
  <si>
    <t xml:space="preserve">V90901</t>
  </si>
  <si>
    <t xml:space="preserve">PR30-N85</t>
  </si>
  <si>
    <t xml:space="preserve">RTU125-1.000-187B</t>
  </si>
  <si>
    <t xml:space="preserve">B70443-NSF</t>
  </si>
  <si>
    <t xml:space="preserve">B90254</t>
  </si>
  <si>
    <t xml:space="preserve">BU232-B90</t>
  </si>
  <si>
    <t xml:space="preserve">TEV111</t>
  </si>
  <si>
    <t xml:space="preserve">WN70127</t>
  </si>
  <si>
    <t xml:space="preserve">N3.00X003</t>
  </si>
  <si>
    <t xml:space="preserve">B50279</t>
  </si>
  <si>
    <t xml:space="preserve">BU006-V90</t>
  </si>
  <si>
    <t xml:space="preserve">E3.00X050</t>
  </si>
  <si>
    <t xml:space="preserve">QR-045</t>
  </si>
  <si>
    <t xml:space="preserve">TEF317</t>
  </si>
  <si>
    <t xml:space="preserve">34658</t>
  </si>
  <si>
    <t xml:space="preserve">B90247</t>
  </si>
  <si>
    <t xml:space="preserve">25X34X7TC</t>
  </si>
  <si>
    <t xml:space="preserve">E70366</t>
  </si>
  <si>
    <t xml:space="preserve">H2.50X019</t>
  </si>
  <si>
    <t xml:space="preserve">H3.10X029.4</t>
  </si>
  <si>
    <t xml:space="preserve">V2.50X057</t>
  </si>
  <si>
    <t xml:space="preserve">GV75015</t>
  </si>
  <si>
    <t xml:space="preserve">N2.50X116</t>
  </si>
  <si>
    <t xml:space="preserve">BU234-P</t>
  </si>
  <si>
    <t xml:space="preserve">SN70324</t>
  </si>
  <si>
    <t xml:space="preserve">FDABV75350</t>
  </si>
  <si>
    <t xml:space="preserve">N3.50X175</t>
  </si>
  <si>
    <t xml:space="preserve">E2.00X018.5</t>
  </si>
  <si>
    <t xml:space="preserve">N6.00X016</t>
  </si>
  <si>
    <t xml:space="preserve">E70924</t>
  </si>
  <si>
    <t xml:space="preserve">N6.00X145</t>
  </si>
  <si>
    <t xml:space="preserve">BU013-V90</t>
  </si>
  <si>
    <t xml:space="preserve">B90202</t>
  </si>
  <si>
    <t xml:space="preserve">S70437</t>
  </si>
  <si>
    <t xml:space="preserve">V90028</t>
  </si>
  <si>
    <t xml:space="preserve">N1.60X012</t>
  </si>
  <si>
    <t xml:space="preserve">N1.20X048</t>
  </si>
  <si>
    <t xml:space="preserve">E70043</t>
  </si>
  <si>
    <t xml:space="preserve">N1.60X005.1</t>
  </si>
  <si>
    <t xml:space="preserve">34113</t>
  </si>
  <si>
    <t xml:space="preserve">N2.50X013.5</t>
  </si>
  <si>
    <t xml:space="preserve">S3.00X028</t>
  </si>
  <si>
    <t xml:space="preserve">V5.00X031</t>
  </si>
  <si>
    <t xml:space="preserve">FDABV75171</t>
  </si>
  <si>
    <t xml:space="preserve">34543</t>
  </si>
  <si>
    <t xml:space="preserve">QR-164</t>
  </si>
  <si>
    <t xml:space="preserve">35095</t>
  </si>
  <si>
    <t xml:space="preserve">B90331</t>
  </si>
  <si>
    <t xml:space="preserve">B70424</t>
  </si>
  <si>
    <t xml:space="preserve">33978</t>
  </si>
  <si>
    <t xml:space="preserve">BU230-B90</t>
  </si>
  <si>
    <t xml:space="preserve">B70114-MD-BLUE</t>
  </si>
  <si>
    <t xml:space="preserve">H1.60X007.1</t>
  </si>
  <si>
    <t xml:space="preserve">N2.00X092</t>
  </si>
  <si>
    <t xml:space="preserve">C70152</t>
  </si>
  <si>
    <t xml:space="preserve">B70016-MD-BLUE</t>
  </si>
  <si>
    <t xml:space="preserve">A75142</t>
  </si>
  <si>
    <t xml:space="preserve">V2.62X009.9</t>
  </si>
  <si>
    <t xml:space="preserve">FS70326</t>
  </si>
  <si>
    <t xml:space="preserve">S3.00X090</t>
  </si>
  <si>
    <t xml:space="preserve">30492</t>
  </si>
  <si>
    <t xml:space="preserve">N2.40X039.6</t>
  </si>
  <si>
    <t xml:space="preserve">S70277</t>
  </si>
  <si>
    <t xml:space="preserve">34614</t>
  </si>
  <si>
    <t xml:space="preserve">H3.00X011</t>
  </si>
  <si>
    <t xml:space="preserve">N2.40X005.6</t>
  </si>
  <si>
    <t xml:space="preserve">N3.00X070</t>
  </si>
  <si>
    <t xml:space="preserve">B70412</t>
  </si>
  <si>
    <t xml:space="preserve">BU014-V90</t>
  </si>
  <si>
    <t xml:space="preserve">40X52X7TC</t>
  </si>
  <si>
    <t xml:space="preserve">E70038-NSF</t>
  </si>
  <si>
    <t xml:space="preserve">33181</t>
  </si>
  <si>
    <t xml:space="preserve">B70149-NSF</t>
  </si>
  <si>
    <t xml:space="preserve">GV75110</t>
  </si>
  <si>
    <t xml:space="preserve">V2.00X015.5</t>
  </si>
  <si>
    <t xml:space="preserve">B90173</t>
  </si>
  <si>
    <t xml:space="preserve">BU124-P</t>
  </si>
  <si>
    <t xml:space="preserve">N1.50X029</t>
  </si>
  <si>
    <t xml:space="preserve">B70043-NSF</t>
  </si>
  <si>
    <t xml:space="preserve">V1.00X001.8</t>
  </si>
  <si>
    <t xml:space="preserve">32574</t>
  </si>
  <si>
    <t xml:space="preserve">N2.40X023.3</t>
  </si>
  <si>
    <t xml:space="preserve">UL187-2.750-375B</t>
  </si>
  <si>
    <t xml:space="preserve">V1.00X040</t>
  </si>
  <si>
    <t xml:space="preserve">B90277</t>
  </si>
  <si>
    <t xml:space="preserve">B70104-NSF</t>
  </si>
  <si>
    <t xml:space="preserve">33304</t>
  </si>
  <si>
    <t xml:space="preserve">C70035</t>
  </si>
  <si>
    <t xml:space="preserve">BU219-V90</t>
  </si>
  <si>
    <t xml:space="preserve">V3.10X079.4</t>
  </si>
  <si>
    <t xml:space="preserve">BU255-B90</t>
  </si>
  <si>
    <t xml:space="preserve">N4.00X045</t>
  </si>
  <si>
    <t xml:space="preserve">C70216</t>
  </si>
  <si>
    <t xml:space="preserve">A75131</t>
  </si>
  <si>
    <t xml:space="preserve">V3.00X012.5</t>
  </si>
  <si>
    <t xml:space="preserve">QR-350</t>
  </si>
  <si>
    <t xml:space="preserve">S70408</t>
  </si>
  <si>
    <t xml:space="preserve">30847</t>
  </si>
  <si>
    <t xml:space="preserve">S1.00X033</t>
  </si>
  <si>
    <t xml:space="preserve">HRU15-1.06-15</t>
  </si>
  <si>
    <t xml:space="preserve">E70203-NSF</t>
  </si>
  <si>
    <t xml:space="preserve">32748</t>
  </si>
  <si>
    <t xml:space="preserve">B90039</t>
  </si>
  <si>
    <t xml:space="preserve">BU132-TEF-SOL</t>
  </si>
  <si>
    <t xml:space="preserve">BU238-TEF-SOL</t>
  </si>
  <si>
    <t xml:space="preserve">BV75310</t>
  </si>
  <si>
    <t xml:space="preserve">SN70137</t>
  </si>
  <si>
    <t xml:space="preserve">32454</t>
  </si>
  <si>
    <t xml:space="preserve">V90106</t>
  </si>
  <si>
    <t xml:space="preserve">V75449</t>
  </si>
  <si>
    <t xml:space="preserve">H70026</t>
  </si>
  <si>
    <t xml:space="preserve">V2.50X135</t>
  </si>
  <si>
    <t xml:space="preserve">E70211-NSF</t>
  </si>
  <si>
    <t xml:space="preserve">30612</t>
  </si>
  <si>
    <t xml:space="preserve">N4.50X032</t>
  </si>
  <si>
    <t xml:space="preserve">BU128-V90</t>
  </si>
  <si>
    <t xml:space="preserve">BU127-B90</t>
  </si>
  <si>
    <t xml:space="preserve">E70466</t>
  </si>
  <si>
    <t xml:space="preserve">C70324</t>
  </si>
  <si>
    <t xml:space="preserve">FDABV75155</t>
  </si>
  <si>
    <t xml:space="preserve">32888</t>
  </si>
  <si>
    <t xml:space="preserve">B70138-NSF</t>
  </si>
  <si>
    <t xml:space="preserve">32809</t>
  </si>
  <si>
    <t xml:space="preserve">V1.50X056</t>
  </si>
  <si>
    <t xml:space="preserve">B90166</t>
  </si>
  <si>
    <t xml:space="preserve">DWS3.000</t>
  </si>
  <si>
    <t xml:space="preserve">N3.50X019</t>
  </si>
  <si>
    <t xml:space="preserve">E70173</t>
  </si>
  <si>
    <t xml:space="preserve">33614</t>
  </si>
  <si>
    <t xml:space="preserve">V75322</t>
  </si>
  <si>
    <t xml:space="preserve">SN70118</t>
  </si>
  <si>
    <t xml:space="preserve">V1.50X021.5</t>
  </si>
  <si>
    <t xml:space="preserve">N1.60X019.1</t>
  </si>
  <si>
    <t xml:space="preserve">S3.00X038</t>
  </si>
  <si>
    <t xml:space="preserve">B90269</t>
  </si>
  <si>
    <t xml:space="preserve">31559</t>
  </si>
  <si>
    <t xml:space="preserve">E70465</t>
  </si>
  <si>
    <t xml:space="preserve">BU246-P</t>
  </si>
  <si>
    <t xml:space="preserve">A75043</t>
  </si>
  <si>
    <t xml:space="preserve">V2.50X031</t>
  </si>
  <si>
    <t xml:space="preserve">QR-031</t>
  </si>
  <si>
    <t xml:space="preserve">N5.00X035</t>
  </si>
  <si>
    <t xml:space="preserve">A75206</t>
  </si>
  <si>
    <t xml:space="preserve">31616</t>
  </si>
  <si>
    <t xml:space="preserve">E70284</t>
  </si>
  <si>
    <t xml:space="preserve">V2.40X041.6</t>
  </si>
  <si>
    <t xml:space="preserve">E2.00X053</t>
  </si>
  <si>
    <t xml:space="preserve">30499</t>
  </si>
  <si>
    <t xml:space="preserve">H3.50X027.7</t>
  </si>
  <si>
    <t xml:space="preserve">N4.00X027</t>
  </si>
  <si>
    <t xml:space="preserve">V90329</t>
  </si>
  <si>
    <t xml:space="preserve">B50131</t>
  </si>
  <si>
    <t xml:space="preserve">BU327-P</t>
  </si>
  <si>
    <t xml:space="preserve">U125-0.187-250B</t>
  </si>
  <si>
    <t xml:space="preserve">S70418</t>
  </si>
  <si>
    <t xml:space="preserve">RTU187-1.750-375B</t>
  </si>
  <si>
    <t xml:space="preserve">N2.50X146</t>
  </si>
  <si>
    <t xml:space="preserve">BU236-V90</t>
  </si>
  <si>
    <t xml:space="preserve">N4.00X009</t>
  </si>
  <si>
    <t xml:space="preserve">V1.60X017.1</t>
  </si>
  <si>
    <t xml:space="preserve">16X24X4SC</t>
  </si>
  <si>
    <t xml:space="preserve">BU215-V90</t>
  </si>
  <si>
    <t xml:space="preserve">BU031-B90</t>
  </si>
  <si>
    <t xml:space="preserve">SN70347</t>
  </si>
  <si>
    <t xml:space="preserve">C70113</t>
  </si>
  <si>
    <t xml:space="preserve">E70106-NSF</t>
  </si>
  <si>
    <t xml:space="preserve">31617</t>
  </si>
  <si>
    <t xml:space="preserve">S1.00X010</t>
  </si>
  <si>
    <t xml:space="preserve">N2.65X025</t>
  </si>
  <si>
    <t xml:space="preserve">V75405</t>
  </si>
  <si>
    <t xml:space="preserve">H70903</t>
  </si>
  <si>
    <t xml:space="preserve">33168</t>
  </si>
  <si>
    <t xml:space="preserve">U3.00X075</t>
  </si>
  <si>
    <t xml:space="preserve">N3.53X068.26</t>
  </si>
  <si>
    <t xml:space="preserve">32926</t>
  </si>
  <si>
    <t xml:space="preserve">N4.00X094</t>
  </si>
  <si>
    <t xml:space="preserve">E1.90X002.8</t>
  </si>
  <si>
    <t xml:space="preserve">S5.00X090</t>
  </si>
  <si>
    <t xml:space="preserve">B90344</t>
  </si>
  <si>
    <t xml:space="preserve">B70473</t>
  </si>
  <si>
    <t xml:space="preserve">N2.50X064</t>
  </si>
  <si>
    <t xml:space="preserve">V75264</t>
  </si>
  <si>
    <t xml:space="preserve">BU133-B90</t>
  </si>
  <si>
    <t xml:space="preserve">31601</t>
  </si>
  <si>
    <t xml:space="preserve">MUU-25X33X5</t>
  </si>
  <si>
    <t xml:space="preserve">31929</t>
  </si>
  <si>
    <t xml:space="preserve">E70439</t>
  </si>
  <si>
    <t xml:space="preserve">V75309</t>
  </si>
  <si>
    <t xml:space="preserve">V75462</t>
  </si>
  <si>
    <t xml:space="preserve">U250-1.500-312B</t>
  </si>
  <si>
    <t xml:space="preserve">31568</t>
  </si>
  <si>
    <t xml:space="preserve">N1.50X073</t>
  </si>
  <si>
    <t xml:space="preserve">30718</t>
  </si>
  <si>
    <t xml:space="preserve">S70374</t>
  </si>
  <si>
    <t xml:space="preserve">N1.50X120</t>
  </si>
  <si>
    <t xml:space="preserve">N4.00X140.5</t>
  </si>
  <si>
    <t xml:space="preserve">B70328-NSF</t>
  </si>
  <si>
    <t xml:space="preserve">C70164</t>
  </si>
  <si>
    <t xml:space="preserve">BV75318</t>
  </si>
  <si>
    <t xml:space="preserve">N1.00X075</t>
  </si>
  <si>
    <t xml:space="preserve">N1.60X020.1</t>
  </si>
  <si>
    <t xml:space="preserve">30862</t>
  </si>
  <si>
    <t xml:space="preserve">S70442</t>
  </si>
  <si>
    <t xml:space="preserve">N2.50X034.5</t>
  </si>
  <si>
    <t xml:space="preserve">H3.00X032</t>
  </si>
  <si>
    <t xml:space="preserve">33554</t>
  </si>
  <si>
    <t xml:space="preserve">N3.00X110</t>
  </si>
  <si>
    <t xml:space="preserve">N3.50X044</t>
  </si>
  <si>
    <t xml:space="preserve">34642</t>
  </si>
  <si>
    <t xml:space="preserve">V3.50X033.7</t>
  </si>
  <si>
    <t xml:space="preserve">V5.00X039</t>
  </si>
  <si>
    <t xml:space="preserve">V3.00X068</t>
  </si>
  <si>
    <t xml:space="preserve">H1.50X008.5</t>
  </si>
  <si>
    <t xml:space="preserve">H70105</t>
  </si>
  <si>
    <t xml:space="preserve">BCK-6816535</t>
  </si>
  <si>
    <t xml:space="preserve">34549</t>
  </si>
  <si>
    <t xml:space="preserve">FDABV75022</t>
  </si>
  <si>
    <t xml:space="preserve">BV75371</t>
  </si>
  <si>
    <t xml:space="preserve">BU019-V90</t>
  </si>
  <si>
    <t xml:space="preserve">S3.00X004</t>
  </si>
  <si>
    <t xml:space="preserve">N5.00X066</t>
  </si>
  <si>
    <t xml:space="preserve">QR-253</t>
  </si>
  <si>
    <t xml:space="preserve">V4.00X028</t>
  </si>
  <si>
    <t xml:space="preserve">H70319</t>
  </si>
  <si>
    <t xml:space="preserve">H1.90X004.8</t>
  </si>
  <si>
    <t xml:space="preserve">QR-127</t>
  </si>
  <si>
    <t xml:space="preserve">C70219</t>
  </si>
  <si>
    <t xml:space="preserve">HRU18-1.62-18</t>
  </si>
  <si>
    <t xml:space="preserve">N3.50X041</t>
  </si>
  <si>
    <t xml:space="preserve">31513</t>
  </si>
  <si>
    <t xml:space="preserve">V2.40X031.6</t>
  </si>
  <si>
    <t xml:space="preserve">N6.00X064</t>
  </si>
  <si>
    <t xml:space="preserve">N4.00X043</t>
  </si>
  <si>
    <t xml:space="preserve">34427</t>
  </si>
  <si>
    <t xml:space="preserve">V2.00X028.5</t>
  </si>
  <si>
    <t xml:space="preserve">V2.50X063</t>
  </si>
  <si>
    <t xml:space="preserve">V3.50X011</t>
  </si>
  <si>
    <t xml:space="preserve">H3.00X025</t>
  </si>
  <si>
    <t xml:space="preserve">V90150</t>
  </si>
  <si>
    <t xml:space="preserve">C70112</t>
  </si>
  <si>
    <t xml:space="preserve">N1.20X012</t>
  </si>
  <si>
    <t xml:space="preserve">S1.90X004.8</t>
  </si>
  <si>
    <t xml:space="preserve">E70042-NSF</t>
  </si>
  <si>
    <t xml:space="preserve">N3.00X078</t>
  </si>
  <si>
    <t xml:space="preserve">N3.00X126</t>
  </si>
  <si>
    <t xml:space="preserve">TPO43</t>
  </si>
  <si>
    <t xml:space="preserve">TEF124</t>
  </si>
  <si>
    <t xml:space="preserve">V90264</t>
  </si>
  <si>
    <t xml:space="preserve">33235</t>
  </si>
  <si>
    <t xml:space="preserve">N2.65X015</t>
  </si>
  <si>
    <t xml:space="preserve">34563</t>
  </si>
  <si>
    <t xml:space="preserve">N4.00X069</t>
  </si>
  <si>
    <t xml:space="preserve">626-009-5747</t>
  </si>
  <si>
    <t xml:space="preserve">33787</t>
  </si>
  <si>
    <t xml:space="preserve">S70045</t>
  </si>
  <si>
    <t xml:space="preserve">34555</t>
  </si>
  <si>
    <t xml:space="preserve">B70466</t>
  </si>
  <si>
    <t xml:space="preserve">N6.00X086</t>
  </si>
  <si>
    <t xml:space="preserve">V1.00X020</t>
  </si>
  <si>
    <t xml:space="preserve">V75282</t>
  </si>
  <si>
    <t xml:space="preserve">N2.40X010.8</t>
  </si>
  <si>
    <t xml:space="preserve">N2.62X011.91</t>
  </si>
  <si>
    <t xml:space="preserve">TEF122</t>
  </si>
  <si>
    <t xml:space="preserve">N1.50X060</t>
  </si>
  <si>
    <t xml:space="preserve">H5.70X109.6</t>
  </si>
  <si>
    <t xml:space="preserve">31050</t>
  </si>
  <si>
    <t xml:space="preserve">B70021-NSF</t>
  </si>
  <si>
    <t xml:space="preserve">33258</t>
  </si>
  <si>
    <t xml:space="preserve">H3.00X022</t>
  </si>
  <si>
    <t xml:space="preserve">H70227</t>
  </si>
  <si>
    <t xml:space="preserve">V1.80X010.6</t>
  </si>
  <si>
    <t xml:space="preserve">N5.70X139.6</t>
  </si>
  <si>
    <t xml:space="preserve">32411</t>
  </si>
  <si>
    <t xml:space="preserve">C70038</t>
  </si>
  <si>
    <t xml:space="preserve">N5.70X047.6</t>
  </si>
  <si>
    <t xml:space="preserve">B90314</t>
  </si>
  <si>
    <t xml:space="preserve">FDABV75143</t>
  </si>
  <si>
    <t xml:space="preserve">N3.00X061</t>
  </si>
  <si>
    <t xml:space="preserve">E70222-NSF</t>
  </si>
  <si>
    <t xml:space="preserve">N5.70X059.6</t>
  </si>
  <si>
    <t xml:space="preserve">V1.80X006</t>
  </si>
  <si>
    <t xml:space="preserve">UC70225</t>
  </si>
  <si>
    <t xml:space="preserve">N1.50X069</t>
  </si>
  <si>
    <t xml:space="preserve">N3.50X049.7</t>
  </si>
  <si>
    <t xml:space="preserve">B90429</t>
  </si>
  <si>
    <t xml:space="preserve">BV75142</t>
  </si>
  <si>
    <t xml:space="preserve">FDABV75348</t>
  </si>
  <si>
    <t xml:space="preserve">N2.00X108</t>
  </si>
  <si>
    <t xml:space="preserve">N2.00X024.5</t>
  </si>
  <si>
    <t xml:space="preserve">S6.00X025</t>
  </si>
  <si>
    <t xml:space="preserve">QR-019</t>
  </si>
  <si>
    <t xml:space="preserve">31198</t>
  </si>
  <si>
    <t xml:space="preserve">V75356</t>
  </si>
  <si>
    <t xml:space="preserve">N2.00X099</t>
  </si>
  <si>
    <t xml:space="preserve">N3.50X039.7</t>
  </si>
  <si>
    <t xml:space="preserve">N1.00X058</t>
  </si>
  <si>
    <t xml:space="preserve">S1.90X005.8</t>
  </si>
  <si>
    <t xml:space="preserve">N1.00X022.5</t>
  </si>
  <si>
    <t xml:space="preserve">E4.00X044</t>
  </si>
  <si>
    <t xml:space="preserve">V2.00X047</t>
  </si>
  <si>
    <t xml:space="preserve">V1.00X006.2-BR</t>
  </si>
  <si>
    <t xml:space="preserve">V2.40X014.6</t>
  </si>
  <si>
    <t xml:space="preserve">QR-238</t>
  </si>
  <si>
    <t xml:space="preserve">E70107-NSF</t>
  </si>
  <si>
    <t xml:space="preserve">U187-1.125-312B</t>
  </si>
  <si>
    <t xml:space="preserve">B90107</t>
  </si>
  <si>
    <t xml:space="preserve">32845</t>
  </si>
  <si>
    <t xml:space="preserve">N2.40X029.6</t>
  </si>
  <si>
    <t xml:space="preserve">V2.40X023.3</t>
  </si>
  <si>
    <t xml:space="preserve">N2.50X104</t>
  </si>
  <si>
    <t xml:space="preserve">S70366</t>
  </si>
  <si>
    <t xml:space="preserve">BU145-TEF-SOL</t>
  </si>
  <si>
    <t xml:space="preserve">E4.00X050</t>
  </si>
  <si>
    <t xml:space="preserve">V2.00X188</t>
  </si>
  <si>
    <t xml:space="preserve">V3.50X065</t>
  </si>
  <si>
    <t xml:space="preserve">N5.70X074.3</t>
  </si>
  <si>
    <t xml:space="preserve">N2.50X108</t>
  </si>
  <si>
    <t xml:space="preserve">BU216-B90</t>
  </si>
  <si>
    <t xml:space="preserve">B90150</t>
  </si>
  <si>
    <t xml:space="preserve">B90033</t>
  </si>
  <si>
    <t xml:space="preserve">N3.00X127</t>
  </si>
  <si>
    <t xml:space="preserve">N5.00X080</t>
  </si>
  <si>
    <t xml:space="preserve">BU016-V90</t>
  </si>
  <si>
    <t xml:space="preserve">N3.50X042</t>
  </si>
  <si>
    <t xml:space="preserve">N2.50X032</t>
  </si>
  <si>
    <t xml:space="preserve">N3.50X079</t>
  </si>
  <si>
    <t xml:space="preserve">32835</t>
  </si>
  <si>
    <t xml:space="preserve">UL250-1.000-375B</t>
  </si>
  <si>
    <t xml:space="preserve">V2.00X049</t>
  </si>
  <si>
    <t xml:space="preserve">N3.00X037</t>
  </si>
  <si>
    <t xml:space="preserve">S3.00X016</t>
  </si>
  <si>
    <t xml:space="preserve">B90168</t>
  </si>
  <si>
    <t xml:space="preserve">N3.50X102</t>
  </si>
  <si>
    <t xml:space="preserve">BU222-TEF-SPL</t>
  </si>
  <si>
    <t xml:space="preserve">E70035-NSF</t>
  </si>
  <si>
    <t xml:space="preserve">30933</t>
  </si>
  <si>
    <t xml:space="preserve">V3.00X020-90</t>
  </si>
  <si>
    <t xml:space="preserve">N3.00X129</t>
  </si>
  <si>
    <t xml:space="preserve">N3.00X062</t>
  </si>
  <si>
    <t xml:space="preserve">KT-BE-611</t>
  </si>
  <si>
    <t xml:space="preserve">35009</t>
  </si>
  <si>
    <t xml:space="preserve">E5.00X043</t>
  </si>
  <si>
    <t xml:space="preserve">N5.00X037</t>
  </si>
  <si>
    <t xml:space="preserve">E4.00X036</t>
  </si>
  <si>
    <t xml:space="preserve">30476</t>
  </si>
  <si>
    <t xml:space="preserve">BU027-V90</t>
  </si>
  <si>
    <t xml:space="preserve">V1.00X033</t>
  </si>
  <si>
    <t xml:space="preserve">E70382</t>
  </si>
  <si>
    <t xml:space="preserve">TES010</t>
  </si>
  <si>
    <t xml:space="preserve">33332</t>
  </si>
  <si>
    <t xml:space="preserve">V2.50X021</t>
  </si>
  <si>
    <t xml:space="preserve">V4.00X014.5</t>
  </si>
  <si>
    <t xml:space="preserve">H3.10X109.4</t>
  </si>
  <si>
    <t xml:space="preserve">N3.00X122</t>
  </si>
  <si>
    <t xml:space="preserve">N3.50X089</t>
  </si>
  <si>
    <t xml:space="preserve">V5.00X034</t>
  </si>
  <si>
    <t xml:space="preserve">V2.00X020-90</t>
  </si>
  <si>
    <t xml:space="preserve">V2.00X014-90</t>
  </si>
  <si>
    <t xml:space="preserve">31872</t>
  </si>
  <si>
    <t xml:space="preserve">V1.50X021</t>
  </si>
  <si>
    <t xml:space="preserve">H2.40X009.3</t>
  </si>
  <si>
    <t xml:space="preserve">N2.50X007.5</t>
  </si>
  <si>
    <t xml:space="preserve">A75033</t>
  </si>
  <si>
    <t xml:space="preserve">N1.80X043</t>
  </si>
  <si>
    <t xml:space="preserve">N3.50X065</t>
  </si>
  <si>
    <t xml:space="preserve">34191</t>
  </si>
  <si>
    <t xml:space="preserve">H1.60X003.1</t>
  </si>
  <si>
    <t xml:space="preserve">S2.00X005</t>
  </si>
  <si>
    <t xml:space="preserve">BU261-B90</t>
  </si>
  <si>
    <t xml:space="preserve">H3.50X049.7</t>
  </si>
  <si>
    <t xml:space="preserve">BU130-B90</t>
  </si>
  <si>
    <t xml:space="preserve">V1.50X022-BR</t>
  </si>
  <si>
    <t xml:space="preserve">V2.40X020.8</t>
  </si>
  <si>
    <t xml:space="preserve">V2.00X071</t>
  </si>
  <si>
    <t xml:space="preserve">H2.40X019.8</t>
  </si>
  <si>
    <t xml:space="preserve">N1.78X011.11</t>
  </si>
  <si>
    <t xml:space="preserve">TEF1.00X006</t>
  </si>
  <si>
    <t xml:space="preserve">H70130</t>
  </si>
  <si>
    <t xml:space="preserve">N3.50X067</t>
  </si>
  <si>
    <t xml:space="preserve">N5.00X125</t>
  </si>
  <si>
    <t xml:space="preserve">V1.00X022.5</t>
  </si>
  <si>
    <t xml:space="preserve">E70318</t>
  </si>
  <si>
    <t xml:space="preserve">QR-030</t>
  </si>
  <si>
    <t xml:space="preserve">BV75201</t>
  </si>
  <si>
    <t xml:space="preserve">V75902</t>
  </si>
  <si>
    <t xml:space="preserve">BU021-P</t>
  </si>
  <si>
    <t xml:space="preserve">B70131-MD-BLUE</t>
  </si>
  <si>
    <t xml:space="preserve">V90207</t>
  </si>
  <si>
    <t xml:space="preserve">B50113</t>
  </si>
  <si>
    <t xml:space="preserve">S6.00X095</t>
  </si>
  <si>
    <t xml:space="preserve">30745</t>
  </si>
  <si>
    <t xml:space="preserve">WN70229</t>
  </si>
  <si>
    <t xml:space="preserve">B90040</t>
  </si>
  <si>
    <t xml:space="preserve">S2.00X023.5</t>
  </si>
  <si>
    <t xml:space="preserve">E70324</t>
  </si>
  <si>
    <t xml:space="preserve">N1.78X039.45</t>
  </si>
  <si>
    <t xml:space="preserve">32386</t>
  </si>
  <si>
    <t xml:space="preserve">KT-DF-350</t>
  </si>
  <si>
    <t xml:space="preserve">V5.00X036</t>
  </si>
  <si>
    <t xml:space="preserve">34165</t>
  </si>
  <si>
    <t xml:space="preserve">E70150</t>
  </si>
  <si>
    <t xml:space="preserve">N2.40X047.6</t>
  </si>
  <si>
    <t xml:space="preserve">N2.40X057.6</t>
  </si>
  <si>
    <t xml:space="preserve">QE-216</t>
  </si>
  <si>
    <t xml:space="preserve">V75419</t>
  </si>
  <si>
    <t xml:space="preserve">H5.70X219.3</t>
  </si>
  <si>
    <t xml:space="preserve">34503</t>
  </si>
  <si>
    <t xml:space="preserve">N2.50X058</t>
  </si>
  <si>
    <t xml:space="preserve">V3.10X114.4</t>
  </si>
  <si>
    <t xml:space="preserve">B90361</t>
  </si>
  <si>
    <t xml:space="preserve">BU245-B90</t>
  </si>
  <si>
    <t xml:space="preserve">N3.50X035.7</t>
  </si>
  <si>
    <t xml:space="preserve">V4.00X068</t>
  </si>
  <si>
    <t xml:space="preserve">S2.00X027</t>
  </si>
  <si>
    <t xml:space="preserve">N5.70X089.1</t>
  </si>
  <si>
    <t xml:space="preserve">E70217</t>
  </si>
  <si>
    <t xml:space="preserve">S5.00X025</t>
  </si>
  <si>
    <t xml:space="preserve">MUU-30X50X10</t>
  </si>
  <si>
    <t xml:space="preserve">N2.50X041</t>
  </si>
  <si>
    <t xml:space="preserve">32859</t>
  </si>
  <si>
    <t xml:space="preserve">N3.00X021.5</t>
  </si>
  <si>
    <t xml:space="preserve">S2.40X015.8</t>
  </si>
  <si>
    <t xml:space="preserve">C70210</t>
  </si>
  <si>
    <t xml:space="preserve">N1.20X010</t>
  </si>
  <si>
    <t xml:space="preserve">33200</t>
  </si>
  <si>
    <t xml:space="preserve">HRU12-0.81-12</t>
  </si>
  <si>
    <t xml:space="preserve">31248</t>
  </si>
  <si>
    <t xml:space="preserve">E3.50X021</t>
  </si>
  <si>
    <t xml:space="preserve">N3.00X017.5</t>
  </si>
  <si>
    <t xml:space="preserve">V2.00X014.5</t>
  </si>
  <si>
    <t xml:space="preserve">V90155</t>
  </si>
  <si>
    <t xml:space="preserve">B90159</t>
  </si>
  <si>
    <t xml:space="preserve">H2.50X010</t>
  </si>
  <si>
    <t xml:space="preserve">V2.40X012.6</t>
  </si>
  <si>
    <t xml:space="preserve">N2.50X031</t>
  </si>
  <si>
    <t xml:space="preserve">QR-444</t>
  </si>
  <si>
    <t xml:space="preserve">S4.00X028</t>
  </si>
  <si>
    <t xml:space="preserve">N3.00X108</t>
  </si>
  <si>
    <t xml:space="preserve">A75248</t>
  </si>
  <si>
    <t xml:space="preserve">N4.50X028.5</t>
  </si>
  <si>
    <t xml:space="preserve">S70447</t>
  </si>
  <si>
    <t xml:space="preserve">E2.50X038</t>
  </si>
  <si>
    <t xml:space="preserve">BU235-B90</t>
  </si>
  <si>
    <t xml:space="preserve">BU129-TEF-SOL</t>
  </si>
  <si>
    <t xml:space="preserve">B70137-NSF</t>
  </si>
  <si>
    <t xml:space="preserve">S1.50X032</t>
  </si>
  <si>
    <t xml:space="preserve">HRU15-1.00-15</t>
  </si>
  <si>
    <t xml:space="preserve">34063</t>
  </si>
  <si>
    <t xml:space="preserve">BU429-B90</t>
  </si>
  <si>
    <t xml:space="preserve">V1.00X043</t>
  </si>
  <si>
    <t xml:space="preserve">KT-BO-798</t>
  </si>
  <si>
    <t xml:space="preserve">30831</t>
  </si>
  <si>
    <t xml:space="preserve">V1.50X047</t>
  </si>
  <si>
    <t xml:space="preserve">B70426</t>
  </si>
  <si>
    <t xml:space="preserve">PSC-334</t>
  </si>
  <si>
    <t xml:space="preserve">QR-321</t>
  </si>
  <si>
    <t xml:space="preserve">34181</t>
  </si>
  <si>
    <t xml:space="preserve">S1.50X002.5</t>
  </si>
  <si>
    <t xml:space="preserve">TEF2.50X019</t>
  </si>
  <si>
    <t xml:space="preserve">N1.50X135</t>
  </si>
  <si>
    <t xml:space="preserve">B90260</t>
  </si>
  <si>
    <t xml:space="preserve">E70041</t>
  </si>
  <si>
    <t xml:space="preserve">V2.50X062</t>
  </si>
  <si>
    <t xml:space="preserve">H1.50X007</t>
  </si>
  <si>
    <t xml:space="preserve">A75247</t>
  </si>
  <si>
    <t xml:space="preserve">N5.00X055</t>
  </si>
  <si>
    <t xml:space="preserve">V75436</t>
  </si>
  <si>
    <t xml:space="preserve">KT-BO-045</t>
  </si>
  <si>
    <t xml:space="preserve">E1.00X001.5</t>
  </si>
  <si>
    <t xml:space="preserve">H2.40X012.3</t>
  </si>
  <si>
    <t xml:space="preserve">QR-317</t>
  </si>
  <si>
    <t xml:space="preserve">V1.60X027.1</t>
  </si>
  <si>
    <t xml:space="preserve">V3.00X037</t>
  </si>
  <si>
    <t xml:space="preserve">N2.40X044.6</t>
  </si>
  <si>
    <t xml:space="preserve">03072SC</t>
  </si>
  <si>
    <t xml:space="preserve">31071</t>
  </si>
  <si>
    <t xml:space="preserve">N5.00X044</t>
  </si>
  <si>
    <t xml:space="preserve">U250-1.250-312B</t>
  </si>
  <si>
    <t xml:space="preserve">E1.00X020</t>
  </si>
  <si>
    <t xml:space="preserve">33464</t>
  </si>
  <si>
    <t xml:space="preserve">V2.00X035.5</t>
  </si>
  <si>
    <t xml:space="preserve">B50118</t>
  </si>
  <si>
    <t xml:space="preserve">N1.60X017.1</t>
  </si>
  <si>
    <t xml:space="preserve">N4.00X242</t>
  </si>
  <si>
    <t xml:space="preserve">TRO23</t>
  </si>
  <si>
    <t xml:space="preserve">N2.50X049</t>
  </si>
  <si>
    <t xml:space="preserve">S70359</t>
  </si>
  <si>
    <t xml:space="preserve">V2.50X050</t>
  </si>
  <si>
    <t xml:space="preserve">KT-BO-140</t>
  </si>
  <si>
    <t xml:space="preserve">V1.90X009.8</t>
  </si>
  <si>
    <t xml:space="preserve">32324</t>
  </si>
  <si>
    <t xml:space="preserve">N4.00X042</t>
  </si>
  <si>
    <t xml:space="preserve">SN70-ORK</t>
  </si>
  <si>
    <t xml:space="preserve">N1.00X052</t>
  </si>
  <si>
    <t xml:space="preserve">32763</t>
  </si>
  <si>
    <t xml:space="preserve">E70175</t>
  </si>
  <si>
    <t xml:space="preserve">S70355</t>
  </si>
  <si>
    <t xml:space="preserve">N1.80X013.34</t>
  </si>
  <si>
    <t xml:space="preserve">N3.00X019.5</t>
  </si>
  <si>
    <t xml:space="preserve">V4.00X130</t>
  </si>
  <si>
    <t xml:space="preserve">32364</t>
  </si>
  <si>
    <t xml:space="preserve">H1.60X006.1</t>
  </si>
  <si>
    <t xml:space="preserve">B70117-MD-BLUE</t>
  </si>
  <si>
    <t xml:space="preserve">N2.00X180</t>
  </si>
  <si>
    <t xml:space="preserve">N2.65X016</t>
  </si>
  <si>
    <t xml:space="preserve">E4.00X080</t>
  </si>
  <si>
    <t xml:space="preserve">S2.40X011</t>
  </si>
  <si>
    <t xml:space="preserve">E70145</t>
  </si>
  <si>
    <t xml:space="preserve">34849</t>
  </si>
  <si>
    <t xml:space="preserve">S70471</t>
  </si>
  <si>
    <t xml:space="preserve">E2.00X031</t>
  </si>
  <si>
    <t xml:space="preserve">N2.50X071</t>
  </si>
  <si>
    <t xml:space="preserve">N3.00X035.2</t>
  </si>
  <si>
    <t xml:space="preserve">BV75163</t>
  </si>
  <si>
    <t xml:space="preserve">33794</t>
  </si>
  <si>
    <t xml:space="preserve">N2.50X004.6</t>
  </si>
  <si>
    <t xml:space="preserve">33742</t>
  </si>
  <si>
    <t xml:space="preserve">S70273</t>
  </si>
  <si>
    <t xml:space="preserve">B90242</t>
  </si>
  <si>
    <t xml:space="preserve">N4.00X026</t>
  </si>
  <si>
    <t xml:space="preserve">H70910</t>
  </si>
  <si>
    <t xml:space="preserve">E70162</t>
  </si>
  <si>
    <t xml:space="preserve">V1.50X043</t>
  </si>
  <si>
    <t xml:space="preserve">SN70339</t>
  </si>
  <si>
    <t xml:space="preserve">E3.00X004</t>
  </si>
  <si>
    <t xml:space="preserve">AM54-13751750-187</t>
  </si>
  <si>
    <t xml:space="preserve">N3.50X039</t>
  </si>
  <si>
    <t xml:space="preserve">N2.50X067.5</t>
  </si>
  <si>
    <t xml:space="preserve">H2.00X025</t>
  </si>
  <si>
    <t xml:space="preserve">N4.50X015.5</t>
  </si>
  <si>
    <t xml:space="preserve">33737</t>
  </si>
  <si>
    <t xml:space="preserve">A75158</t>
  </si>
  <si>
    <t xml:space="preserve">V2.50X016.5</t>
  </si>
  <si>
    <t xml:space="preserve">S5.70X049.6</t>
  </si>
  <si>
    <t xml:space="preserve">H3.50X047.7</t>
  </si>
  <si>
    <t xml:space="preserve">30867</t>
  </si>
  <si>
    <t xml:space="preserve">V75381</t>
  </si>
  <si>
    <t xml:space="preserve">QR-150</t>
  </si>
  <si>
    <t xml:space="preserve">20X35X7TC</t>
  </si>
  <si>
    <t xml:space="preserve">S2.00X024</t>
  </si>
  <si>
    <t xml:space="preserve">33401</t>
  </si>
  <si>
    <t xml:space="preserve">N5.00X005</t>
  </si>
  <si>
    <t xml:space="preserve">V2.70X010.5</t>
  </si>
  <si>
    <t xml:space="preserve">N2.50X023.5</t>
  </si>
  <si>
    <t xml:space="preserve">BU110-B90</t>
  </si>
  <si>
    <t xml:space="preserve">05092TC</t>
  </si>
  <si>
    <t xml:space="preserve">34208</t>
  </si>
  <si>
    <t xml:space="preserve">BU205-B90</t>
  </si>
  <si>
    <t xml:space="preserve">N1.60X004.7</t>
  </si>
  <si>
    <t xml:space="preserve">N1.78X019.15</t>
  </si>
  <si>
    <t xml:space="preserve">N4.00X065</t>
  </si>
  <si>
    <t xml:space="preserve">V90010-BRN</t>
  </si>
  <si>
    <t xml:space="preserve">33196</t>
  </si>
  <si>
    <t xml:space="preserve">N4.00X064</t>
  </si>
  <si>
    <t xml:space="preserve">V1.78X036.27</t>
  </si>
  <si>
    <t xml:space="preserve">30726</t>
  </si>
  <si>
    <t xml:space="preserve">B70353-NSF</t>
  </si>
  <si>
    <t xml:space="preserve">V8.00X114</t>
  </si>
  <si>
    <t xml:space="preserve">BV75901</t>
  </si>
  <si>
    <t xml:space="preserve">N1.50X020.5</t>
  </si>
  <si>
    <t xml:space="preserve">V90148</t>
  </si>
  <si>
    <t xml:space="preserve">33691</t>
  </si>
  <si>
    <t xml:space="preserve">N1.27X003.25</t>
  </si>
  <si>
    <t xml:space="preserve">H2.50X016</t>
  </si>
  <si>
    <t xml:space="preserve">B90268</t>
  </si>
  <si>
    <t xml:space="preserve">N2.00X173</t>
  </si>
  <si>
    <t xml:space="preserve">V4.00X013</t>
  </si>
  <si>
    <t xml:space="preserve">S70275</t>
  </si>
  <si>
    <t xml:space="preserve">FDABV75278</t>
  </si>
  <si>
    <t xml:space="preserve">U187-0.500-312B</t>
  </si>
  <si>
    <t xml:space="preserve">V2.00X092</t>
  </si>
  <si>
    <t xml:space="preserve">BU010-B90</t>
  </si>
  <si>
    <t xml:space="preserve">08122SC</t>
  </si>
  <si>
    <t xml:space="preserve">N4.50X028</t>
  </si>
  <si>
    <t xml:space="preserve">DWS2.250</t>
  </si>
  <si>
    <t xml:space="preserve">N3.00X056</t>
  </si>
  <si>
    <t xml:space="preserve">E3.50X028.7</t>
  </si>
  <si>
    <t xml:space="preserve">TEF1.00X008</t>
  </si>
  <si>
    <t xml:space="preserve">33436</t>
  </si>
  <si>
    <t xml:space="preserve">N2.40X011.3</t>
  </si>
  <si>
    <t xml:space="preserve">S1.50X004.5</t>
  </si>
  <si>
    <t xml:space="preserve">BV75467</t>
  </si>
  <si>
    <t xml:space="preserve">06112SC</t>
  </si>
  <si>
    <t xml:space="preserve">33524</t>
  </si>
  <si>
    <t xml:space="preserve">BV75047</t>
  </si>
  <si>
    <t xml:space="preserve">V1.80X008</t>
  </si>
  <si>
    <t xml:space="preserve">V5.70X049.6</t>
  </si>
  <si>
    <t xml:space="preserve">V1.30X010</t>
  </si>
  <si>
    <t xml:space="preserve">31571</t>
  </si>
  <si>
    <t xml:space="preserve">S0.50X008</t>
  </si>
  <si>
    <t xml:space="preserve">E80014-E454</t>
  </si>
  <si>
    <t xml:space="preserve">B70339-NSF</t>
  </si>
  <si>
    <t xml:space="preserve">34273</t>
  </si>
  <si>
    <t xml:space="preserve">N5.00X045</t>
  </si>
  <si>
    <t xml:space="preserve">QR-024</t>
  </si>
  <si>
    <t xml:space="preserve">BU134-B90</t>
  </si>
  <si>
    <t xml:space="preserve">SN70353</t>
  </si>
  <si>
    <t xml:space="preserve">30973</t>
  </si>
  <si>
    <t xml:space="preserve">H2.40X021.8</t>
  </si>
  <si>
    <t xml:space="preserve">H3.00X027</t>
  </si>
  <si>
    <t xml:space="preserve">BV75043</t>
  </si>
  <si>
    <t xml:space="preserve">V2.50X030</t>
  </si>
  <si>
    <t xml:space="preserve">WN70445</t>
  </si>
  <si>
    <t xml:space="preserve">N3.10X074.4</t>
  </si>
  <si>
    <t xml:space="preserve">B70340-NSF</t>
  </si>
  <si>
    <t xml:space="preserve">N3.00X124.5</t>
  </si>
  <si>
    <t xml:space="preserve">V2.50X019.5</t>
  </si>
  <si>
    <t xml:space="preserve">N2.50X016.5</t>
  </si>
  <si>
    <t xml:space="preserve">33609</t>
  </si>
  <si>
    <t xml:space="preserve">V90375</t>
  </si>
  <si>
    <t xml:space="preserve">N1.60X037.1</t>
  </si>
  <si>
    <t xml:space="preserve">KIT-041</t>
  </si>
  <si>
    <t xml:space="preserve">OSK Pool O-Rings</t>
  </si>
  <si>
    <t xml:space="preserve">30632</t>
  </si>
  <si>
    <t xml:space="preserve">VN75 SSC Pool Gasket and Seal Co. Inc.</t>
  </si>
  <si>
    <t xml:space="preserve">V1.60X020.1</t>
  </si>
  <si>
    <t xml:space="preserve">TEF2.50X011</t>
  </si>
  <si>
    <t xml:space="preserve">N3.00X058.5</t>
  </si>
  <si>
    <t xml:space="preserve">H70155</t>
  </si>
  <si>
    <t xml:space="preserve">07123TC</t>
  </si>
  <si>
    <t xml:space="preserve">H1.00X015</t>
  </si>
  <si>
    <t xml:space="preserve">S4.50X060</t>
  </si>
  <si>
    <t xml:space="preserve">SE70126</t>
  </si>
  <si>
    <t xml:space="preserve">BV75159</t>
  </si>
  <si>
    <t xml:space="preserve">BU007-B90</t>
  </si>
  <si>
    <t xml:space="preserve">031061SC</t>
  </si>
  <si>
    <t xml:space="preserve">PO30327</t>
  </si>
  <si>
    <t xml:space="preserve">B50369</t>
  </si>
  <si>
    <t xml:space="preserve">V75284</t>
  </si>
  <si>
    <t xml:space="preserve">20X28X4SC</t>
  </si>
  <si>
    <t xml:space="preserve">V5.00X005</t>
  </si>
  <si>
    <t xml:space="preserve">B90426</t>
  </si>
  <si>
    <t xml:space="preserve">N1.60X032.1</t>
  </si>
  <si>
    <t xml:space="preserve">B90157</t>
  </si>
  <si>
    <t xml:space="preserve">33078</t>
  </si>
  <si>
    <t xml:space="preserve">SN70208</t>
  </si>
  <si>
    <t xml:space="preserve">V2.50X024</t>
  </si>
  <si>
    <t xml:space="preserve">QR-339</t>
  </si>
  <si>
    <t xml:space="preserve">V2.00X053</t>
  </si>
  <si>
    <t xml:space="preserve">E70442-NSF</t>
  </si>
  <si>
    <t xml:space="preserve">N1.60X006.1</t>
  </si>
  <si>
    <t xml:space="preserve">H1.50X008</t>
  </si>
  <si>
    <t xml:space="preserve">V2.40X019.8</t>
  </si>
  <si>
    <t xml:space="preserve">A75149</t>
  </si>
  <si>
    <t xml:space="preserve">N1.78X007.94</t>
  </si>
  <si>
    <t xml:space="preserve">E70911</t>
  </si>
  <si>
    <t xml:space="preserve">N5.70X067.2</t>
  </si>
  <si>
    <t xml:space="preserve">H-1500</t>
  </si>
  <si>
    <t xml:space="preserve">30477</t>
  </si>
  <si>
    <t xml:space="preserve">V2.50X010.5</t>
  </si>
  <si>
    <t xml:space="preserve">V75342</t>
  </si>
  <si>
    <t xml:space="preserve">34219</t>
  </si>
  <si>
    <t xml:space="preserve">B90044</t>
  </si>
  <si>
    <t xml:space="preserve">B90217</t>
  </si>
  <si>
    <t xml:space="preserve">32072</t>
  </si>
  <si>
    <t xml:space="preserve">A75333</t>
  </si>
  <si>
    <t xml:space="preserve">S1.90X009.8</t>
  </si>
  <si>
    <t xml:space="preserve">N3.50X059</t>
  </si>
  <si>
    <t xml:space="preserve">E70315</t>
  </si>
  <si>
    <t xml:space="preserve">07122SC</t>
  </si>
  <si>
    <t xml:space="preserve">FDABV75234</t>
  </si>
  <si>
    <t xml:space="preserve">N2.50X150</t>
  </si>
  <si>
    <t xml:space="preserve">N4.50X118</t>
  </si>
  <si>
    <t xml:space="preserve">N2.50X059</t>
  </si>
  <si>
    <t xml:space="preserve">V90153</t>
  </si>
  <si>
    <t xml:space="preserve">QR-126</t>
  </si>
  <si>
    <t xml:space="preserve">S1.00X022</t>
  </si>
  <si>
    <t xml:space="preserve">UC90212</t>
  </si>
  <si>
    <t xml:space="preserve">E5.00X067</t>
  </si>
  <si>
    <t xml:space="preserve">S2.50X130</t>
  </si>
  <si>
    <t xml:space="preserve">N1.00X031</t>
  </si>
  <si>
    <t xml:space="preserve">N1.60X014.1</t>
  </si>
  <si>
    <t xml:space="preserve">V3.00X006</t>
  </si>
  <si>
    <t xml:space="preserve">B90239</t>
  </si>
  <si>
    <t xml:space="preserve">V2.00X052</t>
  </si>
  <si>
    <t xml:space="preserve">B70390</t>
  </si>
  <si>
    <t xml:space="preserve">N1.30X006.07</t>
  </si>
  <si>
    <t xml:space="preserve">V75231-MS</t>
  </si>
  <si>
    <t xml:space="preserve">N2.50X093</t>
  </si>
  <si>
    <t xml:space="preserve">31135</t>
  </si>
  <si>
    <t xml:space="preserve">13119318SC</t>
  </si>
  <si>
    <t xml:space="preserve">31377</t>
  </si>
  <si>
    <t xml:space="preserve">VN04 Amazon .com - TORS</t>
  </si>
  <si>
    <t xml:space="preserve">B70409</t>
  </si>
  <si>
    <t xml:space="preserve">N3.00X132</t>
  </si>
  <si>
    <t xml:space="preserve">V2.00X012-90</t>
  </si>
  <si>
    <t xml:space="preserve">N5.33X074.63</t>
  </si>
  <si>
    <t xml:space="preserve">N1.50X028.5</t>
  </si>
  <si>
    <t xml:space="preserve">V4.00X310</t>
  </si>
  <si>
    <t xml:space="preserve">V2.00X002.5</t>
  </si>
  <si>
    <t xml:space="preserve">B60008</t>
  </si>
  <si>
    <t xml:space="preserve">AS568 B60</t>
  </si>
  <si>
    <t xml:space="preserve">B50020</t>
  </si>
  <si>
    <t xml:space="preserve">N3.00X023.5</t>
  </si>
  <si>
    <t xml:space="preserve">BU114-V90</t>
  </si>
  <si>
    <t xml:space="preserve">V2.40X010.5</t>
  </si>
  <si>
    <t xml:space="preserve">H3.00X046</t>
  </si>
  <si>
    <t xml:space="preserve">B70055</t>
  </si>
  <si>
    <t xml:space="preserve">E2.00X023</t>
  </si>
  <si>
    <t xml:space="preserve">30954</t>
  </si>
  <si>
    <t xml:space="preserve">S70433</t>
  </si>
  <si>
    <t xml:space="preserve">N1.50X033.5</t>
  </si>
  <si>
    <t xml:space="preserve">H1.90X004.2</t>
  </si>
  <si>
    <t xml:space="preserve">H2.00X005.5</t>
  </si>
  <si>
    <t xml:space="preserve">V5.00X016</t>
  </si>
  <si>
    <t xml:space="preserve">U312-1.375-265B</t>
  </si>
  <si>
    <t xml:space="preserve">H3.50X021.7</t>
  </si>
  <si>
    <t xml:space="preserve">V2.00X078</t>
  </si>
  <si>
    <t xml:space="preserve">V5.00X025</t>
  </si>
  <si>
    <t xml:space="preserve">S2.00X018</t>
  </si>
  <si>
    <t xml:space="preserve">34510</t>
  </si>
  <si>
    <t xml:space="preserve">C70116</t>
  </si>
  <si>
    <t xml:space="preserve">B70143-NSF</t>
  </si>
  <si>
    <t xml:space="preserve">S1.50X012</t>
  </si>
  <si>
    <t xml:space="preserve">B90156</t>
  </si>
  <si>
    <t xml:space="preserve">V1.50X045</t>
  </si>
  <si>
    <t xml:space="preserve">QR-042</t>
  </si>
  <si>
    <t xml:space="preserve">QR-246</t>
  </si>
  <si>
    <t xml:space="preserve">32971</t>
  </si>
  <si>
    <t xml:space="preserve">V2.00X025.5</t>
  </si>
  <si>
    <t xml:space="preserve">V1.00X003-90</t>
  </si>
  <si>
    <t xml:space="preserve">33027</t>
  </si>
  <si>
    <t xml:space="preserve">S70906</t>
  </si>
  <si>
    <t xml:space="preserve">QR-331</t>
  </si>
  <si>
    <t xml:space="preserve">N6.00X154</t>
  </si>
  <si>
    <t xml:space="preserve">QR-163</t>
  </si>
  <si>
    <t xml:space="preserve">V2.00X076</t>
  </si>
  <si>
    <t xml:space="preserve">B70463</t>
  </si>
  <si>
    <t xml:space="preserve">34261</t>
  </si>
  <si>
    <t xml:space="preserve">V2.50X067</t>
  </si>
  <si>
    <t xml:space="preserve">33478</t>
  </si>
  <si>
    <t xml:space="preserve">S2.00X003.5</t>
  </si>
  <si>
    <t xml:space="preserve">N1.80X006.7</t>
  </si>
  <si>
    <t xml:space="preserve">V2.00X079</t>
  </si>
  <si>
    <t xml:space="preserve">N2.00X034</t>
  </si>
  <si>
    <t xml:space="preserve">612-175-050</t>
  </si>
  <si>
    <t xml:space="preserve">N1.80X004</t>
  </si>
  <si>
    <t xml:space="preserve">N3.00X025.5</t>
  </si>
  <si>
    <t xml:space="preserve">TEF1.50X013</t>
  </si>
  <si>
    <t xml:space="preserve">33474</t>
  </si>
  <si>
    <t xml:space="preserve">V3.00X055</t>
  </si>
  <si>
    <t xml:space="preserve">BU126-TEF-SPL</t>
  </si>
  <si>
    <t xml:space="preserve">N5.00X054</t>
  </si>
  <si>
    <t xml:space="preserve">H5.70X134.6</t>
  </si>
  <si>
    <t xml:space="preserve">SN70225</t>
  </si>
  <si>
    <t xml:space="preserve">TES022</t>
  </si>
  <si>
    <t xml:space="preserve">N2.62X077.5</t>
  </si>
  <si>
    <t xml:space="preserve">B90321</t>
  </si>
  <si>
    <t xml:space="preserve">E70388</t>
  </si>
  <si>
    <t xml:space="preserve">E1.00X006.5</t>
  </si>
  <si>
    <t xml:space="preserve">B70406</t>
  </si>
  <si>
    <t xml:space="preserve">B70028-NSF</t>
  </si>
  <si>
    <t xml:space="preserve">V1.00X028</t>
  </si>
  <si>
    <t xml:space="preserve">V4.00X098</t>
  </si>
  <si>
    <t xml:space="preserve">S2.50X027</t>
  </si>
  <si>
    <t xml:space="preserve">V1.60X014.1</t>
  </si>
  <si>
    <t xml:space="preserve">N2.00X081</t>
  </si>
  <si>
    <t xml:space="preserve">31748</t>
  </si>
  <si>
    <t xml:space="preserve">BV75280</t>
  </si>
  <si>
    <t xml:space="preserve">BU135-B90</t>
  </si>
  <si>
    <t xml:space="preserve">H2.00X003</t>
  </si>
  <si>
    <t xml:space="preserve">H3.10X024.4</t>
  </si>
  <si>
    <t xml:space="preserve">S70409</t>
  </si>
  <si>
    <t xml:space="preserve">B90103</t>
  </si>
  <si>
    <t xml:space="preserve">N4.50X008</t>
  </si>
  <si>
    <t xml:space="preserve">N1.50X055</t>
  </si>
  <si>
    <t xml:space="preserve">E70159</t>
  </si>
  <si>
    <t xml:space="preserve">33126</t>
  </si>
  <si>
    <t xml:space="preserve">N4.00X055</t>
  </si>
  <si>
    <t xml:space="preserve">N2.00X059.5</t>
  </si>
  <si>
    <t xml:space="preserve">N1.80X016</t>
  </si>
  <si>
    <t xml:space="preserve">N4.00X107</t>
  </si>
  <si>
    <t xml:space="preserve">E1.00X028</t>
  </si>
  <si>
    <t xml:space="preserve">N2.50X040</t>
  </si>
  <si>
    <t xml:space="preserve">32983</t>
  </si>
  <si>
    <t xml:space="preserve">N2.65X019</t>
  </si>
  <si>
    <t xml:space="preserve">KT-DF-656</t>
  </si>
  <si>
    <t xml:space="preserve">33411</t>
  </si>
  <si>
    <t xml:space="preserve">MUU-22X32X8</t>
  </si>
  <si>
    <t xml:space="preserve">32043</t>
  </si>
  <si>
    <t xml:space="preserve">N6.00X060</t>
  </si>
  <si>
    <t xml:space="preserve">V1.80X002</t>
  </si>
  <si>
    <t xml:space="preserve">B90347</t>
  </si>
  <si>
    <t xml:space="preserve">V90043</t>
  </si>
  <si>
    <t xml:space="preserve">32698</t>
  </si>
  <si>
    <t xml:space="preserve">BV75167</t>
  </si>
  <si>
    <t xml:space="preserve">N3.50X017</t>
  </si>
  <si>
    <t xml:space="preserve">N2.50X145</t>
  </si>
  <si>
    <t xml:space="preserve">E70903</t>
  </si>
  <si>
    <t xml:space="preserve">V2.50X019-BR</t>
  </si>
  <si>
    <t xml:space="preserve">BU011-V90</t>
  </si>
  <si>
    <t xml:space="preserve">31001</t>
  </si>
  <si>
    <t xml:space="preserve">B90128</t>
  </si>
  <si>
    <t xml:space="preserve">S8.40X174.5</t>
  </si>
  <si>
    <t xml:space="preserve">E70313</t>
  </si>
  <si>
    <t xml:space="preserve">V75901</t>
  </si>
  <si>
    <t xml:space="preserve">N4.50X027</t>
  </si>
  <si>
    <t xml:space="preserve">QR-367</t>
  </si>
  <si>
    <t xml:space="preserve">V75223-MD</t>
  </si>
  <si>
    <t xml:space="preserve">S70410</t>
  </si>
  <si>
    <t xml:space="preserve">S2.00X020</t>
  </si>
  <si>
    <t xml:space="preserve">S70912</t>
  </si>
  <si>
    <t xml:space="preserve">N2.00X036.5</t>
  </si>
  <si>
    <t xml:space="preserve">H1.50X005.5</t>
  </si>
  <si>
    <t xml:space="preserve">N1.20X001.8</t>
  </si>
  <si>
    <t xml:space="preserve">RTU187-2.000-312B</t>
  </si>
  <si>
    <t xml:space="preserve">H3.10X064.4</t>
  </si>
  <si>
    <t xml:space="preserve">B70106</t>
  </si>
  <si>
    <t xml:space="preserve">SN70157</t>
  </si>
  <si>
    <t xml:space="preserve">N3.00X113</t>
  </si>
  <si>
    <t xml:space="preserve">N3.00X059.5</t>
  </si>
  <si>
    <t xml:space="preserve">N2.50X112</t>
  </si>
  <si>
    <t xml:space="preserve">V3.00X024.2</t>
  </si>
  <si>
    <t xml:space="preserve">N5.00X076</t>
  </si>
  <si>
    <t xml:space="preserve">V75429</t>
  </si>
  <si>
    <t xml:space="preserve">V4.00X027</t>
  </si>
  <si>
    <t xml:space="preserve">35X55X10SC</t>
  </si>
  <si>
    <t xml:space="preserve">SN70156</t>
  </si>
  <si>
    <t xml:space="preserve">S70107</t>
  </si>
  <si>
    <t xml:space="preserve">BU232-P</t>
  </si>
  <si>
    <t xml:space="preserve">V2.40X007.3</t>
  </si>
  <si>
    <t xml:space="preserve">HRU09-0.31-09</t>
  </si>
  <si>
    <t xml:space="preserve">N6.00X128</t>
  </si>
  <si>
    <t xml:space="preserve">N3.50X274</t>
  </si>
  <si>
    <t xml:space="preserve">30522</t>
  </si>
  <si>
    <t xml:space="preserve">N1.78X006.75</t>
  </si>
  <si>
    <t xml:space="preserve">N3.00X057</t>
  </si>
  <si>
    <t xml:space="preserve">FDABV75040</t>
  </si>
  <si>
    <t xml:space="preserve">V2.50X057-BR</t>
  </si>
  <si>
    <t xml:space="preserve">N4.50X081</t>
  </si>
  <si>
    <t xml:space="preserve">E5.00X055</t>
  </si>
  <si>
    <t xml:space="preserve">V3.50X008</t>
  </si>
  <si>
    <t xml:space="preserve">B90318</t>
  </si>
  <si>
    <t xml:space="preserve">33714</t>
  </si>
  <si>
    <t xml:space="preserve">H2.40X007.6</t>
  </si>
  <si>
    <t xml:space="preserve">V1.50X037</t>
  </si>
  <si>
    <t xml:space="preserve">BU213-B90</t>
  </si>
  <si>
    <t xml:space="preserve">E70122</t>
  </si>
  <si>
    <t xml:space="preserve">H2.40X020.8</t>
  </si>
  <si>
    <t xml:space="preserve">TES247</t>
  </si>
  <si>
    <t xml:space="preserve">N1.90X002.6</t>
  </si>
  <si>
    <t xml:space="preserve">BV75282</t>
  </si>
  <si>
    <t xml:space="preserve">N3.00X104.5</t>
  </si>
  <si>
    <t xml:space="preserve">B70454</t>
  </si>
  <si>
    <t xml:space="preserve">33145</t>
  </si>
  <si>
    <t xml:space="preserve">N4.00X172</t>
  </si>
  <si>
    <t xml:space="preserve">N4.50X064</t>
  </si>
  <si>
    <t xml:space="preserve">V3.00X049</t>
  </si>
  <si>
    <t xml:space="preserve">U187-2.000-250B</t>
  </si>
  <si>
    <t xml:space="preserve">V1.50X029</t>
  </si>
  <si>
    <t xml:space="preserve">33286</t>
  </si>
  <si>
    <t xml:space="preserve">BU221-P</t>
  </si>
  <si>
    <t xml:space="preserve">E70220-NSF</t>
  </si>
  <si>
    <t xml:space="preserve">N3.00X079.5</t>
  </si>
  <si>
    <t xml:space="preserve">B90259</t>
  </si>
  <si>
    <t xml:space="preserve">H70228</t>
  </si>
  <si>
    <t xml:space="preserve">31012</t>
  </si>
  <si>
    <t xml:space="preserve">BV75002</t>
  </si>
  <si>
    <t xml:space="preserve">E70137</t>
  </si>
  <si>
    <t xml:space="preserve">E70103</t>
  </si>
  <si>
    <t xml:space="preserve">B50042</t>
  </si>
  <si>
    <t xml:space="preserve">N3.00X227</t>
  </si>
  <si>
    <t xml:space="preserve">TEF1.00X010</t>
  </si>
  <si>
    <t xml:space="preserve">BU314-B90</t>
  </si>
  <si>
    <t xml:space="preserve">V1.60X025.1</t>
  </si>
  <si>
    <t xml:space="preserve">V3.00X013.5</t>
  </si>
  <si>
    <t xml:space="preserve">BU124-V90</t>
  </si>
  <si>
    <t xml:space="preserve">N3.53X041.28</t>
  </si>
  <si>
    <t xml:space="preserve">N6.00X018</t>
  </si>
  <si>
    <t xml:space="preserve">H70042</t>
  </si>
  <si>
    <t xml:space="preserve">N2.40X007.3</t>
  </si>
  <si>
    <t xml:space="preserve">N3.00X146</t>
  </si>
  <si>
    <t xml:space="preserve">N4.50X034</t>
  </si>
  <si>
    <t xml:space="preserve">B70251-NSF</t>
  </si>
  <si>
    <t xml:space="preserve">U312-1.750-562B</t>
  </si>
  <si>
    <t xml:space="preserve">N4.50X030</t>
  </si>
  <si>
    <t xml:space="preserve">N2.50X053</t>
  </si>
  <si>
    <t xml:space="preserve">H5.70X084.6</t>
  </si>
  <si>
    <t xml:space="preserve">HRU18-2.12-18</t>
  </si>
  <si>
    <t xml:space="preserve">30616</t>
  </si>
  <si>
    <t xml:space="preserve">QR-341</t>
  </si>
  <si>
    <t xml:space="preserve">H1.90X009.8</t>
  </si>
  <si>
    <t xml:space="preserve">32986</t>
  </si>
  <si>
    <t xml:space="preserve">E70102</t>
  </si>
  <si>
    <t xml:space="preserve">FDABV75277</t>
  </si>
  <si>
    <t xml:space="preserve">N3.00X029</t>
  </si>
  <si>
    <t xml:space="preserve">N5.00X056</t>
  </si>
  <si>
    <t xml:space="preserve">V2.00X012.5-90</t>
  </si>
  <si>
    <t xml:space="preserve">31276</t>
  </si>
  <si>
    <t xml:space="preserve">N4.00X120</t>
  </si>
  <si>
    <t xml:space="preserve">RTU250-1.375-375B</t>
  </si>
  <si>
    <t xml:space="preserve">N2.50X069</t>
  </si>
  <si>
    <t xml:space="preserve">H4.00X041</t>
  </si>
  <si>
    <t xml:space="preserve">S70042</t>
  </si>
  <si>
    <t xml:space="preserve">E70217-NSF</t>
  </si>
  <si>
    <t xml:space="preserve">V75206-MD</t>
  </si>
  <si>
    <t xml:space="preserve">B70241-NSF</t>
  </si>
  <si>
    <t xml:space="preserve">N3.00X135</t>
  </si>
  <si>
    <t xml:space="preserve">V5.00X015</t>
  </si>
  <si>
    <t xml:space="preserve">V3.50X035</t>
  </si>
  <si>
    <t xml:space="preserve">N2.40X031.6</t>
  </si>
  <si>
    <t xml:space="preserve">V2.40X044.6</t>
  </si>
  <si>
    <t xml:space="preserve">32684</t>
  </si>
  <si>
    <t xml:space="preserve">B90155</t>
  </si>
  <si>
    <t xml:space="preserve">E3.00X025</t>
  </si>
  <si>
    <t xml:space="preserve">N1.90X013</t>
  </si>
  <si>
    <t xml:space="preserve">N1.30X027</t>
  </si>
  <si>
    <t xml:space="preserve">B90171</t>
  </si>
  <si>
    <t xml:space="preserve">33692</t>
  </si>
  <si>
    <t xml:space="preserve">N3.50X041.7</t>
  </si>
  <si>
    <t xml:space="preserve">N5.70X044.2</t>
  </si>
  <si>
    <t xml:space="preserve">075112TC</t>
  </si>
  <si>
    <t xml:space="preserve">H3.00X035</t>
  </si>
  <si>
    <t xml:space="preserve">N0.80X004</t>
  </si>
  <si>
    <t xml:space="preserve">33442</t>
  </si>
  <si>
    <t xml:space="preserve">V2.00X069</t>
  </si>
  <si>
    <t xml:space="preserve">B90363</t>
  </si>
  <si>
    <t xml:space="preserve">N2.00X014.5</t>
  </si>
  <si>
    <t xml:space="preserve">N5.00X095</t>
  </si>
  <si>
    <t xml:space="preserve">V90328</t>
  </si>
  <si>
    <t xml:space="preserve">BU004-TEF-SPL</t>
  </si>
  <si>
    <t xml:space="preserve">BU216-V90</t>
  </si>
  <si>
    <t xml:space="preserve">N1.60X003.7</t>
  </si>
  <si>
    <t xml:space="preserve">BU337-B90</t>
  </si>
  <si>
    <t xml:space="preserve">B50276</t>
  </si>
  <si>
    <t xml:space="preserve">6226-13</t>
  </si>
  <si>
    <t xml:space="preserve">H3.50X041.7</t>
  </si>
  <si>
    <t xml:space="preserve">30509</t>
  </si>
  <si>
    <t xml:space="preserve">S70908</t>
  </si>
  <si>
    <t xml:space="preserve">TEF924</t>
  </si>
  <si>
    <t xml:space="preserve">H70277</t>
  </si>
  <si>
    <t xml:space="preserve">QV-029</t>
  </si>
  <si>
    <t xml:space="preserve">N6.00X042</t>
  </si>
  <si>
    <t xml:space="preserve">E70130</t>
  </si>
  <si>
    <t xml:space="preserve">BU264-V90</t>
  </si>
  <si>
    <t xml:space="preserve">V2.50X041</t>
  </si>
  <si>
    <t xml:space="preserve">V3.50X016</t>
  </si>
  <si>
    <t xml:space="preserve">31329</t>
  </si>
  <si>
    <t xml:space="preserve">FDABV75344</t>
  </si>
  <si>
    <t xml:space="preserve">QR-125</t>
  </si>
  <si>
    <t xml:space="preserve">V75362</t>
  </si>
  <si>
    <t xml:space="preserve">33261</t>
  </si>
  <si>
    <t xml:space="preserve">B70053</t>
  </si>
  <si>
    <t xml:space="preserve">V1.50X004</t>
  </si>
  <si>
    <t xml:space="preserve">31042</t>
  </si>
  <si>
    <t xml:space="preserve">E1.00X006-FDA</t>
  </si>
  <si>
    <t xml:space="preserve">N2.20X010</t>
  </si>
  <si>
    <t xml:space="preserve">UL187-1.500-375B</t>
  </si>
  <si>
    <t xml:space="preserve">N5.70X154.3</t>
  </si>
  <si>
    <t xml:space="preserve">E1.00X009.5</t>
  </si>
  <si>
    <t xml:space="preserve">E70909</t>
  </si>
  <si>
    <t xml:space="preserve">RAZOR1</t>
  </si>
  <si>
    <t xml:space="preserve">34031</t>
  </si>
  <si>
    <t xml:space="preserve">N2.00X029.5</t>
  </si>
  <si>
    <t xml:space="preserve">SN70328</t>
  </si>
  <si>
    <t xml:space="preserve">S1.50X023</t>
  </si>
  <si>
    <t xml:space="preserve">H1.50X002.5</t>
  </si>
  <si>
    <t xml:space="preserve">N8.00X055</t>
  </si>
  <si>
    <t xml:space="preserve">BU024-B90</t>
  </si>
  <si>
    <t xml:space="preserve">E2.00X054</t>
  </si>
  <si>
    <t xml:space="preserve">WN70347</t>
  </si>
  <si>
    <t xml:space="preserve">V1.50X062</t>
  </si>
  <si>
    <t xml:space="preserve">E3.00X019</t>
  </si>
  <si>
    <t xml:space="preserve">N2.40X024.6</t>
  </si>
  <si>
    <t xml:space="preserve">S1.00X014.5</t>
  </si>
  <si>
    <t xml:space="preserve">S70426</t>
  </si>
  <si>
    <t xml:space="preserve">N2.50X144</t>
  </si>
  <si>
    <t xml:space="preserve">V1.50X054</t>
  </si>
  <si>
    <t xml:space="preserve">E70317</t>
  </si>
  <si>
    <t xml:space="preserve">N1.30X010</t>
  </si>
  <si>
    <t xml:space="preserve">E2.00X041</t>
  </si>
  <si>
    <t xml:space="preserve">V4.00X134</t>
  </si>
  <si>
    <t xml:space="preserve">B70362-NSF</t>
  </si>
  <si>
    <t xml:space="preserve">V4.00X021</t>
  </si>
  <si>
    <t xml:space="preserve">N3.00X158</t>
  </si>
  <si>
    <t xml:space="preserve">C70220</t>
  </si>
  <si>
    <t xml:space="preserve">N1.30X008</t>
  </si>
  <si>
    <t xml:space="preserve">33854</t>
  </si>
  <si>
    <t xml:space="preserve">QV-153</t>
  </si>
  <si>
    <t xml:space="preserve">E3.50X035.7</t>
  </si>
  <si>
    <t xml:space="preserve">QR-237</t>
  </si>
  <si>
    <t xml:space="preserve">E70107</t>
  </si>
  <si>
    <t xml:space="preserve">E70407</t>
  </si>
  <si>
    <t xml:space="preserve">S70318</t>
  </si>
  <si>
    <t xml:space="preserve">E2.40X011.8</t>
  </si>
  <si>
    <t xml:space="preserve">33079</t>
  </si>
  <si>
    <t xml:space="preserve">E1.50X033</t>
  </si>
  <si>
    <t xml:space="preserve">V75377</t>
  </si>
  <si>
    <t xml:space="preserve">V1.80X018</t>
  </si>
  <si>
    <t xml:space="preserve">MSWE-28X36X5</t>
  </si>
  <si>
    <t xml:space="preserve">N3.50X085</t>
  </si>
  <si>
    <t xml:space="preserve">N4.00X074</t>
  </si>
  <si>
    <t xml:space="preserve">38X62X7TC</t>
  </si>
  <si>
    <t xml:space="preserve">BV75274</t>
  </si>
  <si>
    <t xml:space="preserve">B90273</t>
  </si>
  <si>
    <t xml:space="preserve">N1.78X019.05</t>
  </si>
  <si>
    <t xml:space="preserve">N2.00X053</t>
  </si>
  <si>
    <t xml:space="preserve">N5.70X035.2</t>
  </si>
  <si>
    <t xml:space="preserve">31432</t>
  </si>
  <si>
    <t xml:space="preserve">O-430</t>
  </si>
  <si>
    <t xml:space="preserve">31108</t>
  </si>
  <si>
    <t xml:space="preserve">N3.00X024.5</t>
  </si>
  <si>
    <t xml:space="preserve">N2.65X023.6</t>
  </si>
  <si>
    <t xml:space="preserve">N3.00X102</t>
  </si>
  <si>
    <t xml:space="preserve">31382</t>
  </si>
  <si>
    <t xml:space="preserve">B70420</t>
  </si>
  <si>
    <t xml:space="preserve">V90914</t>
  </si>
  <si>
    <t xml:space="preserve">N5.70X099.3</t>
  </si>
  <si>
    <t xml:space="preserve">E3.00X037</t>
  </si>
  <si>
    <t xml:space="preserve">E2.40X021.8</t>
  </si>
  <si>
    <t xml:space="preserve">N3.00X137</t>
  </si>
  <si>
    <t xml:space="preserve">33294</t>
  </si>
  <si>
    <t xml:space="preserve">S1.50X009.5</t>
  </si>
  <si>
    <t xml:space="preserve">V75376</t>
  </si>
  <si>
    <t xml:space="preserve">V3.50X083</t>
  </si>
  <si>
    <t xml:space="preserve">N1.60X012.1</t>
  </si>
  <si>
    <t xml:space="preserve">S70381</t>
  </si>
  <si>
    <t xml:space="preserve">QV-132</t>
  </si>
  <si>
    <t xml:space="preserve">S70.250</t>
  </si>
  <si>
    <t xml:space="preserve">H3.50X038.7</t>
  </si>
  <si>
    <t xml:space="preserve">30672</t>
  </si>
  <si>
    <t xml:space="preserve">N1.80X006</t>
  </si>
  <si>
    <t xml:space="preserve">30426</t>
  </si>
  <si>
    <t xml:space="preserve">N1.50X056</t>
  </si>
  <si>
    <t xml:space="preserve">S2.00X032</t>
  </si>
  <si>
    <t xml:space="preserve">B90049</t>
  </si>
  <si>
    <t xml:space="preserve">N5.70X041.2</t>
  </si>
  <si>
    <t xml:space="preserve">N2.00X025.5</t>
  </si>
  <si>
    <t xml:space="preserve">E3.00X059</t>
  </si>
  <si>
    <t xml:space="preserve">V3.00X013</t>
  </si>
  <si>
    <t xml:space="preserve">A75908</t>
  </si>
  <si>
    <t xml:space="preserve">B90046</t>
  </si>
  <si>
    <t xml:space="preserve">KT-PA-310</t>
  </si>
  <si>
    <t xml:space="preserve">E3.00X056</t>
  </si>
  <si>
    <t xml:space="preserve">E2.50X035</t>
  </si>
  <si>
    <t xml:space="preserve">H70029</t>
  </si>
  <si>
    <t xml:space="preserve">N2.65X034.5</t>
  </si>
  <si>
    <t xml:space="preserve">V3.00X072</t>
  </si>
  <si>
    <t xml:space="preserve">KT-BO-160</t>
  </si>
  <si>
    <t xml:space="preserve">32462</t>
  </si>
  <si>
    <t xml:space="preserve">N2.00X002.5</t>
  </si>
  <si>
    <t xml:space="preserve">V1.80X011.2</t>
  </si>
  <si>
    <t xml:space="preserve">QV-334</t>
  </si>
  <si>
    <t xml:space="preserve">N5.00X012</t>
  </si>
  <si>
    <t xml:space="preserve">N5.70X119.6</t>
  </si>
  <si>
    <t xml:space="preserve">N4.00X139</t>
  </si>
  <si>
    <t xml:space="preserve">E1.50X012.5-FDA</t>
  </si>
  <si>
    <t xml:space="preserve">32710</t>
  </si>
  <si>
    <t xml:space="preserve">N4.50X031</t>
  </si>
  <si>
    <t xml:space="preserve">H70034</t>
  </si>
  <si>
    <t xml:space="preserve">N2.00X027.5</t>
  </si>
  <si>
    <t xml:space="preserve">BU005-V90</t>
  </si>
  <si>
    <t xml:space="preserve">N1.90X007.2</t>
  </si>
  <si>
    <t xml:space="preserve">33677</t>
  </si>
  <si>
    <t xml:space="preserve">S2.50X019</t>
  </si>
  <si>
    <t xml:space="preserve">BU027-B90</t>
  </si>
  <si>
    <t xml:space="preserve">BU126-B90</t>
  </si>
  <si>
    <t xml:space="preserve">33484</t>
  </si>
  <si>
    <t xml:space="preserve">N4.00X136</t>
  </si>
  <si>
    <t xml:space="preserve">BV75253</t>
  </si>
  <si>
    <t xml:space="preserve">QE-021</t>
  </si>
  <si>
    <t xml:space="preserve">B70025-MD-BLUE</t>
  </si>
  <si>
    <t xml:space="preserve">H2.00X009</t>
  </si>
  <si>
    <t xml:space="preserve">B70416</t>
  </si>
  <si>
    <t xml:space="preserve">B90176</t>
  </si>
  <si>
    <t xml:space="preserve">N8.40X209.5</t>
  </si>
  <si>
    <t xml:space="preserve">N4.50X105</t>
  </si>
  <si>
    <t xml:space="preserve">S2.00X011.5</t>
  </si>
  <si>
    <t xml:space="preserve">WN70006</t>
  </si>
  <si>
    <t xml:space="preserve">V2.50X065</t>
  </si>
  <si>
    <t xml:space="preserve">N3.00X124</t>
  </si>
  <si>
    <t xml:space="preserve">N2.65X028</t>
  </si>
  <si>
    <t xml:space="preserve">E70370</t>
  </si>
  <si>
    <t xml:space="preserve">32452</t>
  </si>
  <si>
    <t xml:space="preserve">N4.00X052</t>
  </si>
  <si>
    <t xml:space="preserve">BU132-P</t>
  </si>
  <si>
    <t xml:space="preserve">E3.00X063</t>
  </si>
  <si>
    <t xml:space="preserve">S3.00X088</t>
  </si>
  <si>
    <t xml:space="preserve">33901</t>
  </si>
  <si>
    <t xml:space="preserve">N3.53X042.86</t>
  </si>
  <si>
    <t xml:space="preserve">TPO12</t>
  </si>
  <si>
    <t xml:space="preserve">33137</t>
  </si>
  <si>
    <t xml:space="preserve">B70167-NSF</t>
  </si>
  <si>
    <t xml:space="preserve">N3.50X054</t>
  </si>
  <si>
    <t xml:space="preserve">N2.50X149</t>
  </si>
  <si>
    <t xml:space="preserve">N1.00X057</t>
  </si>
  <si>
    <t xml:space="preserve">N2.40X008</t>
  </si>
  <si>
    <t xml:space="preserve">N5.70X199.3</t>
  </si>
  <si>
    <t xml:space="preserve">N3.50X189</t>
  </si>
  <si>
    <t xml:space="preserve">N4.50X024</t>
  </si>
  <si>
    <t xml:space="preserve">E2.00X002.5</t>
  </si>
  <si>
    <t xml:space="preserve">N5.70X079.2</t>
  </si>
  <si>
    <t xml:space="preserve">30844</t>
  </si>
  <si>
    <t xml:space="preserve">N3.50X050</t>
  </si>
  <si>
    <t xml:space="preserve">12X20X4TC</t>
  </si>
  <si>
    <t xml:space="preserve">B90001</t>
  </si>
  <si>
    <t xml:space="preserve">BU143-TEF-SOL</t>
  </si>
  <si>
    <t xml:space="preserve">H70204</t>
  </si>
  <si>
    <t xml:space="preserve">32737</t>
  </si>
  <si>
    <t xml:space="preserve">V4.00X006</t>
  </si>
  <si>
    <t xml:space="preserve">N2.62X009.13</t>
  </si>
  <si>
    <t xml:space="preserve">S70201</t>
  </si>
  <si>
    <t xml:space="preserve">S2.00X105</t>
  </si>
  <si>
    <t xml:space="preserve">C70011</t>
  </si>
  <si>
    <t xml:space="preserve">31375</t>
  </si>
  <si>
    <t xml:space="preserve">N4.00X087</t>
  </si>
  <si>
    <t xml:space="preserve">N5.70X299.3</t>
  </si>
  <si>
    <t xml:space="preserve">32823</t>
  </si>
  <si>
    <t xml:space="preserve">S1.50X011</t>
  </si>
  <si>
    <t xml:space="preserve">E70157</t>
  </si>
  <si>
    <t xml:space="preserve">N3.00X104</t>
  </si>
  <si>
    <t xml:space="preserve">WN70019</t>
  </si>
  <si>
    <t xml:space="preserve">V75202-MS</t>
  </si>
  <si>
    <t xml:space="preserve">32990</t>
  </si>
  <si>
    <t xml:space="preserve">BU362-B90</t>
  </si>
  <si>
    <t xml:space="preserve">V2.00X174.5</t>
  </si>
  <si>
    <t xml:space="preserve">N3.00X119.5</t>
  </si>
  <si>
    <t xml:space="preserve">E4.00X068</t>
  </si>
  <si>
    <t xml:space="preserve">E70320</t>
  </si>
  <si>
    <t xml:space="preserve">N3.00X156</t>
  </si>
  <si>
    <t xml:space="preserve">V1.50X090</t>
  </si>
  <si>
    <t xml:space="preserve">E70204</t>
  </si>
  <si>
    <t xml:space="preserve">N1.20X040</t>
  </si>
  <si>
    <t xml:space="preserve">QR-320</t>
  </si>
  <si>
    <t xml:space="preserve">31719</t>
  </si>
  <si>
    <t xml:space="preserve">S3.00X018</t>
  </si>
  <si>
    <t xml:space="preserve">N3.50X051</t>
  </si>
  <si>
    <t xml:space="preserve">N3.50X064</t>
  </si>
  <si>
    <t xml:space="preserve">V2.40X027.3</t>
  </si>
  <si>
    <t xml:space="preserve">V75270</t>
  </si>
  <si>
    <t xml:space="preserve">N2.50X091</t>
  </si>
  <si>
    <t xml:space="preserve">E3.00X064</t>
  </si>
  <si>
    <t xml:space="preserve">QR-107</t>
  </si>
  <si>
    <t xml:space="preserve">FS70106</t>
  </si>
  <si>
    <t xml:space="preserve">B70276-NSF</t>
  </si>
  <si>
    <t xml:space="preserve">BU122-TEF-SOL</t>
  </si>
  <si>
    <t xml:space="preserve">E70277</t>
  </si>
  <si>
    <t xml:space="preserve">N1.78X036.27</t>
  </si>
  <si>
    <t xml:space="preserve">34919</t>
  </si>
  <si>
    <t xml:space="preserve">S2.00X031</t>
  </si>
  <si>
    <t xml:space="preserve">E3.00X075</t>
  </si>
  <si>
    <t xml:space="preserve">TRO19</t>
  </si>
  <si>
    <t xml:space="preserve">612-200-037</t>
  </si>
  <si>
    <t xml:space="preserve">N2.50X107</t>
  </si>
  <si>
    <t xml:space="preserve">E1.50X020</t>
  </si>
  <si>
    <t xml:space="preserve">H4.00X038</t>
  </si>
  <si>
    <t xml:space="preserve">BU036-B90</t>
  </si>
  <si>
    <t xml:space="preserve">BU330-TEF-SPL</t>
  </si>
  <si>
    <t xml:space="preserve">H3.00X037</t>
  </si>
  <si>
    <t xml:space="preserve">B90252</t>
  </si>
  <si>
    <t xml:space="preserve">V4.00X073</t>
  </si>
  <si>
    <t xml:space="preserve">BU029-TEF-SOL</t>
  </si>
  <si>
    <t xml:space="preserve">31131</t>
  </si>
  <si>
    <t xml:space="preserve">E3.00X007</t>
  </si>
  <si>
    <t xml:space="preserve">N3.00X008.5</t>
  </si>
  <si>
    <t xml:space="preserve">E5.00X027</t>
  </si>
  <si>
    <t xml:space="preserve">V3.50X055</t>
  </si>
  <si>
    <t xml:space="preserve">V4.00X063</t>
  </si>
  <si>
    <t xml:space="preserve">34152</t>
  </si>
  <si>
    <t xml:space="preserve">B50235</t>
  </si>
  <si>
    <t xml:space="preserve">S2.00X002.5</t>
  </si>
  <si>
    <t xml:space="preserve">14X22X4TC</t>
  </si>
  <si>
    <t xml:space="preserve">31274</t>
  </si>
  <si>
    <t xml:space="preserve">B70108-NSF</t>
  </si>
  <si>
    <t xml:space="preserve">N1.00X024.5</t>
  </si>
  <si>
    <t xml:space="preserve">S2.00X014</t>
  </si>
  <si>
    <t xml:space="preserve">B70121-NSF</t>
  </si>
  <si>
    <t xml:space="preserve">N2.00X096</t>
  </si>
  <si>
    <t xml:space="preserve">V2.40X025.3</t>
  </si>
  <si>
    <t xml:space="preserve">GV75121</t>
  </si>
  <si>
    <t xml:space="preserve">N3.00X172</t>
  </si>
  <si>
    <t xml:space="preserve">N1.60X006.35</t>
  </si>
  <si>
    <t xml:space="preserve">N6.00X030</t>
  </si>
  <si>
    <t xml:space="preserve">H5.70X174.3</t>
  </si>
  <si>
    <t xml:space="preserve">B90034</t>
  </si>
  <si>
    <t xml:space="preserve">V1.50X042</t>
  </si>
  <si>
    <t xml:space="preserve">N5.70X097.2</t>
  </si>
  <si>
    <t xml:space="preserve">V90905</t>
  </si>
  <si>
    <t xml:space="preserve">E2.00X012.5</t>
  </si>
  <si>
    <t xml:space="preserve">BV75202</t>
  </si>
  <si>
    <t xml:space="preserve">S70146</t>
  </si>
  <si>
    <t xml:space="preserve">30624</t>
  </si>
  <si>
    <t xml:space="preserve">BU146-B90</t>
  </si>
  <si>
    <t xml:space="preserve">CV75208</t>
  </si>
  <si>
    <t xml:space="preserve">QV-222</t>
  </si>
  <si>
    <t xml:space="preserve">QV-131</t>
  </si>
  <si>
    <t xml:space="preserve">E70149</t>
  </si>
  <si>
    <t xml:space="preserve">N3.50X147</t>
  </si>
  <si>
    <t xml:space="preserve">B70042-NSF</t>
  </si>
  <si>
    <t xml:space="preserve">GV75030</t>
  </si>
  <si>
    <t xml:space="preserve">BU257-P</t>
  </si>
  <si>
    <t xml:space="preserve">UL187-1.375-250B</t>
  </si>
  <si>
    <t xml:space="preserve">N3.00X030.5</t>
  </si>
  <si>
    <t xml:space="preserve">N5.70X094.6</t>
  </si>
  <si>
    <t xml:space="preserve">H3.00X013</t>
  </si>
  <si>
    <t xml:space="preserve">FDABV75325</t>
  </si>
  <si>
    <t xml:space="preserve">33686</t>
  </si>
  <si>
    <t xml:space="preserve">TEF2.50X014</t>
  </si>
  <si>
    <t xml:space="preserve">V2.00X023</t>
  </si>
  <si>
    <t xml:space="preserve">TEF1.00X014.5</t>
  </si>
  <si>
    <t xml:space="preserve">N1.90X005.7</t>
  </si>
  <si>
    <t xml:space="preserve">N3.50X044.7</t>
  </si>
  <si>
    <t xml:space="preserve">N1.80X009.5</t>
  </si>
  <si>
    <t xml:space="preserve">B90207</t>
  </si>
  <si>
    <t xml:space="preserve">N3.00X233</t>
  </si>
  <si>
    <t xml:space="preserve">V2.50X006.5</t>
  </si>
  <si>
    <t xml:space="preserve">25X40X7TC</t>
  </si>
  <si>
    <t xml:space="preserve">N2.65X036.5</t>
  </si>
  <si>
    <t xml:space="preserve">N4.00X097</t>
  </si>
  <si>
    <t xml:space="preserve">E1.80X016</t>
  </si>
  <si>
    <t xml:space="preserve">QV-011</t>
  </si>
  <si>
    <t xml:space="preserve">32687</t>
  </si>
  <si>
    <t xml:space="preserve">S70405</t>
  </si>
  <si>
    <t xml:space="preserve">N6.00X043</t>
  </si>
  <si>
    <t xml:space="preserve">S4.00X070</t>
  </si>
  <si>
    <t xml:space="preserve">32997</t>
  </si>
  <si>
    <t xml:space="preserve">N6.00X108</t>
  </si>
  <si>
    <t xml:space="preserve">30885</t>
  </si>
  <si>
    <t xml:space="preserve">N2.62X009.9</t>
  </si>
  <si>
    <t xml:space="preserve">33451</t>
  </si>
  <si>
    <t xml:space="preserve">N6.00X080</t>
  </si>
  <si>
    <t xml:space="preserve">B70413</t>
  </si>
  <si>
    <t xml:space="preserve">N2.50X032.5</t>
  </si>
  <si>
    <t xml:space="preserve">V4.00X138</t>
  </si>
  <si>
    <t xml:space="preserve">N3.00X150</t>
  </si>
  <si>
    <t xml:space="preserve">N3.50X013</t>
  </si>
  <si>
    <t xml:space="preserve">WN70211</t>
  </si>
  <si>
    <t xml:space="preserve">34286</t>
  </si>
  <si>
    <t xml:space="preserve">BV75257</t>
  </si>
  <si>
    <t xml:space="preserve">A75363</t>
  </si>
  <si>
    <t xml:space="preserve">S70317</t>
  </si>
  <si>
    <t xml:space="preserve">B90450</t>
  </si>
  <si>
    <t xml:space="preserve">N6.00X026</t>
  </si>
  <si>
    <t xml:space="preserve">V3.00X118</t>
  </si>
  <si>
    <t xml:space="preserve">N5.00X017</t>
  </si>
  <si>
    <t xml:space="preserve">S70904</t>
  </si>
  <si>
    <t xml:space="preserve">U312-1.375-500B</t>
  </si>
  <si>
    <t xml:space="preserve">V3.10X144.4</t>
  </si>
  <si>
    <t xml:space="preserve">QR-130</t>
  </si>
  <si>
    <t xml:space="preserve">N4.50X071</t>
  </si>
  <si>
    <t xml:space="preserve">V2.70X012.1</t>
  </si>
  <si>
    <t xml:space="preserve">N4.50X029.5</t>
  </si>
  <si>
    <t xml:space="preserve">32501</t>
  </si>
  <si>
    <t xml:space="preserve">N2.00X089</t>
  </si>
  <si>
    <t xml:space="preserve">GV75024</t>
  </si>
  <si>
    <t xml:space="preserve">E70932</t>
  </si>
  <si>
    <t xml:space="preserve">B90035</t>
  </si>
  <si>
    <t xml:space="preserve">E1.90X008.9</t>
  </si>
  <si>
    <t xml:space="preserve">N3.00X114.5</t>
  </si>
  <si>
    <t xml:space="preserve">N3.50X111</t>
  </si>
  <si>
    <t xml:space="preserve">V90159</t>
  </si>
  <si>
    <t xml:space="preserve">H5.70X229.3</t>
  </si>
  <si>
    <t xml:space="preserve">34234</t>
  </si>
  <si>
    <t xml:space="preserve">E70218-NSF</t>
  </si>
  <si>
    <t xml:space="preserve">SN70243</t>
  </si>
  <si>
    <t xml:space="preserve">31930</t>
  </si>
  <si>
    <t xml:space="preserve">N1.80X005.15</t>
  </si>
  <si>
    <t xml:space="preserve">N3.50X117</t>
  </si>
  <si>
    <t xml:space="preserve">N4.00X035</t>
  </si>
  <si>
    <t xml:space="preserve">N2.40X006.3</t>
  </si>
  <si>
    <t xml:space="preserve">B90170</t>
  </si>
  <si>
    <t xml:space="preserve">E1.30X006</t>
  </si>
  <si>
    <t xml:space="preserve">B70415</t>
  </si>
  <si>
    <t xml:space="preserve">N5.70X134.6</t>
  </si>
  <si>
    <t xml:space="preserve">V2.20X006</t>
  </si>
  <si>
    <t xml:space="preserve">QR-123</t>
  </si>
  <si>
    <t xml:space="preserve">V3.00X023.5</t>
  </si>
  <si>
    <t xml:space="preserve">V4.00X034</t>
  </si>
  <si>
    <t xml:space="preserve">S2.00X048</t>
  </si>
  <si>
    <t xml:space="preserve">S5.00X100</t>
  </si>
  <si>
    <t xml:space="preserve">B90234</t>
  </si>
  <si>
    <t xml:space="preserve">32722</t>
  </si>
  <si>
    <t xml:space="preserve">SN70167</t>
  </si>
  <si>
    <t xml:space="preserve">N5.70X229.3</t>
  </si>
  <si>
    <t xml:space="preserve">B90436</t>
  </si>
  <si>
    <t xml:space="preserve">C70118</t>
  </si>
  <si>
    <t xml:space="preserve">E3.00X017</t>
  </si>
  <si>
    <t xml:space="preserve">QR-038</t>
  </si>
  <si>
    <t xml:space="preserve">QR-044</t>
  </si>
  <si>
    <t xml:space="preserve">B70903</t>
  </si>
  <si>
    <t xml:space="preserve">35X57X6TC</t>
  </si>
  <si>
    <t xml:space="preserve">32562</t>
  </si>
  <si>
    <t xml:space="preserve">S3.00X044</t>
  </si>
  <si>
    <t xml:space="preserve">33703</t>
  </si>
  <si>
    <t xml:space="preserve">N3.50X037</t>
  </si>
  <si>
    <t xml:space="preserve">S1.00X008.5</t>
  </si>
  <si>
    <t xml:space="preserve">30676</t>
  </si>
  <si>
    <t xml:space="preserve">N2.65X014</t>
  </si>
  <si>
    <t xml:space="preserve">QR-314</t>
  </si>
  <si>
    <t xml:space="preserve">V75272</t>
  </si>
  <si>
    <t xml:space="preserve">H3.00X084</t>
  </si>
  <si>
    <t xml:space="preserve">BU220-B90</t>
  </si>
  <si>
    <t xml:space="preserve">V3.00X020.5</t>
  </si>
  <si>
    <t xml:space="preserve">V2.00X074</t>
  </si>
  <si>
    <t xml:space="preserve">BU143-B90</t>
  </si>
  <si>
    <t xml:space="preserve">34606</t>
  </si>
  <si>
    <t xml:space="preserve">H3.10X114.4</t>
  </si>
  <si>
    <t xml:space="preserve">N3.00X074</t>
  </si>
  <si>
    <t xml:space="preserve">N2.50X120</t>
  </si>
  <si>
    <t xml:space="preserve">S1.90X003.8</t>
  </si>
  <si>
    <t xml:space="preserve">E5.00X080</t>
  </si>
  <si>
    <t xml:space="preserve">QR-259</t>
  </si>
  <si>
    <t xml:space="preserve">N4.50X126</t>
  </si>
  <si>
    <t xml:space="preserve">N3.00X144</t>
  </si>
  <si>
    <t xml:space="preserve">TES031</t>
  </si>
  <si>
    <t xml:space="preserve">34280</t>
  </si>
  <si>
    <t xml:space="preserve">B90386</t>
  </si>
  <si>
    <t xml:space="preserve">E70166</t>
  </si>
  <si>
    <t xml:space="preserve">QR-025</t>
  </si>
  <si>
    <t xml:space="preserve">N2.00X038.5</t>
  </si>
  <si>
    <t xml:space="preserve">V2.00X004.5-90</t>
  </si>
  <si>
    <t xml:space="preserve">32279</t>
  </si>
  <si>
    <t xml:space="preserve">B90163</t>
  </si>
  <si>
    <t xml:space="preserve">N6.00X029</t>
  </si>
  <si>
    <t xml:space="preserve">33465</t>
  </si>
  <si>
    <t xml:space="preserve">N2.00X069</t>
  </si>
  <si>
    <t xml:space="preserve">E2.50X024</t>
  </si>
  <si>
    <t xml:space="preserve">S2.00X006.5</t>
  </si>
  <si>
    <t xml:space="preserve">GV75021</t>
  </si>
  <si>
    <t xml:space="preserve">H5.70X066.6</t>
  </si>
  <si>
    <t xml:space="preserve">S5.00X050</t>
  </si>
  <si>
    <t xml:space="preserve">E2.50X050</t>
  </si>
  <si>
    <t xml:space="preserve">E70255</t>
  </si>
  <si>
    <t xml:space="preserve">B70274-NSF</t>
  </si>
  <si>
    <t xml:space="preserve">H1.90X006.8</t>
  </si>
  <si>
    <t xml:space="preserve">QR-241</t>
  </si>
  <si>
    <t xml:space="preserve">N3.00X066</t>
  </si>
  <si>
    <t xml:space="preserve">E2.40X041.6</t>
  </si>
  <si>
    <t xml:space="preserve">S2.00X026</t>
  </si>
  <si>
    <t xml:space="preserve">31167</t>
  </si>
  <si>
    <t xml:space="preserve">N4.00X108</t>
  </si>
  <si>
    <t xml:space="preserve">E3.50X033.7</t>
  </si>
  <si>
    <t xml:space="preserve">30900</t>
  </si>
  <si>
    <t xml:space="preserve">E2.00X032</t>
  </si>
  <si>
    <t xml:space="preserve">H1.00X003</t>
  </si>
  <si>
    <t xml:space="preserve">N4.50X053</t>
  </si>
  <si>
    <t xml:space="preserve">H3.00X010</t>
  </si>
  <si>
    <t xml:space="preserve">V3.50X057</t>
  </si>
  <si>
    <t xml:space="preserve">S70172</t>
  </si>
  <si>
    <t xml:space="preserve">V1.78X004.76</t>
  </si>
  <si>
    <t xml:space="preserve">H2.40X011.8</t>
  </si>
  <si>
    <t xml:space="preserve">V1.90X002.6</t>
  </si>
  <si>
    <t xml:space="preserve">S0.50X002-BLK</t>
  </si>
  <si>
    <t xml:space="preserve">V1.60X022.1</t>
  </si>
  <si>
    <t xml:space="preserve">N1.50X086</t>
  </si>
  <si>
    <t xml:space="preserve">H2.40X022.3</t>
  </si>
  <si>
    <t xml:space="preserve">B70904-NSF</t>
  </si>
  <si>
    <t xml:space="preserve">S70427</t>
  </si>
  <si>
    <t xml:space="preserve">V3.00X080</t>
  </si>
  <si>
    <t xml:space="preserve">32204</t>
  </si>
  <si>
    <t xml:space="preserve">BU023-P</t>
  </si>
  <si>
    <t xml:space="preserve">N3.10X057.4</t>
  </si>
  <si>
    <t xml:space="preserve">QR-227</t>
  </si>
  <si>
    <t xml:space="preserve">B70404-NSF</t>
  </si>
  <si>
    <t xml:space="preserve">32205</t>
  </si>
  <si>
    <t xml:space="preserve">C70325</t>
  </si>
  <si>
    <t xml:space="preserve">E70238</t>
  </si>
  <si>
    <t xml:space="preserve">V1.50X002</t>
  </si>
  <si>
    <t xml:space="preserve">N1.60X025.1</t>
  </si>
  <si>
    <t xml:space="preserve">N3.10X124.4</t>
  </si>
  <si>
    <t xml:space="preserve">33644</t>
  </si>
  <si>
    <t xml:space="preserve">N2.00X129.5</t>
  </si>
  <si>
    <t xml:space="preserve">E4.00X010</t>
  </si>
  <si>
    <t xml:space="preserve">S70264</t>
  </si>
  <si>
    <t xml:space="preserve">V3.00X016.5</t>
  </si>
  <si>
    <t xml:space="preserve">BV75107</t>
  </si>
  <si>
    <t xml:space="preserve">BU266-B90</t>
  </si>
  <si>
    <t xml:space="preserve">V1.90X005.8</t>
  </si>
  <si>
    <t xml:space="preserve">SN70149</t>
  </si>
  <si>
    <t xml:space="preserve">V3.10X074.4</t>
  </si>
  <si>
    <t xml:space="preserve">PO29664</t>
  </si>
  <si>
    <t xml:space="preserve">N2.50X030.5</t>
  </si>
  <si>
    <t xml:space="preserve">N3.50X088</t>
  </si>
  <si>
    <t xml:space="preserve">N3.50X055</t>
  </si>
  <si>
    <t xml:space="preserve">N3.50X029</t>
  </si>
  <si>
    <t xml:space="preserve">N6.00X038</t>
  </si>
  <si>
    <t xml:space="preserve">N3.50X119</t>
  </si>
  <si>
    <t xml:space="preserve">N6.00X015</t>
  </si>
  <si>
    <t xml:space="preserve">V1.00X036</t>
  </si>
  <si>
    <t xml:space="preserve">V1.00X002.5-BR</t>
  </si>
  <si>
    <t xml:space="preserve">PS1800-056</t>
  </si>
  <si>
    <t xml:space="preserve">H2.50X017</t>
  </si>
  <si>
    <t xml:space="preserve">GV75124</t>
  </si>
  <si>
    <t xml:space="preserve">N2.20X009</t>
  </si>
  <si>
    <t xml:space="preserve">AN-25-SH</t>
  </si>
  <si>
    <t xml:space="preserve">N4.50X023</t>
  </si>
  <si>
    <t xml:space="preserve">N6.00X070</t>
  </si>
  <si>
    <t xml:space="preserve">B70116-MD-BLUE</t>
  </si>
  <si>
    <t xml:space="preserve">1217539TC</t>
  </si>
  <si>
    <t xml:space="preserve">V2.62X023.81-BR</t>
  </si>
  <si>
    <t xml:space="preserve">30688</t>
  </si>
  <si>
    <t xml:space="preserve">V2.00X061</t>
  </si>
  <si>
    <t xml:space="preserve">33233</t>
  </si>
  <si>
    <t xml:space="preserve">N3.50X078</t>
  </si>
  <si>
    <t xml:space="preserve">B90375</t>
  </si>
  <si>
    <t xml:space="preserve">N2.00X028.5</t>
  </si>
  <si>
    <t xml:space="preserve">C70003</t>
  </si>
  <si>
    <t xml:space="preserve">V4.00X043</t>
  </si>
  <si>
    <t xml:space="preserve">S4.00X030</t>
  </si>
  <si>
    <t xml:space="preserve">E2.50X005</t>
  </si>
  <si>
    <t xml:space="preserve">WPB-20002375-187</t>
  </si>
  <si>
    <t xml:space="preserve">32772</t>
  </si>
  <si>
    <t xml:space="preserve">S2.00X033</t>
  </si>
  <si>
    <t xml:space="preserve">30620</t>
  </si>
  <si>
    <t xml:space="preserve">N3.50X094</t>
  </si>
  <si>
    <t xml:space="preserve">S3.00X066</t>
  </si>
  <si>
    <t xml:space="preserve">B90311</t>
  </si>
  <si>
    <t xml:space="preserve">QR-153</t>
  </si>
  <si>
    <t xml:space="preserve">V2.00X118</t>
  </si>
  <si>
    <t xml:space="preserve">N1.80X002</t>
  </si>
  <si>
    <t xml:space="preserve">N1.00X077</t>
  </si>
  <si>
    <t xml:space="preserve">BU125-P</t>
  </si>
  <si>
    <t xml:space="preserve">N1.80X003.75</t>
  </si>
  <si>
    <t xml:space="preserve">30512</t>
  </si>
  <si>
    <t xml:space="preserve">N1.60X016.1</t>
  </si>
  <si>
    <t xml:space="preserve">C70120</t>
  </si>
  <si>
    <t xml:space="preserve">N1.90X015.8</t>
  </si>
  <si>
    <t xml:space="preserve">32296</t>
  </si>
  <si>
    <t xml:space="preserve">S3.00X058</t>
  </si>
  <si>
    <t xml:space="preserve">B90204</t>
  </si>
  <si>
    <t xml:space="preserve">BU235-TEF-SOL</t>
  </si>
  <si>
    <t xml:space="preserve">N1.78X003.17</t>
  </si>
  <si>
    <t xml:space="preserve">B90203</t>
  </si>
  <si>
    <t xml:space="preserve">N4.00X102-NSF</t>
  </si>
  <si>
    <t xml:space="preserve">BU150-B90</t>
  </si>
  <si>
    <t xml:space="preserve">QR-141</t>
  </si>
  <si>
    <t xml:space="preserve">E70322-NSF</t>
  </si>
  <si>
    <t xml:space="preserve">N1.50X076</t>
  </si>
  <si>
    <t xml:space="preserve">E3.50X044.7</t>
  </si>
  <si>
    <t xml:space="preserve">BU148-TEF-SOL</t>
  </si>
  <si>
    <t xml:space="preserve">S3.50X022.1</t>
  </si>
  <si>
    <t xml:space="preserve">U250-1.000-312B</t>
  </si>
  <si>
    <t xml:space="preserve">N1.80X005.3</t>
  </si>
  <si>
    <t xml:space="preserve">H1.90X007.2</t>
  </si>
  <si>
    <t xml:space="preserve">A75321</t>
  </si>
  <si>
    <t xml:space="preserve">V2.00X055.5</t>
  </si>
  <si>
    <t xml:space="preserve">H5.00X030</t>
  </si>
  <si>
    <t xml:space="preserve">BU026-TEF-SOL</t>
  </si>
  <si>
    <t xml:space="preserve">35222</t>
  </si>
  <si>
    <t xml:space="preserve">BU343-B90</t>
  </si>
  <si>
    <t xml:space="preserve">14X23X6SC</t>
  </si>
  <si>
    <t xml:space="preserve">N3.00X039.2</t>
  </si>
  <si>
    <t xml:space="preserve">878-887</t>
  </si>
  <si>
    <t xml:space="preserve">35174</t>
  </si>
  <si>
    <t xml:space="preserve">E70387</t>
  </si>
  <si>
    <t xml:space="preserve">30452</t>
  </si>
  <si>
    <t xml:space="preserve">V1.00X034</t>
  </si>
  <si>
    <t xml:space="preserve">S70371</t>
  </si>
  <si>
    <t xml:space="preserve">BU028-B90</t>
  </si>
  <si>
    <t xml:space="preserve">33790</t>
  </si>
  <si>
    <t xml:space="preserve">V1.78X003.17</t>
  </si>
  <si>
    <t xml:space="preserve">H1.60X010.1</t>
  </si>
  <si>
    <t xml:space="preserve">U187-1.625-250B</t>
  </si>
  <si>
    <t xml:space="preserve">B50448</t>
  </si>
  <si>
    <t xml:space="preserve">33813</t>
  </si>
  <si>
    <t xml:space="preserve">N3.00X087</t>
  </si>
  <si>
    <t xml:space="preserve">45X58X7TC</t>
  </si>
  <si>
    <t xml:space="preserve">N1.30X011.5</t>
  </si>
  <si>
    <t xml:space="preserve">33580</t>
  </si>
  <si>
    <t xml:space="preserve">N4.50X036</t>
  </si>
  <si>
    <t xml:space="preserve">395489-00</t>
  </si>
  <si>
    <t xml:space="preserve">S2.00X007</t>
  </si>
  <si>
    <t xml:space="preserve">N1.30X002</t>
  </si>
  <si>
    <t xml:space="preserve">E2.50X014</t>
  </si>
  <si>
    <t xml:space="preserve">S3.00X037</t>
  </si>
  <si>
    <t xml:space="preserve">N3.00X089</t>
  </si>
  <si>
    <t xml:space="preserve">V3.50X015</t>
  </si>
  <si>
    <t xml:space="preserve">V1.80X010</t>
  </si>
  <si>
    <t xml:space="preserve">N2.62X015.08</t>
  </si>
  <si>
    <t xml:space="preserve">H3.50X025.2</t>
  </si>
  <si>
    <t xml:space="preserve">MUU-10X18X5.5</t>
  </si>
  <si>
    <t xml:space="preserve">S70236</t>
  </si>
  <si>
    <t xml:space="preserve">B90206</t>
  </si>
  <si>
    <t xml:space="preserve">B70250-NSF</t>
  </si>
  <si>
    <t xml:space="preserve">BU022-B90</t>
  </si>
  <si>
    <t xml:space="preserve">E1.50X006</t>
  </si>
  <si>
    <t xml:space="preserve">N5.00X063</t>
  </si>
  <si>
    <t xml:space="preserve">32705</t>
  </si>
  <si>
    <t xml:space="preserve">E2.70X015.1</t>
  </si>
  <si>
    <t xml:space="preserve">V75012-MD</t>
  </si>
  <si>
    <t xml:space="preserve">N3.53X025.8</t>
  </si>
  <si>
    <t xml:space="preserve">31447</t>
  </si>
  <si>
    <t xml:space="preserve">T32080</t>
  </si>
  <si>
    <t xml:space="preserve">35036</t>
  </si>
  <si>
    <t xml:space="preserve">BU028-V90</t>
  </si>
  <si>
    <t xml:space="preserve">V90205</t>
  </si>
  <si>
    <t xml:space="preserve">MCDWS-1.750</t>
  </si>
  <si>
    <t xml:space="preserve">N1.30X011</t>
  </si>
  <si>
    <t xml:space="preserve">33034</t>
  </si>
  <si>
    <t xml:space="preserve">E5.00X023</t>
  </si>
  <si>
    <t xml:space="preserve">BU325-B90</t>
  </si>
  <si>
    <t xml:space="preserve">V1.50X044</t>
  </si>
  <si>
    <t xml:space="preserve">N3.50X091</t>
  </si>
  <si>
    <t xml:space="preserve">081737TC</t>
  </si>
  <si>
    <t xml:space="preserve">BU322-B90</t>
  </si>
  <si>
    <t xml:space="preserve">BU009-B90</t>
  </si>
  <si>
    <t xml:space="preserve">N2.00X067</t>
  </si>
  <si>
    <t xml:space="preserve">N1.80X002.24</t>
  </si>
  <si>
    <t xml:space="preserve">N3.50X185</t>
  </si>
  <si>
    <t xml:space="preserve">SN70431</t>
  </si>
  <si>
    <t xml:space="preserve">N1.50X030.5</t>
  </si>
  <si>
    <t xml:space="preserve">V3.10X034.4</t>
  </si>
  <si>
    <t xml:space="preserve">V90204</t>
  </si>
  <si>
    <t xml:space="preserve">33323</t>
  </si>
  <si>
    <t xml:space="preserve">22X30X4TC</t>
  </si>
  <si>
    <t xml:space="preserve">N3.00X159.5</t>
  </si>
  <si>
    <t xml:space="preserve">V1.60X018.1</t>
  </si>
  <si>
    <t xml:space="preserve">E1.50X008</t>
  </si>
  <si>
    <t xml:space="preserve">31180</t>
  </si>
  <si>
    <t xml:space="preserve">SN70138</t>
  </si>
  <si>
    <t xml:space="preserve">BU125-V90</t>
  </si>
  <si>
    <t xml:space="preserve">QR-103</t>
  </si>
  <si>
    <t xml:space="preserve">B90102</t>
  </si>
  <si>
    <t xml:space="preserve">E2.00X018</t>
  </si>
  <si>
    <t xml:space="preserve">H5.70X047.6</t>
  </si>
  <si>
    <t xml:space="preserve">SN70139</t>
  </si>
  <si>
    <t xml:space="preserve">E1.00X022</t>
  </si>
  <si>
    <t xml:space="preserve">33453</t>
  </si>
  <si>
    <t xml:space="preserve">E2.00X009.5</t>
  </si>
  <si>
    <t xml:space="preserve">V4.00X118</t>
  </si>
  <si>
    <t xml:space="preserve">N1.50X075</t>
  </si>
  <si>
    <t xml:space="preserve">34693</t>
  </si>
  <si>
    <t xml:space="preserve">E70002</t>
  </si>
  <si>
    <t xml:space="preserve">N3.00X029.5</t>
  </si>
  <si>
    <t xml:space="preserve">BU145-B90</t>
  </si>
  <si>
    <t xml:space="preserve">BU222-P</t>
  </si>
  <si>
    <t xml:space="preserve">LB0825</t>
  </si>
  <si>
    <t xml:space="preserve">33133</t>
  </si>
  <si>
    <t xml:space="preserve">QR-242</t>
  </si>
  <si>
    <t xml:space="preserve">QR-265</t>
  </si>
  <si>
    <t xml:space="preserve">WN70228</t>
  </si>
  <si>
    <t xml:space="preserve">N1.50X072</t>
  </si>
  <si>
    <t xml:space="preserve">34957</t>
  </si>
  <si>
    <t xml:space="preserve">V90266</t>
  </si>
  <si>
    <t xml:space="preserve">FDABV75423</t>
  </si>
  <si>
    <t xml:space="preserve">V1.00X038</t>
  </si>
  <si>
    <t xml:space="preserve">N2.00X066.5</t>
  </si>
  <si>
    <t xml:space="preserve">BU316-B90</t>
  </si>
  <si>
    <t xml:space="preserve">N2.00X070.5</t>
  </si>
  <si>
    <t xml:space="preserve">P-64228</t>
  </si>
  <si>
    <t xml:space="preserve">31032</t>
  </si>
  <si>
    <t xml:space="preserve">SN70148</t>
  </si>
  <si>
    <t xml:space="preserve">N3.00X184.5</t>
  </si>
  <si>
    <t xml:space="preserve">BU151-B90</t>
  </si>
  <si>
    <t xml:space="preserve">N1.60X020.3</t>
  </si>
  <si>
    <t xml:space="preserve">30609</t>
  </si>
  <si>
    <t xml:space="preserve">H70230</t>
  </si>
  <si>
    <t xml:space="preserve">SN70046</t>
  </si>
  <si>
    <t xml:space="preserve">BV75312</t>
  </si>
  <si>
    <t xml:space="preserve">TEF2.00X007</t>
  </si>
  <si>
    <t xml:space="preserve">N3.00X067</t>
  </si>
  <si>
    <t xml:space="preserve">E70368</t>
  </si>
  <si>
    <t xml:space="preserve">33345</t>
  </si>
  <si>
    <t xml:space="preserve">N3.50X015</t>
  </si>
  <si>
    <t xml:space="preserve">BU345-TEF-SOL</t>
  </si>
  <si>
    <t xml:space="preserve">N1.78X110.74</t>
  </si>
  <si>
    <t xml:space="preserve">UL250-2.750-250</t>
  </si>
  <si>
    <t xml:space="preserve">32065</t>
  </si>
  <si>
    <t xml:space="preserve">E3.50X021.7</t>
  </si>
  <si>
    <t xml:space="preserve">BU029-B90</t>
  </si>
  <si>
    <t xml:space="preserve">A75246</t>
  </si>
  <si>
    <t xml:space="preserve">SCN200-ORK</t>
  </si>
  <si>
    <t xml:space="preserve">N1.20X002.5</t>
  </si>
  <si>
    <t xml:space="preserve">E4.00X040</t>
  </si>
  <si>
    <t xml:space="preserve">32927</t>
  </si>
  <si>
    <t xml:space="preserve">E3.00X052</t>
  </si>
  <si>
    <t xml:space="preserve">E2.00X034</t>
  </si>
  <si>
    <t xml:space="preserve">33289</t>
  </si>
  <si>
    <t xml:space="preserve">SN70251</t>
  </si>
  <si>
    <t xml:space="preserve">N1.50X066</t>
  </si>
  <si>
    <t xml:space="preserve">SN70445</t>
  </si>
  <si>
    <t xml:space="preserve">SUPCO-184-OSK</t>
  </si>
  <si>
    <t xml:space="preserve">N3.00X154</t>
  </si>
  <si>
    <t xml:space="preserve">B50140</t>
  </si>
  <si>
    <t xml:space="preserve">N2.65X037.5</t>
  </si>
  <si>
    <t xml:space="preserve">N2.00X200</t>
  </si>
  <si>
    <t xml:space="preserve">E1.00X005</t>
  </si>
  <si>
    <t xml:space="preserve">N2.00X089.5</t>
  </si>
  <si>
    <t xml:space="preserve">N4.00X053</t>
  </si>
  <si>
    <t xml:space="preserve">V1.78X079-BR</t>
  </si>
  <si>
    <t xml:space="preserve">N7.00X090</t>
  </si>
  <si>
    <t xml:space="preserve">OR-PP-958</t>
  </si>
  <si>
    <t xml:space="preserve">S70438</t>
  </si>
  <si>
    <t xml:space="preserve">E5.00X070</t>
  </si>
  <si>
    <t xml:space="preserve">N5.70X129.2</t>
  </si>
  <si>
    <t xml:space="preserve">N1.50X029.5</t>
  </si>
  <si>
    <t xml:space="preserve">TEF138</t>
  </si>
  <si>
    <t xml:space="preserve">H2.40X008.3</t>
  </si>
  <si>
    <t xml:space="preserve">N5.00X018</t>
  </si>
  <si>
    <t xml:space="preserve">981-317</t>
  </si>
  <si>
    <t xml:space="preserve">QR-140</t>
  </si>
  <si>
    <t xml:space="preserve">N2.62X035.5</t>
  </si>
  <si>
    <t xml:space="preserve">BU331-V90</t>
  </si>
  <si>
    <t xml:space="preserve">V90034</t>
  </si>
  <si>
    <t xml:space="preserve">BU239-B90</t>
  </si>
  <si>
    <t xml:space="preserve">30436</t>
  </si>
  <si>
    <t xml:space="preserve">BU027-TEF-SPL</t>
  </si>
  <si>
    <t xml:space="preserve">V3.00X049.5</t>
  </si>
  <si>
    <t xml:space="preserve">V2.50X036</t>
  </si>
  <si>
    <t xml:space="preserve">C70361</t>
  </si>
  <si>
    <t xml:space="preserve">N1.50X045.5</t>
  </si>
  <si>
    <t xml:space="preserve">S4.00X012</t>
  </si>
  <si>
    <t xml:space="preserve">N6.99X187.3</t>
  </si>
  <si>
    <t xml:space="preserve">BU020-B90</t>
  </si>
  <si>
    <t xml:space="preserve">N2.50X114</t>
  </si>
  <si>
    <t xml:space="preserve">V90249</t>
  </si>
  <si>
    <t xml:space="preserve">32473</t>
  </si>
  <si>
    <t xml:space="preserve">BU352-TEF-SOL</t>
  </si>
  <si>
    <t xml:space="preserve">HRU25-1.75-25</t>
  </si>
  <si>
    <t xml:space="preserve">S1.50X030</t>
  </si>
  <si>
    <t xml:space="preserve">B90261</t>
  </si>
  <si>
    <t xml:space="preserve">N6.00X110</t>
  </si>
  <si>
    <t xml:space="preserve">E2.40X010.8</t>
  </si>
  <si>
    <t xml:space="preserve">BU336-B90</t>
  </si>
  <si>
    <t xml:space="preserve">13X26X5SC</t>
  </si>
  <si>
    <t xml:space="preserve">E2.00X006.5</t>
  </si>
  <si>
    <t xml:space="preserve">QR-104</t>
  </si>
  <si>
    <t xml:space="preserve">N2.65X079</t>
  </si>
  <si>
    <t xml:space="preserve">E70417</t>
  </si>
  <si>
    <t xml:space="preserve">V1.60X005</t>
  </si>
  <si>
    <t xml:space="preserve">S2.00X078</t>
  </si>
  <si>
    <t xml:space="preserve">33221</t>
  </si>
  <si>
    <t xml:space="preserve">S70247</t>
  </si>
  <si>
    <t xml:space="preserve">FS70025</t>
  </si>
  <si>
    <t xml:space="preserve">9001964-RTX</t>
  </si>
  <si>
    <t xml:space="preserve">S70038</t>
  </si>
  <si>
    <t xml:space="preserve">30846</t>
  </si>
  <si>
    <t xml:space="preserve">N3.30X022.4</t>
  </si>
  <si>
    <t xml:space="preserve">32164</t>
  </si>
  <si>
    <t xml:space="preserve">V2.62X009.13-IA</t>
  </si>
  <si>
    <t xml:space="preserve">S70351</t>
  </si>
  <si>
    <t xml:space="preserve">V75235-MS</t>
  </si>
  <si>
    <t xml:space="preserve">S1.50X048</t>
  </si>
  <si>
    <t xml:space="preserve">S70208-CLR</t>
  </si>
  <si>
    <t xml:space="preserve">35101</t>
  </si>
  <si>
    <t xml:space="preserve">BU350-B90</t>
  </si>
  <si>
    <t xml:space="preserve">S70014-CLR</t>
  </si>
  <si>
    <t xml:space="preserve">N2.50X046.5</t>
  </si>
  <si>
    <t xml:space="preserve">LB5012</t>
  </si>
  <si>
    <t xml:space="preserve">32807</t>
  </si>
  <si>
    <t xml:space="preserve">GV75023</t>
  </si>
  <si>
    <t xml:space="preserve">S1.00X011.5</t>
  </si>
  <si>
    <t xml:space="preserve">V2.00X037.5</t>
  </si>
  <si>
    <t xml:space="preserve">S1.50X006</t>
  </si>
  <si>
    <t xml:space="preserve">V4.00X018</t>
  </si>
  <si>
    <t xml:space="preserve">B90104</t>
  </si>
  <si>
    <t xml:space="preserve">B90237</t>
  </si>
  <si>
    <t xml:space="preserve">E70001</t>
  </si>
  <si>
    <t xml:space="preserve">H70350</t>
  </si>
  <si>
    <t xml:space="preserve">HNBR2.00X017</t>
  </si>
  <si>
    <t xml:space="preserve">HRU18-1.50-18</t>
  </si>
  <si>
    <t xml:space="preserve">34345</t>
  </si>
  <si>
    <t xml:space="preserve">MBOX</t>
  </si>
  <si>
    <t xml:space="preserve">35022</t>
  </si>
  <si>
    <t xml:space="preserve">VN800 CWR Wholesale Distribution</t>
  </si>
  <si>
    <t xml:space="preserve">MUU-25X35X7</t>
  </si>
  <si>
    <t xml:space="preserve">N1.30X020</t>
  </si>
  <si>
    <t xml:space="preserve">N1.50X005.5</t>
  </si>
  <si>
    <t xml:space="preserve">N1.50X009.5</t>
  </si>
  <si>
    <t xml:space="preserve">N1.50X017.5</t>
  </si>
  <si>
    <t xml:space="preserve">N2.00X016.5</t>
  </si>
  <si>
    <t xml:space="preserve">N2.00X023.5</t>
  </si>
  <si>
    <t xml:space="preserve">N2.00X118</t>
  </si>
  <si>
    <t xml:space="preserve">N2.40X008.3</t>
  </si>
  <si>
    <t xml:space="preserve">N2.50X004</t>
  </si>
  <si>
    <t xml:space="preserve">N2.50X011</t>
  </si>
  <si>
    <t xml:space="preserve">N2.50X016</t>
  </si>
  <si>
    <t xml:space="preserve">N3.00X013</t>
  </si>
  <si>
    <t xml:space="preserve">N3.00X117</t>
  </si>
  <si>
    <t xml:space="preserve">N3.50X012</t>
  </si>
  <si>
    <t xml:space="preserve">N3.50X014</t>
  </si>
  <si>
    <t xml:space="preserve">N3.50X038.7</t>
  </si>
  <si>
    <t xml:space="preserve">N3.50X040</t>
  </si>
  <si>
    <t xml:space="preserve">N3.50X063</t>
  </si>
  <si>
    <t xml:space="preserve">N5.00X038</t>
  </si>
  <si>
    <t xml:space="preserve">N5.00X039</t>
  </si>
  <si>
    <t xml:space="preserve">N6.00X069</t>
  </si>
  <si>
    <t xml:space="preserve">N90.197</t>
  </si>
  <si>
    <t xml:space="preserve">PS1850-64</t>
  </si>
  <si>
    <t xml:space="preserve">34027</t>
  </si>
  <si>
    <t xml:space="preserve">QR-004</t>
  </si>
  <si>
    <t xml:space="preserve">QV-013</t>
  </si>
  <si>
    <t xml:space="preserve">30538</t>
  </si>
  <si>
    <t xml:space="preserve">RTUL187-1.625-375B</t>
  </si>
  <si>
    <t xml:space="preserve">S1.50X019</t>
  </si>
  <si>
    <t xml:space="preserve">SE2115N71</t>
  </si>
  <si>
    <t xml:space="preserve">V2.00X003</t>
  </si>
  <si>
    <t xml:space="preserve">V2.50X039</t>
  </si>
  <si>
    <t xml:space="preserve">V3.00X039</t>
  </si>
  <si>
    <t xml:space="preserve">WN70011</t>
  </si>
  <si>
    <t xml:space="preserve">UL250-2.000-312B</t>
  </si>
  <si>
    <t xml:space="preserve">B50205</t>
  </si>
  <si>
    <t xml:space="preserve">B50321</t>
  </si>
  <si>
    <t xml:space="preserve">10X17X5TC</t>
  </si>
  <si>
    <t xml:space="preserve">N2.65X038.7</t>
  </si>
  <si>
    <t xml:space="preserve">E3.00X016</t>
  </si>
  <si>
    <t xml:space="preserve">E3.00X026</t>
  </si>
  <si>
    <t xml:space="preserve">S2.50X007.5</t>
  </si>
  <si>
    <t xml:space="preserve">S3.00X045</t>
  </si>
  <si>
    <t xml:space="preserve">S1.90X007.8</t>
  </si>
  <si>
    <t xml:space="preserve">E1.90X005.8</t>
  </si>
  <si>
    <t xml:space="preserve">Wire Transfer Fee</t>
  </si>
  <si>
    <t xml:space="preserve">CC Convenience Fee</t>
  </si>
  <si>
    <t xml:space="preserve">Small Order Fee-IA</t>
  </si>
  <si>
    <t xml:space="preserve">Shipping</t>
  </si>
  <si>
    <t xml:space="preserve">H1.50X006</t>
  </si>
  <si>
    <t xml:space="preserve">B70034-NSF</t>
  </si>
  <si>
    <t xml:space="preserve">B70153-NSF</t>
  </si>
  <si>
    <t xml:space="preserve">B70158-NSF</t>
  </si>
  <si>
    <t xml:space="preserve">B70236-NSF</t>
  </si>
  <si>
    <t xml:space="preserve">N3.53X039.69</t>
  </si>
  <si>
    <t xml:space="preserve">KT-BO-400</t>
  </si>
  <si>
    <t xml:space="preserve">S70151-WHT</t>
  </si>
  <si>
    <t xml:space="preserve">MFG-B70013</t>
  </si>
  <si>
    <t xml:space="preserve">GRID-200-A4-TORS</t>
  </si>
  <si>
    <t xml:space="preserve">35029</t>
  </si>
  <si>
    <t xml:space="preserve">GRID-280-A3-TORS</t>
  </si>
  <si>
    <t xml:space="preserve">GRID-280-A3</t>
  </si>
  <si>
    <t xml:space="preserve">DW1.500</t>
  </si>
  <si>
    <t xml:space="preserve">S50202</t>
  </si>
  <si>
    <t xml:space="preserve">Incoming Shipping Domestic</t>
  </si>
  <si>
    <t xml:space="preserve">Incoming Shipping</t>
  </si>
  <si>
    <t xml:space="preserve">33996</t>
  </si>
  <si>
    <t xml:space="preserve">RTU187-1.125-250B</t>
  </si>
  <si>
    <t xml:space="preserve">Incoming Shipping International</t>
  </si>
  <si>
    <t xml:space="preserve">33946</t>
  </si>
  <si>
    <t xml:space="preserve">S70.250-BLK</t>
  </si>
  <si>
    <t xml:space="preserve">S70.139-BLK</t>
  </si>
  <si>
    <t xml:space="preserve">V75234-MS</t>
  </si>
  <si>
    <t xml:space="preserve">Min Order Charge</t>
  </si>
  <si>
    <t xml:space="preserve">S1.50X011.5</t>
  </si>
  <si>
    <t xml:space="preserve">S0.50X000.7-BLK</t>
  </si>
  <si>
    <t xml:space="preserve">S0.80X004.5-BLK</t>
  </si>
  <si>
    <t xml:space="preserve">Total</t>
  </si>
</sst>
</file>

<file path=xl/styles.xml><?xml version="1.0" encoding="utf-8"?>
<styleSheet xmlns="http://schemas.openxmlformats.org/spreadsheetml/2006/main">
  <numFmts count="7">
    <numFmt numFmtId="164" formatCode="General"/>
    <numFmt numFmtId="165" formatCode="General"/>
    <numFmt numFmtId="166" formatCode="\$#,##0;[RED]&quot;-$&quot;#,##0"/>
    <numFmt numFmtId="167" formatCode="#,##0"/>
    <numFmt numFmtId="168" formatCode="\$#,##0.0000"/>
    <numFmt numFmtId="169" formatCode="0.0"/>
    <numFmt numFmtId="170" formatCode="yyyy\-mm\-dd"/>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6"/>
  </cols>
  <sheetData>
    <row r="1" customFormat="false" ht="17.3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3" t="n">
        <f aca="false">COUNTA(Items!A2:A6476)</f>
        <v>6475</v>
      </c>
    </row>
    <row r="5" customFormat="false" ht="15" hidden="false" customHeight="false" outlineLevel="0" collapsed="false">
      <c r="A5" s="2" t="s">
        <v>3</v>
      </c>
      <c r="B5" s="4" t="n">
        <f aca="false">SUM(Items!F2:F6476)</f>
        <v>908669.4</v>
      </c>
    </row>
    <row r="6" customFormat="false" ht="15" hidden="false" customHeight="false" outlineLevel="0" collapsed="false">
      <c r="A6" s="2" t="s">
        <v>4</v>
      </c>
      <c r="B6" s="3" t="n">
        <f aca="false">COUNTIFS(Items!K2:K6476,"&gt;="&amp;DATE(2025,10,23))</f>
        <v>1798</v>
      </c>
    </row>
    <row r="7" customFormat="false" ht="15" hidden="false" customHeight="false" outlineLevel="0" collapsed="false">
      <c r="A7" s="2" t="s">
        <v>5</v>
      </c>
      <c r="B7" s="4" t="n">
        <f aca="false">SUMIFS(Items!F2:F6476,Items!K2:K6476,"&gt;="&amp;DATE(2025,10,23))</f>
        <v>303323.63</v>
      </c>
    </row>
    <row r="9" customFormat="false" ht="15" hidden="false" customHeight="false" outlineLevel="0" collapsed="false">
      <c r="A9" s="2" t="s">
        <v>6</v>
      </c>
    </row>
    <row r="10" customFormat="false" ht="15" hidden="false" customHeight="false" outlineLevel="0" collapsed="false">
      <c r="A10" s="5" t="s">
        <v>7</v>
      </c>
      <c r="B10" s="5" t="s">
        <v>2</v>
      </c>
      <c r="C10" s="5" t="s">
        <v>3</v>
      </c>
    </row>
    <row r="11" customFormat="false" ht="15" hidden="false" customHeight="false" outlineLevel="0" collapsed="false">
      <c r="A11" s="0" t="s">
        <v>8</v>
      </c>
      <c r="B11" s="0" t="n">
        <f aca="false">COUNTIFS(Items!H2:H6476,"&gt;="&amp;1,Items!H2:H6476,"&lt;"&amp;2)</f>
        <v>1147</v>
      </c>
      <c r="C11" s="4" t="n">
        <f aca="false">SUMIFS(Items!F2:F6476,Items!H2:H6476,"&gt;="&amp;1,Items!H2:H6476,"&lt;"&amp;2)</f>
        <v>166069.26</v>
      </c>
    </row>
    <row r="12" customFormat="false" ht="15" hidden="false" customHeight="false" outlineLevel="0" collapsed="false">
      <c r="A12" s="0" t="s">
        <v>9</v>
      </c>
      <c r="B12" s="0" t="n">
        <f aca="false">COUNTIFS(Items!H2:H6476,"&gt;="&amp;2,Items!H2:H6476,"&lt;"&amp;5)</f>
        <v>1580</v>
      </c>
      <c r="C12" s="4" t="n">
        <f aca="false">SUMIFS(Items!F2:F6476,Items!H2:H6476,"&gt;="&amp;2,Items!H2:H6476,"&lt;"&amp;5)</f>
        <v>169742.8</v>
      </c>
    </row>
    <row r="13" customFormat="false" ht="15" hidden="false" customHeight="false" outlineLevel="0" collapsed="false">
      <c r="A13" s="0" t="s">
        <v>10</v>
      </c>
      <c r="B13" s="0" t="n">
        <f aca="false">COUNTIFS(Items!H2:H6476,"&gt;="&amp;5,Items!H2:H6476,"&lt;"&amp;10)</f>
        <v>1126</v>
      </c>
      <c r="C13" s="4" t="n">
        <f aca="false">SUMIFS(Items!F2:F6476,Items!H2:H6476,"&gt;="&amp;5,Items!H2:H6476,"&lt;"&amp;10)</f>
        <v>145940.03</v>
      </c>
    </row>
    <row r="14" customFormat="false" ht="15" hidden="false" customHeight="false" outlineLevel="0" collapsed="false">
      <c r="A14" s="0" t="s">
        <v>11</v>
      </c>
      <c r="B14" s="0" t="n">
        <f aca="false">COUNTIFS(Items!H2:H6476,"&gt;="&amp;10,Items!H2:H6476,"&lt;"&amp;1000000000)</f>
        <v>2622</v>
      </c>
      <c r="C14" s="4" t="n">
        <f aca="false">SUMIFS(Items!F2:F6476,Items!H2:H6476,"&gt;="&amp;10,Items!H2:H6476,"&lt;"&amp;1000000000)</f>
        <v>426917.31</v>
      </c>
    </row>
    <row r="16" customFormat="false" ht="15" hidden="false" customHeight="false" outlineLevel="0" collapsed="false">
      <c r="A16" s="2" t="s">
        <v>12</v>
      </c>
    </row>
    <row r="17" customFormat="false" ht="15" hidden="false" customHeight="false" outlineLevel="0" collapsed="false">
      <c r="A17" s="5" t="s">
        <v>13</v>
      </c>
      <c r="B17" s="5" t="s">
        <v>2</v>
      </c>
      <c r="C17" s="5" t="s">
        <v>3</v>
      </c>
    </row>
    <row r="18" customFormat="false" ht="15" hidden="false" customHeight="false" outlineLevel="0" collapsed="false">
      <c r="A18" s="0" t="s">
        <v>14</v>
      </c>
      <c r="B18" s="0" t="n">
        <f aca="false">COUNTIFS(Items!L2:L6476,"VN30 Freudenberg")</f>
        <v>879</v>
      </c>
      <c r="C18" s="4" t="n">
        <f aca="false">SUMIFS(Items!F2:F6476,Items!L2:L6476,"VN30 Freudenberg")</f>
        <v>195297.05</v>
      </c>
    </row>
    <row r="19" customFormat="false" ht="15" hidden="false" customHeight="false" outlineLevel="0" collapsed="false">
      <c r="A19" s="0" t="s">
        <v>15</v>
      </c>
      <c r="B19" s="0" t="n">
        <f aca="false">COUNTIFS(Items!L2:L6476,"VN82 Tuico Products Joint Stock Company")</f>
        <v>796</v>
      </c>
      <c r="C19" s="4" t="n">
        <f aca="false">SUMIFS(Items!F2:F6476,Items!L2:L6476,"VN82 Tuico Products Joint Stock Company")</f>
        <v>130827.29</v>
      </c>
    </row>
    <row r="20" customFormat="false" ht="15" hidden="false" customHeight="false" outlineLevel="0" collapsed="false">
      <c r="A20" s="0" t="s">
        <v>16</v>
      </c>
      <c r="B20" s="0" t="n">
        <f aca="false">COUNTIFS(Items!L2:L6476,"VN10 GE MAO RUBBER INDUSTRIAL CO., LTD .")</f>
        <v>1039</v>
      </c>
      <c r="C20" s="4" t="n">
        <f aca="false">SUMIFS(Items!F2:F6476,Items!L2:L6476,"VN10 GE MAO RUBBER INDUSTRIAL CO., LTD .")</f>
        <v>107366.91</v>
      </c>
    </row>
    <row r="21" customFormat="false" ht="15" hidden="false" customHeight="false" outlineLevel="0" collapsed="false">
      <c r="A21" s="0" t="s">
        <v>17</v>
      </c>
      <c r="B21" s="0" t="n">
        <f aca="false">COUNTIFS(Items!L2:L6476,"")</f>
        <v>1299</v>
      </c>
      <c r="C21" s="4" t="n">
        <f aca="false">SUMIFS(Items!F2:F6476,Items!L2:L6476,"")</f>
        <v>105349.32</v>
      </c>
    </row>
    <row r="22" customFormat="false" ht="15" hidden="false" customHeight="false" outlineLevel="0" collapsed="false">
      <c r="A22" s="0" t="s">
        <v>18</v>
      </c>
      <c r="B22" s="0" t="n">
        <f aca="false">COUNTIFS(Items!L2:L6476,"VN01 Seal and Rubber Technologies")</f>
        <v>663</v>
      </c>
      <c r="C22" s="4" t="n">
        <f aca="false">SUMIFS(Items!F2:F6476,Items!L2:L6476,"VN01 Seal and Rubber Technologies")</f>
        <v>89621.79</v>
      </c>
    </row>
    <row r="23" customFormat="false" ht="15" hidden="false" customHeight="false" outlineLevel="0" collapsed="false">
      <c r="A23" s="0" t="s">
        <v>19</v>
      </c>
      <c r="B23" s="0" t="n">
        <f aca="false">COUNTIFS(Items!L2:L6476,"VN12 AnySeals, Inc")</f>
        <v>832</v>
      </c>
      <c r="C23" s="4" t="n">
        <f aca="false">SUMIFS(Items!F2:F6476,Items!L2:L6476,"VN12 AnySeals, Inc")</f>
        <v>56755.22</v>
      </c>
    </row>
    <row r="24" customFormat="false" ht="15" hidden="false" customHeight="false" outlineLevel="0" collapsed="false">
      <c r="A24" s="0" t="s">
        <v>20</v>
      </c>
      <c r="B24" s="0" t="n">
        <f aca="false">COUNTIFS(Items!L2:L6476,"VN11 Best Ring Industrial Corporation")</f>
        <v>120</v>
      </c>
      <c r="C24" s="4" t="n">
        <f aca="false">SUMIFS(Items!F2:F6476,Items!L2:L6476,"VN11 Best Ring Industrial Corporation")</f>
        <v>47287.05</v>
      </c>
    </row>
    <row r="25" customFormat="false" ht="15" hidden="false" customHeight="false" outlineLevel="0" collapsed="false">
      <c r="A25" s="0" t="s">
        <v>21</v>
      </c>
      <c r="B25" s="0" t="n">
        <f aca="false">COUNTIFS(Items!L2:L6476,"VN53 Ningbo Quantum Seal")</f>
        <v>157</v>
      </c>
      <c r="C25" s="4" t="n">
        <f aca="false">SUMIFS(Items!F2:F6476,Items!L2:L6476,"VN53 Ningbo Quantum Seal")</f>
        <v>22805.19</v>
      </c>
    </row>
    <row r="26" customFormat="false" ht="15" hidden="false" customHeight="false" outlineLevel="0" collapsed="false">
      <c r="A26" s="0" t="s">
        <v>22</v>
      </c>
      <c r="B26" s="0" t="n">
        <f aca="false">COUNTIFS(Items!L2:L6476,"VN772 Universal Polymer &amp; Rubber, LTD.")</f>
        <v>12</v>
      </c>
      <c r="C26" s="4" t="n">
        <f aca="false">SUMIFS(Items!F2:F6476,Items!L2:L6476,"VN772 Universal Polymer &amp; Rubber, LTD.")</f>
        <v>22784.76</v>
      </c>
    </row>
    <row r="27" customFormat="false" ht="15" hidden="false" customHeight="false" outlineLevel="0" collapsed="false">
      <c r="A27" s="0" t="s">
        <v>23</v>
      </c>
      <c r="B27" s="0" t="n">
        <f aca="false">COUNTIFS(Items!L2:L6476,"VN67 Precix")</f>
        <v>75</v>
      </c>
      <c r="C27" s="4" t="n">
        <f aca="false">SUMIFS(Items!F2:F6476,Items!L2:L6476,"VN67 Precix")</f>
        <v>20608.63</v>
      </c>
    </row>
    <row r="28" customFormat="false" ht="15" hidden="false" customHeight="false" outlineLevel="0" collapsed="false">
      <c r="A28" s="0" t="s">
        <v>24</v>
      </c>
      <c r="B28" s="0" t="n">
        <f aca="false">COUNTIFS(Items!L2:L6476,"VN29 Flambeau Products Corp")</f>
        <v>9</v>
      </c>
      <c r="C28" s="4" t="n">
        <f aca="false">SUMIFS(Items!F2:F6476,Items!L2:L6476,"VN29 Flambeau Products Corp")</f>
        <v>16071.46</v>
      </c>
    </row>
    <row r="29" customFormat="false" ht="15" hidden="false" customHeight="false" outlineLevel="0" collapsed="false">
      <c r="A29" s="0" t="s">
        <v>25</v>
      </c>
      <c r="B29" s="0" t="n">
        <f aca="false">COUNTIFS(Items!L2:L6476,"VN90 Xlong Seal Co")</f>
        <v>62</v>
      </c>
      <c r="C29" s="4" t="n">
        <f aca="false">SUMIFS(Items!F2:F6476,Items!L2:L6476,"VN90 Xlong Seal Co")</f>
        <v>10724.03</v>
      </c>
    </row>
    <row r="30" customFormat="false" ht="15" hidden="false" customHeight="false" outlineLevel="0" collapsed="false">
      <c r="A30" s="0" t="s">
        <v>26</v>
      </c>
      <c r="B30" s="0" t="n">
        <f aca="false">COUNTIFS(Items!L2:L6476,"VN05 APG")</f>
        <v>88</v>
      </c>
      <c r="C30" s="4" t="n">
        <f aca="false">SUMIFS(Items!F2:F6476,Items!L2:L6476,"VN05 APG")</f>
        <v>10594.47</v>
      </c>
    </row>
    <row r="31" customFormat="false" ht="15" hidden="false" customHeight="false" outlineLevel="0" collapsed="false">
      <c r="A31" s="0" t="s">
        <v>27</v>
      </c>
      <c r="B31" s="0" t="n">
        <f aca="false">COUNTIFS(Items!L2:L6476,"VN24 Engineered Seals &amp; Components LLC")</f>
        <v>56</v>
      </c>
      <c r="C31" s="4" t="n">
        <f aca="false">SUMIFS(Items!F2:F6476,Items!L2:L6476,"VN24 Engineered Seals &amp; Components LLC")</f>
        <v>7676.11</v>
      </c>
    </row>
    <row r="32" customFormat="false" ht="15" hidden="false" customHeight="false" outlineLevel="0" collapsed="false">
      <c r="A32" s="0" t="s">
        <v>28</v>
      </c>
      <c r="B32" s="0" t="n">
        <f aca="false">COUNTIFS(Items!L2:L6476,"VN07 Boyd Corporation")</f>
        <v>28</v>
      </c>
      <c r="C32" s="4" t="n">
        <f aca="false">SUMIFS(Items!F2:F6476,Items!L2:L6476,"VN07 Boyd Corporation")</f>
        <v>7649.08</v>
      </c>
    </row>
    <row r="34" customFormat="false" ht="15" hidden="false" customHeight="false" outlineLevel="0" collapsed="false">
      <c r="A34" s="2" t="s">
        <v>29</v>
      </c>
    </row>
    <row r="35" customFormat="false" ht="15" hidden="false" customHeight="false" outlineLevel="0" collapsed="false">
      <c r="A35" s="5" t="s">
        <v>30</v>
      </c>
      <c r="B35" s="5" t="s">
        <v>2</v>
      </c>
      <c r="C35" s="5" t="s">
        <v>3</v>
      </c>
    </row>
    <row r="36" customFormat="false" ht="15" hidden="false" customHeight="false" outlineLevel="0" collapsed="false">
      <c r="A36" s="0" t="s">
        <v>31</v>
      </c>
      <c r="B36" s="0" t="n">
        <f aca="false">COUNTIFS(Items!C2:C6476,"Metric MN70")</f>
        <v>1125</v>
      </c>
      <c r="C36" s="4" t="n">
        <f aca="false">SUMIFS(Items!F2:F6476,Items!C2:C6476,"Metric MN70")</f>
        <v>91121.3</v>
      </c>
    </row>
    <row r="37" customFormat="false" ht="15" hidden="false" customHeight="false" outlineLevel="0" collapsed="false">
      <c r="A37" s="0" t="s">
        <v>32</v>
      </c>
      <c r="B37" s="0" t="n">
        <f aca="false">COUNTIFS(Items!C2:C6476,"AS568 B70")</f>
        <v>198</v>
      </c>
      <c r="C37" s="4" t="n">
        <f aca="false">SUMIFS(Items!F2:F6476,Items!C2:C6476,"AS568 B70")</f>
        <v>58177.3</v>
      </c>
    </row>
    <row r="38" customFormat="false" ht="15" hidden="false" customHeight="false" outlineLevel="0" collapsed="false">
      <c r="A38" s="0" t="s">
        <v>33</v>
      </c>
      <c r="B38" s="0" t="n">
        <f aca="false">COUNTIFS(Items!C2:C6476,"AS568 V75")</f>
        <v>180</v>
      </c>
      <c r="C38" s="4" t="n">
        <f aca="false">SUMIFS(Items!F2:F6476,Items!C2:C6476,"AS568 V75")</f>
        <v>46244.43</v>
      </c>
    </row>
    <row r="39" customFormat="false" ht="15" hidden="false" customHeight="false" outlineLevel="0" collapsed="false">
      <c r="A39" s="0" t="s">
        <v>34</v>
      </c>
      <c r="B39" s="0" t="n">
        <f aca="false">COUNTIFS(Items!C2:C6476,"Metric MV75")</f>
        <v>584</v>
      </c>
      <c r="C39" s="4" t="n">
        <f aca="false">SUMIFS(Items!F2:F6476,Items!C2:C6476,"Metric MV75")</f>
        <v>44566.82</v>
      </c>
    </row>
    <row r="40" customFormat="false" ht="15" hidden="false" customHeight="false" outlineLevel="0" collapsed="false">
      <c r="A40" s="0" t="s">
        <v>35</v>
      </c>
      <c r="B40" s="0" t="n">
        <f aca="false">COUNTIFS(Items!C2:C6476,"AS568 A75")</f>
        <v>132</v>
      </c>
      <c r="C40" s="4" t="n">
        <f aca="false">SUMIFS(Items!F2:F6476,Items!C2:C6476,"AS568 A75")</f>
        <v>31698.53</v>
      </c>
    </row>
    <row r="41" customFormat="false" ht="15" hidden="false" customHeight="false" outlineLevel="0" collapsed="false">
      <c r="A41" s="0" t="s">
        <v>36</v>
      </c>
      <c r="B41" s="0" t="n">
        <f aca="false">COUNTIFS(Items!C2:C6476,"AS568 S70")</f>
        <v>184</v>
      </c>
      <c r="C41" s="4" t="n">
        <f aca="false">SUMIFS(Items!F2:F6476,Items!C2:C6476,"AS568 S70")</f>
        <v>25642.33</v>
      </c>
    </row>
    <row r="42" customFormat="false" ht="15" hidden="false" customHeight="false" outlineLevel="0" collapsed="false">
      <c r="A42" s="0" t="s">
        <v>37</v>
      </c>
      <c r="B42" s="0" t="n">
        <f aca="false">COUNTIFS(Items!C2:C6476,"AS568 E70-NSF")</f>
        <v>119</v>
      </c>
      <c r="C42" s="4" t="n">
        <f aca="false">SUMIFS(Items!F2:F6476,Items!C2:C6476,"AS568 E70-NSF")</f>
        <v>25247.09</v>
      </c>
    </row>
    <row r="43" customFormat="false" ht="15" hidden="false" customHeight="false" outlineLevel="0" collapsed="false">
      <c r="A43" s="0" t="s">
        <v>38</v>
      </c>
      <c r="B43" s="0" t="n">
        <f aca="false">COUNTIFS(Items!C2:C6476,"AS568 B90")</f>
        <v>213</v>
      </c>
      <c r="C43" s="4" t="n">
        <f aca="false">SUMIFS(Items!F2:F6476,Items!C2:C6476,"AS568 B90")</f>
        <v>25082.1</v>
      </c>
    </row>
    <row r="44" customFormat="false" ht="15" hidden="false" customHeight="false" outlineLevel="0" collapsed="false">
      <c r="A44" s="0" t="s">
        <v>39</v>
      </c>
      <c r="B44" s="0" t="n">
        <f aca="false">COUNTIFS(Items!C2:C6476,"AS568 BV75")</f>
        <v>143</v>
      </c>
      <c r="C44" s="4" t="n">
        <f aca="false">SUMIFS(Items!F2:F6476,Items!C2:C6476,"AS568 BV75")</f>
        <v>24239.42</v>
      </c>
    </row>
    <row r="45" customFormat="false" ht="15" hidden="false" customHeight="false" outlineLevel="0" collapsed="false">
      <c r="A45" s="0" t="s">
        <v>40</v>
      </c>
      <c r="B45" s="0" t="n">
        <f aca="false">COUNTIFS(Items!C2:C6476,"AS568 E70")</f>
        <v>204</v>
      </c>
      <c r="C45" s="4" t="n">
        <f aca="false">SUMIFS(Items!F2:F6476,Items!C2:C6476,"AS568 E70")</f>
        <v>21728.84</v>
      </c>
    </row>
    <row r="46" customFormat="false" ht="15" hidden="false" customHeight="false" outlineLevel="0" collapsed="false">
      <c r="A46" s="0" t="s">
        <v>41</v>
      </c>
      <c r="B46" s="0" t="n">
        <f aca="false">COUNTIFS(Items!C2:C6476,"Metric MS70")</f>
        <v>230</v>
      </c>
      <c r="C46" s="4" t="n">
        <f aca="false">SUMIFS(Items!F2:F6476,Items!C2:C6476,"Metric MS70")</f>
        <v>21220.86</v>
      </c>
    </row>
    <row r="47" customFormat="false" ht="15" hidden="false" customHeight="false" outlineLevel="0" collapsed="false">
      <c r="A47" s="0" t="s">
        <v>42</v>
      </c>
      <c r="B47" s="0" t="n">
        <f aca="false">COUNTIFS(Items!C2:C6476,"AS568 UC90")</f>
        <v>29</v>
      </c>
      <c r="C47" s="4" t="n">
        <f aca="false">SUMIFS(Items!F2:F6476,Items!C2:C6476,"AS568 UC90")</f>
        <v>20053.57</v>
      </c>
    </row>
    <row r="48" customFormat="false" ht="15" hidden="false" customHeight="false" outlineLevel="0" collapsed="false">
      <c r="A48" s="0" t="s">
        <v>43</v>
      </c>
      <c r="B48" s="0" t="n">
        <f aca="false">COUNTIFS(Items!C2:C6476,"AS568 UC70")</f>
        <v>50</v>
      </c>
      <c r="C48" s="4" t="n">
        <f aca="false">SUMIFS(Items!F2:F6476,Items!C2:C6476,"AS568 UC70")</f>
        <v>19704.54</v>
      </c>
    </row>
    <row r="49" customFormat="false" ht="15" hidden="false" customHeight="false" outlineLevel="0" collapsed="false">
      <c r="A49" s="0" t="s">
        <v>44</v>
      </c>
      <c r="B49" s="0" t="n">
        <f aca="false">COUNTIFS(Items!C2:C6476,"AS568 FFKM-485")</f>
        <v>45</v>
      </c>
      <c r="C49" s="4" t="n">
        <f aca="false">SUMIFS(Items!F2:F6476,Items!C2:C6476,"AS568 FFKM-485")</f>
        <v>18491.54</v>
      </c>
    </row>
    <row r="50" customFormat="false" ht="15" hidden="false" customHeight="false" outlineLevel="0" collapsed="false">
      <c r="A50" s="0" t="s">
        <v>45</v>
      </c>
      <c r="B50" s="0" t="n">
        <f aca="false">COUNTIFS(Items!C2:C6476,"AS568 V75-MS")</f>
        <v>78</v>
      </c>
      <c r="C50" s="4" t="n">
        <f aca="false">SUMIFS(Items!F2:F6476,Items!C2:C6476,"AS568 V75-MS")</f>
        <v>18269.38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22"/>
    <col collapsed="false" customWidth="true" hidden="false" outlineLevel="0" max="5" min="4" style="0" width="11"/>
    <col collapsed="false" customWidth="true" hidden="false" outlineLevel="0" max="6" min="6" style="0" width="13"/>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0" min="10" style="0" width="10"/>
    <col collapsed="false" customWidth="true" hidden="false" outlineLevel="0" max="11" min="11" style="0" width="12"/>
    <col collapsed="false" customWidth="true" hidden="false" outlineLevel="0" max="12" min="12" style="0" width="32"/>
    <col collapsed="false" customWidth="true" hidden="false" outlineLevel="0" max="13" min="13" style="0" width="11"/>
    <col collapsed="false" customWidth="true" hidden="false" outlineLevel="0" max="14" min="14" style="0" width="12"/>
    <col collapsed="false" customWidth="true" hidden="false" outlineLevel="0" max="15" min="15" style="0" width="13"/>
  </cols>
  <sheetData>
    <row r="1" customFormat="false" ht="55.2" hidden="false" customHeight="false" outlineLevel="0" collapsed="false">
      <c r="A1" s="6" t="s">
        <v>46</v>
      </c>
      <c r="B1" s="6" t="s">
        <v>47</v>
      </c>
      <c r="C1" s="6" t="s">
        <v>30</v>
      </c>
      <c r="D1" s="6" t="s">
        <v>48</v>
      </c>
      <c r="E1" s="6" t="s">
        <v>49</v>
      </c>
      <c r="F1" s="6" t="s">
        <v>3</v>
      </c>
      <c r="G1" s="6" t="s">
        <v>50</v>
      </c>
      <c r="H1" s="6" t="s">
        <v>7</v>
      </c>
      <c r="I1" s="6" t="s">
        <v>51</v>
      </c>
      <c r="J1" s="6" t="s">
        <v>52</v>
      </c>
      <c r="K1" s="6" t="s">
        <v>53</v>
      </c>
      <c r="L1" s="6" t="s">
        <v>54</v>
      </c>
      <c r="M1" s="6" t="s">
        <v>55</v>
      </c>
      <c r="N1" s="6" t="s">
        <v>56</v>
      </c>
      <c r="O1" s="6" t="s">
        <v>57</v>
      </c>
    </row>
    <row r="2" customFormat="false" ht="15" hidden="false" customHeight="false" outlineLevel="0" collapsed="false">
      <c r="A2" s="0" t="s">
        <v>58</v>
      </c>
      <c r="C2" s="0" t="s">
        <v>43</v>
      </c>
      <c r="D2" s="7" t="n">
        <v>38372</v>
      </c>
      <c r="E2" s="8" t="n">
        <v>0.1475</v>
      </c>
      <c r="F2" s="4" t="n">
        <f aca="false">D2*E2</f>
        <v>5659.87</v>
      </c>
      <c r="G2" s="7" t="n">
        <v>2719</v>
      </c>
      <c r="H2" s="9" t="n">
        <f aca="false">IF(G2&gt;0,D2/G2,"")</f>
        <v>14.1125413755057</v>
      </c>
      <c r="I2" s="10" t="n">
        <v>46316</v>
      </c>
      <c r="J2" s="3" t="s">
        <v>59</v>
      </c>
      <c r="K2" s="10" t="n">
        <v>44292</v>
      </c>
      <c r="L2" s="3" t="s">
        <v>14</v>
      </c>
      <c r="M2" s="7" t="n">
        <v>50000</v>
      </c>
      <c r="N2" s="8" t="n">
        <v>0.1475</v>
      </c>
      <c r="O2" s="4" t="n">
        <f aca="false">M2*N2</f>
        <v>7375</v>
      </c>
    </row>
    <row r="3" customFormat="false" ht="15" hidden="false" customHeight="false" outlineLevel="0" collapsed="false">
      <c r="A3" s="0" t="s">
        <v>60</v>
      </c>
      <c r="C3" s="0" t="s">
        <v>61</v>
      </c>
      <c r="D3" s="7" t="n">
        <v>27695</v>
      </c>
      <c r="E3" s="8" t="n">
        <v>0.203562736956129</v>
      </c>
      <c r="F3" s="4" t="n">
        <f aca="false">D3*E3</f>
        <v>5637.67</v>
      </c>
      <c r="G3" s="7" t="n">
        <v>14975</v>
      </c>
      <c r="H3" s="9" t="n">
        <f aca="false">IF(G3&gt;0,D3/G3,"")</f>
        <v>1.84941569282137</v>
      </c>
      <c r="I3" s="10" t="n">
        <v>46260</v>
      </c>
      <c r="J3" s="3" t="s">
        <v>62</v>
      </c>
      <c r="K3" s="10" t="n">
        <v>46065</v>
      </c>
      <c r="L3" s="3" t="s">
        <v>23</v>
      </c>
      <c r="M3" s="7" t="n">
        <v>15000</v>
      </c>
      <c r="N3" s="8" t="n">
        <v>0</v>
      </c>
      <c r="O3" s="4" t="n">
        <v>2966.64</v>
      </c>
    </row>
    <row r="4" customFormat="false" ht="15" hidden="false" customHeight="false" outlineLevel="0" collapsed="false">
      <c r="A4" s="0" t="s">
        <v>63</v>
      </c>
      <c r="C4" s="0" t="s">
        <v>32</v>
      </c>
      <c r="D4" s="7" t="n">
        <v>1741405</v>
      </c>
      <c r="E4" s="8" t="n">
        <v>0.00310859334847436</v>
      </c>
      <c r="F4" s="4" t="n">
        <f aca="false">D4*E4</f>
        <v>5413.32</v>
      </c>
      <c r="G4" s="7" t="n">
        <v>1216904</v>
      </c>
      <c r="H4" s="9" t="n">
        <f aca="false">IF(G4&gt;0,D4/G4,"")</f>
        <v>1.43101263534346</v>
      </c>
      <c r="I4" s="10" t="n">
        <v>46315</v>
      </c>
      <c r="J4" s="3" t="s">
        <v>64</v>
      </c>
      <c r="K4" s="10" t="n">
        <v>46227</v>
      </c>
      <c r="L4" s="3" t="s">
        <v>14</v>
      </c>
      <c r="M4" s="7" t="n">
        <v>1500000</v>
      </c>
      <c r="N4" s="8" t="n">
        <v>0.0032</v>
      </c>
      <c r="O4" s="4" t="n">
        <f aca="false">M4*N4</f>
        <v>4800</v>
      </c>
    </row>
    <row r="5" customFormat="false" ht="15" hidden="false" customHeight="false" outlineLevel="0" collapsed="false">
      <c r="A5" s="0" t="s">
        <v>65</v>
      </c>
      <c r="C5" s="0" t="s">
        <v>66</v>
      </c>
      <c r="D5" s="7" t="n">
        <v>473</v>
      </c>
      <c r="E5" s="8" t="n">
        <v>11.3</v>
      </c>
      <c r="F5" s="4" t="n">
        <f aca="false">D5*E5</f>
        <v>5344.9</v>
      </c>
      <c r="G5" s="7" t="n">
        <v>393</v>
      </c>
      <c r="H5" s="9" t="n">
        <f aca="false">IF(G5&gt;0,D5/G5,"")</f>
        <v>1.20356234096692</v>
      </c>
      <c r="I5" s="10" t="n">
        <v>46184</v>
      </c>
      <c r="J5" s="3" t="s">
        <v>67</v>
      </c>
      <c r="K5" s="10" t="n">
        <v>46199</v>
      </c>
      <c r="L5" s="3" t="s">
        <v>24</v>
      </c>
      <c r="M5" s="7" t="n">
        <v>504</v>
      </c>
      <c r="N5" s="8" t="n">
        <v>11.3</v>
      </c>
      <c r="O5" s="4" t="n">
        <f aca="false">M5*N5</f>
        <v>5695.2</v>
      </c>
    </row>
    <row r="6" customFormat="false" ht="15" hidden="false" customHeight="false" outlineLevel="0" collapsed="false">
      <c r="A6" s="0" t="s">
        <v>68</v>
      </c>
      <c r="C6" s="0" t="s">
        <v>69</v>
      </c>
      <c r="D6" s="7" t="n">
        <v>5088</v>
      </c>
      <c r="E6" s="8" t="n">
        <v>0.962299528301887</v>
      </c>
      <c r="F6" s="4" t="n">
        <f aca="false">D6*E6</f>
        <v>4896.18</v>
      </c>
      <c r="G6" s="7" t="n">
        <v>2801</v>
      </c>
      <c r="H6" s="9" t="n">
        <f aca="false">IF(G6&gt;0,D6/G6,"")</f>
        <v>1.8164941092467</v>
      </c>
      <c r="I6" s="10" t="n">
        <v>46316</v>
      </c>
      <c r="J6" s="3" t="s">
        <v>70</v>
      </c>
      <c r="K6" s="10" t="n">
        <v>46231</v>
      </c>
      <c r="L6" s="3" t="s">
        <v>22</v>
      </c>
      <c r="M6" s="7" t="n">
        <v>5000</v>
      </c>
      <c r="N6" s="8" t="n">
        <v>0.964</v>
      </c>
      <c r="O6" s="4" t="n">
        <f aca="false">M6*N6</f>
        <v>4820</v>
      </c>
    </row>
    <row r="7" customFormat="false" ht="15" hidden="false" customHeight="false" outlineLevel="0" collapsed="false">
      <c r="A7" s="0" t="s">
        <v>71</v>
      </c>
      <c r="C7" s="0" t="s">
        <v>72</v>
      </c>
      <c r="D7" s="7" t="n">
        <v>5015</v>
      </c>
      <c r="E7" s="8" t="n">
        <v>0.962701894317049</v>
      </c>
      <c r="F7" s="4" t="n">
        <f aca="false">D7*E7</f>
        <v>4827.95</v>
      </c>
      <c r="G7" s="7" t="n">
        <v>616</v>
      </c>
      <c r="H7" s="9" t="n">
        <f aca="false">IF(G7&gt;0,D7/G7,"")</f>
        <v>8.14123376623377</v>
      </c>
      <c r="I7" s="10" t="n">
        <v>46177</v>
      </c>
      <c r="J7" s="3" t="s">
        <v>73</v>
      </c>
      <c r="K7" s="10" t="n">
        <v>46057</v>
      </c>
      <c r="L7" s="3" t="s">
        <v>22</v>
      </c>
      <c r="M7" s="7" t="n">
        <v>5000</v>
      </c>
      <c r="N7" s="8" t="n">
        <v>0.964</v>
      </c>
      <c r="O7" s="4" t="n">
        <f aca="false">M7*N7</f>
        <v>4820</v>
      </c>
    </row>
    <row r="8" customFormat="false" ht="15" hidden="false" customHeight="false" outlineLevel="0" collapsed="false">
      <c r="A8" s="0" t="s">
        <v>74</v>
      </c>
      <c r="C8" s="0" t="s">
        <v>31</v>
      </c>
      <c r="D8" s="7" t="n">
        <v>495674</v>
      </c>
      <c r="E8" s="8" t="n">
        <v>0.00933006371122956</v>
      </c>
      <c r="F8" s="4" t="n">
        <f aca="false">D8*E8</f>
        <v>4624.67</v>
      </c>
      <c r="G8" s="7" t="n">
        <v>624</v>
      </c>
      <c r="H8" s="9" t="n">
        <f aca="false">IF(G8&gt;0,D8/G8,"")</f>
        <v>794.349358974359</v>
      </c>
      <c r="I8" s="10" t="n">
        <v>46237</v>
      </c>
      <c r="J8" s="3" t="s">
        <v>75</v>
      </c>
      <c r="K8" s="10" t="n">
        <v>44385</v>
      </c>
      <c r="L8" s="3" t="s">
        <v>15</v>
      </c>
      <c r="M8" s="7" t="n">
        <v>623000</v>
      </c>
      <c r="N8" s="8" t="n">
        <v>0.00933</v>
      </c>
      <c r="O8" s="4" t="n">
        <f aca="false">M8*N8</f>
        <v>5812.59</v>
      </c>
    </row>
    <row r="9" customFormat="false" ht="15" hidden="false" customHeight="false" outlineLevel="0" collapsed="false">
      <c r="A9" s="0" t="s">
        <v>76</v>
      </c>
      <c r="C9" s="0" t="s">
        <v>66</v>
      </c>
      <c r="D9" s="7" t="n">
        <v>889</v>
      </c>
      <c r="E9" s="8" t="n">
        <v>4.09</v>
      </c>
      <c r="F9" s="4" t="n">
        <f aca="false">D9*E9</f>
        <v>3636.01</v>
      </c>
      <c r="G9" s="7" t="n">
        <v>536</v>
      </c>
      <c r="H9" s="9" t="n">
        <f aca="false">IF(G9&gt;0,D9/G9,"")</f>
        <v>1.65858208955224</v>
      </c>
      <c r="I9" s="10" t="n">
        <v>46183</v>
      </c>
      <c r="J9" s="3" t="s">
        <v>77</v>
      </c>
      <c r="K9" s="10" t="n">
        <v>46185</v>
      </c>
      <c r="L9" s="3" t="s">
        <v>24</v>
      </c>
      <c r="M9" s="7" t="n">
        <v>1008</v>
      </c>
      <c r="N9" s="8" t="n">
        <v>4.09</v>
      </c>
      <c r="O9" s="4" t="n">
        <f aca="false">M9*N9</f>
        <v>4122.72</v>
      </c>
    </row>
    <row r="10" customFormat="false" ht="15" hidden="false" customHeight="false" outlineLevel="0" collapsed="false">
      <c r="A10" s="0" t="s">
        <v>78</v>
      </c>
      <c r="C10" s="0" t="s">
        <v>79</v>
      </c>
      <c r="D10" s="7" t="n">
        <v>38678</v>
      </c>
      <c r="E10" s="8" t="n">
        <v>0.0938096592378096</v>
      </c>
      <c r="F10" s="4" t="n">
        <f aca="false">D10*E10</f>
        <v>3628.37</v>
      </c>
      <c r="G10" s="7" t="n">
        <v>25</v>
      </c>
      <c r="H10" s="9" t="n">
        <f aca="false">IF(G10&gt;0,D10/G10,"")</f>
        <v>1547.12</v>
      </c>
      <c r="I10" s="10" t="n">
        <v>46008</v>
      </c>
      <c r="J10" s="3" t="s">
        <v>80</v>
      </c>
      <c r="K10" s="10" t="n">
        <v>44887</v>
      </c>
      <c r="L10" s="3" t="s">
        <v>19</v>
      </c>
      <c r="M10" s="7" t="n">
        <v>4150</v>
      </c>
      <c r="N10" s="8" t="n">
        <v>0.1885</v>
      </c>
      <c r="O10" s="4" t="n">
        <f aca="false">M10*N10</f>
        <v>782.275</v>
      </c>
    </row>
    <row r="11" customFormat="false" ht="15" hidden="false" customHeight="false" outlineLevel="0" collapsed="false">
      <c r="A11" s="0" t="s">
        <v>81</v>
      </c>
      <c r="C11" s="0" t="s">
        <v>32</v>
      </c>
      <c r="D11" s="7" t="n">
        <v>1146388</v>
      </c>
      <c r="E11" s="8" t="n">
        <v>0.0031517688601067</v>
      </c>
      <c r="F11" s="4" t="n">
        <f aca="false">D11*E11</f>
        <v>3613.15</v>
      </c>
      <c r="G11" s="7" t="n">
        <v>175853</v>
      </c>
      <c r="H11" s="9" t="n">
        <f aca="false">IF(G11&gt;0,D11/G11,"")</f>
        <v>6.51901303929987</v>
      </c>
      <c r="I11" s="10" t="n">
        <v>46315</v>
      </c>
      <c r="J11" s="3" t="s">
        <v>82</v>
      </c>
      <c r="K11" s="10" t="n">
        <v>45304</v>
      </c>
      <c r="L11" s="3" t="s">
        <v>18</v>
      </c>
      <c r="M11" s="7" t="n">
        <v>400000</v>
      </c>
      <c r="N11" s="8" t="n">
        <v>0.0033</v>
      </c>
      <c r="O11" s="4" t="n">
        <f aca="false">M11*N11</f>
        <v>1320</v>
      </c>
    </row>
    <row r="12" customFormat="false" ht="15" hidden="false" customHeight="false" outlineLevel="0" collapsed="false">
      <c r="A12" s="0" t="s">
        <v>83</v>
      </c>
      <c r="C12" s="0" t="s">
        <v>38</v>
      </c>
      <c r="D12" s="7" t="n">
        <v>41871</v>
      </c>
      <c r="E12" s="8" t="n">
        <v>0.08</v>
      </c>
      <c r="F12" s="4" t="n">
        <f aca="false">D12*E12</f>
        <v>3349.68</v>
      </c>
      <c r="G12" s="7" t="n">
        <v>162</v>
      </c>
      <c r="H12" s="9" t="n">
        <f aca="false">IF(G12&gt;0,D12/G12,"")</f>
        <v>258.462962962963</v>
      </c>
      <c r="I12" s="10" t="n">
        <v>46231</v>
      </c>
      <c r="K12" s="10"/>
      <c r="M12" s="7"/>
      <c r="N12" s="8"/>
      <c r="O12" s="4"/>
    </row>
    <row r="13" customFormat="false" ht="15" hidden="false" customHeight="false" outlineLevel="0" collapsed="false">
      <c r="A13" s="0" t="s">
        <v>84</v>
      </c>
      <c r="C13" s="0" t="s">
        <v>85</v>
      </c>
      <c r="D13" s="7" t="n">
        <v>3495</v>
      </c>
      <c r="E13" s="8" t="n">
        <v>0.884755364806867</v>
      </c>
      <c r="F13" s="4" t="n">
        <f aca="false">D13*E13</f>
        <v>3092.22</v>
      </c>
      <c r="G13" s="7" t="n">
        <v>1662</v>
      </c>
      <c r="H13" s="9" t="n">
        <f aca="false">IF(G13&gt;0,D13/G13,"")</f>
        <v>2.1028880866426</v>
      </c>
      <c r="I13" s="10" t="n">
        <v>46310</v>
      </c>
      <c r="J13" s="3" t="s">
        <v>86</v>
      </c>
      <c r="K13" s="10" t="n">
        <v>45688</v>
      </c>
      <c r="L13" s="3" t="s">
        <v>22</v>
      </c>
      <c r="M13" s="7" t="n">
        <v>5200</v>
      </c>
      <c r="N13" s="8" t="n">
        <v>0.885</v>
      </c>
      <c r="O13" s="4" t="n">
        <f aca="false">M13*N13</f>
        <v>4602</v>
      </c>
    </row>
    <row r="14" customFormat="false" ht="15" hidden="false" customHeight="false" outlineLevel="0" collapsed="false">
      <c r="A14" s="0" t="s">
        <v>87</v>
      </c>
      <c r="C14" s="0" t="s">
        <v>37</v>
      </c>
      <c r="D14" s="7" t="n">
        <v>65919</v>
      </c>
      <c r="E14" s="8" t="n">
        <v>0.0446787724328342</v>
      </c>
      <c r="F14" s="4" t="n">
        <f aca="false">D14*E14</f>
        <v>2945.18</v>
      </c>
      <c r="G14" s="7" t="n">
        <v>65</v>
      </c>
      <c r="H14" s="9" t="n">
        <f aca="false">IF(G14&gt;0,D14/G14,"")</f>
        <v>1014.13846153846</v>
      </c>
      <c r="I14" s="10" t="n">
        <v>46317</v>
      </c>
      <c r="J14" s="3" t="s">
        <v>88</v>
      </c>
      <c r="K14" s="10" t="n">
        <v>45325</v>
      </c>
      <c r="L14" s="3" t="s">
        <v>15</v>
      </c>
      <c r="M14" s="7" t="n">
        <v>57125</v>
      </c>
      <c r="N14" s="8" t="n">
        <v>0.04442</v>
      </c>
      <c r="O14" s="4" t="n">
        <f aca="false">M14*N14</f>
        <v>2537.4925</v>
      </c>
    </row>
    <row r="15" customFormat="false" ht="15" hidden="false" customHeight="false" outlineLevel="0" collapsed="false">
      <c r="A15" s="0" t="s">
        <v>89</v>
      </c>
      <c r="C15" s="0" t="s">
        <v>37</v>
      </c>
      <c r="D15" s="7" t="n">
        <v>134649</v>
      </c>
      <c r="E15" s="8" t="n">
        <v>0.0205362832252746</v>
      </c>
      <c r="F15" s="4" t="n">
        <f aca="false">D15*E15</f>
        <v>2765.19</v>
      </c>
      <c r="G15" s="7" t="n">
        <v>110080</v>
      </c>
      <c r="H15" s="9" t="n">
        <f aca="false">IF(G15&gt;0,D15/G15,"")</f>
        <v>1.22319222383721</v>
      </c>
      <c r="I15" s="10" t="n">
        <v>46304</v>
      </c>
      <c r="J15" s="3" t="s">
        <v>90</v>
      </c>
      <c r="K15" s="10" t="n">
        <v>46055</v>
      </c>
      <c r="L15" s="3" t="s">
        <v>16</v>
      </c>
      <c r="M15" s="7" t="n">
        <v>30000</v>
      </c>
      <c r="N15" s="8" t="n">
        <v>0.0294</v>
      </c>
      <c r="O15" s="4" t="n">
        <f aca="false">M15*N15</f>
        <v>882</v>
      </c>
    </row>
    <row r="16" customFormat="false" ht="15" hidden="false" customHeight="false" outlineLevel="0" collapsed="false">
      <c r="A16" s="0" t="s">
        <v>91</v>
      </c>
      <c r="C16" s="0" t="s">
        <v>38</v>
      </c>
      <c r="D16" s="7" t="n">
        <v>38499</v>
      </c>
      <c r="E16" s="8" t="n">
        <v>0.07</v>
      </c>
      <c r="F16" s="4" t="n">
        <f aca="false">D16*E16</f>
        <v>2694.93</v>
      </c>
      <c r="G16" s="7" t="n">
        <v>232</v>
      </c>
      <c r="H16" s="9" t="n">
        <f aca="false">IF(G16&gt;0,D16/G16,"")</f>
        <v>165.943965517241</v>
      </c>
      <c r="I16" s="10" t="n">
        <v>46297</v>
      </c>
      <c r="K16" s="10"/>
      <c r="M16" s="7"/>
      <c r="N16" s="8"/>
      <c r="O16" s="4"/>
    </row>
    <row r="17" customFormat="false" ht="15" hidden="false" customHeight="false" outlineLevel="0" collapsed="false">
      <c r="A17" s="0" t="s">
        <v>92</v>
      </c>
      <c r="C17" s="0" t="s">
        <v>32</v>
      </c>
      <c r="D17" s="7" t="n">
        <v>1068341</v>
      </c>
      <c r="E17" s="8" t="n">
        <v>0.00245305571910092</v>
      </c>
      <c r="F17" s="4" t="n">
        <f aca="false">D17*E17</f>
        <v>2620.7</v>
      </c>
      <c r="G17" s="7" t="n">
        <v>154105</v>
      </c>
      <c r="H17" s="9" t="n">
        <f aca="false">IF(G17&gt;0,D17/G17,"")</f>
        <v>6.93255248045164</v>
      </c>
      <c r="I17" s="10" t="n">
        <v>46314</v>
      </c>
      <c r="J17" s="3" t="s">
        <v>93</v>
      </c>
      <c r="K17" s="10" t="n">
        <v>44957</v>
      </c>
      <c r="L17" s="3" t="s">
        <v>15</v>
      </c>
      <c r="M17" s="7" t="n">
        <v>1000000</v>
      </c>
      <c r="N17" s="8" t="n">
        <v>0.00276</v>
      </c>
      <c r="O17" s="4" t="n">
        <f aca="false">M17*N17</f>
        <v>2760</v>
      </c>
    </row>
    <row r="18" customFormat="false" ht="15" hidden="false" customHeight="false" outlineLevel="0" collapsed="false">
      <c r="A18" s="0" t="s">
        <v>94</v>
      </c>
      <c r="C18" s="0" t="s">
        <v>95</v>
      </c>
      <c r="D18" s="7" t="n">
        <v>1998</v>
      </c>
      <c r="E18" s="8" t="n">
        <v>1.2</v>
      </c>
      <c r="F18" s="4" t="n">
        <f aca="false">D18*E18</f>
        <v>2397.6</v>
      </c>
      <c r="G18" s="7" t="n">
        <v>1002</v>
      </c>
      <c r="H18" s="9" t="n">
        <f aca="false">IF(G18&gt;0,D18/G18,"")</f>
        <v>1.9940119760479</v>
      </c>
      <c r="I18" s="10" t="n">
        <v>46283</v>
      </c>
      <c r="J18" s="3" t="s">
        <v>96</v>
      </c>
      <c r="K18" s="10" t="n">
        <v>45435</v>
      </c>
      <c r="L18" s="3" t="s">
        <v>21</v>
      </c>
      <c r="M18" s="7" t="n">
        <v>4000</v>
      </c>
      <c r="N18" s="8" t="n">
        <v>1.2</v>
      </c>
      <c r="O18" s="4" t="n">
        <f aca="false">M18*N18</f>
        <v>4800</v>
      </c>
    </row>
    <row r="19" customFormat="false" ht="15" hidden="false" customHeight="false" outlineLevel="0" collapsed="false">
      <c r="A19" s="0" t="s">
        <v>97</v>
      </c>
      <c r="C19" s="0" t="s">
        <v>33</v>
      </c>
      <c r="D19" s="7" t="n">
        <v>156897</v>
      </c>
      <c r="E19" s="8" t="n">
        <v>0.014581094603466</v>
      </c>
      <c r="F19" s="4" t="n">
        <f aca="false">D19*E19</f>
        <v>2287.73</v>
      </c>
      <c r="G19" s="7" t="n">
        <v>26638</v>
      </c>
      <c r="H19" s="9" t="n">
        <f aca="false">IF(G19&gt;0,D19/G19,"")</f>
        <v>5.88996921690818</v>
      </c>
      <c r="I19" s="10" t="n">
        <v>46317</v>
      </c>
      <c r="J19" s="3" t="s">
        <v>98</v>
      </c>
      <c r="K19" s="10" t="n">
        <v>44600</v>
      </c>
      <c r="L19" s="3" t="s">
        <v>28</v>
      </c>
      <c r="M19" s="7" t="n">
        <v>188899</v>
      </c>
      <c r="N19" s="8" t="n">
        <v>0.0168</v>
      </c>
      <c r="O19" s="4" t="n">
        <v>3169.8408</v>
      </c>
    </row>
    <row r="20" customFormat="false" ht="15" hidden="false" customHeight="false" outlineLevel="0" collapsed="false">
      <c r="A20" s="0" t="s">
        <v>99</v>
      </c>
      <c r="C20" s="0" t="s">
        <v>100</v>
      </c>
      <c r="D20" s="7" t="n">
        <v>7804</v>
      </c>
      <c r="E20" s="8" t="n">
        <v>0.283899282419272</v>
      </c>
      <c r="F20" s="4" t="n">
        <f aca="false">D20*E20</f>
        <v>2215.55</v>
      </c>
      <c r="G20" s="7" t="n">
        <v>7588</v>
      </c>
      <c r="H20" s="9" t="n">
        <f aca="false">IF(G20&gt;0,D20/G20,"")</f>
        <v>1.0284659989457</v>
      </c>
      <c r="I20" s="10" t="n">
        <v>46310</v>
      </c>
      <c r="J20" s="3" t="s">
        <v>101</v>
      </c>
      <c r="K20" s="10" t="n">
        <v>45937</v>
      </c>
      <c r="L20" s="3" t="s">
        <v>23</v>
      </c>
      <c r="M20" s="7" t="n">
        <v>908</v>
      </c>
      <c r="N20" s="8" t="n">
        <v>0.3194</v>
      </c>
      <c r="O20" s="4" t="n">
        <f aca="false">M20*N20</f>
        <v>290.0152</v>
      </c>
    </row>
    <row r="21" customFormat="false" ht="15" hidden="false" customHeight="false" outlineLevel="0" collapsed="false">
      <c r="A21" s="0" t="s">
        <v>102</v>
      </c>
      <c r="C21" s="0" t="s">
        <v>42</v>
      </c>
      <c r="D21" s="7" t="n">
        <v>19244</v>
      </c>
      <c r="E21" s="8" t="n">
        <v>0.114500103928497</v>
      </c>
      <c r="F21" s="4" t="n">
        <f aca="false">D21*E21</f>
        <v>2203.44</v>
      </c>
      <c r="G21" s="7" t="n">
        <v>1747</v>
      </c>
      <c r="H21" s="9" t="n">
        <f aca="false">IF(G21&gt;0,D21/G21,"")</f>
        <v>11.0154550658271</v>
      </c>
      <c r="I21" s="10" t="n">
        <v>46308</v>
      </c>
      <c r="J21" s="3" t="s">
        <v>103</v>
      </c>
      <c r="K21" s="10" t="n">
        <v>44363</v>
      </c>
      <c r="L21" s="3" t="s">
        <v>104</v>
      </c>
      <c r="M21" s="7" t="n">
        <v>25000</v>
      </c>
      <c r="N21" s="8" t="n">
        <v>0.0795</v>
      </c>
      <c r="O21" s="4" t="n">
        <f aca="false">M21*N21</f>
        <v>1987.5</v>
      </c>
    </row>
    <row r="22" customFormat="false" ht="15" hidden="false" customHeight="false" outlineLevel="0" collapsed="false">
      <c r="A22" s="0" t="s">
        <v>105</v>
      </c>
      <c r="C22" s="0" t="s">
        <v>36</v>
      </c>
      <c r="D22" s="7" t="n">
        <v>18159</v>
      </c>
      <c r="E22" s="8" t="n">
        <v>0.119639848009252</v>
      </c>
      <c r="F22" s="4" t="n">
        <f aca="false">D22*E22</f>
        <v>2172.54</v>
      </c>
      <c r="G22" s="7" t="n">
        <v>203</v>
      </c>
      <c r="H22" s="9" t="n">
        <f aca="false">IF(G22&gt;0,D22/G22,"")</f>
        <v>89.4532019704434</v>
      </c>
      <c r="I22" s="10" t="n">
        <v>46163</v>
      </c>
      <c r="J22" s="3" t="s">
        <v>106</v>
      </c>
      <c r="K22" s="10" t="n">
        <v>44811</v>
      </c>
      <c r="L22" s="3" t="s">
        <v>15</v>
      </c>
      <c r="M22" s="7" t="n">
        <v>29465</v>
      </c>
      <c r="N22" s="8" t="n">
        <v>0.11964</v>
      </c>
      <c r="O22" s="4" t="n">
        <f aca="false">M22*N22</f>
        <v>3525.1926</v>
      </c>
    </row>
    <row r="23" customFormat="false" ht="15" hidden="false" customHeight="false" outlineLevel="0" collapsed="false">
      <c r="A23" s="0" t="s">
        <v>107</v>
      </c>
      <c r="D23" s="7" t="n">
        <v>602</v>
      </c>
      <c r="E23" s="8" t="n">
        <v>3.6</v>
      </c>
      <c r="F23" s="4" t="n">
        <f aca="false">D23*E23</f>
        <v>2167.2</v>
      </c>
      <c r="G23" s="7" t="n">
        <v>313</v>
      </c>
      <c r="H23" s="9" t="n">
        <f aca="false">IF(G23&gt;0,D23/G23,"")</f>
        <v>1.92332268370607</v>
      </c>
      <c r="I23" s="10" t="n">
        <v>46181</v>
      </c>
      <c r="J23" s="3" t="s">
        <v>108</v>
      </c>
      <c r="K23" s="10" t="n">
        <v>46253</v>
      </c>
      <c r="L23" s="3" t="s">
        <v>20</v>
      </c>
      <c r="M23" s="7" t="n">
        <v>1000</v>
      </c>
      <c r="N23" s="8" t="n">
        <v>5</v>
      </c>
      <c r="O23" s="4" t="n">
        <f aca="false">M23*N23</f>
        <v>5000</v>
      </c>
    </row>
    <row r="24" customFormat="false" ht="15" hidden="false" customHeight="false" outlineLevel="0" collapsed="false">
      <c r="A24" s="0" t="s">
        <v>109</v>
      </c>
      <c r="C24" s="0" t="s">
        <v>42</v>
      </c>
      <c r="D24" s="7" t="n">
        <v>6116</v>
      </c>
      <c r="E24" s="8" t="n">
        <v>0.347567037279268</v>
      </c>
      <c r="F24" s="4" t="n">
        <f aca="false">D24*E24</f>
        <v>2125.72</v>
      </c>
      <c r="G24" s="7" t="n">
        <v>1799</v>
      </c>
      <c r="H24" s="9" t="n">
        <f aca="false">IF(G24&gt;0,D24/G24,"")</f>
        <v>3.39966648137854</v>
      </c>
      <c r="I24" s="10" t="n">
        <v>46190</v>
      </c>
      <c r="J24" s="3" t="s">
        <v>110</v>
      </c>
      <c r="K24" s="10" t="n">
        <v>46134</v>
      </c>
      <c r="L24" s="3" t="s">
        <v>14</v>
      </c>
      <c r="M24" s="7" t="n">
        <v>5000</v>
      </c>
      <c r="N24" s="8" t="n">
        <v>0.3445</v>
      </c>
      <c r="O24" s="4" t="n">
        <f aca="false">M24*N24</f>
        <v>1722.5</v>
      </c>
    </row>
    <row r="25" customFormat="false" ht="15" hidden="false" customHeight="false" outlineLevel="0" collapsed="false">
      <c r="A25" s="0" t="s">
        <v>111</v>
      </c>
      <c r="C25" s="0" t="s">
        <v>44</v>
      </c>
      <c r="D25" s="7" t="n">
        <v>498</v>
      </c>
      <c r="E25" s="8" t="n">
        <v>4.16068273092369</v>
      </c>
      <c r="F25" s="4" t="n">
        <f aca="false">D25*E25</f>
        <v>2072.02</v>
      </c>
      <c r="G25" s="7" t="n">
        <v>1</v>
      </c>
      <c r="H25" s="9" t="n">
        <f aca="false">IF(G25&gt;0,D25/G25,"")</f>
        <v>498</v>
      </c>
      <c r="I25" s="10" t="n">
        <v>46212</v>
      </c>
      <c r="J25" s="3" t="s">
        <v>112</v>
      </c>
      <c r="K25" s="10" t="n">
        <v>45138</v>
      </c>
      <c r="L25" s="3" t="s">
        <v>14</v>
      </c>
      <c r="M25" s="7" t="n">
        <v>507</v>
      </c>
      <c r="N25" s="8" t="n">
        <v>0</v>
      </c>
      <c r="O25" s="4" t="n">
        <v>2110</v>
      </c>
    </row>
    <row r="26" customFormat="false" ht="15" hidden="false" customHeight="false" outlineLevel="0" collapsed="false">
      <c r="A26" s="0" t="s">
        <v>113</v>
      </c>
      <c r="C26" s="0" t="s">
        <v>33</v>
      </c>
      <c r="D26" s="7" t="n">
        <v>72900</v>
      </c>
      <c r="E26" s="8" t="n">
        <v>0.0282699588477366</v>
      </c>
      <c r="F26" s="4" t="n">
        <f aca="false">D26*E26</f>
        <v>2060.88</v>
      </c>
      <c r="G26" s="7" t="n">
        <v>48160</v>
      </c>
      <c r="H26" s="9" t="n">
        <f aca="false">IF(G26&gt;0,D26/G26,"")</f>
        <v>1.51370431893688</v>
      </c>
      <c r="I26" s="10" t="n">
        <v>46314</v>
      </c>
      <c r="J26" s="3" t="s">
        <v>114</v>
      </c>
      <c r="K26" s="10" t="n">
        <v>46224</v>
      </c>
      <c r="L26" s="3" t="s">
        <v>18</v>
      </c>
      <c r="M26" s="7" t="n">
        <v>78855</v>
      </c>
      <c r="N26" s="8" t="n">
        <v>0.0283</v>
      </c>
      <c r="O26" s="4" t="n">
        <f aca="false">M26*N26</f>
        <v>2231.5965</v>
      </c>
    </row>
    <row r="27" customFormat="false" ht="15" hidden="false" customHeight="false" outlineLevel="0" collapsed="false">
      <c r="A27" s="0" t="s">
        <v>115</v>
      </c>
      <c r="C27" s="0" t="s">
        <v>36</v>
      </c>
      <c r="D27" s="7" t="n">
        <v>368374</v>
      </c>
      <c r="E27" s="8" t="n">
        <v>0.0054827430817593</v>
      </c>
      <c r="F27" s="4" t="n">
        <f aca="false">D27*E27</f>
        <v>2019.7</v>
      </c>
      <c r="G27" s="7" t="n">
        <v>6961</v>
      </c>
      <c r="H27" s="9" t="n">
        <f aca="false">IF(G27&gt;0,D27/G27,"")</f>
        <v>52.9196954460566</v>
      </c>
      <c r="I27" s="10" t="n">
        <v>46304</v>
      </c>
      <c r="J27" s="3" t="s">
        <v>116</v>
      </c>
      <c r="K27" s="10" t="n">
        <v>44294</v>
      </c>
      <c r="L27" s="3" t="s">
        <v>19</v>
      </c>
      <c r="M27" s="7" t="n">
        <v>364648</v>
      </c>
      <c r="N27" s="8" t="n">
        <v>0.0056</v>
      </c>
      <c r="O27" s="4" t="n">
        <f aca="false">M27*N27</f>
        <v>2042.0288</v>
      </c>
    </row>
    <row r="28" customFormat="false" ht="15" hidden="false" customHeight="false" outlineLevel="0" collapsed="false">
      <c r="A28" s="0" t="s">
        <v>117</v>
      </c>
      <c r="C28" s="0" t="s">
        <v>118</v>
      </c>
      <c r="D28" s="7" t="n">
        <v>106401</v>
      </c>
      <c r="E28" s="8" t="n">
        <v>0.0188002932303268</v>
      </c>
      <c r="F28" s="4" t="n">
        <f aca="false">D28*E28</f>
        <v>2000.37</v>
      </c>
      <c r="G28" s="7" t="n">
        <v>93</v>
      </c>
      <c r="H28" s="9" t="n">
        <f aca="false">IF(G28&gt;0,D28/G28,"")</f>
        <v>1144.09677419355</v>
      </c>
      <c r="I28" s="10" t="n">
        <v>46099</v>
      </c>
      <c r="K28" s="10"/>
      <c r="M28" s="7"/>
      <c r="N28" s="8"/>
      <c r="O28" s="4"/>
    </row>
    <row r="29" customFormat="false" ht="15" hidden="false" customHeight="false" outlineLevel="0" collapsed="false">
      <c r="A29" s="0" t="s">
        <v>119</v>
      </c>
      <c r="C29" s="0" t="s">
        <v>120</v>
      </c>
      <c r="D29" s="7" t="n">
        <v>4847</v>
      </c>
      <c r="E29" s="8" t="n">
        <v>0.407000206313183</v>
      </c>
      <c r="F29" s="4" t="n">
        <f aca="false">D29*E29</f>
        <v>1972.73</v>
      </c>
      <c r="G29" s="7" t="n">
        <v>251</v>
      </c>
      <c r="H29" s="9" t="n">
        <f aca="false">IF(G29&gt;0,D29/G29,"")</f>
        <v>19.3107569721116</v>
      </c>
      <c r="I29" s="10" t="n">
        <v>46156</v>
      </c>
      <c r="J29" s="3" t="s">
        <v>121</v>
      </c>
      <c r="K29" s="10" t="n">
        <v>45959</v>
      </c>
      <c r="L29" s="3" t="s">
        <v>22</v>
      </c>
      <c r="M29" s="7" t="n">
        <v>5000</v>
      </c>
      <c r="N29" s="8" t="n">
        <v>0.407</v>
      </c>
      <c r="O29" s="4" t="n">
        <f aca="false">M29*N29</f>
        <v>2035</v>
      </c>
    </row>
    <row r="30" customFormat="false" ht="15" hidden="false" customHeight="false" outlineLevel="0" collapsed="false">
      <c r="A30" s="0" t="s">
        <v>122</v>
      </c>
      <c r="C30" s="0" t="s">
        <v>33</v>
      </c>
      <c r="D30" s="7" t="n">
        <v>64677</v>
      </c>
      <c r="E30" s="8" t="n">
        <v>0.0297577191273559</v>
      </c>
      <c r="F30" s="4" t="n">
        <f aca="false">D30*E30</f>
        <v>1924.64</v>
      </c>
      <c r="G30" s="7" t="n">
        <v>18444</v>
      </c>
      <c r="H30" s="9" t="n">
        <f aca="false">IF(G30&gt;0,D30/G30,"")</f>
        <v>3.50666883539362</v>
      </c>
      <c r="I30" s="10" t="n">
        <v>46317</v>
      </c>
      <c r="J30" s="3" t="s">
        <v>123</v>
      </c>
      <c r="K30" s="10" t="n">
        <v>44914</v>
      </c>
      <c r="L30" s="3" t="s">
        <v>14</v>
      </c>
      <c r="M30" s="7" t="n">
        <v>70169</v>
      </c>
      <c r="N30" s="8" t="n">
        <v>0.014</v>
      </c>
      <c r="O30" s="4" t="n">
        <f aca="false">M30*N30</f>
        <v>982.366</v>
      </c>
    </row>
    <row r="31" customFormat="false" ht="15" hidden="false" customHeight="false" outlineLevel="0" collapsed="false">
      <c r="A31" s="0" t="s">
        <v>124</v>
      </c>
      <c r="C31" s="0" t="s">
        <v>69</v>
      </c>
      <c r="D31" s="7" t="n">
        <v>3000</v>
      </c>
      <c r="E31" s="8" t="n">
        <v>0.612</v>
      </c>
      <c r="F31" s="4" t="n">
        <f aca="false">D31*E31</f>
        <v>1836</v>
      </c>
      <c r="G31" s="7" t="n">
        <v>3000</v>
      </c>
      <c r="H31" s="9" t="n">
        <f aca="false">IF(G31&gt;0,D31/G31,"")</f>
        <v>1</v>
      </c>
      <c r="I31" s="10" t="n">
        <v>46294</v>
      </c>
      <c r="J31" s="3" t="s">
        <v>125</v>
      </c>
      <c r="K31" s="10" t="n">
        <v>46188</v>
      </c>
      <c r="L31" s="3" t="s">
        <v>22</v>
      </c>
      <c r="M31" s="7" t="n">
        <v>6000</v>
      </c>
      <c r="N31" s="8" t="n">
        <v>0.612</v>
      </c>
      <c r="O31" s="4" t="n">
        <f aca="false">M31*N31</f>
        <v>3672</v>
      </c>
    </row>
    <row r="32" customFormat="false" ht="15" hidden="false" customHeight="false" outlineLevel="0" collapsed="false">
      <c r="A32" s="0" t="s">
        <v>126</v>
      </c>
      <c r="C32" s="0" t="s">
        <v>42</v>
      </c>
      <c r="D32" s="7" t="n">
        <v>2972</v>
      </c>
      <c r="E32" s="8" t="n">
        <v>0.604592866756393</v>
      </c>
      <c r="F32" s="4" t="n">
        <f aca="false">D32*E32</f>
        <v>1796.85</v>
      </c>
      <c r="G32" s="7" t="n">
        <v>1151</v>
      </c>
      <c r="H32" s="9" t="n">
        <f aca="false">IF(G32&gt;0,D32/G32,"")</f>
        <v>2.58210251954822</v>
      </c>
      <c r="I32" s="10" t="n">
        <v>46300</v>
      </c>
      <c r="J32" s="3" t="s">
        <v>110</v>
      </c>
      <c r="K32" s="10" t="n">
        <v>46134</v>
      </c>
      <c r="L32" s="3" t="s">
        <v>14</v>
      </c>
      <c r="M32" s="7" t="n">
        <v>2500</v>
      </c>
      <c r="N32" s="8" t="n">
        <v>0.5816</v>
      </c>
      <c r="O32" s="4" t="n">
        <f aca="false">M32*N32</f>
        <v>1454</v>
      </c>
    </row>
    <row r="33" customFormat="false" ht="15" hidden="false" customHeight="false" outlineLevel="0" collapsed="false">
      <c r="A33" s="0" t="s">
        <v>127</v>
      </c>
      <c r="C33" s="0" t="s">
        <v>128</v>
      </c>
      <c r="D33" s="7" t="n">
        <v>4065</v>
      </c>
      <c r="E33" s="8" t="n">
        <v>0.4349987699877</v>
      </c>
      <c r="F33" s="4" t="n">
        <f aca="false">D33*E33</f>
        <v>1768.27</v>
      </c>
      <c r="G33" s="7" t="n">
        <v>525</v>
      </c>
      <c r="H33" s="9" t="n">
        <f aca="false">IF(G33&gt;0,D33/G33,"")</f>
        <v>7.74285714285714</v>
      </c>
      <c r="I33" s="10" t="n">
        <v>46288</v>
      </c>
      <c r="J33" s="3" t="s">
        <v>129</v>
      </c>
      <c r="K33" s="10" t="n">
        <v>45763</v>
      </c>
      <c r="L33" s="3" t="s">
        <v>22</v>
      </c>
      <c r="M33" s="7" t="n">
        <v>5000</v>
      </c>
      <c r="N33" s="8" t="n">
        <v>0.435</v>
      </c>
      <c r="O33" s="4" t="n">
        <f aca="false">M33*N33</f>
        <v>2175</v>
      </c>
    </row>
    <row r="34" customFormat="false" ht="15" hidden="false" customHeight="false" outlineLevel="0" collapsed="false">
      <c r="A34" s="0" t="s">
        <v>130</v>
      </c>
      <c r="C34" s="0" t="s">
        <v>32</v>
      </c>
      <c r="D34" s="7" t="n">
        <v>255733</v>
      </c>
      <c r="E34" s="8" t="n">
        <v>0.00688604912154474</v>
      </c>
      <c r="F34" s="4" t="n">
        <f aca="false">D34*E34</f>
        <v>1760.99</v>
      </c>
      <c r="G34" s="7" t="n">
        <v>46520</v>
      </c>
      <c r="H34" s="9" t="n">
        <f aca="false">IF(G34&gt;0,D34/G34,"")</f>
        <v>5.49726999140155</v>
      </c>
      <c r="I34" s="10" t="n">
        <v>46316</v>
      </c>
      <c r="J34" s="3" t="s">
        <v>131</v>
      </c>
      <c r="K34" s="10" t="n">
        <v>44719</v>
      </c>
      <c r="L34" s="3" t="s">
        <v>15</v>
      </c>
      <c r="M34" s="7" t="n">
        <v>38571</v>
      </c>
      <c r="N34" s="8" t="n">
        <v>0.00444</v>
      </c>
      <c r="O34" s="4" t="n">
        <f aca="false">M34*N34</f>
        <v>171.25524</v>
      </c>
    </row>
    <row r="35" customFormat="false" ht="15" hidden="false" customHeight="false" outlineLevel="0" collapsed="false">
      <c r="A35" s="0" t="s">
        <v>132</v>
      </c>
      <c r="C35" s="0" t="s">
        <v>44</v>
      </c>
      <c r="D35" s="7" t="n">
        <v>487</v>
      </c>
      <c r="E35" s="8" t="n">
        <v>3.59870636550308</v>
      </c>
      <c r="F35" s="4" t="n">
        <f aca="false">D35*E35</f>
        <v>1752.57</v>
      </c>
      <c r="G35" s="7" t="n">
        <v>108</v>
      </c>
      <c r="H35" s="9" t="n">
        <f aca="false">IF(G35&gt;0,D35/G35,"")</f>
        <v>4.50925925925926</v>
      </c>
      <c r="I35" s="10" t="n">
        <v>46315</v>
      </c>
      <c r="J35" s="3" t="s">
        <v>133</v>
      </c>
      <c r="K35" s="10" t="n">
        <v>45447</v>
      </c>
      <c r="L35" s="3" t="s">
        <v>14</v>
      </c>
      <c r="M35" s="7" t="n">
        <v>260</v>
      </c>
      <c r="N35" s="8" t="n">
        <v>3.9665</v>
      </c>
      <c r="O35" s="4" t="n">
        <f aca="false">M35*N35</f>
        <v>1031.29</v>
      </c>
    </row>
    <row r="36" customFormat="false" ht="15" hidden="false" customHeight="false" outlineLevel="0" collapsed="false">
      <c r="A36" s="0" t="s">
        <v>134</v>
      </c>
      <c r="C36" s="0" t="s">
        <v>39</v>
      </c>
      <c r="D36" s="7" t="n">
        <v>2750</v>
      </c>
      <c r="E36" s="8" t="n">
        <v>0.633134545454546</v>
      </c>
      <c r="F36" s="4" t="n">
        <f aca="false">D36*E36</f>
        <v>1741.12</v>
      </c>
      <c r="G36" s="7" t="n">
        <v>527</v>
      </c>
      <c r="H36" s="9" t="n">
        <f aca="false">IF(G36&gt;0,D36/G36,"")</f>
        <v>5.21821631878558</v>
      </c>
      <c r="I36" s="10" t="n">
        <v>46142</v>
      </c>
      <c r="J36" s="3" t="s">
        <v>135</v>
      </c>
      <c r="K36" s="10" t="n">
        <v>45316</v>
      </c>
      <c r="L36" s="3" t="s">
        <v>18</v>
      </c>
      <c r="M36" s="7" t="n">
        <v>1200</v>
      </c>
      <c r="N36" s="8" t="n">
        <v>0.6491</v>
      </c>
      <c r="O36" s="4" t="n">
        <f aca="false">M36*N36</f>
        <v>778.92</v>
      </c>
    </row>
    <row r="37" customFormat="false" ht="15" hidden="false" customHeight="false" outlineLevel="0" collapsed="false">
      <c r="A37" s="0" t="s">
        <v>136</v>
      </c>
      <c r="C37" s="0" t="s">
        <v>31</v>
      </c>
      <c r="D37" s="7" t="n">
        <v>314992</v>
      </c>
      <c r="E37" s="8" t="n">
        <v>0.00540010539950221</v>
      </c>
      <c r="F37" s="4" t="n">
        <f aca="false">D37*E37</f>
        <v>1700.99</v>
      </c>
      <c r="G37" s="7" t="n">
        <v>9525</v>
      </c>
      <c r="H37" s="9" t="n">
        <f aca="false">IF(G37&gt;0,D37/G37,"")</f>
        <v>33.0700262467192</v>
      </c>
      <c r="I37" s="10" t="n">
        <v>46316</v>
      </c>
      <c r="J37" s="3" t="s">
        <v>137</v>
      </c>
      <c r="K37" s="10" t="n">
        <v>44902</v>
      </c>
      <c r="L37" s="3" t="s">
        <v>19</v>
      </c>
      <c r="M37" s="7" t="n">
        <v>492716</v>
      </c>
      <c r="N37" s="8" t="n">
        <v>0.0054</v>
      </c>
      <c r="O37" s="4" t="n">
        <f aca="false">M37*N37</f>
        <v>2660.6664</v>
      </c>
    </row>
    <row r="38" customFormat="false" ht="15" hidden="false" customHeight="false" outlineLevel="0" collapsed="false">
      <c r="A38" s="0" t="s">
        <v>138</v>
      </c>
      <c r="D38" s="7" t="n">
        <v>403</v>
      </c>
      <c r="E38" s="8" t="n">
        <v>4.15</v>
      </c>
      <c r="F38" s="4" t="n">
        <f aca="false">D38*E38</f>
        <v>1672.45</v>
      </c>
      <c r="G38" s="7" t="n">
        <v>58</v>
      </c>
      <c r="H38" s="9" t="n">
        <f aca="false">IF(G38&gt;0,D38/G38,"")</f>
        <v>6.94827586206897</v>
      </c>
      <c r="I38" s="10" t="n">
        <v>46175</v>
      </c>
      <c r="J38" s="3" t="s">
        <v>139</v>
      </c>
      <c r="K38" s="10" t="n">
        <v>46062</v>
      </c>
      <c r="L38" s="3" t="s">
        <v>24</v>
      </c>
      <c r="M38" s="7" t="n">
        <v>504</v>
      </c>
      <c r="N38" s="8" t="n">
        <v>4.15</v>
      </c>
      <c r="O38" s="4" t="n">
        <f aca="false">M38*N38</f>
        <v>2091.6</v>
      </c>
    </row>
    <row r="39" customFormat="false" ht="15" hidden="false" customHeight="false" outlineLevel="0" collapsed="false">
      <c r="A39" s="0" t="s">
        <v>140</v>
      </c>
      <c r="C39" s="0" t="s">
        <v>33</v>
      </c>
      <c r="D39" s="7" t="n">
        <v>276313</v>
      </c>
      <c r="E39" s="8" t="n">
        <v>0.00603004563665119</v>
      </c>
      <c r="F39" s="4" t="n">
        <f aca="false">D39*E39</f>
        <v>1666.18</v>
      </c>
      <c r="G39" s="7" t="n">
        <v>1110</v>
      </c>
      <c r="H39" s="9" t="n">
        <f aca="false">IF(G39&gt;0,D39/G39,"")</f>
        <v>248.930630630631</v>
      </c>
      <c r="I39" s="10" t="n">
        <v>46283</v>
      </c>
      <c r="J39" s="3" t="s">
        <v>141</v>
      </c>
      <c r="K39" s="10" t="n">
        <v>44323</v>
      </c>
      <c r="L39" s="3" t="s">
        <v>16</v>
      </c>
      <c r="M39" s="7" t="n">
        <v>143173</v>
      </c>
      <c r="N39" s="8" t="n">
        <v>0.0065</v>
      </c>
      <c r="O39" s="4" t="n">
        <f aca="false">M39*N39</f>
        <v>930.6245</v>
      </c>
    </row>
    <row r="40" customFormat="false" ht="15" hidden="false" customHeight="false" outlineLevel="0" collapsed="false">
      <c r="A40" s="0" t="s">
        <v>142</v>
      </c>
      <c r="C40" s="0" t="s">
        <v>143</v>
      </c>
      <c r="D40" s="7" t="n">
        <v>5</v>
      </c>
      <c r="E40" s="8" t="n">
        <v>333.12</v>
      </c>
      <c r="F40" s="4" t="n">
        <f aca="false">D40*E40</f>
        <v>1665.6</v>
      </c>
      <c r="G40" s="7" t="n">
        <v>5</v>
      </c>
      <c r="H40" s="9" t="n">
        <f aca="false">IF(G40&gt;0,D40/G40,"")</f>
        <v>1</v>
      </c>
      <c r="I40" s="10" t="n">
        <v>46196</v>
      </c>
      <c r="J40" s="3" t="s">
        <v>144</v>
      </c>
      <c r="K40" s="10" t="n">
        <v>46105</v>
      </c>
      <c r="L40" s="3" t="s">
        <v>145</v>
      </c>
      <c r="M40" s="7" t="n">
        <v>5</v>
      </c>
      <c r="N40" s="8" t="n">
        <v>333.12</v>
      </c>
      <c r="O40" s="4" t="n">
        <f aca="false">M40*N40</f>
        <v>1665.6</v>
      </c>
    </row>
    <row r="41" customFormat="false" ht="15" hidden="false" customHeight="false" outlineLevel="0" collapsed="false">
      <c r="A41" s="0" t="s">
        <v>146</v>
      </c>
      <c r="C41" s="0" t="s">
        <v>39</v>
      </c>
      <c r="D41" s="7" t="n">
        <v>2375</v>
      </c>
      <c r="E41" s="8" t="n">
        <v>0.691583157894737</v>
      </c>
      <c r="F41" s="4" t="n">
        <f aca="false">D41*E41</f>
        <v>1642.51</v>
      </c>
      <c r="G41" s="7" t="n">
        <v>29</v>
      </c>
      <c r="H41" s="9" t="n">
        <f aca="false">IF(G41&gt;0,D41/G41,"")</f>
        <v>81.8965517241379</v>
      </c>
      <c r="I41" s="10" t="n">
        <v>46178</v>
      </c>
      <c r="J41" s="3" t="s">
        <v>147</v>
      </c>
      <c r="K41" s="10" t="n">
        <v>44777</v>
      </c>
      <c r="L41" s="3" t="s">
        <v>20</v>
      </c>
      <c r="M41" s="7" t="n">
        <v>700</v>
      </c>
      <c r="N41" s="8" t="n">
        <v>0.7356114</v>
      </c>
      <c r="O41" s="4" t="n">
        <f aca="false">M41*N41</f>
        <v>514.92798</v>
      </c>
    </row>
    <row r="42" customFormat="false" ht="15" hidden="false" customHeight="false" outlineLevel="0" collapsed="false">
      <c r="A42" s="0" t="s">
        <v>148</v>
      </c>
      <c r="C42" s="0" t="s">
        <v>32</v>
      </c>
      <c r="D42" s="7" t="n">
        <v>351675</v>
      </c>
      <c r="E42" s="8" t="n">
        <v>0.00462202317480628</v>
      </c>
      <c r="F42" s="4" t="n">
        <f aca="false">D42*E42</f>
        <v>1625.45</v>
      </c>
      <c r="G42" s="7" t="n">
        <v>94616</v>
      </c>
      <c r="H42" s="9" t="n">
        <f aca="false">IF(G42&gt;0,D42/G42,"")</f>
        <v>3.71686606916378</v>
      </c>
      <c r="I42" s="10" t="n">
        <v>46316</v>
      </c>
      <c r="J42" s="3" t="s">
        <v>149</v>
      </c>
      <c r="K42" s="10" t="n">
        <v>46259</v>
      </c>
      <c r="L42" s="3" t="s">
        <v>14</v>
      </c>
      <c r="M42" s="7" t="n">
        <v>243000</v>
      </c>
      <c r="N42" s="8" t="n">
        <v>0.0046</v>
      </c>
      <c r="O42" s="4" t="n">
        <f aca="false">M42*N42</f>
        <v>1117.8</v>
      </c>
    </row>
    <row r="43" customFormat="false" ht="15" hidden="false" customHeight="false" outlineLevel="0" collapsed="false">
      <c r="A43" s="0" t="s">
        <v>150</v>
      </c>
      <c r="C43" s="0" t="s">
        <v>42</v>
      </c>
      <c r="D43" s="7" t="n">
        <v>190</v>
      </c>
      <c r="E43" s="8" t="n">
        <v>8.35247368421053</v>
      </c>
      <c r="F43" s="4" t="n">
        <f aca="false">D43*E43</f>
        <v>1586.97</v>
      </c>
      <c r="G43" s="7" t="n">
        <v>10</v>
      </c>
      <c r="H43" s="9" t="n">
        <f aca="false">IF(G43&gt;0,D43/G43,"")</f>
        <v>19</v>
      </c>
      <c r="I43" s="10" t="n">
        <v>46260</v>
      </c>
      <c r="J43" s="3" t="s">
        <v>151</v>
      </c>
      <c r="K43" s="10" t="n">
        <v>45006</v>
      </c>
      <c r="L43" s="3" t="s">
        <v>14</v>
      </c>
      <c r="M43" s="7" t="n">
        <v>300</v>
      </c>
      <c r="N43" s="8" t="n">
        <v>8.3525</v>
      </c>
      <c r="O43" s="4" t="n">
        <f aca="false">M43*N43</f>
        <v>2505.75</v>
      </c>
    </row>
    <row r="44" customFormat="false" ht="15" hidden="false" customHeight="false" outlineLevel="0" collapsed="false">
      <c r="A44" s="0" t="s">
        <v>152</v>
      </c>
      <c r="C44" s="0" t="s">
        <v>85</v>
      </c>
      <c r="D44" s="7" t="n">
        <v>6794</v>
      </c>
      <c r="E44" s="8" t="n">
        <v>0.229548130703562</v>
      </c>
      <c r="F44" s="4" t="n">
        <f aca="false">D44*E44</f>
        <v>1559.55</v>
      </c>
      <c r="G44" s="7" t="n">
        <v>5051</v>
      </c>
      <c r="H44" s="9" t="n">
        <f aca="false">IF(G44&gt;0,D44/G44,"")</f>
        <v>1.34508018214215</v>
      </c>
      <c r="I44" s="10" t="n">
        <v>46274</v>
      </c>
      <c r="J44" s="3" t="s">
        <v>153</v>
      </c>
      <c r="K44" s="10" t="n">
        <v>46268</v>
      </c>
      <c r="L44" s="3" t="s">
        <v>154</v>
      </c>
      <c r="M44" s="7" t="n">
        <v>1000</v>
      </c>
      <c r="N44" s="8" t="n">
        <v>0.36</v>
      </c>
      <c r="O44" s="4" t="n">
        <f aca="false">M44*N44</f>
        <v>360</v>
      </c>
    </row>
    <row r="45" customFormat="false" ht="15" hidden="false" customHeight="false" outlineLevel="0" collapsed="false">
      <c r="A45" s="0" t="s">
        <v>155</v>
      </c>
      <c r="C45" s="0" t="s">
        <v>42</v>
      </c>
      <c r="D45" s="7" t="n">
        <v>2924</v>
      </c>
      <c r="E45" s="8" t="n">
        <v>0.531138850889193</v>
      </c>
      <c r="F45" s="4" t="n">
        <f aca="false">D45*E45</f>
        <v>1553.05</v>
      </c>
      <c r="G45" s="7" t="n">
        <v>575</v>
      </c>
      <c r="H45" s="9" t="n">
        <f aca="false">IF(G45&gt;0,D45/G45,"")</f>
        <v>5.08521739130435</v>
      </c>
      <c r="I45" s="10" t="n">
        <v>46185</v>
      </c>
      <c r="J45" s="3" t="s">
        <v>110</v>
      </c>
      <c r="K45" s="10" t="n">
        <v>46134</v>
      </c>
      <c r="L45" s="3" t="s">
        <v>14</v>
      </c>
      <c r="M45" s="7" t="n">
        <v>2500</v>
      </c>
      <c r="N45" s="8" t="n">
        <v>0.5179</v>
      </c>
      <c r="O45" s="4" t="n">
        <f aca="false">M45*N45</f>
        <v>1294.75</v>
      </c>
    </row>
    <row r="46" customFormat="false" ht="15" hidden="false" customHeight="false" outlineLevel="0" collapsed="false">
      <c r="A46" s="0" t="s">
        <v>156</v>
      </c>
      <c r="C46" s="0" t="s">
        <v>31</v>
      </c>
      <c r="D46" s="7" t="n">
        <v>949</v>
      </c>
      <c r="E46" s="8" t="n">
        <v>1.59600632244468</v>
      </c>
      <c r="F46" s="4" t="n">
        <f aca="false">D46*E46</f>
        <v>1514.61</v>
      </c>
      <c r="G46" s="7" t="n">
        <v>10</v>
      </c>
      <c r="H46" s="9" t="n">
        <f aca="false">IF(G46&gt;0,D46/G46,"")</f>
        <v>94.9</v>
      </c>
      <c r="I46" s="10" t="n">
        <v>46009</v>
      </c>
      <c r="J46" s="3" t="s">
        <v>157</v>
      </c>
      <c r="K46" s="10" t="n">
        <v>44743</v>
      </c>
      <c r="L46" s="3" t="s">
        <v>25</v>
      </c>
      <c r="M46" s="7" t="n">
        <v>1000</v>
      </c>
      <c r="N46" s="8" t="n">
        <v>1.596</v>
      </c>
      <c r="O46" s="4" t="n">
        <f aca="false">M46*N46</f>
        <v>1596</v>
      </c>
    </row>
    <row r="47" customFormat="false" ht="15" hidden="false" customHeight="false" outlineLevel="0" collapsed="false">
      <c r="A47" s="0" t="s">
        <v>158</v>
      </c>
      <c r="C47" s="0" t="s">
        <v>159</v>
      </c>
      <c r="D47" s="7" t="n">
        <v>188</v>
      </c>
      <c r="E47" s="8" t="n">
        <v>7.99</v>
      </c>
      <c r="F47" s="4" t="n">
        <f aca="false">D47*E47</f>
        <v>1502.12</v>
      </c>
      <c r="G47" s="7" t="n">
        <v>102</v>
      </c>
      <c r="H47" s="9" t="n">
        <f aca="false">IF(G47&gt;0,D47/G47,"")</f>
        <v>1.84313725490196</v>
      </c>
      <c r="I47" s="10" t="n">
        <v>46308</v>
      </c>
      <c r="J47" s="3" t="s">
        <v>160</v>
      </c>
      <c r="K47" s="10" t="n">
        <v>46219</v>
      </c>
      <c r="L47" s="3" t="s">
        <v>14</v>
      </c>
      <c r="M47" s="7" t="n">
        <v>100</v>
      </c>
      <c r="N47" s="8" t="n">
        <v>7.99</v>
      </c>
      <c r="O47" s="4" t="n">
        <f aca="false">M47*N47</f>
        <v>799</v>
      </c>
    </row>
    <row r="48" customFormat="false" ht="15" hidden="false" customHeight="false" outlineLevel="0" collapsed="false">
      <c r="A48" s="0" t="s">
        <v>161</v>
      </c>
      <c r="C48" s="0" t="s">
        <v>37</v>
      </c>
      <c r="D48" s="7" t="n">
        <v>129790</v>
      </c>
      <c r="E48" s="8" t="n">
        <v>0.0113630480006164</v>
      </c>
      <c r="F48" s="4" t="n">
        <f aca="false">D48*E48</f>
        <v>1474.81</v>
      </c>
      <c r="G48" s="7" t="n">
        <v>100838</v>
      </c>
      <c r="H48" s="9" t="n">
        <f aca="false">IF(G48&gt;0,D48/G48,"")</f>
        <v>1.28711398480731</v>
      </c>
      <c r="I48" s="10" t="n">
        <v>46274</v>
      </c>
      <c r="J48" s="3" t="s">
        <v>162</v>
      </c>
      <c r="K48" s="10" t="n">
        <v>45967</v>
      </c>
      <c r="L48" s="3" t="s">
        <v>15</v>
      </c>
      <c r="M48" s="7" t="n">
        <v>102100</v>
      </c>
      <c r="N48" s="8" t="n">
        <v>0.0114</v>
      </c>
      <c r="O48" s="4" t="n">
        <f aca="false">M48*N48</f>
        <v>1163.94</v>
      </c>
    </row>
    <row r="49" customFormat="false" ht="15" hidden="false" customHeight="false" outlineLevel="0" collapsed="false">
      <c r="A49" s="0" t="s">
        <v>163</v>
      </c>
      <c r="C49" s="0" t="s">
        <v>66</v>
      </c>
      <c r="D49" s="7" t="n">
        <v>355</v>
      </c>
      <c r="E49" s="8" t="n">
        <v>4.15</v>
      </c>
      <c r="F49" s="4" t="n">
        <f aca="false">D49*E49</f>
        <v>1473.25</v>
      </c>
      <c r="G49" s="7" t="n">
        <v>70</v>
      </c>
      <c r="H49" s="9" t="n">
        <f aca="false">IF(G49&gt;0,D49/G49,"")</f>
        <v>5.07142857142857</v>
      </c>
      <c r="I49" s="10" t="n">
        <v>46175</v>
      </c>
      <c r="J49" s="3" t="s">
        <v>164</v>
      </c>
      <c r="K49" s="10" t="n">
        <v>45750</v>
      </c>
      <c r="L49" s="3" t="s">
        <v>24</v>
      </c>
      <c r="M49" s="7" t="n">
        <v>504</v>
      </c>
      <c r="N49" s="8" t="n">
        <v>4.15</v>
      </c>
      <c r="O49" s="4" t="n">
        <f aca="false">M49*N49</f>
        <v>2091.6</v>
      </c>
    </row>
    <row r="50" customFormat="false" ht="15" hidden="false" customHeight="false" outlineLevel="0" collapsed="false">
      <c r="A50" s="0" t="s">
        <v>165</v>
      </c>
      <c r="C50" s="0" t="s">
        <v>166</v>
      </c>
      <c r="D50" s="7" t="n">
        <v>2604</v>
      </c>
      <c r="E50" s="8" t="n">
        <v>0.564201228878648</v>
      </c>
      <c r="F50" s="4" t="n">
        <f aca="false">D50*E50</f>
        <v>1469.18</v>
      </c>
      <c r="G50" s="7" t="n">
        <v>202</v>
      </c>
      <c r="H50" s="9" t="n">
        <f aca="false">IF(G50&gt;0,D50/G50,"")</f>
        <v>12.8910891089109</v>
      </c>
      <c r="I50" s="10" t="n">
        <v>46218</v>
      </c>
      <c r="J50" s="3" t="s">
        <v>167</v>
      </c>
      <c r="K50" s="10" t="n">
        <v>44750</v>
      </c>
      <c r="L50" s="3" t="s">
        <v>14</v>
      </c>
      <c r="M50" s="7" t="n">
        <v>5000</v>
      </c>
      <c r="N50" s="8" t="n">
        <v>0.5642</v>
      </c>
      <c r="O50" s="4" t="n">
        <f aca="false">M50*N50</f>
        <v>2821</v>
      </c>
    </row>
    <row r="51" customFormat="false" ht="15" hidden="false" customHeight="false" outlineLevel="0" collapsed="false">
      <c r="A51" s="0" t="s">
        <v>168</v>
      </c>
      <c r="C51" s="0" t="s">
        <v>32</v>
      </c>
      <c r="D51" s="7" t="n">
        <v>670736</v>
      </c>
      <c r="E51" s="8" t="n">
        <v>0.00217286682092507</v>
      </c>
      <c r="F51" s="4" t="n">
        <f aca="false">D51*E51</f>
        <v>1457.42</v>
      </c>
      <c r="G51" s="7" t="n">
        <v>192135</v>
      </c>
      <c r="H51" s="9" t="n">
        <f aca="false">IF(G51&gt;0,D51/G51,"")</f>
        <v>3.49096208395139</v>
      </c>
      <c r="I51" s="10" t="n">
        <v>46315</v>
      </c>
      <c r="J51" s="3" t="s">
        <v>93</v>
      </c>
      <c r="K51" s="10" t="n">
        <v>44957</v>
      </c>
      <c r="L51" s="3" t="s">
        <v>15</v>
      </c>
      <c r="M51" s="7" t="n">
        <v>1000000</v>
      </c>
      <c r="N51" s="8" t="n">
        <v>0.00225</v>
      </c>
      <c r="O51" s="4" t="n">
        <f aca="false">M51*N51</f>
        <v>2250</v>
      </c>
    </row>
    <row r="52" customFormat="false" ht="15" hidden="false" customHeight="false" outlineLevel="0" collapsed="false">
      <c r="A52" s="0" t="s">
        <v>169</v>
      </c>
      <c r="C52" s="0" t="s">
        <v>33</v>
      </c>
      <c r="D52" s="7" t="n">
        <v>108948</v>
      </c>
      <c r="E52" s="8" t="n">
        <v>0.0130463156735323</v>
      </c>
      <c r="F52" s="4" t="n">
        <f aca="false">D52*E52</f>
        <v>1421.37</v>
      </c>
      <c r="G52" s="7" t="n">
        <v>83981</v>
      </c>
      <c r="H52" s="9" t="n">
        <f aca="false">IF(G52&gt;0,D52/G52,"")</f>
        <v>1.29729343541992</v>
      </c>
      <c r="I52" s="10" t="n">
        <v>46304</v>
      </c>
      <c r="J52" s="3" t="s">
        <v>170</v>
      </c>
      <c r="K52" s="10" t="n">
        <v>46237</v>
      </c>
      <c r="L52" s="3" t="s">
        <v>14</v>
      </c>
      <c r="M52" s="7" t="n">
        <v>150000</v>
      </c>
      <c r="N52" s="8" t="n">
        <v>0.0131</v>
      </c>
      <c r="O52" s="4" t="n">
        <f aca="false">M52*N52</f>
        <v>1965</v>
      </c>
    </row>
    <row r="53" customFormat="false" ht="15" hidden="false" customHeight="false" outlineLevel="0" collapsed="false">
      <c r="A53" s="0" t="s">
        <v>171</v>
      </c>
      <c r="C53" s="0" t="s">
        <v>159</v>
      </c>
      <c r="D53" s="7" t="n">
        <v>298</v>
      </c>
      <c r="E53" s="8" t="n">
        <v>4.74436241610738</v>
      </c>
      <c r="F53" s="4" t="n">
        <f aca="false">D53*E53</f>
        <v>1413.82</v>
      </c>
      <c r="G53" s="7" t="n">
        <v>293</v>
      </c>
      <c r="H53" s="9" t="n">
        <f aca="false">IF(G53&gt;0,D53/G53,"")</f>
        <v>1.01706484641638</v>
      </c>
      <c r="I53" s="10" t="n">
        <v>46260</v>
      </c>
      <c r="J53" s="3" t="s">
        <v>172</v>
      </c>
      <c r="K53" s="10" t="n">
        <v>46084</v>
      </c>
      <c r="L53" s="3" t="s">
        <v>173</v>
      </c>
      <c r="M53" s="7" t="n">
        <v>144</v>
      </c>
      <c r="N53" s="8" t="n">
        <v>4.76</v>
      </c>
      <c r="O53" s="4" t="n">
        <f aca="false">M53*N53</f>
        <v>685.44</v>
      </c>
    </row>
    <row r="54" customFormat="false" ht="15" hidden="false" customHeight="false" outlineLevel="0" collapsed="false">
      <c r="A54" s="0" t="s">
        <v>174</v>
      </c>
      <c r="C54" s="0" t="s">
        <v>42</v>
      </c>
      <c r="D54" s="7" t="n">
        <v>6411</v>
      </c>
      <c r="E54" s="8" t="n">
        <v>0.214102324130401</v>
      </c>
      <c r="F54" s="4" t="n">
        <f aca="false">D54*E54</f>
        <v>1372.61</v>
      </c>
      <c r="G54" s="7" t="n">
        <v>1770</v>
      </c>
      <c r="H54" s="9" t="n">
        <f aca="false">IF(G54&gt;0,D54/G54,"")</f>
        <v>3.62203389830508</v>
      </c>
      <c r="I54" s="10" t="n">
        <v>46251</v>
      </c>
      <c r="J54" s="3" t="s">
        <v>110</v>
      </c>
      <c r="K54" s="10" t="n">
        <v>46134</v>
      </c>
      <c r="L54" s="3" t="s">
        <v>14</v>
      </c>
      <c r="M54" s="7" t="n">
        <v>5000</v>
      </c>
      <c r="N54" s="8" t="n">
        <v>0.2126</v>
      </c>
      <c r="O54" s="4" t="n">
        <f aca="false">M54*N54</f>
        <v>1063</v>
      </c>
    </row>
    <row r="55" customFormat="false" ht="15" hidden="false" customHeight="false" outlineLevel="0" collapsed="false">
      <c r="A55" s="0" t="s">
        <v>175</v>
      </c>
      <c r="C55" s="0" t="s">
        <v>66</v>
      </c>
      <c r="D55" s="7" t="n">
        <v>326</v>
      </c>
      <c r="E55" s="8" t="n">
        <v>4.15</v>
      </c>
      <c r="F55" s="4" t="n">
        <f aca="false">D55*E55</f>
        <v>1352.9</v>
      </c>
      <c r="G55" s="7" t="n">
        <v>298</v>
      </c>
      <c r="H55" s="9" t="n">
        <f aca="false">IF(G55&gt;0,D55/G55,"")</f>
        <v>1.09395973154362</v>
      </c>
      <c r="I55" s="10" t="n">
        <v>46184</v>
      </c>
      <c r="J55" s="3" t="s">
        <v>176</v>
      </c>
      <c r="K55" s="10" t="n">
        <v>46155</v>
      </c>
      <c r="L55" s="3" t="s">
        <v>24</v>
      </c>
      <c r="M55" s="7" t="n">
        <v>504</v>
      </c>
      <c r="N55" s="8" t="n">
        <v>4.15</v>
      </c>
      <c r="O55" s="4" t="n">
        <f aca="false">M55*N55</f>
        <v>2091.6</v>
      </c>
    </row>
    <row r="56" customFormat="false" ht="15" hidden="false" customHeight="false" outlineLevel="0" collapsed="false">
      <c r="A56" s="0" t="s">
        <v>177</v>
      </c>
      <c r="C56" s="0" t="s">
        <v>32</v>
      </c>
      <c r="D56" s="7" t="n">
        <v>656156</v>
      </c>
      <c r="E56" s="8" t="n">
        <v>0.00205266735349521</v>
      </c>
      <c r="F56" s="4" t="n">
        <f aca="false">D56*E56</f>
        <v>1346.87</v>
      </c>
      <c r="G56" s="7" t="n">
        <v>2870</v>
      </c>
      <c r="H56" s="9" t="n">
        <f aca="false">IF(G56&gt;0,D56/G56,"")</f>
        <v>228.625783972125</v>
      </c>
      <c r="I56" s="10" t="n">
        <v>46308</v>
      </c>
      <c r="J56" s="3" t="s">
        <v>178</v>
      </c>
      <c r="K56" s="10" t="n">
        <v>44301</v>
      </c>
      <c r="L56" s="3" t="s">
        <v>15</v>
      </c>
      <c r="M56" s="7" t="n">
        <v>685700</v>
      </c>
      <c r="N56" s="8" t="n">
        <v>0.00206</v>
      </c>
      <c r="O56" s="4" t="n">
        <f aca="false">M56*N56</f>
        <v>1412.542</v>
      </c>
    </row>
    <row r="57" customFormat="false" ht="15" hidden="false" customHeight="false" outlineLevel="0" collapsed="false">
      <c r="A57" s="0" t="s">
        <v>179</v>
      </c>
      <c r="C57" s="0" t="s">
        <v>33</v>
      </c>
      <c r="D57" s="7" t="n">
        <v>42608</v>
      </c>
      <c r="E57" s="8" t="n">
        <v>0.0314661565903117</v>
      </c>
      <c r="F57" s="4" t="n">
        <f aca="false">D57*E57</f>
        <v>1340.71</v>
      </c>
      <c r="G57" s="7" t="n">
        <v>5925</v>
      </c>
      <c r="H57" s="9" t="n">
        <f aca="false">IF(G57&gt;0,D57/G57,"")</f>
        <v>7.19122362869198</v>
      </c>
      <c r="I57" s="10" t="n">
        <v>46314</v>
      </c>
      <c r="J57" s="3" t="s">
        <v>180</v>
      </c>
      <c r="K57" s="10" t="n">
        <v>45540</v>
      </c>
      <c r="L57" s="3" t="s">
        <v>19</v>
      </c>
      <c r="M57" s="7" t="n">
        <v>50000</v>
      </c>
      <c r="N57" s="8" t="n">
        <v>0.0265</v>
      </c>
      <c r="O57" s="4" t="n">
        <f aca="false">M57*N57</f>
        <v>1325</v>
      </c>
    </row>
    <row r="58" customFormat="false" ht="15" hidden="false" customHeight="false" outlineLevel="0" collapsed="false">
      <c r="A58" s="0" t="s">
        <v>181</v>
      </c>
      <c r="C58" s="0" t="s">
        <v>35</v>
      </c>
      <c r="D58" s="7" t="n">
        <v>14439</v>
      </c>
      <c r="E58" s="8" t="n">
        <v>0.0915707458965302</v>
      </c>
      <c r="F58" s="4" t="n">
        <f aca="false">D58*E58</f>
        <v>1322.19</v>
      </c>
      <c r="G58" s="7" t="n">
        <v>59</v>
      </c>
      <c r="H58" s="9" t="n">
        <f aca="false">IF(G58&gt;0,D58/G58,"")</f>
        <v>244.728813559322</v>
      </c>
      <c r="I58" s="10" t="n">
        <v>46217</v>
      </c>
      <c r="J58" s="3" t="s">
        <v>182</v>
      </c>
      <c r="K58" s="10" t="n">
        <v>44285</v>
      </c>
      <c r="L58" s="3" t="s">
        <v>20</v>
      </c>
      <c r="M58" s="7" t="n">
        <v>485</v>
      </c>
      <c r="N58" s="8" t="n">
        <v>0.108</v>
      </c>
      <c r="O58" s="4" t="n">
        <f aca="false">M58*N58</f>
        <v>52.38</v>
      </c>
    </row>
    <row r="59" customFormat="false" ht="15" hidden="false" customHeight="false" outlineLevel="0" collapsed="false">
      <c r="A59" s="0" t="s">
        <v>183</v>
      </c>
      <c r="C59" s="0" t="s">
        <v>35</v>
      </c>
      <c r="D59" s="7" t="n">
        <v>8367</v>
      </c>
      <c r="E59" s="8" t="n">
        <v>0.15724034899008</v>
      </c>
      <c r="F59" s="4" t="n">
        <f aca="false">D59*E59</f>
        <v>1315.63</v>
      </c>
      <c r="G59" s="7" t="n">
        <v>45</v>
      </c>
      <c r="H59" s="9" t="n">
        <f aca="false">IF(G59&gt;0,D59/G59,"")</f>
        <v>185.933333333333</v>
      </c>
      <c r="I59" s="10" t="n">
        <v>46252</v>
      </c>
      <c r="J59" s="3" t="s">
        <v>184</v>
      </c>
      <c r="K59" s="10" t="n">
        <v>45468</v>
      </c>
      <c r="L59" s="3" t="s">
        <v>20</v>
      </c>
      <c r="M59" s="7" t="n">
        <v>4000</v>
      </c>
      <c r="N59" s="8" t="n">
        <v>0.098</v>
      </c>
      <c r="O59" s="4" t="n">
        <f aca="false">M59*N59</f>
        <v>392</v>
      </c>
    </row>
    <row r="60" customFormat="false" ht="15" hidden="false" customHeight="false" outlineLevel="0" collapsed="false">
      <c r="A60" s="0" t="s">
        <v>185</v>
      </c>
      <c r="C60" s="0" t="s">
        <v>72</v>
      </c>
      <c r="D60" s="7" t="n">
        <v>4660</v>
      </c>
      <c r="E60" s="8" t="n">
        <v>0.28</v>
      </c>
      <c r="F60" s="4" t="n">
        <f aca="false">D60*E60</f>
        <v>1304.8</v>
      </c>
      <c r="G60" s="7" t="n">
        <v>210</v>
      </c>
      <c r="H60" s="9" t="n">
        <f aca="false">IF(G60&gt;0,D60/G60,"")</f>
        <v>22.1904761904762</v>
      </c>
      <c r="I60" s="10" t="n">
        <v>46248</v>
      </c>
      <c r="K60" s="10"/>
      <c r="M60" s="7"/>
      <c r="N60" s="8"/>
      <c r="O60" s="4"/>
    </row>
    <row r="61" customFormat="false" ht="15" hidden="false" customHeight="false" outlineLevel="0" collapsed="false">
      <c r="A61" s="0" t="s">
        <v>186</v>
      </c>
      <c r="C61" s="0" t="s">
        <v>42</v>
      </c>
      <c r="D61" s="7" t="n">
        <v>6043</v>
      </c>
      <c r="E61" s="8" t="n">
        <v>0.214772464007943</v>
      </c>
      <c r="F61" s="4" t="n">
        <f aca="false">D61*E61</f>
        <v>1297.87</v>
      </c>
      <c r="G61" s="7" t="n">
        <v>1774</v>
      </c>
      <c r="H61" s="9" t="n">
        <f aca="false">IF(G61&gt;0,D61/G61,"")</f>
        <v>3.40642615558061</v>
      </c>
      <c r="I61" s="10" t="n">
        <v>46190</v>
      </c>
      <c r="J61" s="3" t="s">
        <v>110</v>
      </c>
      <c r="K61" s="10" t="n">
        <v>46134</v>
      </c>
      <c r="L61" s="3" t="s">
        <v>14</v>
      </c>
      <c r="M61" s="7" t="n">
        <v>5000</v>
      </c>
      <c r="N61" s="8" t="n">
        <v>0.2166</v>
      </c>
      <c r="O61" s="4" t="n">
        <v>1071.96</v>
      </c>
    </row>
    <row r="62" customFormat="false" ht="15" hidden="false" customHeight="false" outlineLevel="0" collapsed="false">
      <c r="A62" s="0" t="s">
        <v>187</v>
      </c>
      <c r="C62" s="0" t="s">
        <v>85</v>
      </c>
      <c r="D62" s="7" t="n">
        <v>26292</v>
      </c>
      <c r="E62" s="8" t="n">
        <v>0.0492183934276586</v>
      </c>
      <c r="F62" s="4" t="n">
        <f aca="false">D62*E62</f>
        <v>1294.05</v>
      </c>
      <c r="G62" s="7" t="n">
        <v>518</v>
      </c>
      <c r="H62" s="9" t="n">
        <f aca="false">IF(G62&gt;0,D62/G62,"")</f>
        <v>50.7567567567568</v>
      </c>
      <c r="I62" s="10" t="n">
        <v>46274</v>
      </c>
      <c r="J62" s="3" t="s">
        <v>188</v>
      </c>
      <c r="K62" s="10" t="n">
        <v>45124</v>
      </c>
      <c r="L62" s="3" t="s">
        <v>19</v>
      </c>
      <c r="M62" s="7" t="n">
        <v>19685</v>
      </c>
      <c r="N62" s="8" t="n">
        <v>0.035084</v>
      </c>
      <c r="O62" s="4" t="n">
        <v>690.646328</v>
      </c>
    </row>
    <row r="63" customFormat="false" ht="15" hidden="false" customHeight="false" outlineLevel="0" collapsed="false">
      <c r="A63" s="0" t="s">
        <v>189</v>
      </c>
      <c r="C63" s="0" t="s">
        <v>44</v>
      </c>
      <c r="D63" s="7" t="n">
        <v>63</v>
      </c>
      <c r="E63" s="8" t="n">
        <v>20.5250793650794</v>
      </c>
      <c r="F63" s="4" t="n">
        <f aca="false">D63*E63</f>
        <v>1293.08</v>
      </c>
      <c r="G63" s="7" t="n">
        <v>7</v>
      </c>
      <c r="H63" s="9" t="n">
        <f aca="false">IF(G63&gt;0,D63/G63,"")</f>
        <v>9</v>
      </c>
      <c r="I63" s="10" t="n">
        <v>46135</v>
      </c>
      <c r="J63" s="3" t="s">
        <v>190</v>
      </c>
      <c r="K63" s="10" t="n">
        <v>45315</v>
      </c>
      <c r="L63" s="3" t="s">
        <v>14</v>
      </c>
      <c r="M63" s="7" t="n">
        <v>53</v>
      </c>
      <c r="N63" s="8" t="n">
        <v>20.4062</v>
      </c>
      <c r="O63" s="4" t="n">
        <f aca="false">M63*N63</f>
        <v>1081.5286</v>
      </c>
    </row>
    <row r="64" customFormat="false" ht="15" hidden="false" customHeight="false" outlineLevel="0" collapsed="false">
      <c r="A64" s="0" t="s">
        <v>191</v>
      </c>
      <c r="C64" s="0" t="s">
        <v>66</v>
      </c>
      <c r="D64" s="7" t="n">
        <v>411</v>
      </c>
      <c r="E64" s="8" t="n">
        <v>3.1</v>
      </c>
      <c r="F64" s="4" t="n">
        <f aca="false">D64*E64</f>
        <v>1274.1</v>
      </c>
      <c r="G64" s="7" t="n">
        <v>36</v>
      </c>
      <c r="H64" s="9" t="n">
        <f aca="false">IF(G64&gt;0,D64/G64,"")</f>
        <v>11.4166666666667</v>
      </c>
      <c r="I64" s="10" t="n">
        <v>46185</v>
      </c>
      <c r="J64" s="3" t="s">
        <v>164</v>
      </c>
      <c r="K64" s="10" t="n">
        <v>45750</v>
      </c>
      <c r="L64" s="3" t="s">
        <v>24</v>
      </c>
      <c r="M64" s="7" t="n">
        <v>504</v>
      </c>
      <c r="N64" s="8" t="n">
        <v>3.1</v>
      </c>
      <c r="O64" s="4" t="n">
        <f aca="false">M64*N64</f>
        <v>1562.4</v>
      </c>
    </row>
    <row r="65" customFormat="false" ht="15" hidden="false" customHeight="false" outlineLevel="0" collapsed="false">
      <c r="A65" s="0" t="s">
        <v>192</v>
      </c>
      <c r="C65" s="0" t="s">
        <v>33</v>
      </c>
      <c r="D65" s="7" t="n">
        <v>21698</v>
      </c>
      <c r="E65" s="8" t="n">
        <v>0.0578002580883031</v>
      </c>
      <c r="F65" s="4" t="n">
        <f aca="false">D65*E65</f>
        <v>1254.15</v>
      </c>
      <c r="G65" s="7" t="n">
        <v>13321</v>
      </c>
      <c r="H65" s="9" t="n">
        <f aca="false">IF(G65&gt;0,D65/G65,"")</f>
        <v>1.62885669244051</v>
      </c>
      <c r="I65" s="10" t="n">
        <v>46314</v>
      </c>
      <c r="J65" s="3" t="s">
        <v>193</v>
      </c>
      <c r="K65" s="10" t="n">
        <v>46265</v>
      </c>
      <c r="L65" s="3" t="s">
        <v>18</v>
      </c>
      <c r="M65" s="7" t="n">
        <v>22645</v>
      </c>
      <c r="N65" s="8" t="n">
        <v>0.0578</v>
      </c>
      <c r="O65" s="4" t="n">
        <f aca="false">M65*N65</f>
        <v>1308.881</v>
      </c>
    </row>
    <row r="66" customFormat="false" ht="15" hidden="false" customHeight="false" outlineLevel="0" collapsed="false">
      <c r="A66" s="0" t="s">
        <v>194</v>
      </c>
      <c r="C66" s="0" t="s">
        <v>32</v>
      </c>
      <c r="D66" s="7" t="n">
        <v>183813</v>
      </c>
      <c r="E66" s="8" t="n">
        <v>0.00681948502010195</v>
      </c>
      <c r="F66" s="4" t="n">
        <f aca="false">D66*E66</f>
        <v>1253.51</v>
      </c>
      <c r="G66" s="7" t="n">
        <v>37310</v>
      </c>
      <c r="H66" s="9" t="n">
        <f aca="false">IF(G66&gt;0,D66/G66,"")</f>
        <v>4.9266416510319</v>
      </c>
      <c r="I66" s="10" t="n">
        <v>46316</v>
      </c>
      <c r="J66" s="3" t="s">
        <v>195</v>
      </c>
      <c r="K66" s="10" t="n">
        <v>44348</v>
      </c>
      <c r="L66" s="3" t="s">
        <v>15</v>
      </c>
      <c r="M66" s="7" t="n">
        <v>39619</v>
      </c>
      <c r="N66" s="8" t="n">
        <v>0.00534</v>
      </c>
      <c r="O66" s="4" t="n">
        <f aca="false">M66*N66</f>
        <v>211.56546</v>
      </c>
    </row>
    <row r="67" customFormat="false" ht="15" hidden="false" customHeight="false" outlineLevel="0" collapsed="false">
      <c r="A67" s="0" t="s">
        <v>196</v>
      </c>
      <c r="C67" s="0" t="s">
        <v>197</v>
      </c>
      <c r="D67" s="7" t="n">
        <v>1</v>
      </c>
      <c r="E67" s="8" t="n">
        <v>1250</v>
      </c>
      <c r="F67" s="4" t="n">
        <f aca="false">D67*E67</f>
        <v>1250</v>
      </c>
      <c r="G67" s="7" t="n">
        <v>1</v>
      </c>
      <c r="H67" s="9" t="n">
        <f aca="false">IF(G67&gt;0,D67/G67,"")</f>
        <v>1</v>
      </c>
      <c r="I67" s="10" t="n">
        <v>46226</v>
      </c>
      <c r="J67" s="3" t="s">
        <v>198</v>
      </c>
      <c r="K67" s="10" t="n">
        <v>45287</v>
      </c>
      <c r="L67" s="3" t="s">
        <v>199</v>
      </c>
      <c r="M67" s="7" t="n">
        <v>1</v>
      </c>
      <c r="N67" s="8" t="n">
        <v>1250</v>
      </c>
      <c r="O67" s="4" t="n">
        <f aca="false">M67*N67</f>
        <v>1250</v>
      </c>
    </row>
    <row r="68" customFormat="false" ht="15" hidden="false" customHeight="false" outlineLevel="0" collapsed="false">
      <c r="A68" s="0" t="s">
        <v>200</v>
      </c>
      <c r="C68" s="0" t="s">
        <v>44</v>
      </c>
      <c r="D68" s="7" t="n">
        <v>127</v>
      </c>
      <c r="E68" s="8" t="n">
        <v>9.59543307086614</v>
      </c>
      <c r="F68" s="4" t="n">
        <f aca="false">D68*E68</f>
        <v>1218.62</v>
      </c>
      <c r="G68" s="7" t="n">
        <v>17</v>
      </c>
      <c r="H68" s="9" t="n">
        <f aca="false">IF(G68&gt;0,D68/G68,"")</f>
        <v>7.47058823529412</v>
      </c>
      <c r="I68" s="10" t="n">
        <v>46314</v>
      </c>
      <c r="J68" s="3" t="s">
        <v>201</v>
      </c>
      <c r="K68" s="10" t="n">
        <v>46087</v>
      </c>
      <c r="L68" s="3" t="s">
        <v>14</v>
      </c>
      <c r="M68" s="7" t="n">
        <v>50</v>
      </c>
      <c r="N68" s="8" t="n">
        <v>9.2912</v>
      </c>
      <c r="O68" s="4" t="n">
        <f aca="false">M68*N68</f>
        <v>464.56</v>
      </c>
    </row>
    <row r="69" customFormat="false" ht="15" hidden="false" customHeight="false" outlineLevel="0" collapsed="false">
      <c r="A69" s="0" t="s">
        <v>202</v>
      </c>
      <c r="C69" s="0" t="s">
        <v>79</v>
      </c>
      <c r="D69" s="7" t="n">
        <v>27418</v>
      </c>
      <c r="E69" s="8" t="n">
        <v>0.044299730104311</v>
      </c>
      <c r="F69" s="4" t="n">
        <f aca="false">D69*E69</f>
        <v>1214.61</v>
      </c>
      <c r="G69" s="7" t="n">
        <v>50</v>
      </c>
      <c r="H69" s="9" t="n">
        <f aca="false">IF(G69&gt;0,D69/G69,"")</f>
        <v>548.36</v>
      </c>
      <c r="I69" s="10" t="n">
        <v>46240</v>
      </c>
      <c r="K69" s="10"/>
      <c r="M69" s="7"/>
      <c r="N69" s="8"/>
      <c r="O69" s="4"/>
    </row>
    <row r="70" customFormat="false" ht="15" hidden="false" customHeight="false" outlineLevel="0" collapsed="false">
      <c r="A70" s="0" t="s">
        <v>203</v>
      </c>
      <c r="C70" s="0" t="s">
        <v>32</v>
      </c>
      <c r="D70" s="7" t="n">
        <v>102238</v>
      </c>
      <c r="E70" s="8" t="n">
        <v>0.0116773606682447</v>
      </c>
      <c r="F70" s="4" t="n">
        <f aca="false">D70*E70</f>
        <v>1193.87</v>
      </c>
      <c r="G70" s="7" t="n">
        <v>16490</v>
      </c>
      <c r="H70" s="9" t="n">
        <f aca="false">IF(G70&gt;0,D70/G70,"")</f>
        <v>6.2</v>
      </c>
      <c r="I70" s="10" t="n">
        <v>46315</v>
      </c>
      <c r="J70" s="3" t="s">
        <v>204</v>
      </c>
      <c r="K70" s="10" t="n">
        <v>44824</v>
      </c>
      <c r="L70" s="3" t="s">
        <v>20</v>
      </c>
      <c r="M70" s="7" t="n">
        <v>30000</v>
      </c>
      <c r="N70" s="8" t="n">
        <v>0.01069</v>
      </c>
      <c r="O70" s="4" t="n">
        <f aca="false">M70*N70</f>
        <v>320.7</v>
      </c>
    </row>
    <row r="71" customFormat="false" ht="15" hidden="false" customHeight="false" outlineLevel="0" collapsed="false">
      <c r="A71" s="0" t="s">
        <v>205</v>
      </c>
      <c r="C71" s="0" t="s">
        <v>38</v>
      </c>
      <c r="D71" s="7" t="n">
        <v>132475</v>
      </c>
      <c r="E71" s="8" t="n">
        <v>0.00899075297225892</v>
      </c>
      <c r="F71" s="4" t="n">
        <f aca="false">D71*E71</f>
        <v>1191.05</v>
      </c>
      <c r="G71" s="7" t="n">
        <v>1780</v>
      </c>
      <c r="H71" s="9" t="n">
        <f aca="false">IF(G71&gt;0,D71/G71,"")</f>
        <v>74.4241573033708</v>
      </c>
      <c r="I71" s="10" t="n">
        <v>46317</v>
      </c>
      <c r="J71" s="3" t="s">
        <v>131</v>
      </c>
      <c r="K71" s="10" t="n">
        <v>44719</v>
      </c>
      <c r="L71" s="3" t="s">
        <v>15</v>
      </c>
      <c r="M71" s="7" t="n">
        <v>143584</v>
      </c>
      <c r="N71" s="8" t="n">
        <v>0.00899</v>
      </c>
      <c r="O71" s="4" t="n">
        <f aca="false">M71*N71</f>
        <v>1290.82016</v>
      </c>
    </row>
    <row r="72" customFormat="false" ht="15" hidden="false" customHeight="false" outlineLevel="0" collapsed="false">
      <c r="A72" s="0" t="s">
        <v>206</v>
      </c>
      <c r="C72" s="0" t="s">
        <v>42</v>
      </c>
      <c r="D72" s="7" t="n">
        <v>2271</v>
      </c>
      <c r="E72" s="8" t="n">
        <v>0.521576398062528</v>
      </c>
      <c r="F72" s="4" t="n">
        <f aca="false">D72*E72</f>
        <v>1184.5</v>
      </c>
      <c r="G72" s="7" t="n">
        <v>955</v>
      </c>
      <c r="H72" s="9" t="n">
        <f aca="false">IF(G72&gt;0,D72/G72,"")</f>
        <v>2.37801047120419</v>
      </c>
      <c r="I72" s="10" t="n">
        <v>46185</v>
      </c>
      <c r="J72" s="3" t="s">
        <v>110</v>
      </c>
      <c r="K72" s="10" t="n">
        <v>46134</v>
      </c>
      <c r="L72" s="3" t="s">
        <v>14</v>
      </c>
      <c r="M72" s="7" t="n">
        <v>2500</v>
      </c>
      <c r="N72" s="8" t="n">
        <v>0.5179</v>
      </c>
      <c r="O72" s="4" t="n">
        <f aca="false">M72*N72</f>
        <v>1294.75</v>
      </c>
    </row>
    <row r="73" customFormat="false" ht="15" hidden="false" customHeight="false" outlineLevel="0" collapsed="false">
      <c r="A73" s="0" t="s">
        <v>207</v>
      </c>
      <c r="C73" s="0" t="s">
        <v>38</v>
      </c>
      <c r="D73" s="7" t="n">
        <v>434730</v>
      </c>
      <c r="E73" s="8" t="n">
        <v>0.00265891472868217</v>
      </c>
      <c r="F73" s="4" t="n">
        <f aca="false">D73*E73</f>
        <v>1155.91</v>
      </c>
      <c r="G73" s="7" t="n">
        <v>18412</v>
      </c>
      <c r="H73" s="9" t="n">
        <f aca="false">IF(G73&gt;0,D73/G73,"")</f>
        <v>23.6112318053443</v>
      </c>
      <c r="I73" s="10" t="n">
        <v>46315</v>
      </c>
      <c r="J73" s="3" t="s">
        <v>208</v>
      </c>
      <c r="K73" s="10" t="n">
        <v>44810</v>
      </c>
      <c r="L73" s="3" t="s">
        <v>14</v>
      </c>
      <c r="M73" s="7" t="n">
        <v>15049</v>
      </c>
      <c r="N73" s="8" t="n">
        <v>0.0047</v>
      </c>
      <c r="O73" s="4" t="n">
        <v>70.5</v>
      </c>
    </row>
    <row r="74" customFormat="false" ht="15" hidden="false" customHeight="false" outlineLevel="0" collapsed="false">
      <c r="A74" s="0" t="s">
        <v>209</v>
      </c>
      <c r="C74" s="0" t="s">
        <v>32</v>
      </c>
      <c r="D74" s="7" t="n">
        <v>138444</v>
      </c>
      <c r="E74" s="8" t="n">
        <v>0.00826139088729017</v>
      </c>
      <c r="F74" s="4" t="n">
        <f aca="false">D74*E74</f>
        <v>1143.74</v>
      </c>
      <c r="G74" s="7" t="n">
        <v>59143</v>
      </c>
      <c r="H74" s="9" t="n">
        <f aca="false">IF(G74&gt;0,D74/G74,"")</f>
        <v>2.3408349255195</v>
      </c>
      <c r="I74" s="10" t="n">
        <v>46314</v>
      </c>
      <c r="J74" s="3" t="s">
        <v>210</v>
      </c>
      <c r="K74" s="10" t="n">
        <v>44789</v>
      </c>
      <c r="L74" s="3" t="s">
        <v>15</v>
      </c>
      <c r="M74" s="7" t="n">
        <v>40943</v>
      </c>
      <c r="N74" s="8" t="n">
        <v>0.00823</v>
      </c>
      <c r="O74" s="4" t="n">
        <f aca="false">M74*N74</f>
        <v>336.96089</v>
      </c>
    </row>
    <row r="75" customFormat="false" ht="15" hidden="false" customHeight="false" outlineLevel="0" collapsed="false">
      <c r="A75" s="0" t="s">
        <v>211</v>
      </c>
      <c r="C75" s="0" t="s">
        <v>43</v>
      </c>
      <c r="D75" s="7" t="n">
        <v>2662</v>
      </c>
      <c r="E75" s="8" t="n">
        <v>0.42832456799399</v>
      </c>
      <c r="F75" s="4" t="n">
        <f aca="false">D75*E75</f>
        <v>1140.2</v>
      </c>
      <c r="G75" s="7" t="n">
        <v>1125</v>
      </c>
      <c r="H75" s="9" t="n">
        <f aca="false">IF(G75&gt;0,D75/G75,"")</f>
        <v>2.36622222222222</v>
      </c>
      <c r="I75" s="10" t="n">
        <v>46212</v>
      </c>
      <c r="K75" s="10"/>
      <c r="M75" s="7"/>
      <c r="N75" s="8"/>
      <c r="O75" s="4"/>
    </row>
    <row r="76" customFormat="false" ht="15" hidden="false" customHeight="false" outlineLevel="0" collapsed="false">
      <c r="A76" s="0" t="s">
        <v>212</v>
      </c>
      <c r="C76" s="0" t="s">
        <v>41</v>
      </c>
      <c r="D76" s="7" t="n">
        <v>4527</v>
      </c>
      <c r="E76" s="8" t="n">
        <v>0.244890656063618</v>
      </c>
      <c r="F76" s="4" t="n">
        <f aca="false">D76*E76</f>
        <v>1108.62</v>
      </c>
      <c r="G76" s="7" t="n">
        <v>400</v>
      </c>
      <c r="H76" s="9" t="n">
        <f aca="false">IF(G76&gt;0,D76/G76,"")</f>
        <v>11.3175</v>
      </c>
      <c r="I76" s="10" t="n">
        <v>45957</v>
      </c>
      <c r="J76" s="3" t="s">
        <v>213</v>
      </c>
      <c r="K76" s="10" t="n">
        <v>44735</v>
      </c>
      <c r="L76" s="3" t="s">
        <v>25</v>
      </c>
      <c r="M76" s="7" t="n">
        <v>5002</v>
      </c>
      <c r="N76" s="8" t="n">
        <v>0</v>
      </c>
      <c r="O76" s="4" t="n">
        <v>1225</v>
      </c>
    </row>
    <row r="77" customFormat="false" ht="15" hidden="false" customHeight="false" outlineLevel="0" collapsed="false">
      <c r="A77" s="0" t="s">
        <v>214</v>
      </c>
      <c r="C77" s="0" t="s">
        <v>32</v>
      </c>
      <c r="D77" s="7" t="n">
        <v>369305</v>
      </c>
      <c r="E77" s="8" t="n">
        <v>0.00299998646105523</v>
      </c>
      <c r="F77" s="4" t="n">
        <f aca="false">D77*E77</f>
        <v>1107.91</v>
      </c>
      <c r="G77" s="7" t="n">
        <v>360775</v>
      </c>
      <c r="H77" s="9" t="n">
        <f aca="false">IF(G77&gt;0,D77/G77,"")</f>
        <v>1.02364354514587</v>
      </c>
      <c r="I77" s="10" t="n">
        <v>46314</v>
      </c>
      <c r="J77" s="3" t="s">
        <v>215</v>
      </c>
      <c r="K77" s="10" t="n">
        <v>46259</v>
      </c>
      <c r="L77" s="3" t="s">
        <v>18</v>
      </c>
      <c r="M77" s="7" t="n">
        <v>329000</v>
      </c>
      <c r="N77" s="8" t="n">
        <v>0.003</v>
      </c>
      <c r="O77" s="4" t="n">
        <f aca="false">M77*N77</f>
        <v>987</v>
      </c>
    </row>
    <row r="78" customFormat="false" ht="15" hidden="false" customHeight="false" outlineLevel="0" collapsed="false">
      <c r="A78" s="0" t="s">
        <v>216</v>
      </c>
      <c r="C78" s="0" t="s">
        <v>32</v>
      </c>
      <c r="D78" s="7" t="n">
        <v>395572</v>
      </c>
      <c r="E78" s="8" t="n">
        <v>0.00278740659096195</v>
      </c>
      <c r="F78" s="4" t="n">
        <f aca="false">D78*E78</f>
        <v>1102.62</v>
      </c>
      <c r="G78" s="7" t="n">
        <v>62393</v>
      </c>
      <c r="H78" s="9" t="n">
        <f aca="false">IF(G78&gt;0,D78/G78,"")</f>
        <v>6.34000609042681</v>
      </c>
      <c r="I78" s="10" t="n">
        <v>46314</v>
      </c>
      <c r="J78" s="3" t="s">
        <v>217</v>
      </c>
      <c r="K78" s="10" t="n">
        <v>44845</v>
      </c>
      <c r="L78" s="3" t="s">
        <v>28</v>
      </c>
      <c r="M78" s="7" t="n">
        <v>119762</v>
      </c>
      <c r="N78" s="8" t="n">
        <v>0.0037</v>
      </c>
      <c r="O78" s="4" t="n">
        <f aca="false">M78*N78</f>
        <v>443.1194</v>
      </c>
    </row>
    <row r="79" customFormat="false" ht="15" hidden="false" customHeight="false" outlineLevel="0" collapsed="false">
      <c r="A79" s="0" t="s">
        <v>218</v>
      </c>
      <c r="C79" s="0" t="s">
        <v>35</v>
      </c>
      <c r="D79" s="7" t="n">
        <v>2281</v>
      </c>
      <c r="E79" s="8" t="n">
        <v>0.481473038141166</v>
      </c>
      <c r="F79" s="4" t="n">
        <f aca="false">D79*E79</f>
        <v>1098.24</v>
      </c>
      <c r="G79" s="7" t="n">
        <v>4</v>
      </c>
      <c r="H79" s="9" t="n">
        <f aca="false">IF(G79&gt;0,D79/G79,"")</f>
        <v>570.25</v>
      </c>
      <c r="I79" s="10" t="n">
        <v>46042</v>
      </c>
      <c r="J79" s="3" t="s">
        <v>219</v>
      </c>
      <c r="K79" s="10" t="n">
        <v>45642</v>
      </c>
      <c r="L79" s="3" t="s">
        <v>15</v>
      </c>
      <c r="M79" s="7" t="n">
        <v>1960</v>
      </c>
      <c r="N79" s="8" t="n">
        <v>0.51529</v>
      </c>
      <c r="O79" s="4" t="n">
        <f aca="false">M79*N79</f>
        <v>1009.9684</v>
      </c>
    </row>
    <row r="80" customFormat="false" ht="15" hidden="false" customHeight="false" outlineLevel="0" collapsed="false">
      <c r="A80" s="0" t="s">
        <v>220</v>
      </c>
      <c r="C80" s="0" t="s">
        <v>221</v>
      </c>
      <c r="D80" s="7" t="n">
        <v>10606</v>
      </c>
      <c r="E80" s="8" t="n">
        <v>0.103028474448425</v>
      </c>
      <c r="F80" s="4" t="n">
        <f aca="false">D80*E80</f>
        <v>1092.72</v>
      </c>
      <c r="G80" s="7" t="n">
        <v>70</v>
      </c>
      <c r="H80" s="9" t="n">
        <f aca="false">IF(G80&gt;0,D80/G80,"")</f>
        <v>151.514285714286</v>
      </c>
      <c r="I80" s="10" t="n">
        <v>46304</v>
      </c>
      <c r="J80" s="3" t="s">
        <v>222</v>
      </c>
      <c r="K80" s="10" t="n">
        <v>45707</v>
      </c>
      <c r="L80" s="3" t="s">
        <v>223</v>
      </c>
      <c r="M80" s="7" t="n">
        <v>5000</v>
      </c>
      <c r="N80" s="8" t="n">
        <v>0.12</v>
      </c>
      <c r="O80" s="4" t="n">
        <f aca="false">M80*N80</f>
        <v>600</v>
      </c>
    </row>
    <row r="81" customFormat="false" ht="15" hidden="false" customHeight="false" outlineLevel="0" collapsed="false">
      <c r="A81" s="0" t="s">
        <v>224</v>
      </c>
      <c r="C81" s="0" t="s">
        <v>225</v>
      </c>
      <c r="D81" s="7" t="n">
        <v>125</v>
      </c>
      <c r="E81" s="8" t="n">
        <v>8.69352</v>
      </c>
      <c r="F81" s="4" t="n">
        <f aca="false">D81*E81</f>
        <v>1086.69</v>
      </c>
      <c r="G81" s="7" t="n">
        <v>1</v>
      </c>
      <c r="H81" s="9" t="n">
        <f aca="false">IF(G81&gt;0,D81/G81,"")</f>
        <v>125</v>
      </c>
      <c r="I81" s="10" t="n">
        <v>45994</v>
      </c>
      <c r="J81" s="3" t="s">
        <v>226</v>
      </c>
      <c r="K81" s="10" t="n">
        <v>44903</v>
      </c>
      <c r="L81" s="3" t="s">
        <v>14</v>
      </c>
      <c r="M81" s="7" t="n">
        <v>502</v>
      </c>
      <c r="N81" s="8" t="n">
        <v>8.8349</v>
      </c>
      <c r="O81" s="4" t="n">
        <v>4417.45</v>
      </c>
    </row>
    <row r="82" customFormat="false" ht="15" hidden="false" customHeight="false" outlineLevel="0" collapsed="false">
      <c r="A82" s="0" t="s">
        <v>227</v>
      </c>
      <c r="C82" s="0" t="s">
        <v>79</v>
      </c>
      <c r="D82" s="7" t="n">
        <v>146</v>
      </c>
      <c r="E82" s="8" t="n">
        <v>7.43068493150685</v>
      </c>
      <c r="F82" s="4" t="n">
        <f aca="false">D82*E82</f>
        <v>1084.88</v>
      </c>
      <c r="G82" s="7" t="n">
        <v>5</v>
      </c>
      <c r="H82" s="9" t="n">
        <f aca="false">IF(G82&gt;0,D82/G82,"")</f>
        <v>29.2</v>
      </c>
      <c r="I82" s="10" t="n">
        <v>46104</v>
      </c>
      <c r="J82" s="3" t="s">
        <v>228</v>
      </c>
      <c r="K82" s="10" t="n">
        <v>44763</v>
      </c>
      <c r="L82" s="3" t="s">
        <v>15</v>
      </c>
      <c r="M82" s="7" t="n">
        <v>153</v>
      </c>
      <c r="N82" s="8" t="n">
        <v>0</v>
      </c>
      <c r="O82" s="4" t="n">
        <v>1137.975</v>
      </c>
    </row>
    <row r="83" customFormat="false" ht="15" hidden="false" customHeight="false" outlineLevel="0" collapsed="false">
      <c r="A83" s="0" t="s">
        <v>229</v>
      </c>
      <c r="C83" s="0" t="s">
        <v>33</v>
      </c>
      <c r="D83" s="7" t="n">
        <v>117577</v>
      </c>
      <c r="E83" s="8" t="n">
        <v>0.00906733459775296</v>
      </c>
      <c r="F83" s="4" t="n">
        <f aca="false">D83*E83</f>
        <v>1066.11</v>
      </c>
      <c r="G83" s="7" t="n">
        <v>10236</v>
      </c>
      <c r="H83" s="9" t="n">
        <f aca="false">IF(G83&gt;0,D83/G83,"")</f>
        <v>11.4866158655725</v>
      </c>
      <c r="I83" s="10" t="n">
        <v>46317</v>
      </c>
      <c r="J83" s="3" t="s">
        <v>230</v>
      </c>
      <c r="K83" s="10" t="n">
        <v>46303</v>
      </c>
      <c r="L83" s="3" t="s">
        <v>18</v>
      </c>
      <c r="M83" s="7" t="n">
        <v>7920</v>
      </c>
      <c r="N83" s="8" t="n">
        <v>0.01</v>
      </c>
      <c r="O83" s="4" t="n">
        <f aca="false">M83*N83</f>
        <v>79.2</v>
      </c>
    </row>
    <row r="84" customFormat="false" ht="15" hidden="false" customHeight="false" outlineLevel="0" collapsed="false">
      <c r="A84" s="0" t="s">
        <v>231</v>
      </c>
      <c r="C84" s="0" t="s">
        <v>43</v>
      </c>
      <c r="D84" s="7" t="n">
        <v>843</v>
      </c>
      <c r="E84" s="8" t="n">
        <v>1.25340450771056</v>
      </c>
      <c r="F84" s="4" t="n">
        <f aca="false">D84*E84</f>
        <v>1056.62</v>
      </c>
      <c r="G84" s="7" t="n">
        <v>8</v>
      </c>
      <c r="H84" s="9" t="n">
        <f aca="false">IF(G84&gt;0,D84/G84,"")</f>
        <v>105.375</v>
      </c>
      <c r="I84" s="10" t="n">
        <v>46048</v>
      </c>
      <c r="K84" s="10"/>
      <c r="M84" s="7"/>
      <c r="N84" s="8"/>
      <c r="O84" s="4"/>
    </row>
    <row r="85" customFormat="false" ht="15" hidden="false" customHeight="false" outlineLevel="0" collapsed="false">
      <c r="A85" s="0" t="s">
        <v>232</v>
      </c>
      <c r="C85" s="0" t="s">
        <v>35</v>
      </c>
      <c r="D85" s="7" t="n">
        <v>2849</v>
      </c>
      <c r="E85" s="8" t="n">
        <v>0.370768690768691</v>
      </c>
      <c r="F85" s="4" t="n">
        <f aca="false">D85*E85</f>
        <v>1056.32</v>
      </c>
      <c r="G85" s="7" t="n">
        <v>30</v>
      </c>
      <c r="H85" s="9" t="n">
        <f aca="false">IF(G85&gt;0,D85/G85,"")</f>
        <v>94.9666666666667</v>
      </c>
      <c r="I85" s="10" t="n">
        <v>46251</v>
      </c>
      <c r="J85" s="3" t="s">
        <v>184</v>
      </c>
      <c r="K85" s="10" t="n">
        <v>45468</v>
      </c>
      <c r="L85" s="3" t="s">
        <v>20</v>
      </c>
      <c r="M85" s="7" t="n">
        <v>1500</v>
      </c>
      <c r="N85" s="8" t="n">
        <v>0.237</v>
      </c>
      <c r="O85" s="4" t="n">
        <f aca="false">M85*N85</f>
        <v>355.5</v>
      </c>
    </row>
    <row r="86" customFormat="false" ht="15" hidden="false" customHeight="false" outlineLevel="0" collapsed="false">
      <c r="A86" s="0" t="s">
        <v>233</v>
      </c>
      <c r="C86" s="0" t="s">
        <v>39</v>
      </c>
      <c r="D86" s="7" t="n">
        <v>8213</v>
      </c>
      <c r="E86" s="8" t="n">
        <v>0.128325824911725</v>
      </c>
      <c r="F86" s="4" t="n">
        <f aca="false">D86*E86</f>
        <v>1053.94</v>
      </c>
      <c r="G86" s="7" t="n">
        <v>466</v>
      </c>
      <c r="H86" s="9" t="n">
        <f aca="false">IF(G86&gt;0,D86/G86,"")</f>
        <v>17.6244635193133</v>
      </c>
      <c r="I86" s="10" t="n">
        <v>46276</v>
      </c>
      <c r="J86" s="3" t="s">
        <v>234</v>
      </c>
      <c r="K86" s="10" t="n">
        <v>44726</v>
      </c>
      <c r="L86" s="3" t="s">
        <v>15</v>
      </c>
      <c r="M86" s="7" t="n">
        <v>3350</v>
      </c>
      <c r="N86" s="8" t="n">
        <v>0.09914</v>
      </c>
      <c r="O86" s="4" t="n">
        <v>318.604</v>
      </c>
    </row>
    <row r="87" customFormat="false" ht="15" hidden="false" customHeight="false" outlineLevel="0" collapsed="false">
      <c r="A87" s="0" t="s">
        <v>235</v>
      </c>
      <c r="C87" s="0" t="s">
        <v>40</v>
      </c>
      <c r="D87" s="7" t="n">
        <v>217084</v>
      </c>
      <c r="E87" s="8" t="n">
        <v>0.00484987378157764</v>
      </c>
      <c r="F87" s="4" t="n">
        <f aca="false">D87*E87</f>
        <v>1052.83</v>
      </c>
      <c r="G87" s="7" t="n">
        <v>24038</v>
      </c>
      <c r="H87" s="9" t="n">
        <f aca="false">IF(G87&gt;0,D87/G87,"")</f>
        <v>9.03086779266162</v>
      </c>
      <c r="I87" s="10" t="n">
        <v>46300</v>
      </c>
      <c r="J87" s="3" t="s">
        <v>236</v>
      </c>
      <c r="K87" s="10" t="n">
        <v>44694</v>
      </c>
      <c r="L87" s="3" t="s">
        <v>18</v>
      </c>
      <c r="M87" s="7" t="n">
        <v>50600</v>
      </c>
      <c r="N87" s="8" t="n">
        <v>0.0061</v>
      </c>
      <c r="O87" s="4" t="n">
        <f aca="false">M87*N87</f>
        <v>308.66</v>
      </c>
    </row>
    <row r="88" customFormat="false" ht="15" hidden="false" customHeight="false" outlineLevel="0" collapsed="false">
      <c r="A88" s="0" t="s">
        <v>237</v>
      </c>
      <c r="C88" s="0" t="s">
        <v>34</v>
      </c>
      <c r="D88" s="7" t="n">
        <v>6423</v>
      </c>
      <c r="E88" s="8" t="n">
        <v>0.163903160516892</v>
      </c>
      <c r="F88" s="4" t="n">
        <f aca="false">D88*E88</f>
        <v>1052.75</v>
      </c>
      <c r="G88" s="7" t="n">
        <v>127</v>
      </c>
      <c r="H88" s="9" t="n">
        <f aca="false">IF(G88&gt;0,D88/G88,"")</f>
        <v>50.5748031496063</v>
      </c>
      <c r="I88" s="10" t="n">
        <v>46097</v>
      </c>
      <c r="J88" s="3" t="s">
        <v>238</v>
      </c>
      <c r="K88" s="10" t="n">
        <v>45689</v>
      </c>
      <c r="L88" s="3" t="s">
        <v>15</v>
      </c>
      <c r="M88" s="7" t="n">
        <v>3500</v>
      </c>
      <c r="N88" s="8" t="n">
        <v>0.14542</v>
      </c>
      <c r="O88" s="4" t="n">
        <f aca="false">M88*N88</f>
        <v>508.97</v>
      </c>
    </row>
    <row r="89" customFormat="false" ht="15" hidden="false" customHeight="false" outlineLevel="0" collapsed="false">
      <c r="A89" s="0" t="s">
        <v>239</v>
      </c>
      <c r="C89" s="0" t="s">
        <v>33</v>
      </c>
      <c r="D89" s="7" t="n">
        <v>56675</v>
      </c>
      <c r="E89" s="8" t="n">
        <v>0.0185102779003088</v>
      </c>
      <c r="F89" s="4" t="n">
        <f aca="false">D89*E89</f>
        <v>1049.07</v>
      </c>
      <c r="G89" s="7" t="n">
        <v>44558</v>
      </c>
      <c r="H89" s="9" t="n">
        <f aca="false">IF(G89&gt;0,D89/G89,"")</f>
        <v>1.2719376991786</v>
      </c>
      <c r="I89" s="10" t="n">
        <v>46317</v>
      </c>
      <c r="J89" s="3" t="s">
        <v>240</v>
      </c>
      <c r="K89" s="10" t="n">
        <v>46265</v>
      </c>
      <c r="L89" s="3" t="s">
        <v>14</v>
      </c>
      <c r="M89" s="7" t="n">
        <v>56885</v>
      </c>
      <c r="N89" s="8" t="n">
        <v>0.0184</v>
      </c>
      <c r="O89" s="4" t="n">
        <f aca="false">M89*N89</f>
        <v>1046.684</v>
      </c>
    </row>
    <row r="90" customFormat="false" ht="15" hidden="false" customHeight="false" outlineLevel="0" collapsed="false">
      <c r="A90" s="0" t="s">
        <v>241</v>
      </c>
      <c r="C90" s="0" t="s">
        <v>100</v>
      </c>
      <c r="D90" s="7" t="n">
        <v>359</v>
      </c>
      <c r="E90" s="8" t="n">
        <v>2.88899721448468</v>
      </c>
      <c r="F90" s="4" t="n">
        <f aca="false">D90*E90</f>
        <v>1037.15</v>
      </c>
      <c r="G90" s="7" t="n">
        <v>2</v>
      </c>
      <c r="H90" s="9" t="n">
        <f aca="false">IF(G90&gt;0,D90/G90,"")</f>
        <v>179.5</v>
      </c>
      <c r="I90" s="10" t="n">
        <v>46202</v>
      </c>
      <c r="K90" s="10"/>
      <c r="M90" s="7"/>
      <c r="N90" s="8"/>
      <c r="O90" s="4"/>
    </row>
    <row r="91" customFormat="false" ht="15" hidden="false" customHeight="false" outlineLevel="0" collapsed="false">
      <c r="A91" s="0" t="s">
        <v>242</v>
      </c>
      <c r="C91" s="0" t="s">
        <v>95</v>
      </c>
      <c r="D91" s="7" t="n">
        <v>2615</v>
      </c>
      <c r="E91" s="8" t="n">
        <v>0.396202676864245</v>
      </c>
      <c r="F91" s="4" t="n">
        <f aca="false">D91*E91</f>
        <v>1036.07</v>
      </c>
      <c r="G91" s="7" t="n">
        <v>1000</v>
      </c>
      <c r="H91" s="9" t="n">
        <f aca="false">IF(G91&gt;0,D91/G91,"")</f>
        <v>2.615</v>
      </c>
      <c r="I91" s="10" t="n">
        <v>46048</v>
      </c>
      <c r="J91" s="3" t="s">
        <v>243</v>
      </c>
      <c r="K91" s="10" t="n">
        <v>46121</v>
      </c>
      <c r="L91" s="3" t="s">
        <v>15</v>
      </c>
      <c r="M91" s="7" t="n">
        <v>1350</v>
      </c>
      <c r="N91" s="8" t="n">
        <v>0.47229</v>
      </c>
      <c r="O91" s="4" t="n">
        <f aca="false">M91*N91</f>
        <v>637.5915</v>
      </c>
    </row>
    <row r="92" customFormat="false" ht="15" hidden="false" customHeight="false" outlineLevel="0" collapsed="false">
      <c r="A92" s="0" t="s">
        <v>244</v>
      </c>
      <c r="C92" s="0" t="s">
        <v>225</v>
      </c>
      <c r="D92" s="7" t="n">
        <v>23</v>
      </c>
      <c r="E92" s="8" t="n">
        <v>45.0108695652174</v>
      </c>
      <c r="F92" s="4" t="n">
        <f aca="false">D92*E92</f>
        <v>1035.25</v>
      </c>
      <c r="G92" s="7" t="n">
        <v>10</v>
      </c>
      <c r="H92" s="9" t="n">
        <f aca="false">IF(G92&gt;0,D92/G92,"")</f>
        <v>2.3</v>
      </c>
      <c r="I92" s="10" t="n">
        <v>46064</v>
      </c>
      <c r="J92" s="3" t="s">
        <v>245</v>
      </c>
      <c r="K92" s="10" t="n">
        <v>46051</v>
      </c>
      <c r="L92" s="3" t="s">
        <v>14</v>
      </c>
      <c r="M92" s="7" t="n">
        <v>33</v>
      </c>
      <c r="N92" s="8" t="n">
        <v>45.0109</v>
      </c>
      <c r="O92" s="4" t="n">
        <f aca="false">M92*N92</f>
        <v>1485.3597</v>
      </c>
    </row>
    <row r="93" customFormat="false" ht="15" hidden="false" customHeight="false" outlineLevel="0" collapsed="false">
      <c r="A93" s="0" t="s">
        <v>246</v>
      </c>
      <c r="C93" s="0" t="s">
        <v>32</v>
      </c>
      <c r="D93" s="7" t="n">
        <v>5987</v>
      </c>
      <c r="E93" s="8" t="n">
        <v>0.170272256555871</v>
      </c>
      <c r="F93" s="4" t="n">
        <f aca="false">D93*E93</f>
        <v>1019.42</v>
      </c>
      <c r="G93" s="7" t="n">
        <v>234</v>
      </c>
      <c r="H93" s="9" t="n">
        <f aca="false">IF(G93&gt;0,D93/G93,"")</f>
        <v>25.5854700854701</v>
      </c>
      <c r="I93" s="10" t="n">
        <v>46261</v>
      </c>
      <c r="J93" s="3" t="s">
        <v>247</v>
      </c>
      <c r="K93" s="10" t="n">
        <v>44914</v>
      </c>
      <c r="L93" s="3" t="s">
        <v>19</v>
      </c>
      <c r="M93" s="7" t="n">
        <v>1000</v>
      </c>
      <c r="N93" s="8" t="n">
        <v>0.156</v>
      </c>
      <c r="O93" s="4" t="n">
        <f aca="false">M93*N93</f>
        <v>156</v>
      </c>
    </row>
    <row r="94" customFormat="false" ht="15" hidden="false" customHeight="false" outlineLevel="0" collapsed="false">
      <c r="A94" s="0" t="s">
        <v>248</v>
      </c>
      <c r="C94" s="0" t="s">
        <v>32</v>
      </c>
      <c r="D94" s="7" t="n">
        <v>153716</v>
      </c>
      <c r="E94" s="8" t="n">
        <v>0.00655000130110073</v>
      </c>
      <c r="F94" s="4" t="n">
        <f aca="false">D94*E94</f>
        <v>1006.84</v>
      </c>
      <c r="G94" s="7" t="n">
        <v>21280</v>
      </c>
      <c r="H94" s="9" t="n">
        <f aca="false">IF(G94&gt;0,D94/G94,"")</f>
        <v>7.2234962406015</v>
      </c>
      <c r="I94" s="10" t="n">
        <v>46314</v>
      </c>
      <c r="J94" s="3" t="s">
        <v>249</v>
      </c>
      <c r="K94" s="10" t="n">
        <v>44314</v>
      </c>
      <c r="L94" s="3" t="s">
        <v>15</v>
      </c>
      <c r="M94" s="7" t="n">
        <v>250870</v>
      </c>
      <c r="N94" s="8" t="n">
        <v>0.00655</v>
      </c>
      <c r="O94" s="4" t="n">
        <f aca="false">M94*N94</f>
        <v>1643.1985</v>
      </c>
    </row>
    <row r="95" customFormat="false" ht="15" hidden="false" customHeight="false" outlineLevel="0" collapsed="false">
      <c r="A95" s="0" t="s">
        <v>250</v>
      </c>
      <c r="C95" s="0" t="s">
        <v>85</v>
      </c>
      <c r="D95" s="7" t="n">
        <v>3070</v>
      </c>
      <c r="E95" s="8" t="n">
        <v>0.327768729641694</v>
      </c>
      <c r="F95" s="4" t="n">
        <f aca="false">D95*E95</f>
        <v>1006.25</v>
      </c>
      <c r="G95" s="7" t="n">
        <v>749</v>
      </c>
      <c r="H95" s="9" t="n">
        <f aca="false">IF(G95&gt;0,D95/G95,"")</f>
        <v>4.09879839786382</v>
      </c>
      <c r="I95" s="10" t="n">
        <v>46304</v>
      </c>
      <c r="J95" s="3" t="s">
        <v>86</v>
      </c>
      <c r="K95" s="10" t="n">
        <v>45688</v>
      </c>
      <c r="L95" s="3" t="s">
        <v>22</v>
      </c>
      <c r="M95" s="7" t="n">
        <v>5000</v>
      </c>
      <c r="N95" s="8" t="n">
        <v>0.326</v>
      </c>
      <c r="O95" s="4" t="n">
        <f aca="false">M95*N95</f>
        <v>1630</v>
      </c>
    </row>
    <row r="96" customFormat="false" ht="15" hidden="false" customHeight="false" outlineLevel="0" collapsed="false">
      <c r="A96" s="0" t="s">
        <v>251</v>
      </c>
      <c r="C96" s="0" t="s">
        <v>33</v>
      </c>
      <c r="D96" s="7" t="n">
        <v>5443</v>
      </c>
      <c r="E96" s="8" t="n">
        <v>0.184201726988793</v>
      </c>
      <c r="F96" s="4" t="n">
        <f aca="false">D96*E96</f>
        <v>1002.61</v>
      </c>
      <c r="G96" s="7" t="n">
        <v>1139</v>
      </c>
      <c r="H96" s="9" t="n">
        <f aca="false">IF(G96&gt;0,D96/G96,"")</f>
        <v>4.77875329236172</v>
      </c>
      <c r="I96" s="10" t="n">
        <v>46283</v>
      </c>
      <c r="J96" s="3" t="s">
        <v>147</v>
      </c>
      <c r="K96" s="10" t="n">
        <v>44777</v>
      </c>
      <c r="L96" s="3" t="s">
        <v>20</v>
      </c>
      <c r="M96" s="7" t="n">
        <v>2100</v>
      </c>
      <c r="N96" s="8" t="n">
        <v>0.1346547</v>
      </c>
      <c r="O96" s="4" t="n">
        <f aca="false">M96*N96</f>
        <v>282.77487</v>
      </c>
    </row>
    <row r="97" customFormat="false" ht="15" hidden="false" customHeight="false" outlineLevel="0" collapsed="false">
      <c r="A97" s="0" t="s">
        <v>252</v>
      </c>
      <c r="C97" s="0" t="s">
        <v>44</v>
      </c>
      <c r="D97" s="7" t="n">
        <v>55</v>
      </c>
      <c r="E97" s="8" t="n">
        <v>17.8178181818182</v>
      </c>
      <c r="F97" s="4" t="n">
        <f aca="false">D97*E97</f>
        <v>979.98</v>
      </c>
      <c r="G97" s="7" t="n">
        <v>4</v>
      </c>
      <c r="H97" s="9" t="n">
        <f aca="false">IF(G97&gt;0,D97/G97,"")</f>
        <v>13.75</v>
      </c>
      <c r="I97" s="10" t="n">
        <v>46007</v>
      </c>
      <c r="J97" s="3" t="s">
        <v>253</v>
      </c>
      <c r="K97" s="10" t="n">
        <v>44565</v>
      </c>
      <c r="L97" s="3" t="s">
        <v>14</v>
      </c>
      <c r="M97" s="7" t="n">
        <v>45</v>
      </c>
      <c r="N97" s="8" t="n">
        <v>14.4885</v>
      </c>
      <c r="O97" s="4" t="n">
        <f aca="false">M97*N97</f>
        <v>651.9825</v>
      </c>
    </row>
    <row r="98" customFormat="false" ht="15" hidden="false" customHeight="false" outlineLevel="0" collapsed="false">
      <c r="A98" s="0" t="s">
        <v>254</v>
      </c>
      <c r="C98" s="0" t="s">
        <v>255</v>
      </c>
      <c r="D98" s="7" t="n">
        <v>2689</v>
      </c>
      <c r="E98" s="8" t="n">
        <v>0.363201933804388</v>
      </c>
      <c r="F98" s="4" t="n">
        <f aca="false">D98*E98</f>
        <v>976.65</v>
      </c>
      <c r="G98" s="7" t="n">
        <v>2089</v>
      </c>
      <c r="H98" s="9" t="n">
        <f aca="false">IF(G98&gt;0,D98/G98,"")</f>
        <v>1.28721876495931</v>
      </c>
      <c r="I98" s="10" t="n">
        <v>46302</v>
      </c>
      <c r="J98" s="3" t="s">
        <v>256</v>
      </c>
      <c r="K98" s="10" t="n">
        <v>45358</v>
      </c>
      <c r="L98" s="3" t="s">
        <v>257</v>
      </c>
      <c r="M98" s="7" t="n">
        <v>2606</v>
      </c>
      <c r="N98" s="8" t="n">
        <v>0.33</v>
      </c>
      <c r="O98" s="4" t="n">
        <f aca="false">M98*N98</f>
        <v>859.98</v>
      </c>
    </row>
    <row r="99" customFormat="false" ht="15" hidden="false" customHeight="false" outlineLevel="0" collapsed="false">
      <c r="A99" s="0" t="s">
        <v>258</v>
      </c>
      <c r="C99" s="0" t="s">
        <v>33</v>
      </c>
      <c r="D99" s="7" t="n">
        <v>117</v>
      </c>
      <c r="E99" s="8" t="n">
        <v>8.21521367521368</v>
      </c>
      <c r="F99" s="4" t="n">
        <f aca="false">D99*E99</f>
        <v>961.18</v>
      </c>
      <c r="G99" s="7" t="n">
        <v>3</v>
      </c>
      <c r="H99" s="9" t="n">
        <f aca="false">IF(G99&gt;0,D99/G99,"")</f>
        <v>39</v>
      </c>
      <c r="I99" s="10" t="n">
        <v>46022</v>
      </c>
      <c r="J99" s="3" t="s">
        <v>259</v>
      </c>
      <c r="K99" s="10" t="n">
        <v>45196</v>
      </c>
      <c r="L99" s="3" t="s">
        <v>18</v>
      </c>
      <c r="M99" s="7" t="n">
        <v>40</v>
      </c>
      <c r="N99" s="8" t="n">
        <v>9.2546</v>
      </c>
      <c r="O99" s="4" t="n">
        <f aca="false">M99*N99</f>
        <v>370.184</v>
      </c>
    </row>
    <row r="100" customFormat="false" ht="15" hidden="false" customHeight="false" outlineLevel="0" collapsed="false">
      <c r="A100" s="0" t="s">
        <v>260</v>
      </c>
      <c r="C100" s="0" t="s">
        <v>45</v>
      </c>
      <c r="D100" s="7" t="n">
        <v>3957</v>
      </c>
      <c r="E100" s="8" t="n">
        <v>0.242198635329795</v>
      </c>
      <c r="F100" s="4" t="n">
        <f aca="false">D100*E100</f>
        <v>958.38</v>
      </c>
      <c r="G100" s="7" t="n">
        <v>1031</v>
      </c>
      <c r="H100" s="9" t="n">
        <f aca="false">IF(G100&gt;0,D100/G100,"")</f>
        <v>3.8380213385063</v>
      </c>
      <c r="I100" s="10" t="n">
        <v>46178</v>
      </c>
      <c r="J100" s="3" t="s">
        <v>261</v>
      </c>
      <c r="K100" s="10" t="n">
        <v>46055</v>
      </c>
      <c r="L100" s="3" t="s">
        <v>14</v>
      </c>
      <c r="M100" s="7" t="n">
        <v>4988</v>
      </c>
      <c r="N100" s="8" t="n">
        <v>0.2422</v>
      </c>
      <c r="O100" s="4" t="n">
        <f aca="false">M100*N100</f>
        <v>1208.0936</v>
      </c>
    </row>
    <row r="101" customFormat="false" ht="15" hidden="false" customHeight="false" outlineLevel="0" collapsed="false">
      <c r="A101" s="0" t="s">
        <v>262</v>
      </c>
      <c r="C101" s="0" t="s">
        <v>40</v>
      </c>
      <c r="D101" s="7" t="n">
        <v>25932</v>
      </c>
      <c r="E101" s="8" t="n">
        <v>0.0365698750578436</v>
      </c>
      <c r="F101" s="4" t="n">
        <f aca="false">D101*E101</f>
        <v>948.33</v>
      </c>
      <c r="G101" s="7" t="n">
        <v>3533</v>
      </c>
      <c r="H101" s="9" t="n">
        <f aca="false">IF(G101&gt;0,D101/G101,"")</f>
        <v>7.33993772997453</v>
      </c>
      <c r="I101" s="10" t="n">
        <v>46244</v>
      </c>
      <c r="J101" s="3" t="s">
        <v>263</v>
      </c>
      <c r="K101" s="10" t="n">
        <v>46094</v>
      </c>
      <c r="L101" s="3" t="s">
        <v>18</v>
      </c>
      <c r="M101" s="7" t="n">
        <v>30000</v>
      </c>
      <c r="N101" s="8" t="n">
        <v>0.0367</v>
      </c>
      <c r="O101" s="4" t="n">
        <f aca="false">M101*N101</f>
        <v>1101</v>
      </c>
    </row>
    <row r="102" customFormat="false" ht="15" hidden="false" customHeight="false" outlineLevel="0" collapsed="false">
      <c r="A102" s="0" t="s">
        <v>264</v>
      </c>
      <c r="C102" s="0" t="s">
        <v>44</v>
      </c>
      <c r="D102" s="7" t="n">
        <v>37</v>
      </c>
      <c r="E102" s="8" t="n">
        <v>25.1862162162162</v>
      </c>
      <c r="F102" s="4" t="n">
        <f aca="false">D102*E102</f>
        <v>931.89</v>
      </c>
      <c r="G102" s="7" t="n">
        <v>4</v>
      </c>
      <c r="H102" s="9" t="n">
        <f aca="false">IF(G102&gt;0,D102/G102,"")</f>
        <v>9.25</v>
      </c>
      <c r="I102" s="10" t="n">
        <v>46090</v>
      </c>
      <c r="J102" s="3" t="s">
        <v>190</v>
      </c>
      <c r="K102" s="10" t="n">
        <v>45315</v>
      </c>
      <c r="L102" s="3" t="s">
        <v>14</v>
      </c>
      <c r="M102" s="7" t="n">
        <v>50</v>
      </c>
      <c r="N102" s="8" t="n">
        <v>25.2078</v>
      </c>
      <c r="O102" s="4" t="n">
        <f aca="false">M102*N102</f>
        <v>1260.39</v>
      </c>
    </row>
    <row r="103" customFormat="false" ht="15" hidden="false" customHeight="false" outlineLevel="0" collapsed="false">
      <c r="A103" s="0" t="s">
        <v>265</v>
      </c>
      <c r="C103" s="0" t="s">
        <v>39</v>
      </c>
      <c r="D103" s="7" t="n">
        <v>27180</v>
      </c>
      <c r="E103" s="8" t="n">
        <v>0.0338999264164827</v>
      </c>
      <c r="F103" s="4" t="n">
        <f aca="false">D103*E103</f>
        <v>921.4</v>
      </c>
      <c r="G103" s="7" t="n">
        <v>20591</v>
      </c>
      <c r="H103" s="9" t="n">
        <f aca="false">IF(G103&gt;0,D103/G103,"")</f>
        <v>1.31999417221116</v>
      </c>
      <c r="I103" s="10" t="n">
        <v>46300</v>
      </c>
      <c r="J103" s="3" t="s">
        <v>193</v>
      </c>
      <c r="K103" s="10" t="n">
        <v>46265</v>
      </c>
      <c r="L103" s="3" t="s">
        <v>18</v>
      </c>
      <c r="M103" s="7" t="n">
        <v>25456</v>
      </c>
      <c r="N103" s="8" t="n">
        <v>0.0339</v>
      </c>
      <c r="O103" s="4" t="n">
        <f aca="false">M103*N103</f>
        <v>862.9584</v>
      </c>
    </row>
    <row r="104" customFormat="false" ht="15" hidden="false" customHeight="false" outlineLevel="0" collapsed="false">
      <c r="A104" s="0" t="s">
        <v>266</v>
      </c>
      <c r="C104" s="0" t="s">
        <v>35</v>
      </c>
      <c r="D104" s="7" t="n">
        <v>1573</v>
      </c>
      <c r="E104" s="8" t="n">
        <v>0.583661792752702</v>
      </c>
      <c r="F104" s="4" t="n">
        <f aca="false">D104*E104</f>
        <v>918.1</v>
      </c>
      <c r="G104" s="7" t="n">
        <v>4</v>
      </c>
      <c r="H104" s="9" t="n">
        <f aca="false">IF(G104&gt;0,D104/G104,"")</f>
        <v>393.25</v>
      </c>
      <c r="I104" s="10" t="n">
        <v>46280</v>
      </c>
      <c r="J104" s="3" t="s">
        <v>267</v>
      </c>
      <c r="K104" s="10" t="n">
        <v>45478</v>
      </c>
      <c r="L104" s="3" t="s">
        <v>20</v>
      </c>
      <c r="M104" s="7" t="n">
        <v>1500</v>
      </c>
      <c r="N104" s="8" t="n">
        <v>0.576</v>
      </c>
      <c r="O104" s="4" t="n">
        <f aca="false">M104*N104</f>
        <v>864</v>
      </c>
    </row>
    <row r="105" customFormat="false" ht="15" hidden="false" customHeight="false" outlineLevel="0" collapsed="false">
      <c r="A105" s="0" t="s">
        <v>268</v>
      </c>
      <c r="C105" s="0" t="s">
        <v>33</v>
      </c>
      <c r="D105" s="7" t="n">
        <v>4867</v>
      </c>
      <c r="E105" s="8" t="n">
        <v>0.188608999383604</v>
      </c>
      <c r="F105" s="4" t="n">
        <f aca="false">D105*E105</f>
        <v>917.96</v>
      </c>
      <c r="G105" s="7" t="n">
        <v>688</v>
      </c>
      <c r="H105" s="9" t="n">
        <f aca="false">IF(G105&gt;0,D105/G105,"")</f>
        <v>7.07412790697674</v>
      </c>
      <c r="I105" s="10" t="n">
        <v>46314</v>
      </c>
      <c r="J105" s="3" t="s">
        <v>269</v>
      </c>
      <c r="K105" s="10" t="n">
        <v>46252</v>
      </c>
      <c r="L105" s="3" t="s">
        <v>14</v>
      </c>
      <c r="M105" s="7" t="n">
        <v>5000</v>
      </c>
      <c r="N105" s="8" t="n">
        <v>0.1888</v>
      </c>
      <c r="O105" s="4" t="n">
        <f aca="false">M105*N105</f>
        <v>944</v>
      </c>
    </row>
    <row r="106" customFormat="false" ht="15" hidden="false" customHeight="false" outlineLevel="0" collapsed="false">
      <c r="A106" s="0" t="s">
        <v>270</v>
      </c>
      <c r="C106" s="0" t="s">
        <v>42</v>
      </c>
      <c r="D106" s="7" t="n">
        <v>2235</v>
      </c>
      <c r="E106" s="8" t="n">
        <v>0.410568232662192</v>
      </c>
      <c r="F106" s="4" t="n">
        <f aca="false">D106*E106</f>
        <v>917.62</v>
      </c>
      <c r="G106" s="7" t="n">
        <v>1573</v>
      </c>
      <c r="H106" s="9" t="n">
        <f aca="false">IF(G106&gt;0,D106/G106,"")</f>
        <v>1.42085187539733</v>
      </c>
      <c r="I106" s="10" t="n">
        <v>46317</v>
      </c>
      <c r="J106" s="3" t="s">
        <v>271</v>
      </c>
      <c r="K106" s="10" t="n">
        <v>44326</v>
      </c>
      <c r="L106" s="3" t="s">
        <v>14</v>
      </c>
      <c r="M106" s="7" t="n">
        <v>10000</v>
      </c>
      <c r="N106" s="8" t="n">
        <v>0.407</v>
      </c>
      <c r="O106" s="4" t="n">
        <f aca="false">M106*N106</f>
        <v>4070</v>
      </c>
    </row>
    <row r="107" customFormat="false" ht="15" hidden="false" customHeight="false" outlineLevel="0" collapsed="false">
      <c r="A107" s="0" t="s">
        <v>272</v>
      </c>
      <c r="C107" s="0" t="s">
        <v>39</v>
      </c>
      <c r="D107" s="7" t="n">
        <v>49293</v>
      </c>
      <c r="E107" s="8" t="n">
        <v>0.0184314202827988</v>
      </c>
      <c r="F107" s="4" t="n">
        <f aca="false">D107*E107</f>
        <v>908.54</v>
      </c>
      <c r="G107" s="7" t="n">
        <v>23420</v>
      </c>
      <c r="H107" s="9" t="n">
        <f aca="false">IF(G107&gt;0,D107/G107,"")</f>
        <v>2.10473953885568</v>
      </c>
      <c r="I107" s="10" t="n">
        <v>46317</v>
      </c>
      <c r="J107" s="3" t="s">
        <v>273</v>
      </c>
      <c r="K107" s="10" t="n">
        <v>46251</v>
      </c>
      <c r="L107" s="3" t="s">
        <v>14</v>
      </c>
      <c r="M107" s="7" t="n">
        <v>50000</v>
      </c>
      <c r="N107" s="8" t="n">
        <v>0.0184</v>
      </c>
      <c r="O107" s="4" t="n">
        <f aca="false">M107*N107</f>
        <v>920</v>
      </c>
    </row>
    <row r="108" customFormat="false" ht="15" hidden="false" customHeight="false" outlineLevel="0" collapsed="false">
      <c r="A108" s="0" t="s">
        <v>274</v>
      </c>
      <c r="C108" s="0" t="s">
        <v>275</v>
      </c>
      <c r="D108" s="7" t="n">
        <v>47</v>
      </c>
      <c r="E108" s="8" t="n">
        <v>19.2523404255319</v>
      </c>
      <c r="F108" s="4" t="n">
        <f aca="false">D108*E108</f>
        <v>904.86</v>
      </c>
      <c r="G108" s="7" t="n">
        <v>3</v>
      </c>
      <c r="H108" s="9" t="n">
        <f aca="false">IF(G108&gt;0,D108/G108,"")</f>
        <v>15.6666666666667</v>
      </c>
      <c r="I108" s="10" t="n">
        <v>46237</v>
      </c>
      <c r="J108" s="3" t="s">
        <v>276</v>
      </c>
      <c r="K108" s="10" t="n">
        <v>46225</v>
      </c>
      <c r="L108" s="3" t="s">
        <v>14</v>
      </c>
      <c r="M108" s="7" t="n">
        <v>50</v>
      </c>
      <c r="N108" s="8" t="n">
        <v>19.2524</v>
      </c>
      <c r="O108" s="4" t="n">
        <f aca="false">M108*N108</f>
        <v>962.62</v>
      </c>
    </row>
    <row r="109" customFormat="false" ht="15" hidden="false" customHeight="false" outlineLevel="0" collapsed="false">
      <c r="A109" s="0" t="s">
        <v>277</v>
      </c>
      <c r="C109" s="0" t="s">
        <v>100</v>
      </c>
      <c r="D109" s="7" t="n">
        <v>4636</v>
      </c>
      <c r="E109" s="8" t="n">
        <v>0.189715271786022</v>
      </c>
      <c r="F109" s="4" t="n">
        <f aca="false">D109*E109</f>
        <v>879.52</v>
      </c>
      <c r="G109" s="7" t="n">
        <v>830</v>
      </c>
      <c r="H109" s="9" t="n">
        <f aca="false">IF(G109&gt;0,D109/G109,"")</f>
        <v>5.5855421686747</v>
      </c>
      <c r="I109" s="10" t="n">
        <v>46286</v>
      </c>
      <c r="J109" s="3" t="s">
        <v>278</v>
      </c>
      <c r="K109" s="10" t="n">
        <v>45967</v>
      </c>
      <c r="L109" s="3" t="s">
        <v>16</v>
      </c>
      <c r="M109" s="7" t="n">
        <v>5300</v>
      </c>
      <c r="N109" s="8" t="n">
        <v>0.189715</v>
      </c>
      <c r="O109" s="4" t="n">
        <f aca="false">M109*N109</f>
        <v>1005.4895</v>
      </c>
    </row>
    <row r="110" customFormat="false" ht="15" hidden="false" customHeight="false" outlineLevel="0" collapsed="false">
      <c r="A110" s="0" t="s">
        <v>279</v>
      </c>
      <c r="C110" s="0" t="s">
        <v>197</v>
      </c>
      <c r="D110" s="7" t="n">
        <v>3</v>
      </c>
      <c r="E110" s="8" t="n">
        <v>290</v>
      </c>
      <c r="F110" s="4" t="n">
        <f aca="false">D110*E110</f>
        <v>870</v>
      </c>
      <c r="G110" s="7" t="n">
        <v>1</v>
      </c>
      <c r="H110" s="9" t="n">
        <f aca="false">IF(G110&gt;0,D110/G110,"")</f>
        <v>3</v>
      </c>
      <c r="I110" s="10" t="n">
        <v>46226</v>
      </c>
      <c r="J110" s="3" t="s">
        <v>280</v>
      </c>
      <c r="K110" s="10" t="n">
        <v>45287</v>
      </c>
      <c r="L110" s="3" t="s">
        <v>199</v>
      </c>
      <c r="M110" s="7" t="n">
        <v>4</v>
      </c>
      <c r="N110" s="8" t="n">
        <v>290</v>
      </c>
      <c r="O110" s="4" t="n">
        <f aca="false">M110*N110</f>
        <v>1160</v>
      </c>
    </row>
    <row r="111" customFormat="false" ht="15" hidden="false" customHeight="false" outlineLevel="0" collapsed="false">
      <c r="A111" s="0" t="s">
        <v>281</v>
      </c>
      <c r="C111" s="0" t="s">
        <v>41</v>
      </c>
      <c r="D111" s="7" t="n">
        <v>43432</v>
      </c>
      <c r="E111" s="8" t="n">
        <v>0.02</v>
      </c>
      <c r="F111" s="4" t="n">
        <f aca="false">D111*E111</f>
        <v>868.64</v>
      </c>
      <c r="G111" s="7" t="n">
        <v>110</v>
      </c>
      <c r="H111" s="9" t="n">
        <f aca="false">IF(G111&gt;0,D111/G111,"")</f>
        <v>394.836363636364</v>
      </c>
      <c r="I111" s="10" t="n">
        <v>46168</v>
      </c>
      <c r="J111" s="3" t="s">
        <v>178</v>
      </c>
      <c r="K111" s="10" t="n">
        <v>44301</v>
      </c>
      <c r="L111" s="3" t="s">
        <v>15</v>
      </c>
      <c r="M111" s="7" t="n">
        <v>44160</v>
      </c>
      <c r="N111" s="8" t="n">
        <v>0.02</v>
      </c>
      <c r="O111" s="4" t="n">
        <f aca="false">M111*N111</f>
        <v>883.2</v>
      </c>
    </row>
    <row r="112" customFormat="false" ht="15" hidden="false" customHeight="false" outlineLevel="0" collapsed="false">
      <c r="A112" s="0" t="s">
        <v>282</v>
      </c>
      <c r="C112" s="0" t="s">
        <v>45</v>
      </c>
      <c r="D112" s="7" t="n">
        <v>1310</v>
      </c>
      <c r="E112" s="8" t="n">
        <v>0.661519083969466</v>
      </c>
      <c r="F112" s="4" t="n">
        <f aca="false">D112*E112</f>
        <v>866.59</v>
      </c>
      <c r="G112" s="7" t="n">
        <v>1054</v>
      </c>
      <c r="H112" s="9" t="n">
        <f aca="false">IF(G112&gt;0,D112/G112,"")</f>
        <v>1.24288425047438</v>
      </c>
      <c r="I112" s="10" t="n">
        <v>46255</v>
      </c>
      <c r="J112" s="3" t="s">
        <v>283</v>
      </c>
      <c r="K112" s="10" t="n">
        <v>46287</v>
      </c>
      <c r="L112" s="3" t="s">
        <v>14</v>
      </c>
      <c r="M112" s="7" t="n">
        <v>610</v>
      </c>
      <c r="N112" s="8" t="n">
        <v>0.6586</v>
      </c>
      <c r="O112" s="4" t="n">
        <f aca="false">M112*N112</f>
        <v>401.746</v>
      </c>
    </row>
    <row r="113" customFormat="false" ht="15" hidden="false" customHeight="false" outlineLevel="0" collapsed="false">
      <c r="A113" s="0" t="s">
        <v>284</v>
      </c>
      <c r="C113" s="0" t="s">
        <v>285</v>
      </c>
      <c r="D113" s="7" t="n">
        <v>184156</v>
      </c>
      <c r="E113" s="8" t="n">
        <v>0.00469998262342796</v>
      </c>
      <c r="F113" s="4" t="n">
        <f aca="false">D113*E113</f>
        <v>865.53</v>
      </c>
      <c r="G113" s="7" t="n">
        <v>2925</v>
      </c>
      <c r="H113" s="9" t="n">
        <f aca="false">IF(G113&gt;0,D113/G113,"")</f>
        <v>62.9593162393162</v>
      </c>
      <c r="I113" s="10" t="n">
        <v>46304</v>
      </c>
      <c r="K113" s="10"/>
      <c r="M113" s="7"/>
      <c r="N113" s="8"/>
      <c r="O113" s="4"/>
    </row>
    <row r="114" customFormat="false" ht="15" hidden="false" customHeight="false" outlineLevel="0" collapsed="false">
      <c r="A114" s="0" t="s">
        <v>286</v>
      </c>
      <c r="C114" s="0" t="s">
        <v>31</v>
      </c>
      <c r="D114" s="7" t="n">
        <v>990</v>
      </c>
      <c r="E114" s="8" t="n">
        <v>0.86789898989899</v>
      </c>
      <c r="F114" s="4" t="n">
        <f aca="false">D114*E114</f>
        <v>859.22</v>
      </c>
      <c r="G114" s="7" t="n">
        <v>10</v>
      </c>
      <c r="H114" s="9" t="n">
        <f aca="false">IF(G114&gt;0,D114/G114,"")</f>
        <v>99</v>
      </c>
      <c r="I114" s="10" t="n">
        <v>46265</v>
      </c>
      <c r="J114" s="3" t="s">
        <v>287</v>
      </c>
      <c r="K114" s="10" t="n">
        <v>45922</v>
      </c>
      <c r="L114" s="3" t="s">
        <v>16</v>
      </c>
      <c r="M114" s="7" t="n">
        <v>1000</v>
      </c>
      <c r="N114" s="8" t="n">
        <v>0.8679</v>
      </c>
      <c r="O114" s="4" t="n">
        <f aca="false">M114*N114</f>
        <v>867.9</v>
      </c>
    </row>
    <row r="115" customFormat="false" ht="15" hidden="false" customHeight="false" outlineLevel="0" collapsed="false">
      <c r="A115" s="0" t="s">
        <v>288</v>
      </c>
      <c r="C115" s="0" t="s">
        <v>85</v>
      </c>
      <c r="D115" s="7" t="n">
        <v>2436</v>
      </c>
      <c r="E115" s="8" t="n">
        <v>0.349745484400657</v>
      </c>
      <c r="F115" s="4" t="n">
        <f aca="false">D115*E115</f>
        <v>851.98</v>
      </c>
      <c r="G115" s="7" t="n">
        <v>2357</v>
      </c>
      <c r="H115" s="9" t="n">
        <f aca="false">IF(G115&gt;0,D115/G115,"")</f>
        <v>1.03351718285957</v>
      </c>
      <c r="I115" s="10" t="n">
        <v>46310</v>
      </c>
      <c r="J115" s="3" t="s">
        <v>289</v>
      </c>
      <c r="K115" s="10" t="n">
        <v>45917</v>
      </c>
      <c r="L115" s="3" t="s">
        <v>22</v>
      </c>
      <c r="M115" s="7" t="n">
        <v>5000</v>
      </c>
      <c r="N115" s="8" t="n">
        <v>0.35</v>
      </c>
      <c r="O115" s="4" t="n">
        <f aca="false">M115*N115</f>
        <v>1750</v>
      </c>
    </row>
    <row r="116" customFormat="false" ht="15" hidden="false" customHeight="false" outlineLevel="0" collapsed="false">
      <c r="A116" s="0" t="s">
        <v>290</v>
      </c>
      <c r="C116" s="0" t="s">
        <v>35</v>
      </c>
      <c r="D116" s="7" t="n">
        <v>1274</v>
      </c>
      <c r="E116" s="8" t="n">
        <v>0.661012558869702</v>
      </c>
      <c r="F116" s="4" t="n">
        <f aca="false">D116*E116</f>
        <v>842.13</v>
      </c>
      <c r="G116" s="7" t="n">
        <v>99</v>
      </c>
      <c r="H116" s="9" t="n">
        <f aca="false">IF(G116&gt;0,D116/G116,"")</f>
        <v>12.8686868686869</v>
      </c>
      <c r="I116" s="10" t="n">
        <v>46160</v>
      </c>
      <c r="J116" s="3" t="s">
        <v>267</v>
      </c>
      <c r="K116" s="10" t="n">
        <v>45478</v>
      </c>
      <c r="L116" s="3" t="s">
        <v>20</v>
      </c>
      <c r="M116" s="7" t="n">
        <v>1500</v>
      </c>
      <c r="N116" s="8" t="n">
        <v>0.661</v>
      </c>
      <c r="O116" s="4" t="n">
        <f aca="false">M116*N116</f>
        <v>991.5</v>
      </c>
    </row>
    <row r="117" customFormat="false" ht="15" hidden="false" customHeight="false" outlineLevel="0" collapsed="false">
      <c r="A117" s="0" t="s">
        <v>291</v>
      </c>
      <c r="C117" s="0" t="s">
        <v>72</v>
      </c>
      <c r="D117" s="7" t="n">
        <v>1862</v>
      </c>
      <c r="E117" s="8" t="n">
        <v>0.449634801288937</v>
      </c>
      <c r="F117" s="4" t="n">
        <f aca="false">D117*E117</f>
        <v>837.22</v>
      </c>
      <c r="G117" s="7" t="n">
        <v>500</v>
      </c>
      <c r="H117" s="9" t="n">
        <f aca="false">IF(G117&gt;0,D117/G117,"")</f>
        <v>3.724</v>
      </c>
      <c r="I117" s="10" t="n">
        <v>46129</v>
      </c>
      <c r="J117" s="3" t="s">
        <v>73</v>
      </c>
      <c r="K117" s="10" t="n">
        <v>46057</v>
      </c>
      <c r="L117" s="3" t="s">
        <v>22</v>
      </c>
      <c r="M117" s="7" t="n">
        <v>5000</v>
      </c>
      <c r="N117" s="8" t="n">
        <v>0.423</v>
      </c>
      <c r="O117" s="4" t="n">
        <f aca="false">M117*N117</f>
        <v>2115</v>
      </c>
    </row>
    <row r="118" customFormat="false" ht="15" hidden="false" customHeight="false" outlineLevel="0" collapsed="false">
      <c r="A118" s="0" t="s">
        <v>292</v>
      </c>
      <c r="C118" s="0" t="s">
        <v>33</v>
      </c>
      <c r="D118" s="7" t="n">
        <v>2743</v>
      </c>
      <c r="E118" s="8" t="n">
        <v>0.304954429456799</v>
      </c>
      <c r="F118" s="4" t="n">
        <f aca="false">D118*E118</f>
        <v>836.49</v>
      </c>
      <c r="G118" s="7" t="n">
        <v>944</v>
      </c>
      <c r="H118" s="9" t="n">
        <f aca="false">IF(G118&gt;0,D118/G118,"")</f>
        <v>2.90572033898305</v>
      </c>
      <c r="I118" s="10" t="n">
        <v>46260</v>
      </c>
      <c r="J118" s="3" t="s">
        <v>293</v>
      </c>
      <c r="K118" s="10" t="n">
        <v>46310</v>
      </c>
      <c r="L118" s="3" t="s">
        <v>16</v>
      </c>
      <c r="M118" s="7" t="n">
        <v>1280</v>
      </c>
      <c r="N118" s="8" t="n">
        <v>0.2389</v>
      </c>
      <c r="O118" s="4" t="n">
        <f aca="false">M118*N118</f>
        <v>305.792</v>
      </c>
    </row>
    <row r="119" customFormat="false" ht="15" hidden="false" customHeight="false" outlineLevel="0" collapsed="false">
      <c r="A119" s="0" t="s">
        <v>294</v>
      </c>
      <c r="C119" s="0" t="s">
        <v>295</v>
      </c>
      <c r="D119" s="7" t="n">
        <v>53404</v>
      </c>
      <c r="E119" s="8" t="n">
        <v>0.0155999550595461</v>
      </c>
      <c r="F119" s="4" t="n">
        <f aca="false">D119*E119</f>
        <v>833.1</v>
      </c>
      <c r="G119" s="7" t="n">
        <v>8892</v>
      </c>
      <c r="H119" s="9" t="n">
        <f aca="false">IF(G119&gt;0,D119/G119,"")</f>
        <v>6.00584795321637</v>
      </c>
      <c r="I119" s="10" t="n">
        <v>46317</v>
      </c>
      <c r="J119" s="3" t="s">
        <v>296</v>
      </c>
      <c r="K119" s="10" t="n">
        <v>45975</v>
      </c>
      <c r="L119" s="3" t="s">
        <v>16</v>
      </c>
      <c r="M119" s="7" t="n">
        <v>61255</v>
      </c>
      <c r="N119" s="8" t="n">
        <v>0.0156</v>
      </c>
      <c r="O119" s="4" t="n">
        <f aca="false">M119*N119</f>
        <v>955.578</v>
      </c>
    </row>
    <row r="120" customFormat="false" ht="15" hidden="false" customHeight="false" outlineLevel="0" collapsed="false">
      <c r="A120" s="0" t="s">
        <v>297</v>
      </c>
      <c r="C120" s="0" t="s">
        <v>298</v>
      </c>
      <c r="D120" s="7" t="n">
        <v>24943</v>
      </c>
      <c r="E120" s="8" t="n">
        <v>0.0332213446658381</v>
      </c>
      <c r="F120" s="4" t="n">
        <f aca="false">D120*E120</f>
        <v>828.64</v>
      </c>
      <c r="G120" s="7" t="n">
        <v>20000</v>
      </c>
      <c r="H120" s="9" t="n">
        <f aca="false">IF(G120&gt;0,D120/G120,"")</f>
        <v>1.24715</v>
      </c>
      <c r="I120" s="10" t="n">
        <v>46083</v>
      </c>
      <c r="J120" s="3" t="s">
        <v>299</v>
      </c>
      <c r="K120" s="10" t="n">
        <v>46062</v>
      </c>
      <c r="L120" s="3" t="s">
        <v>14</v>
      </c>
      <c r="M120" s="7" t="n">
        <v>2160</v>
      </c>
      <c r="N120" s="8" t="n">
        <v>0.1187</v>
      </c>
      <c r="O120" s="4" t="n">
        <f aca="false">M120*N120</f>
        <v>256.392</v>
      </c>
    </row>
    <row r="121" customFormat="false" ht="15" hidden="false" customHeight="false" outlineLevel="0" collapsed="false">
      <c r="A121" s="0" t="s">
        <v>300</v>
      </c>
      <c r="C121" s="0" t="s">
        <v>295</v>
      </c>
      <c r="D121" s="7" t="n">
        <v>2968</v>
      </c>
      <c r="E121" s="8" t="n">
        <v>0.278574797843666</v>
      </c>
      <c r="F121" s="4" t="n">
        <f aca="false">D121*E121</f>
        <v>826.81</v>
      </c>
      <c r="G121" s="7" t="n">
        <v>40</v>
      </c>
      <c r="H121" s="9" t="n">
        <f aca="false">IF(G121&gt;0,D121/G121,"")</f>
        <v>74.2</v>
      </c>
      <c r="I121" s="10" t="n">
        <v>46181</v>
      </c>
      <c r="K121" s="10"/>
      <c r="M121" s="7"/>
      <c r="N121" s="8"/>
      <c r="O121" s="4"/>
    </row>
    <row r="122" customFormat="false" ht="15" hidden="false" customHeight="false" outlineLevel="0" collapsed="false">
      <c r="A122" s="0" t="s">
        <v>301</v>
      </c>
      <c r="C122" s="0" t="s">
        <v>79</v>
      </c>
      <c r="D122" s="7" t="n">
        <v>3338</v>
      </c>
      <c r="E122" s="8" t="n">
        <v>0.243106650689035</v>
      </c>
      <c r="F122" s="4" t="n">
        <f aca="false">D122*E122</f>
        <v>811.49</v>
      </c>
      <c r="G122" s="7" t="n">
        <v>5</v>
      </c>
      <c r="H122" s="9" t="n">
        <f aca="false">IF(G122&gt;0,D122/G122,"")</f>
        <v>667.6</v>
      </c>
      <c r="I122" s="10" t="n">
        <v>46090</v>
      </c>
      <c r="J122" s="3" t="s">
        <v>302</v>
      </c>
      <c r="K122" s="10" t="n">
        <v>45520</v>
      </c>
      <c r="L122" s="3" t="s">
        <v>15</v>
      </c>
      <c r="M122" s="7" t="n">
        <v>3545</v>
      </c>
      <c r="N122" s="8" t="n">
        <v>0.24311</v>
      </c>
      <c r="O122" s="4" t="n">
        <f aca="false">M122*N122</f>
        <v>861.82495</v>
      </c>
    </row>
    <row r="123" customFormat="false" ht="15" hidden="false" customHeight="false" outlineLevel="0" collapsed="false">
      <c r="A123" s="0" t="s">
        <v>303</v>
      </c>
      <c r="C123" s="0" t="s">
        <v>33</v>
      </c>
      <c r="D123" s="7" t="n">
        <v>583</v>
      </c>
      <c r="E123" s="8" t="n">
        <v>1.38195540308748</v>
      </c>
      <c r="F123" s="4" t="n">
        <f aca="false">D123*E123</f>
        <v>805.68</v>
      </c>
      <c r="G123" s="7" t="n">
        <v>5</v>
      </c>
      <c r="H123" s="9" t="n">
        <f aca="false">IF(G123&gt;0,D123/G123,"")</f>
        <v>116.6</v>
      </c>
      <c r="I123" s="10" t="n">
        <v>46174</v>
      </c>
      <c r="J123" s="3" t="s">
        <v>304</v>
      </c>
      <c r="K123" s="10" t="n">
        <v>44834</v>
      </c>
      <c r="L123" s="3" t="s">
        <v>18</v>
      </c>
      <c r="M123" s="7" t="n">
        <v>100</v>
      </c>
      <c r="N123" s="8" t="n">
        <v>2.0378</v>
      </c>
      <c r="O123" s="4" t="n">
        <f aca="false">M123*N123</f>
        <v>203.78</v>
      </c>
    </row>
    <row r="124" customFormat="false" ht="15" hidden="false" customHeight="false" outlineLevel="0" collapsed="false">
      <c r="A124" s="0" t="s">
        <v>305</v>
      </c>
      <c r="C124" s="0" t="s">
        <v>36</v>
      </c>
      <c r="D124" s="7" t="n">
        <v>996</v>
      </c>
      <c r="E124" s="8" t="n">
        <v>0.80859437751004</v>
      </c>
      <c r="F124" s="4" t="n">
        <f aca="false">D124*E124</f>
        <v>805.36</v>
      </c>
      <c r="G124" s="7" t="n">
        <v>4</v>
      </c>
      <c r="H124" s="9" t="n">
        <f aca="false">IF(G124&gt;0,D124/G124,"")</f>
        <v>249</v>
      </c>
      <c r="I124" s="10" t="n">
        <v>46104</v>
      </c>
      <c r="J124" s="3" t="s">
        <v>306</v>
      </c>
      <c r="K124" s="10" t="n">
        <v>45820</v>
      </c>
      <c r="L124" s="3" t="s">
        <v>28</v>
      </c>
      <c r="M124" s="7" t="n">
        <v>1032</v>
      </c>
      <c r="N124" s="8" t="n">
        <v>0.8086</v>
      </c>
      <c r="O124" s="4" t="n">
        <f aca="false">M124*N124</f>
        <v>834.4752</v>
      </c>
    </row>
    <row r="125" customFormat="false" ht="15" hidden="false" customHeight="false" outlineLevel="0" collapsed="false">
      <c r="A125" s="0" t="s">
        <v>307</v>
      </c>
      <c r="C125" s="0" t="s">
        <v>39</v>
      </c>
      <c r="D125" s="7" t="n">
        <v>3322</v>
      </c>
      <c r="E125" s="8" t="n">
        <v>0.241101745936183</v>
      </c>
      <c r="F125" s="4" t="n">
        <f aca="false">D125*E125</f>
        <v>800.94</v>
      </c>
      <c r="G125" s="7" t="n">
        <v>65</v>
      </c>
      <c r="H125" s="9" t="n">
        <f aca="false">IF(G125&gt;0,D125/G125,"")</f>
        <v>51.1076923076923</v>
      </c>
      <c r="I125" s="10" t="n">
        <v>46293</v>
      </c>
      <c r="J125" s="3" t="s">
        <v>308</v>
      </c>
      <c r="K125" s="10" t="n">
        <v>44295</v>
      </c>
      <c r="L125" s="3" t="s">
        <v>18</v>
      </c>
      <c r="M125" s="7" t="n">
        <v>6258</v>
      </c>
      <c r="N125" s="8" t="n">
        <v>0.2411</v>
      </c>
      <c r="O125" s="4" t="n">
        <f aca="false">M125*N125</f>
        <v>1508.8038</v>
      </c>
    </row>
    <row r="126" customFormat="false" ht="15" hidden="false" customHeight="false" outlineLevel="0" collapsed="false">
      <c r="A126" s="0" t="s">
        <v>309</v>
      </c>
      <c r="C126" s="0" t="s">
        <v>40</v>
      </c>
      <c r="D126" s="7" t="n">
        <v>50215</v>
      </c>
      <c r="E126" s="8" t="n">
        <v>0.0159137707856218</v>
      </c>
      <c r="F126" s="4" t="n">
        <f aca="false">D126*E126</f>
        <v>799.11</v>
      </c>
      <c r="G126" s="7" t="n">
        <v>4763</v>
      </c>
      <c r="H126" s="9" t="n">
        <f aca="false">IF(G126&gt;0,D126/G126,"")</f>
        <v>10.5427251732102</v>
      </c>
      <c r="I126" s="10" t="n">
        <v>46308</v>
      </c>
      <c r="J126" s="3" t="s">
        <v>98</v>
      </c>
      <c r="K126" s="10" t="n">
        <v>44600</v>
      </c>
      <c r="L126" s="3" t="s">
        <v>28</v>
      </c>
      <c r="M126" s="7" t="n">
        <v>16007</v>
      </c>
      <c r="N126" s="8" t="n">
        <v>0</v>
      </c>
      <c r="O126" s="4" t="n">
        <v>230.56</v>
      </c>
    </row>
    <row r="127" customFormat="false" ht="15" hidden="false" customHeight="false" outlineLevel="0" collapsed="false">
      <c r="A127" s="0" t="s">
        <v>310</v>
      </c>
      <c r="C127" s="0" t="s">
        <v>33</v>
      </c>
      <c r="D127" s="7" t="n">
        <v>20377</v>
      </c>
      <c r="E127" s="8" t="n">
        <v>0.0388030622760956</v>
      </c>
      <c r="F127" s="4" t="n">
        <f aca="false">D127*E127</f>
        <v>790.69</v>
      </c>
      <c r="G127" s="7" t="n">
        <v>12402</v>
      </c>
      <c r="H127" s="9" t="n">
        <f aca="false">IF(G127&gt;0,D127/G127,"")</f>
        <v>1.64304144492824</v>
      </c>
      <c r="I127" s="10" t="n">
        <v>46314</v>
      </c>
      <c r="J127" s="3" t="s">
        <v>230</v>
      </c>
      <c r="K127" s="10" t="n">
        <v>46303</v>
      </c>
      <c r="L127" s="3" t="s">
        <v>18</v>
      </c>
      <c r="M127" s="7" t="n">
        <v>4920</v>
      </c>
      <c r="N127" s="8" t="n">
        <v>0.031</v>
      </c>
      <c r="O127" s="4" t="n">
        <f aca="false">M127*N127</f>
        <v>152.52</v>
      </c>
    </row>
    <row r="128" customFormat="false" ht="15" hidden="false" customHeight="false" outlineLevel="0" collapsed="false">
      <c r="A128" s="0" t="s">
        <v>311</v>
      </c>
      <c r="C128" s="0" t="s">
        <v>95</v>
      </c>
      <c r="D128" s="7" t="n">
        <v>30</v>
      </c>
      <c r="E128" s="8" t="n">
        <v>26.21</v>
      </c>
      <c r="F128" s="4" t="n">
        <f aca="false">D128*E128</f>
        <v>786.3</v>
      </c>
      <c r="G128" s="7" t="n">
        <v>20</v>
      </c>
      <c r="H128" s="9" t="n">
        <f aca="false">IF(G128&gt;0,D128/G128,"")</f>
        <v>1.5</v>
      </c>
      <c r="I128" s="10" t="n">
        <v>45978</v>
      </c>
      <c r="J128" s="3" t="s">
        <v>312</v>
      </c>
      <c r="K128" s="10" t="n">
        <v>45930</v>
      </c>
      <c r="L128" s="3" t="s">
        <v>313</v>
      </c>
      <c r="M128" s="7" t="n">
        <v>50</v>
      </c>
      <c r="N128" s="8" t="n">
        <v>26.21</v>
      </c>
      <c r="O128" s="4" t="n">
        <f aca="false">M128*N128</f>
        <v>1310.5</v>
      </c>
    </row>
    <row r="129" customFormat="false" ht="15" hidden="false" customHeight="false" outlineLevel="0" collapsed="false">
      <c r="A129" s="0" t="s">
        <v>314</v>
      </c>
      <c r="C129" s="0" t="s">
        <v>39</v>
      </c>
      <c r="D129" s="7" t="n">
        <v>12745</v>
      </c>
      <c r="E129" s="8" t="n">
        <v>0.0616327971753629</v>
      </c>
      <c r="F129" s="4" t="n">
        <f aca="false">D129*E129</f>
        <v>785.51</v>
      </c>
      <c r="G129" s="7" t="n">
        <v>4119</v>
      </c>
      <c r="H129" s="9" t="n">
        <f aca="false">IF(G129&gt;0,D129/G129,"")</f>
        <v>3.09419762078174</v>
      </c>
      <c r="I129" s="10" t="n">
        <v>46315</v>
      </c>
      <c r="J129" s="3" t="s">
        <v>315</v>
      </c>
      <c r="K129" s="10" t="n">
        <v>46274</v>
      </c>
      <c r="L129" s="3" t="s">
        <v>14</v>
      </c>
      <c r="M129" s="7" t="n">
        <v>13000</v>
      </c>
      <c r="N129" s="8" t="n">
        <v>0.0617</v>
      </c>
      <c r="O129" s="4" t="n">
        <f aca="false">M129*N129</f>
        <v>802.1</v>
      </c>
    </row>
    <row r="130" customFormat="false" ht="15" hidden="false" customHeight="false" outlineLevel="0" collapsed="false">
      <c r="A130" s="0" t="s">
        <v>316</v>
      </c>
      <c r="C130" s="0" t="s">
        <v>31</v>
      </c>
      <c r="D130" s="7" t="n">
        <v>74335</v>
      </c>
      <c r="E130" s="8" t="n">
        <v>0.0102699939463241</v>
      </c>
      <c r="F130" s="4" t="n">
        <f aca="false">D130*E130</f>
        <v>763.42</v>
      </c>
      <c r="G130" s="7" t="n">
        <v>1880</v>
      </c>
      <c r="H130" s="9" t="n">
        <f aca="false">IF(G130&gt;0,D130/G130,"")</f>
        <v>39.5398936170213</v>
      </c>
      <c r="I130" s="10" t="n">
        <v>46308</v>
      </c>
      <c r="J130" s="3" t="s">
        <v>317</v>
      </c>
      <c r="K130" s="10" t="n">
        <v>44860</v>
      </c>
      <c r="L130" s="3" t="s">
        <v>15</v>
      </c>
      <c r="M130" s="7" t="n">
        <v>80500</v>
      </c>
      <c r="N130" s="8" t="n">
        <v>0.01027</v>
      </c>
      <c r="O130" s="4" t="n">
        <f aca="false">M130*N130</f>
        <v>826.735</v>
      </c>
    </row>
    <row r="131" customFormat="false" ht="15" hidden="false" customHeight="false" outlineLevel="0" collapsed="false">
      <c r="A131" s="0" t="s">
        <v>318</v>
      </c>
      <c r="C131" s="0" t="s">
        <v>35</v>
      </c>
      <c r="D131" s="7" t="n">
        <v>1520</v>
      </c>
      <c r="E131" s="8" t="n">
        <v>0.501868421052632</v>
      </c>
      <c r="F131" s="4" t="n">
        <f aca="false">D131*E131</f>
        <v>762.84</v>
      </c>
      <c r="G131" s="7" t="n">
        <v>8</v>
      </c>
      <c r="H131" s="9" t="n">
        <f aca="false">IF(G131&gt;0,D131/G131,"")</f>
        <v>190</v>
      </c>
      <c r="I131" s="10" t="n">
        <v>46266</v>
      </c>
      <c r="J131" s="3" t="s">
        <v>184</v>
      </c>
      <c r="K131" s="10" t="n">
        <v>45468</v>
      </c>
      <c r="L131" s="3" t="s">
        <v>20</v>
      </c>
      <c r="M131" s="7" t="n">
        <v>1000</v>
      </c>
      <c r="N131" s="8" t="n">
        <v>0.362</v>
      </c>
      <c r="O131" s="4" t="n">
        <f aca="false">M131*N131</f>
        <v>362</v>
      </c>
    </row>
    <row r="132" customFormat="false" ht="15" hidden="false" customHeight="false" outlineLevel="0" collapsed="false">
      <c r="A132" s="0" t="s">
        <v>319</v>
      </c>
      <c r="C132" s="0" t="s">
        <v>39</v>
      </c>
      <c r="D132" s="7" t="n">
        <v>1192</v>
      </c>
      <c r="E132" s="8" t="n">
        <v>0.638431208053691</v>
      </c>
      <c r="F132" s="4" t="n">
        <f aca="false">D132*E132</f>
        <v>761.01</v>
      </c>
      <c r="G132" s="7" t="n">
        <v>157</v>
      </c>
      <c r="H132" s="9" t="n">
        <f aca="false">IF(G132&gt;0,D132/G132,"")</f>
        <v>7.59235668789809</v>
      </c>
      <c r="I132" s="10" t="n">
        <v>46290</v>
      </c>
      <c r="J132" s="3" t="s">
        <v>320</v>
      </c>
      <c r="K132" s="10" t="n">
        <v>44651</v>
      </c>
      <c r="L132" s="3" t="s">
        <v>19</v>
      </c>
      <c r="M132" s="7" t="n">
        <v>1304</v>
      </c>
      <c r="N132" s="8" t="n">
        <v>0.5852</v>
      </c>
      <c r="O132" s="4" t="n">
        <f aca="false">M132*N132</f>
        <v>763.1008</v>
      </c>
    </row>
    <row r="133" customFormat="false" ht="15" hidden="false" customHeight="false" outlineLevel="0" collapsed="false">
      <c r="A133" s="0" t="s">
        <v>321</v>
      </c>
      <c r="C133" s="0" t="s">
        <v>33</v>
      </c>
      <c r="D133" s="7" t="n">
        <v>2337</v>
      </c>
      <c r="E133" s="8" t="n">
        <v>0.32214377406932</v>
      </c>
      <c r="F133" s="4" t="n">
        <f aca="false">D133*E133</f>
        <v>752.85</v>
      </c>
      <c r="G133" s="7" t="n">
        <v>118</v>
      </c>
      <c r="H133" s="9" t="n">
        <f aca="false">IF(G133&gt;0,D133/G133,"")</f>
        <v>19.8050847457627</v>
      </c>
      <c r="I133" s="10" t="n">
        <v>46283</v>
      </c>
      <c r="J133" s="3" t="s">
        <v>322</v>
      </c>
      <c r="K133" s="10" t="n">
        <v>44349</v>
      </c>
      <c r="L133" s="3" t="s">
        <v>18</v>
      </c>
      <c r="M133" s="7" t="n">
        <v>1704</v>
      </c>
      <c r="N133" s="8" t="n">
        <v>0.2964</v>
      </c>
      <c r="O133" s="4" t="n">
        <f aca="false">M133*N133</f>
        <v>505.0656</v>
      </c>
    </row>
    <row r="134" customFormat="false" ht="15" hidden="false" customHeight="false" outlineLevel="0" collapsed="false">
      <c r="A134" s="0" t="s">
        <v>323</v>
      </c>
      <c r="C134" s="0" t="s">
        <v>255</v>
      </c>
      <c r="D134" s="7" t="n">
        <v>370</v>
      </c>
      <c r="E134" s="8" t="n">
        <v>2.00037837837838</v>
      </c>
      <c r="F134" s="4" t="n">
        <f aca="false">D134*E134</f>
        <v>740.14</v>
      </c>
      <c r="G134" s="7" t="n">
        <v>268</v>
      </c>
      <c r="H134" s="9" t="n">
        <f aca="false">IF(G134&gt;0,D134/G134,"")</f>
        <v>1.38059701492537</v>
      </c>
      <c r="I134" s="10" t="n">
        <v>46143</v>
      </c>
      <c r="J134" s="3" t="s">
        <v>324</v>
      </c>
      <c r="K134" s="10" t="n">
        <v>45917</v>
      </c>
      <c r="L134" s="3" t="s">
        <v>257</v>
      </c>
      <c r="M134" s="7" t="n">
        <v>510</v>
      </c>
      <c r="N134" s="8" t="n">
        <v>1.97</v>
      </c>
      <c r="O134" s="4" t="n">
        <f aca="false">M134*N134</f>
        <v>1004.7</v>
      </c>
    </row>
    <row r="135" customFormat="false" ht="15" hidden="false" customHeight="false" outlineLevel="0" collapsed="false">
      <c r="A135" s="0" t="s">
        <v>325</v>
      </c>
      <c r="C135" s="0" t="s">
        <v>33</v>
      </c>
      <c r="D135" s="7" t="n">
        <v>93242</v>
      </c>
      <c r="E135" s="8" t="n">
        <v>0.00793161879839557</v>
      </c>
      <c r="F135" s="4" t="n">
        <f aca="false">D135*E135</f>
        <v>739.56</v>
      </c>
      <c r="G135" s="7" t="n">
        <v>54568</v>
      </c>
      <c r="H135" s="9" t="n">
        <f aca="false">IF(G135&gt;0,D135/G135,"")</f>
        <v>1.70873039143821</v>
      </c>
      <c r="I135" s="10" t="n">
        <v>46317</v>
      </c>
      <c r="J135" s="3" t="s">
        <v>215</v>
      </c>
      <c r="K135" s="10" t="n">
        <v>46259</v>
      </c>
      <c r="L135" s="3" t="s">
        <v>18</v>
      </c>
      <c r="M135" s="7" t="n">
        <v>95173</v>
      </c>
      <c r="N135" s="8" t="n">
        <v>0.008</v>
      </c>
      <c r="O135" s="4" t="n">
        <f aca="false">M135*N135</f>
        <v>761.384</v>
      </c>
    </row>
    <row r="136" customFormat="false" ht="15" hidden="false" customHeight="false" outlineLevel="0" collapsed="false">
      <c r="A136" s="0" t="s">
        <v>326</v>
      </c>
      <c r="C136" s="0" t="s">
        <v>295</v>
      </c>
      <c r="D136" s="7" t="n">
        <v>3564</v>
      </c>
      <c r="E136" s="8" t="n">
        <v>0.207107182940516</v>
      </c>
      <c r="F136" s="4" t="n">
        <f aca="false">D136*E136</f>
        <v>738.13</v>
      </c>
      <c r="G136" s="7" t="n">
        <v>674</v>
      </c>
      <c r="H136" s="9" t="n">
        <f aca="false">IF(G136&gt;0,D136/G136,"")</f>
        <v>5.28783382789318</v>
      </c>
      <c r="I136" s="10" t="n">
        <v>46238</v>
      </c>
      <c r="K136" s="10"/>
      <c r="M136" s="7"/>
      <c r="N136" s="8"/>
      <c r="O136" s="4"/>
    </row>
    <row r="137" customFormat="false" ht="15" hidden="false" customHeight="false" outlineLevel="0" collapsed="false">
      <c r="A137" s="0" t="s">
        <v>327</v>
      </c>
      <c r="C137" s="0" t="s">
        <v>33</v>
      </c>
      <c r="D137" s="7" t="n">
        <v>102002</v>
      </c>
      <c r="E137" s="8" t="n">
        <v>0.00723074057371424</v>
      </c>
      <c r="F137" s="4" t="n">
        <f aca="false">D137*E137</f>
        <v>737.55</v>
      </c>
      <c r="G137" s="7" t="n">
        <v>14183</v>
      </c>
      <c r="H137" s="9" t="n">
        <f aca="false">IF(G137&gt;0,D137/G137,"")</f>
        <v>7.19184939716562</v>
      </c>
      <c r="I137" s="10" t="n">
        <v>46301</v>
      </c>
      <c r="J137" s="3" t="s">
        <v>230</v>
      </c>
      <c r="K137" s="10" t="n">
        <v>46303</v>
      </c>
      <c r="L137" s="3" t="s">
        <v>18</v>
      </c>
      <c r="M137" s="7" t="n">
        <v>19640</v>
      </c>
      <c r="N137" s="8" t="n">
        <v>0.0072</v>
      </c>
      <c r="O137" s="4" t="n">
        <f aca="false">M137*N137</f>
        <v>141.408</v>
      </c>
    </row>
    <row r="138" customFormat="false" ht="15" hidden="false" customHeight="false" outlineLevel="0" collapsed="false">
      <c r="A138" s="0" t="s">
        <v>328</v>
      </c>
      <c r="C138" s="0" t="s">
        <v>36</v>
      </c>
      <c r="D138" s="7" t="n">
        <v>1758</v>
      </c>
      <c r="E138" s="8" t="n">
        <v>0.417542662116041</v>
      </c>
      <c r="F138" s="4" t="n">
        <f aca="false">D138*E138</f>
        <v>734.04</v>
      </c>
      <c r="G138" s="7" t="n">
        <v>2</v>
      </c>
      <c r="H138" s="9" t="n">
        <f aca="false">IF(G138&gt;0,D138/G138,"")</f>
        <v>879</v>
      </c>
      <c r="I138" s="10" t="n">
        <v>46021</v>
      </c>
      <c r="J138" s="3" t="s">
        <v>329</v>
      </c>
      <c r="K138" s="10" t="n">
        <v>45310</v>
      </c>
      <c r="L138" s="3" t="s">
        <v>14</v>
      </c>
      <c r="M138" s="7" t="n">
        <v>1454</v>
      </c>
      <c r="N138" s="8" t="n">
        <v>0.4769</v>
      </c>
      <c r="O138" s="4" t="n">
        <f aca="false">M138*N138</f>
        <v>693.4126</v>
      </c>
    </row>
    <row r="139" customFormat="false" ht="15" hidden="false" customHeight="false" outlineLevel="0" collapsed="false">
      <c r="A139" s="0" t="s">
        <v>330</v>
      </c>
      <c r="C139" s="0" t="s">
        <v>32</v>
      </c>
      <c r="D139" s="7" t="n">
        <v>101640</v>
      </c>
      <c r="E139" s="8" t="n">
        <v>0.00717798110979929</v>
      </c>
      <c r="F139" s="4" t="n">
        <f aca="false">D139*E139</f>
        <v>729.57</v>
      </c>
      <c r="G139" s="7" t="n">
        <v>73804</v>
      </c>
      <c r="H139" s="9" t="n">
        <f aca="false">IF(G139&gt;0,D139/G139,"")</f>
        <v>1.37716112947808</v>
      </c>
      <c r="I139" s="10" t="n">
        <v>46314</v>
      </c>
      <c r="J139" s="3" t="s">
        <v>193</v>
      </c>
      <c r="K139" s="10" t="n">
        <v>46265</v>
      </c>
      <c r="L139" s="3" t="s">
        <v>18</v>
      </c>
      <c r="M139" s="7" t="n">
        <v>89090</v>
      </c>
      <c r="N139" s="8" t="n">
        <v>0.0069</v>
      </c>
      <c r="O139" s="4" t="n">
        <f aca="false">M139*N139</f>
        <v>614.721</v>
      </c>
    </row>
    <row r="140" customFormat="false" ht="15" hidden="false" customHeight="false" outlineLevel="0" collapsed="false">
      <c r="A140" s="0" t="s">
        <v>331</v>
      </c>
      <c r="C140" s="0" t="s">
        <v>275</v>
      </c>
      <c r="D140" s="7" t="n">
        <v>2</v>
      </c>
      <c r="E140" s="8" t="n">
        <v>363.795</v>
      </c>
      <c r="F140" s="4" t="n">
        <f aca="false">D140*E140</f>
        <v>727.59</v>
      </c>
      <c r="G140" s="7" t="n">
        <v>2</v>
      </c>
      <c r="H140" s="9" t="n">
        <f aca="false">IF(G140&gt;0,D140/G140,"")</f>
        <v>1</v>
      </c>
      <c r="I140" s="10" t="n">
        <v>46142</v>
      </c>
      <c r="J140" s="3" t="s">
        <v>110</v>
      </c>
      <c r="K140" s="10" t="n">
        <v>46134</v>
      </c>
      <c r="L140" s="3" t="s">
        <v>14</v>
      </c>
      <c r="M140" s="7" t="n">
        <v>4</v>
      </c>
      <c r="N140" s="8" t="n">
        <v>363.7925</v>
      </c>
      <c r="O140" s="4" t="n">
        <f aca="false">M140*N140</f>
        <v>1455.17</v>
      </c>
    </row>
    <row r="141" customFormat="false" ht="15" hidden="false" customHeight="false" outlineLevel="0" collapsed="false">
      <c r="A141" s="0" t="s">
        <v>332</v>
      </c>
      <c r="C141" s="0" t="s">
        <v>120</v>
      </c>
      <c r="D141" s="7" t="n">
        <v>3005</v>
      </c>
      <c r="E141" s="8" t="n">
        <v>0.241647254575707</v>
      </c>
      <c r="F141" s="4" t="n">
        <f aca="false">D141*E141</f>
        <v>726.15</v>
      </c>
      <c r="G141" s="7" t="n">
        <v>1665</v>
      </c>
      <c r="H141" s="9" t="n">
        <f aca="false">IF(G141&gt;0,D141/G141,"")</f>
        <v>1.8048048048048</v>
      </c>
      <c r="I141" s="10" t="n">
        <v>46239</v>
      </c>
      <c r="J141" s="3" t="s">
        <v>333</v>
      </c>
      <c r="K141" s="10" t="n">
        <v>45663</v>
      </c>
      <c r="L141" s="3" t="s">
        <v>14</v>
      </c>
      <c r="M141" s="7" t="n">
        <v>164</v>
      </c>
      <c r="N141" s="8" t="n">
        <v>0.437317</v>
      </c>
      <c r="O141" s="4" t="n">
        <f aca="false">M141*N141</f>
        <v>71.719988</v>
      </c>
    </row>
    <row r="142" customFormat="false" ht="15" hidden="false" customHeight="false" outlineLevel="0" collapsed="false">
      <c r="A142" s="0" t="s">
        <v>334</v>
      </c>
      <c r="C142" s="0" t="s">
        <v>285</v>
      </c>
      <c r="D142" s="7" t="n">
        <v>4251</v>
      </c>
      <c r="E142" s="8" t="n">
        <v>0.17</v>
      </c>
      <c r="F142" s="4" t="n">
        <f aca="false">D142*E142</f>
        <v>722.67</v>
      </c>
      <c r="G142" s="7" t="n">
        <v>680</v>
      </c>
      <c r="H142" s="9" t="n">
        <f aca="false">IF(G142&gt;0,D142/G142,"")</f>
        <v>6.2514705882353</v>
      </c>
      <c r="I142" s="10" t="n">
        <v>46171</v>
      </c>
      <c r="K142" s="10"/>
      <c r="M142" s="7"/>
      <c r="N142" s="8"/>
      <c r="O142" s="4"/>
    </row>
    <row r="143" customFormat="false" ht="15" hidden="false" customHeight="false" outlineLevel="0" collapsed="false">
      <c r="A143" s="0" t="s">
        <v>335</v>
      </c>
      <c r="C143" s="0" t="s">
        <v>32</v>
      </c>
      <c r="D143" s="7" t="n">
        <v>41814</v>
      </c>
      <c r="E143" s="8" t="n">
        <v>0.017254986368202</v>
      </c>
      <c r="F143" s="4" t="n">
        <f aca="false">D143*E143</f>
        <v>721.5</v>
      </c>
      <c r="G143" s="7" t="n">
        <v>24311</v>
      </c>
      <c r="H143" s="9" t="n">
        <f aca="false">IF(G143&gt;0,D143/G143,"")</f>
        <v>1.71996215704825</v>
      </c>
      <c r="I143" s="10" t="n">
        <v>46315</v>
      </c>
      <c r="J143" s="3" t="s">
        <v>336</v>
      </c>
      <c r="K143" s="10" t="n">
        <v>46245</v>
      </c>
      <c r="L143" s="3" t="s">
        <v>14</v>
      </c>
      <c r="M143" s="7" t="n">
        <v>13000</v>
      </c>
      <c r="N143" s="8" t="n">
        <v>0.0148</v>
      </c>
      <c r="O143" s="4" t="n">
        <f aca="false">M143*N143</f>
        <v>192.4</v>
      </c>
    </row>
    <row r="144" customFormat="false" ht="15" hidden="false" customHeight="false" outlineLevel="0" collapsed="false">
      <c r="A144" s="0" t="s">
        <v>337</v>
      </c>
      <c r="C144" s="0" t="s">
        <v>32</v>
      </c>
      <c r="D144" s="7" t="n">
        <v>165512</v>
      </c>
      <c r="E144" s="8" t="n">
        <v>0.00435213156749964</v>
      </c>
      <c r="F144" s="4" t="n">
        <f aca="false">D144*E144</f>
        <v>720.33</v>
      </c>
      <c r="G144" s="7" t="n">
        <v>84362</v>
      </c>
      <c r="H144" s="9" t="n">
        <f aca="false">IF(G144&gt;0,D144/G144,"")</f>
        <v>1.96192598563334</v>
      </c>
      <c r="I144" s="10" t="n">
        <v>46314</v>
      </c>
      <c r="J144" s="3" t="s">
        <v>338</v>
      </c>
      <c r="K144" s="10" t="n">
        <v>44859</v>
      </c>
      <c r="L144" s="3" t="s">
        <v>20</v>
      </c>
      <c r="M144" s="7" t="n">
        <v>41000</v>
      </c>
      <c r="N144" s="8" t="n">
        <v>0.00734</v>
      </c>
      <c r="O144" s="4" t="n">
        <f aca="false">M144*N144</f>
        <v>300.94</v>
      </c>
    </row>
    <row r="145" customFormat="false" ht="15" hidden="false" customHeight="false" outlineLevel="0" collapsed="false">
      <c r="A145" s="0" t="s">
        <v>339</v>
      </c>
      <c r="C145" s="0" t="s">
        <v>340</v>
      </c>
      <c r="D145" s="7" t="n">
        <v>5389</v>
      </c>
      <c r="E145" s="8" t="n">
        <v>0.133468175913899</v>
      </c>
      <c r="F145" s="4" t="n">
        <f aca="false">D145*E145</f>
        <v>719.26</v>
      </c>
      <c r="G145" s="7" t="n">
        <v>529</v>
      </c>
      <c r="H145" s="9" t="n">
        <f aca="false">IF(G145&gt;0,D145/G145,"")</f>
        <v>10.187145557656</v>
      </c>
      <c r="I145" s="10" t="n">
        <v>46293</v>
      </c>
      <c r="J145" s="3" t="s">
        <v>341</v>
      </c>
      <c r="K145" s="10" t="n">
        <v>46078</v>
      </c>
      <c r="L145" s="3" t="s">
        <v>15</v>
      </c>
      <c r="M145" s="7" t="n">
        <v>120</v>
      </c>
      <c r="N145" s="8" t="n">
        <v>0.15051</v>
      </c>
      <c r="O145" s="4" t="n">
        <f aca="false">M145*N145</f>
        <v>18.0612</v>
      </c>
    </row>
    <row r="146" customFormat="false" ht="15" hidden="false" customHeight="false" outlineLevel="0" collapsed="false">
      <c r="A146" s="0" t="s">
        <v>342</v>
      </c>
      <c r="C146" s="0" t="s">
        <v>118</v>
      </c>
      <c r="D146" s="7" t="n">
        <v>3318</v>
      </c>
      <c r="E146" s="8" t="n">
        <v>0.215985533453888</v>
      </c>
      <c r="F146" s="4" t="n">
        <f aca="false">D146*E146</f>
        <v>716.64</v>
      </c>
      <c r="G146" s="7" t="n">
        <v>52</v>
      </c>
      <c r="H146" s="9" t="n">
        <f aca="false">IF(G146&gt;0,D146/G146,"")</f>
        <v>63.8076923076923</v>
      </c>
      <c r="I146" s="10" t="n">
        <v>46237</v>
      </c>
      <c r="J146" s="3" t="s">
        <v>343</v>
      </c>
      <c r="K146" s="10" t="n">
        <v>44328</v>
      </c>
      <c r="L146" s="3" t="s">
        <v>16</v>
      </c>
      <c r="M146" s="7" t="n">
        <v>3458</v>
      </c>
      <c r="N146" s="8" t="n">
        <v>0.2155</v>
      </c>
      <c r="O146" s="4" t="n">
        <f aca="false">M146*N146</f>
        <v>745.199</v>
      </c>
    </row>
    <row r="147" customFormat="false" ht="15" hidden="false" customHeight="false" outlineLevel="0" collapsed="false">
      <c r="A147" s="0" t="s">
        <v>344</v>
      </c>
      <c r="C147" s="0" t="s">
        <v>33</v>
      </c>
      <c r="D147" s="7" t="n">
        <v>5505</v>
      </c>
      <c r="E147" s="8" t="n">
        <v>0.129396911898274</v>
      </c>
      <c r="F147" s="4" t="n">
        <f aca="false">D147*E147</f>
        <v>712.33</v>
      </c>
      <c r="G147" s="7" t="n">
        <v>42</v>
      </c>
      <c r="H147" s="9" t="n">
        <f aca="false">IF(G147&gt;0,D147/G147,"")</f>
        <v>131.071428571429</v>
      </c>
      <c r="I147" s="10" t="n">
        <v>46283</v>
      </c>
      <c r="J147" s="3" t="s">
        <v>345</v>
      </c>
      <c r="K147" s="10" t="n">
        <v>46183</v>
      </c>
      <c r="L147" s="3" t="s">
        <v>14</v>
      </c>
      <c r="M147" s="7" t="n">
        <v>5000</v>
      </c>
      <c r="N147" s="8" t="n">
        <v>0.1258</v>
      </c>
      <c r="O147" s="4" t="n">
        <f aca="false">M147*N147</f>
        <v>629</v>
      </c>
    </row>
    <row r="148" customFormat="false" ht="15" hidden="false" customHeight="false" outlineLevel="0" collapsed="false">
      <c r="A148" s="0" t="s">
        <v>346</v>
      </c>
      <c r="C148" s="0" t="s">
        <v>45</v>
      </c>
      <c r="D148" s="7" t="n">
        <v>1405</v>
      </c>
      <c r="E148" s="8" t="n">
        <v>0.501466192170819</v>
      </c>
      <c r="F148" s="4" t="n">
        <f aca="false">D148*E148</f>
        <v>704.56</v>
      </c>
      <c r="G148" s="7" t="n">
        <v>1036</v>
      </c>
      <c r="H148" s="9" t="n">
        <f aca="false">IF(G148&gt;0,D148/G148,"")</f>
        <v>1.35617760617761</v>
      </c>
      <c r="I148" s="10" t="n">
        <v>46183</v>
      </c>
      <c r="J148" s="3" t="s">
        <v>347</v>
      </c>
      <c r="K148" s="10" t="n">
        <v>46210</v>
      </c>
      <c r="L148" s="3" t="s">
        <v>14</v>
      </c>
      <c r="M148" s="7" t="n">
        <v>1000</v>
      </c>
      <c r="N148" s="8" t="n">
        <v>0.5021</v>
      </c>
      <c r="O148" s="4" t="n">
        <f aca="false">M148*N148</f>
        <v>502.1</v>
      </c>
    </row>
    <row r="149" customFormat="false" ht="15" hidden="false" customHeight="false" outlineLevel="0" collapsed="false">
      <c r="A149" s="0" t="s">
        <v>348</v>
      </c>
      <c r="D149" s="7" t="n">
        <v>23</v>
      </c>
      <c r="E149" s="8" t="n">
        <v>30.62</v>
      </c>
      <c r="F149" s="4" t="n">
        <f aca="false">D149*E149</f>
        <v>704.26</v>
      </c>
      <c r="G149" s="7" t="n">
        <v>14</v>
      </c>
      <c r="H149" s="9" t="n">
        <f aca="false">IF(G149&gt;0,D149/G149,"")</f>
        <v>1.64285714285714</v>
      </c>
      <c r="I149" s="10" t="n">
        <v>46118</v>
      </c>
      <c r="J149" s="3" t="s">
        <v>349</v>
      </c>
      <c r="K149" s="10" t="n">
        <v>46252</v>
      </c>
      <c r="L149" s="3" t="s">
        <v>24</v>
      </c>
      <c r="M149" s="7" t="n">
        <v>36</v>
      </c>
      <c r="N149" s="8" t="n">
        <v>30.62</v>
      </c>
      <c r="O149" s="4" t="n">
        <f aca="false">M149*N149</f>
        <v>1102.32</v>
      </c>
    </row>
    <row r="150" customFormat="false" ht="15" hidden="false" customHeight="false" outlineLevel="0" collapsed="false">
      <c r="A150" s="0" t="s">
        <v>350</v>
      </c>
      <c r="C150" s="0" t="s">
        <v>35</v>
      </c>
      <c r="D150" s="7" t="n">
        <v>1406</v>
      </c>
      <c r="E150" s="8" t="n">
        <v>0.50072546230441</v>
      </c>
      <c r="F150" s="4" t="n">
        <f aca="false">D150*E150</f>
        <v>704.02</v>
      </c>
      <c r="G150" s="7" t="n">
        <v>3</v>
      </c>
      <c r="H150" s="9" t="n">
        <f aca="false">IF(G150&gt;0,D150/G150,"")</f>
        <v>468.666666666667</v>
      </c>
      <c r="I150" s="10" t="n">
        <v>46247</v>
      </c>
      <c r="J150" s="3" t="s">
        <v>184</v>
      </c>
      <c r="K150" s="10" t="n">
        <v>45468</v>
      </c>
      <c r="L150" s="3" t="s">
        <v>20</v>
      </c>
      <c r="M150" s="7" t="n">
        <v>1000</v>
      </c>
      <c r="N150" s="8" t="n">
        <v>0.387</v>
      </c>
      <c r="O150" s="4" t="n">
        <f aca="false">M150*N150</f>
        <v>387</v>
      </c>
    </row>
    <row r="151" customFormat="false" ht="15" hidden="false" customHeight="false" outlineLevel="0" collapsed="false">
      <c r="A151" s="0" t="s">
        <v>351</v>
      </c>
      <c r="C151" s="0" t="s">
        <v>120</v>
      </c>
      <c r="D151" s="7" t="n">
        <v>10367</v>
      </c>
      <c r="E151" s="8" t="n">
        <v>0.0674659978778817</v>
      </c>
      <c r="F151" s="4" t="n">
        <f aca="false">D151*E151</f>
        <v>699.42</v>
      </c>
      <c r="G151" s="7" t="n">
        <v>834</v>
      </c>
      <c r="H151" s="9" t="n">
        <f aca="false">IF(G151&gt;0,D151/G151,"")</f>
        <v>12.4304556354916</v>
      </c>
      <c r="I151" s="10" t="n">
        <v>46309</v>
      </c>
      <c r="J151" s="3" t="s">
        <v>352</v>
      </c>
      <c r="K151" s="10" t="n">
        <v>45560</v>
      </c>
      <c r="L151" s="3" t="s">
        <v>22</v>
      </c>
      <c r="M151" s="7" t="n">
        <v>10000</v>
      </c>
      <c r="N151" s="8" t="n">
        <v>0.065</v>
      </c>
      <c r="O151" s="4" t="n">
        <f aca="false">M151*N151</f>
        <v>650</v>
      </c>
    </row>
    <row r="152" customFormat="false" ht="15" hidden="false" customHeight="false" outlineLevel="0" collapsed="false">
      <c r="A152" s="0" t="s">
        <v>353</v>
      </c>
      <c r="C152" s="0" t="s">
        <v>43</v>
      </c>
      <c r="D152" s="7" t="n">
        <v>2154</v>
      </c>
      <c r="E152" s="8" t="n">
        <v>0.324605385329619</v>
      </c>
      <c r="F152" s="4" t="n">
        <f aca="false">D152*E152</f>
        <v>699.2</v>
      </c>
      <c r="G152" s="7" t="n">
        <v>22</v>
      </c>
      <c r="H152" s="9" t="n">
        <f aca="false">IF(G152&gt;0,D152/G152,"")</f>
        <v>97.9090909090909</v>
      </c>
      <c r="I152" s="10" t="n">
        <v>46265</v>
      </c>
      <c r="K152" s="10"/>
      <c r="M152" s="7"/>
      <c r="N152" s="8"/>
      <c r="O152" s="4"/>
    </row>
    <row r="153" customFormat="false" ht="15" hidden="false" customHeight="false" outlineLevel="0" collapsed="false">
      <c r="A153" s="0" t="s">
        <v>354</v>
      </c>
      <c r="C153" s="0" t="s">
        <v>32</v>
      </c>
      <c r="D153" s="7" t="n">
        <v>1423</v>
      </c>
      <c r="E153" s="8" t="n">
        <v>0.490836261419536</v>
      </c>
      <c r="F153" s="4" t="n">
        <f aca="false">D153*E153</f>
        <v>698.46</v>
      </c>
      <c r="G153" s="7" t="n">
        <v>320</v>
      </c>
      <c r="H153" s="9" t="n">
        <f aca="false">IF(G153&gt;0,D153/G153,"")</f>
        <v>4.446875</v>
      </c>
      <c r="I153" s="10" t="n">
        <v>46265</v>
      </c>
      <c r="J153" s="3" t="s">
        <v>269</v>
      </c>
      <c r="K153" s="10" t="n">
        <v>46252</v>
      </c>
      <c r="L153" s="3" t="s">
        <v>14</v>
      </c>
      <c r="M153" s="7" t="n">
        <v>1409</v>
      </c>
      <c r="N153" s="8" t="n">
        <v>0.4782</v>
      </c>
      <c r="O153" s="4" t="n">
        <f aca="false">M153*N153</f>
        <v>673.7838</v>
      </c>
    </row>
    <row r="154" customFormat="false" ht="15" hidden="false" customHeight="false" outlineLevel="0" collapsed="false">
      <c r="A154" s="0" t="s">
        <v>355</v>
      </c>
      <c r="C154" s="0" t="s">
        <v>35</v>
      </c>
      <c r="D154" s="7" t="n">
        <v>6538</v>
      </c>
      <c r="E154" s="8" t="n">
        <v>0.106563169164882</v>
      </c>
      <c r="F154" s="4" t="n">
        <f aca="false">D154*E154</f>
        <v>696.71</v>
      </c>
      <c r="G154" s="7" t="n">
        <v>46</v>
      </c>
      <c r="H154" s="9" t="n">
        <f aca="false">IF(G154&gt;0,D154/G154,"")</f>
        <v>142.130434782609</v>
      </c>
      <c r="I154" s="10" t="n">
        <v>46279</v>
      </c>
      <c r="J154" s="3" t="s">
        <v>184</v>
      </c>
      <c r="K154" s="10" t="n">
        <v>45468</v>
      </c>
      <c r="L154" s="3" t="s">
        <v>20</v>
      </c>
      <c r="M154" s="7" t="n">
        <v>4000</v>
      </c>
      <c r="N154" s="8" t="n">
        <v>0.113</v>
      </c>
      <c r="O154" s="4" t="n">
        <f aca="false">M154*N154</f>
        <v>452</v>
      </c>
    </row>
    <row r="155" customFormat="false" ht="15" hidden="false" customHeight="false" outlineLevel="0" collapsed="false">
      <c r="A155" s="0" t="s">
        <v>356</v>
      </c>
      <c r="C155" s="0" t="s">
        <v>32</v>
      </c>
      <c r="D155" s="7" t="n">
        <v>578</v>
      </c>
      <c r="E155" s="8" t="n">
        <v>1.2030276816609</v>
      </c>
      <c r="F155" s="4" t="n">
        <f aca="false">D155*E155</f>
        <v>695.35</v>
      </c>
      <c r="G155" s="7" t="n">
        <v>13</v>
      </c>
      <c r="H155" s="9" t="n">
        <f aca="false">IF(G155&gt;0,D155/G155,"")</f>
        <v>44.4615384615385</v>
      </c>
      <c r="I155" s="10" t="n">
        <v>46099</v>
      </c>
      <c r="J155" s="3" t="s">
        <v>357</v>
      </c>
      <c r="K155" s="10" t="n">
        <v>44775</v>
      </c>
      <c r="L155" s="3" t="s">
        <v>19</v>
      </c>
      <c r="M155" s="7" t="n">
        <v>710</v>
      </c>
      <c r="N155" s="8" t="n">
        <v>0.8511</v>
      </c>
      <c r="O155" s="4" t="n">
        <f aca="false">M155*N155</f>
        <v>604.281</v>
      </c>
    </row>
    <row r="156" customFormat="false" ht="15" hidden="false" customHeight="false" outlineLevel="0" collapsed="false">
      <c r="A156" s="0" t="s">
        <v>358</v>
      </c>
      <c r="C156" s="0" t="s">
        <v>33</v>
      </c>
      <c r="D156" s="7" t="n">
        <v>6904</v>
      </c>
      <c r="E156" s="8" t="n">
        <v>0.100599652375435</v>
      </c>
      <c r="F156" s="4" t="n">
        <f aca="false">D156*E156</f>
        <v>694.54</v>
      </c>
      <c r="G156" s="7" t="n">
        <v>6877</v>
      </c>
      <c r="H156" s="9" t="n">
        <f aca="false">IF(G156&gt;0,D156/G156,"")</f>
        <v>1.00392613058019</v>
      </c>
      <c r="I156" s="10" t="n">
        <v>46304</v>
      </c>
      <c r="J156" s="3" t="s">
        <v>230</v>
      </c>
      <c r="K156" s="10" t="n">
        <v>46303</v>
      </c>
      <c r="L156" s="3" t="s">
        <v>18</v>
      </c>
      <c r="M156" s="7" t="n">
        <v>1640</v>
      </c>
      <c r="N156" s="8" t="n">
        <v>0.0832</v>
      </c>
      <c r="O156" s="4" t="n">
        <f aca="false">M156*N156</f>
        <v>136.448</v>
      </c>
    </row>
    <row r="157" customFormat="false" ht="15" hidden="false" customHeight="false" outlineLevel="0" collapsed="false">
      <c r="A157" s="0" t="s">
        <v>359</v>
      </c>
      <c r="C157" s="0" t="s">
        <v>360</v>
      </c>
      <c r="D157" s="7" t="n">
        <v>42392</v>
      </c>
      <c r="E157" s="8" t="n">
        <v>0.0163639365918098</v>
      </c>
      <c r="F157" s="4" t="n">
        <f aca="false">D157*E157</f>
        <v>693.7</v>
      </c>
      <c r="G157" s="7" t="n">
        <v>2448</v>
      </c>
      <c r="H157" s="9" t="n">
        <f aca="false">IF(G157&gt;0,D157/G157,"")</f>
        <v>17.3169934640523</v>
      </c>
      <c r="I157" s="10" t="n">
        <v>46314</v>
      </c>
      <c r="J157" s="3" t="s">
        <v>178</v>
      </c>
      <c r="K157" s="10" t="n">
        <v>44301</v>
      </c>
      <c r="L157" s="3" t="s">
        <v>15</v>
      </c>
      <c r="M157" s="7" t="n">
        <v>46365</v>
      </c>
      <c r="N157" s="8" t="n">
        <v>0.01629</v>
      </c>
      <c r="O157" s="4" t="n">
        <f aca="false">M157*N157</f>
        <v>755.28585</v>
      </c>
    </row>
    <row r="158" customFormat="false" ht="15" hidden="false" customHeight="false" outlineLevel="0" collapsed="false">
      <c r="A158" s="0" t="s">
        <v>361</v>
      </c>
      <c r="C158" s="0" t="s">
        <v>35</v>
      </c>
      <c r="D158" s="7" t="n">
        <v>997</v>
      </c>
      <c r="E158" s="8" t="n">
        <v>0.694764292878636</v>
      </c>
      <c r="F158" s="4" t="n">
        <f aca="false">D158*E158</f>
        <v>692.68</v>
      </c>
      <c r="G158" s="7" t="n">
        <v>173</v>
      </c>
      <c r="H158" s="9" t="n">
        <f aca="false">IF(G158&gt;0,D158/G158,"")</f>
        <v>5.76300578034682</v>
      </c>
      <c r="I158" s="10" t="n">
        <v>46247</v>
      </c>
      <c r="J158" s="3" t="s">
        <v>362</v>
      </c>
      <c r="K158" s="10" t="n">
        <v>45576</v>
      </c>
      <c r="L158" s="3" t="s">
        <v>14</v>
      </c>
      <c r="M158" s="7" t="n">
        <v>1026</v>
      </c>
      <c r="N158" s="8" t="n">
        <v>0.7278</v>
      </c>
      <c r="O158" s="4" t="n">
        <f aca="false">M158*N158</f>
        <v>746.7228</v>
      </c>
    </row>
    <row r="159" customFormat="false" ht="15" hidden="false" customHeight="false" outlineLevel="0" collapsed="false">
      <c r="A159" s="0" t="s">
        <v>363</v>
      </c>
      <c r="C159" s="0" t="s">
        <v>35</v>
      </c>
      <c r="D159" s="7" t="n">
        <v>4555</v>
      </c>
      <c r="E159" s="8" t="n">
        <v>0.15201317233809</v>
      </c>
      <c r="F159" s="4" t="n">
        <f aca="false">D159*E159</f>
        <v>692.42</v>
      </c>
      <c r="G159" s="7" t="n">
        <v>14</v>
      </c>
      <c r="H159" s="9" t="n">
        <f aca="false">IF(G159&gt;0,D159/G159,"")</f>
        <v>325.357142857143</v>
      </c>
      <c r="I159" s="10" t="n">
        <v>46286</v>
      </c>
      <c r="J159" s="3" t="s">
        <v>364</v>
      </c>
      <c r="K159" s="10" t="n">
        <v>45441</v>
      </c>
      <c r="L159" s="3" t="s">
        <v>20</v>
      </c>
      <c r="M159" s="7" t="n">
        <v>2700</v>
      </c>
      <c r="N159" s="8" t="n">
        <v>0.113</v>
      </c>
      <c r="O159" s="4" t="n">
        <f aca="false">M159*N159</f>
        <v>305.1</v>
      </c>
    </row>
    <row r="160" customFormat="false" ht="15" hidden="false" customHeight="false" outlineLevel="0" collapsed="false">
      <c r="A160" s="0" t="s">
        <v>365</v>
      </c>
      <c r="C160" s="0" t="s">
        <v>41</v>
      </c>
      <c r="D160" s="7" t="n">
        <v>36887</v>
      </c>
      <c r="E160" s="8" t="n">
        <v>0.0187399354786239</v>
      </c>
      <c r="F160" s="4" t="n">
        <f aca="false">D160*E160</f>
        <v>691.26</v>
      </c>
      <c r="G160" s="7" t="n">
        <v>823</v>
      </c>
      <c r="H160" s="9" t="n">
        <f aca="false">IF(G160&gt;0,D160/G160,"")</f>
        <v>44.820170109356</v>
      </c>
      <c r="I160" s="10" t="n">
        <v>46244</v>
      </c>
      <c r="J160" s="3" t="s">
        <v>366</v>
      </c>
      <c r="K160" s="10" t="n">
        <v>45721</v>
      </c>
      <c r="L160" s="3" t="s">
        <v>16</v>
      </c>
      <c r="M160" s="7" t="n">
        <v>37738</v>
      </c>
      <c r="N160" s="8" t="n">
        <v>0.0840336</v>
      </c>
      <c r="O160" s="4" t="n">
        <v>710.5999968</v>
      </c>
    </row>
    <row r="161" customFormat="false" ht="15" hidden="false" customHeight="false" outlineLevel="0" collapsed="false">
      <c r="A161" s="0" t="s">
        <v>367</v>
      </c>
      <c r="C161" s="0" t="s">
        <v>255</v>
      </c>
      <c r="D161" s="7" t="n">
        <v>1495</v>
      </c>
      <c r="E161" s="8" t="n">
        <v>0.461264214046823</v>
      </c>
      <c r="F161" s="4" t="n">
        <f aca="false">D161*E161</f>
        <v>689.59</v>
      </c>
      <c r="G161" s="7" t="n">
        <v>118</v>
      </c>
      <c r="H161" s="9" t="n">
        <f aca="false">IF(G161&gt;0,D161/G161,"")</f>
        <v>12.6694915254237</v>
      </c>
      <c r="I161" s="10" t="n">
        <v>46302</v>
      </c>
      <c r="J161" s="3" t="s">
        <v>368</v>
      </c>
      <c r="K161" s="10" t="n">
        <v>45085</v>
      </c>
      <c r="L161" s="3" t="s">
        <v>257</v>
      </c>
      <c r="M161" s="7" t="n">
        <v>1000</v>
      </c>
      <c r="N161" s="8" t="n">
        <v>0.468</v>
      </c>
      <c r="O161" s="4" t="n">
        <f aca="false">M161*N161</f>
        <v>468</v>
      </c>
    </row>
    <row r="162" customFormat="false" ht="15" hidden="false" customHeight="false" outlineLevel="0" collapsed="false">
      <c r="A162" s="0" t="s">
        <v>369</v>
      </c>
      <c r="C162" s="0" t="s">
        <v>370</v>
      </c>
      <c r="D162" s="7" t="n">
        <v>3810</v>
      </c>
      <c r="E162" s="8" t="n">
        <v>0.18</v>
      </c>
      <c r="F162" s="4" t="n">
        <f aca="false">D162*E162</f>
        <v>685.8</v>
      </c>
      <c r="G162" s="7" t="n">
        <v>165</v>
      </c>
      <c r="H162" s="9" t="n">
        <f aca="false">IF(G162&gt;0,D162/G162,"")</f>
        <v>23.0909090909091</v>
      </c>
      <c r="I162" s="10" t="n">
        <v>46142</v>
      </c>
      <c r="J162" s="3" t="s">
        <v>371</v>
      </c>
      <c r="K162" s="10" t="n">
        <v>44291</v>
      </c>
      <c r="L162" s="3" t="s">
        <v>21</v>
      </c>
      <c r="M162" s="7" t="n">
        <v>5000</v>
      </c>
      <c r="N162" s="8" t="n">
        <v>0.18</v>
      </c>
      <c r="O162" s="4" t="n">
        <f aca="false">M162*N162</f>
        <v>900</v>
      </c>
    </row>
    <row r="163" customFormat="false" ht="15" hidden="false" customHeight="false" outlineLevel="0" collapsed="false">
      <c r="A163" s="0" t="s">
        <v>372</v>
      </c>
      <c r="C163" s="0" t="s">
        <v>33</v>
      </c>
      <c r="D163" s="7" t="n">
        <v>61885</v>
      </c>
      <c r="E163" s="8" t="n">
        <v>0.0110052516764967</v>
      </c>
      <c r="F163" s="4" t="n">
        <f aca="false">D163*E163</f>
        <v>681.06</v>
      </c>
      <c r="G163" s="7" t="n">
        <v>51707</v>
      </c>
      <c r="H163" s="9" t="n">
        <f aca="false">IF(G163&gt;0,D163/G163,"")</f>
        <v>1.19683988628232</v>
      </c>
      <c r="I163" s="10" t="n">
        <v>46317</v>
      </c>
      <c r="J163" s="3" t="s">
        <v>373</v>
      </c>
      <c r="K163" s="10" t="n">
        <v>46275</v>
      </c>
      <c r="L163" s="3" t="s">
        <v>18</v>
      </c>
      <c r="M163" s="7" t="n">
        <v>69630</v>
      </c>
      <c r="N163" s="8" t="n">
        <v>0.011</v>
      </c>
      <c r="O163" s="4" t="n">
        <f aca="false">M163*N163</f>
        <v>765.93</v>
      </c>
    </row>
    <row r="164" customFormat="false" ht="15" hidden="false" customHeight="false" outlineLevel="0" collapsed="false">
      <c r="A164" s="0" t="s">
        <v>374</v>
      </c>
      <c r="C164" s="0" t="s">
        <v>32</v>
      </c>
      <c r="D164" s="7" t="n">
        <v>22305</v>
      </c>
      <c r="E164" s="8" t="n">
        <v>0.0304523649405963</v>
      </c>
      <c r="F164" s="4" t="n">
        <f aca="false">D164*E164</f>
        <v>679.24</v>
      </c>
      <c r="G164" s="7" t="n">
        <v>9651</v>
      </c>
      <c r="H164" s="9" t="n">
        <f aca="false">IF(G164&gt;0,D164/G164,"")</f>
        <v>2.31115946534038</v>
      </c>
      <c r="I164" s="10" t="n">
        <v>46309</v>
      </c>
      <c r="J164" s="3" t="s">
        <v>336</v>
      </c>
      <c r="K164" s="10" t="n">
        <v>46245</v>
      </c>
      <c r="L164" s="3" t="s">
        <v>14</v>
      </c>
      <c r="M164" s="7" t="n">
        <v>20000</v>
      </c>
      <c r="N164" s="8" t="n">
        <v>0.0282</v>
      </c>
      <c r="O164" s="4" t="n">
        <f aca="false">M164*N164</f>
        <v>564</v>
      </c>
    </row>
    <row r="165" customFormat="false" ht="15" hidden="false" customHeight="false" outlineLevel="0" collapsed="false">
      <c r="A165" s="0" t="s">
        <v>375</v>
      </c>
      <c r="C165" s="0" t="s">
        <v>40</v>
      </c>
      <c r="D165" s="7" t="n">
        <v>187334</v>
      </c>
      <c r="E165" s="8" t="n">
        <v>0.003598545912648</v>
      </c>
      <c r="F165" s="4" t="n">
        <f aca="false">D165*E165</f>
        <v>674.13</v>
      </c>
      <c r="G165" s="7" t="n">
        <v>9363</v>
      </c>
      <c r="H165" s="9" t="n">
        <f aca="false">IF(G165&gt;0,D165/G165,"")</f>
        <v>20.007903449749</v>
      </c>
      <c r="I165" s="10" t="n">
        <v>46282</v>
      </c>
      <c r="J165" s="3" t="s">
        <v>376</v>
      </c>
      <c r="K165" s="10" t="n">
        <v>44321</v>
      </c>
      <c r="L165" s="3" t="s">
        <v>15</v>
      </c>
      <c r="M165" s="7" t="n">
        <v>250000</v>
      </c>
      <c r="N165" s="8" t="n">
        <v>0.00382</v>
      </c>
      <c r="O165" s="4" t="n">
        <f aca="false">M165*N165</f>
        <v>955</v>
      </c>
    </row>
    <row r="166" customFormat="false" ht="15" hidden="false" customHeight="false" outlineLevel="0" collapsed="false">
      <c r="A166" s="0" t="s">
        <v>377</v>
      </c>
      <c r="C166" s="0" t="s">
        <v>378</v>
      </c>
      <c r="D166" s="7" t="n">
        <v>4465</v>
      </c>
      <c r="E166" s="8" t="n">
        <v>0.150199328107503</v>
      </c>
      <c r="F166" s="4" t="n">
        <f aca="false">D166*E166</f>
        <v>670.64</v>
      </c>
      <c r="G166" s="7" t="n">
        <v>4</v>
      </c>
      <c r="H166" s="9" t="n">
        <f aca="false">IF(G166&gt;0,D166/G166,"")</f>
        <v>1116.25</v>
      </c>
      <c r="I166" s="10" t="n">
        <v>46269</v>
      </c>
      <c r="J166" s="3" t="s">
        <v>379</v>
      </c>
      <c r="K166" s="10" t="n">
        <v>44463</v>
      </c>
      <c r="L166" s="3" t="s">
        <v>14</v>
      </c>
      <c r="M166" s="7" t="n">
        <v>1997</v>
      </c>
      <c r="N166" s="8" t="n">
        <v>0.1502</v>
      </c>
      <c r="O166" s="4" t="n">
        <f aca="false">M166*N166</f>
        <v>299.9494</v>
      </c>
    </row>
    <row r="167" customFormat="false" ht="15" hidden="false" customHeight="false" outlineLevel="0" collapsed="false">
      <c r="A167" s="0" t="s">
        <v>380</v>
      </c>
      <c r="C167" s="0" t="s">
        <v>44</v>
      </c>
      <c r="D167" s="7" t="n">
        <v>46</v>
      </c>
      <c r="E167" s="8" t="n">
        <v>14.5604347826087</v>
      </c>
      <c r="F167" s="4" t="n">
        <f aca="false">D167*E167</f>
        <v>669.78</v>
      </c>
      <c r="G167" s="7" t="n">
        <v>20</v>
      </c>
      <c r="H167" s="9" t="n">
        <f aca="false">IF(G167&gt;0,D167/G167,"")</f>
        <v>2.3</v>
      </c>
      <c r="I167" s="10" t="n">
        <v>46260</v>
      </c>
      <c r="J167" s="3" t="s">
        <v>381</v>
      </c>
      <c r="K167" s="10" t="n">
        <v>45344</v>
      </c>
      <c r="L167" s="3" t="s">
        <v>14</v>
      </c>
      <c r="M167" s="7" t="n">
        <v>66</v>
      </c>
      <c r="N167" s="8" t="n">
        <v>14.5606</v>
      </c>
      <c r="O167" s="4" t="n">
        <f aca="false">M167*N167</f>
        <v>960.9996</v>
      </c>
    </row>
    <row r="168" customFormat="false" ht="15" hidden="false" customHeight="false" outlineLevel="0" collapsed="false">
      <c r="A168" s="0" t="s">
        <v>382</v>
      </c>
      <c r="C168" s="0" t="s">
        <v>383</v>
      </c>
      <c r="D168" s="7" t="n">
        <v>18351</v>
      </c>
      <c r="E168" s="8" t="n">
        <v>0.0364710370007084</v>
      </c>
      <c r="F168" s="4" t="n">
        <f aca="false">D168*E168</f>
        <v>669.28</v>
      </c>
      <c r="G168" s="7" t="n">
        <v>5</v>
      </c>
      <c r="H168" s="9" t="n">
        <f aca="false">IF(G168&gt;0,D168/G168,"")</f>
        <v>3670.2</v>
      </c>
      <c r="I168" s="10" t="n">
        <v>46129</v>
      </c>
      <c r="K168" s="10"/>
      <c r="M168" s="7"/>
      <c r="N168" s="8"/>
      <c r="O168" s="4"/>
    </row>
    <row r="169" customFormat="false" ht="15" hidden="false" customHeight="false" outlineLevel="0" collapsed="false">
      <c r="A169" s="0" t="s">
        <v>384</v>
      </c>
      <c r="C169" s="0" t="s">
        <v>32</v>
      </c>
      <c r="D169" s="7" t="n">
        <v>9295</v>
      </c>
      <c r="E169" s="8" t="n">
        <v>0.0713910704679936</v>
      </c>
      <c r="F169" s="4" t="n">
        <f aca="false">D169*E169</f>
        <v>663.58</v>
      </c>
      <c r="G169" s="7" t="n">
        <v>163</v>
      </c>
      <c r="H169" s="9" t="n">
        <f aca="false">IF(G169&gt;0,D169/G169,"")</f>
        <v>57.0245398773006</v>
      </c>
      <c r="I169" s="10" t="n">
        <v>46150</v>
      </c>
      <c r="J169" s="3" t="s">
        <v>385</v>
      </c>
      <c r="K169" s="10" t="n">
        <v>44718</v>
      </c>
      <c r="L169" s="3" t="s">
        <v>20</v>
      </c>
      <c r="M169" s="7" t="n">
        <v>5400</v>
      </c>
      <c r="N169" s="8" t="n">
        <v>0.0709555</v>
      </c>
      <c r="O169" s="4" t="n">
        <f aca="false">M169*N169</f>
        <v>383.1597</v>
      </c>
    </row>
    <row r="170" customFormat="false" ht="15" hidden="false" customHeight="false" outlineLevel="0" collapsed="false">
      <c r="A170" s="0" t="s">
        <v>386</v>
      </c>
      <c r="C170" s="0" t="s">
        <v>221</v>
      </c>
      <c r="D170" s="7" t="n">
        <v>3157</v>
      </c>
      <c r="E170" s="8" t="n">
        <v>0.20954070319924</v>
      </c>
      <c r="F170" s="4" t="n">
        <f aca="false">D170*E170</f>
        <v>661.52</v>
      </c>
      <c r="G170" s="7" t="n">
        <v>1250</v>
      </c>
      <c r="H170" s="9" t="n">
        <f aca="false">IF(G170&gt;0,D170/G170,"")</f>
        <v>2.5256</v>
      </c>
      <c r="I170" s="10" t="n">
        <v>46315</v>
      </c>
      <c r="J170" s="3" t="s">
        <v>387</v>
      </c>
      <c r="K170" s="10" t="n">
        <v>45733</v>
      </c>
      <c r="L170" s="3" t="s">
        <v>22</v>
      </c>
      <c r="M170" s="7" t="n">
        <v>5000</v>
      </c>
      <c r="N170" s="8" t="n">
        <v>0.211</v>
      </c>
      <c r="O170" s="4" t="n">
        <f aca="false">M170*N170</f>
        <v>1055</v>
      </c>
    </row>
    <row r="171" customFormat="false" ht="15" hidden="false" customHeight="false" outlineLevel="0" collapsed="false">
      <c r="A171" s="0" t="s">
        <v>388</v>
      </c>
      <c r="C171" s="0" t="s">
        <v>35</v>
      </c>
      <c r="D171" s="7" t="n">
        <v>8722</v>
      </c>
      <c r="E171" s="8" t="n">
        <v>0.0758128869525338</v>
      </c>
      <c r="F171" s="4" t="n">
        <f aca="false">D171*E171</f>
        <v>661.24</v>
      </c>
      <c r="G171" s="7" t="n">
        <v>826</v>
      </c>
      <c r="H171" s="9" t="n">
        <f aca="false">IF(G171&gt;0,D171/G171,"")</f>
        <v>10.5593220338983</v>
      </c>
      <c r="I171" s="10" t="n">
        <v>46287</v>
      </c>
      <c r="J171" s="3" t="s">
        <v>184</v>
      </c>
      <c r="K171" s="10" t="n">
        <v>45468</v>
      </c>
      <c r="L171" s="3" t="s">
        <v>20</v>
      </c>
      <c r="M171" s="7" t="n">
        <v>4000</v>
      </c>
      <c r="N171" s="8" t="n">
        <v>0.078</v>
      </c>
      <c r="O171" s="4" t="n">
        <f aca="false">M171*N171</f>
        <v>312</v>
      </c>
    </row>
    <row r="172" customFormat="false" ht="15" hidden="false" customHeight="false" outlineLevel="0" collapsed="false">
      <c r="A172" s="0" t="s">
        <v>389</v>
      </c>
      <c r="C172" s="0" t="s">
        <v>31</v>
      </c>
      <c r="D172" s="7" t="n">
        <v>9517</v>
      </c>
      <c r="E172" s="8" t="n">
        <v>0.0688998634023327</v>
      </c>
      <c r="F172" s="4" t="n">
        <f aca="false">D172*E172</f>
        <v>655.72</v>
      </c>
      <c r="G172" s="7" t="n">
        <v>35</v>
      </c>
      <c r="H172" s="9" t="n">
        <f aca="false">IF(G172&gt;0,D172/G172,"")</f>
        <v>271.914285714286</v>
      </c>
      <c r="I172" s="10" t="n">
        <v>46122</v>
      </c>
      <c r="J172" s="3" t="s">
        <v>390</v>
      </c>
      <c r="K172" s="10" t="n">
        <v>44624</v>
      </c>
      <c r="L172" s="3" t="s">
        <v>25</v>
      </c>
      <c r="M172" s="7" t="n">
        <v>15000</v>
      </c>
      <c r="N172" s="8" t="n">
        <v>0.0689</v>
      </c>
      <c r="O172" s="4" t="n">
        <f aca="false">M172*N172</f>
        <v>1033.5</v>
      </c>
    </row>
    <row r="173" customFormat="false" ht="15" hidden="false" customHeight="false" outlineLevel="0" collapsed="false">
      <c r="A173" s="0" t="s">
        <v>391</v>
      </c>
      <c r="C173" s="0" t="s">
        <v>295</v>
      </c>
      <c r="D173" s="7" t="n">
        <v>904</v>
      </c>
      <c r="E173" s="8" t="n">
        <v>0.723528761061947</v>
      </c>
      <c r="F173" s="4" t="n">
        <f aca="false">D173*E173</f>
        <v>654.07</v>
      </c>
      <c r="G173" s="7" t="n">
        <v>10</v>
      </c>
      <c r="H173" s="9" t="n">
        <f aca="false">IF(G173&gt;0,D173/G173,"")</f>
        <v>90.4</v>
      </c>
      <c r="I173" s="10" t="n">
        <v>46065</v>
      </c>
      <c r="J173" s="3" t="s">
        <v>392</v>
      </c>
      <c r="K173" s="10" t="n">
        <v>44914</v>
      </c>
      <c r="L173" s="3" t="s">
        <v>20</v>
      </c>
      <c r="M173" s="7" t="n">
        <v>900</v>
      </c>
      <c r="N173" s="8" t="n">
        <v>0.72359</v>
      </c>
      <c r="O173" s="4" t="n">
        <f aca="false">M173*N173</f>
        <v>651.231</v>
      </c>
    </row>
    <row r="174" customFormat="false" ht="15" hidden="false" customHeight="false" outlineLevel="0" collapsed="false">
      <c r="A174" s="0" t="s">
        <v>393</v>
      </c>
      <c r="C174" s="0" t="s">
        <v>38</v>
      </c>
      <c r="D174" s="7" t="n">
        <v>134442</v>
      </c>
      <c r="E174" s="8" t="n">
        <v>0.00483613751654989</v>
      </c>
      <c r="F174" s="4" t="n">
        <f aca="false">D174*E174</f>
        <v>650.18</v>
      </c>
      <c r="G174" s="7" t="n">
        <v>25525</v>
      </c>
      <c r="H174" s="9" t="n">
        <f aca="false">IF(G174&gt;0,D174/G174,"")</f>
        <v>5.26707149853085</v>
      </c>
      <c r="I174" s="10" t="n">
        <v>46314</v>
      </c>
      <c r="J174" s="3" t="s">
        <v>210</v>
      </c>
      <c r="K174" s="10" t="n">
        <v>44789</v>
      </c>
      <c r="L174" s="3" t="s">
        <v>15</v>
      </c>
      <c r="M174" s="7" t="n">
        <v>10148</v>
      </c>
      <c r="N174" s="8" t="n">
        <v>0.00369</v>
      </c>
      <c r="O174" s="4" t="n">
        <f aca="false">M174*N174</f>
        <v>37.44612</v>
      </c>
    </row>
    <row r="175" customFormat="false" ht="15" hidden="false" customHeight="false" outlineLevel="0" collapsed="false">
      <c r="A175" s="0" t="s">
        <v>394</v>
      </c>
      <c r="C175" s="0" t="s">
        <v>295</v>
      </c>
      <c r="D175" s="7" t="n">
        <v>4944</v>
      </c>
      <c r="E175" s="8" t="n">
        <v>0.131341019417476</v>
      </c>
      <c r="F175" s="4" t="n">
        <f aca="false">D175*E175</f>
        <v>649.35</v>
      </c>
      <c r="G175" s="7" t="n">
        <v>334</v>
      </c>
      <c r="H175" s="9" t="n">
        <f aca="false">IF(G175&gt;0,D175/G175,"")</f>
        <v>14.8023952095808</v>
      </c>
      <c r="I175" s="10" t="n">
        <v>46184</v>
      </c>
      <c r="J175" s="3" t="s">
        <v>338</v>
      </c>
      <c r="K175" s="10" t="n">
        <v>44859</v>
      </c>
      <c r="L175" s="3" t="s">
        <v>20</v>
      </c>
      <c r="M175" s="7" t="n">
        <v>5000</v>
      </c>
      <c r="N175" s="8" t="n">
        <v>0.13136</v>
      </c>
      <c r="O175" s="4" t="n">
        <f aca="false">M175*N175</f>
        <v>656.8</v>
      </c>
    </row>
    <row r="176" customFormat="false" ht="15" hidden="false" customHeight="false" outlineLevel="0" collapsed="false">
      <c r="A176" s="0" t="s">
        <v>395</v>
      </c>
      <c r="C176" s="0" t="s">
        <v>33</v>
      </c>
      <c r="D176" s="7" t="n">
        <v>3164</v>
      </c>
      <c r="E176" s="8" t="n">
        <v>0.205097977243995</v>
      </c>
      <c r="F176" s="4" t="n">
        <f aca="false">D176*E176</f>
        <v>648.93</v>
      </c>
      <c r="G176" s="7" t="n">
        <v>554</v>
      </c>
      <c r="H176" s="9" t="n">
        <f aca="false">IF(G176&gt;0,D176/G176,"")</f>
        <v>5.71119133574007</v>
      </c>
      <c r="I176" s="10" t="n">
        <v>46297</v>
      </c>
      <c r="J176" s="3" t="s">
        <v>396</v>
      </c>
      <c r="K176" s="10" t="n">
        <v>45309</v>
      </c>
      <c r="L176" s="3" t="s">
        <v>18</v>
      </c>
      <c r="M176" s="7" t="n">
        <v>3960</v>
      </c>
      <c r="N176" s="8" t="n">
        <v>0.2051</v>
      </c>
      <c r="O176" s="4" t="n">
        <f aca="false">M176*N176</f>
        <v>812.196</v>
      </c>
    </row>
    <row r="177" customFormat="false" ht="15" hidden="false" customHeight="false" outlineLevel="0" collapsed="false">
      <c r="A177" s="0" t="s">
        <v>397</v>
      </c>
      <c r="C177" s="0" t="s">
        <v>398</v>
      </c>
      <c r="D177" s="7" t="n">
        <v>4053</v>
      </c>
      <c r="E177" s="8" t="n">
        <v>0.15880829015544</v>
      </c>
      <c r="F177" s="4" t="n">
        <f aca="false">D177*E177</f>
        <v>643.65</v>
      </c>
      <c r="G177" s="7" t="n">
        <v>12</v>
      </c>
      <c r="H177" s="9" t="n">
        <f aca="false">IF(G177&gt;0,D177/G177,"")</f>
        <v>337.75</v>
      </c>
      <c r="I177" s="10" t="n">
        <v>46174</v>
      </c>
      <c r="K177" s="10"/>
      <c r="M177" s="7"/>
      <c r="N177" s="8"/>
      <c r="O177" s="4"/>
    </row>
    <row r="178" customFormat="false" ht="15" hidden="false" customHeight="false" outlineLevel="0" collapsed="false">
      <c r="A178" s="0" t="s">
        <v>399</v>
      </c>
      <c r="C178" s="0" t="s">
        <v>31</v>
      </c>
      <c r="D178" s="7" t="n">
        <v>10861</v>
      </c>
      <c r="E178" s="8" t="n">
        <v>0.0592422428873953</v>
      </c>
      <c r="F178" s="4" t="n">
        <f aca="false">D178*E178</f>
        <v>643.43</v>
      </c>
      <c r="G178" s="7" t="n">
        <v>1966</v>
      </c>
      <c r="H178" s="9" t="n">
        <f aca="false">IF(G178&gt;0,D178/G178,"")</f>
        <v>5.52441505595117</v>
      </c>
      <c r="I178" s="10" t="n">
        <v>46226</v>
      </c>
      <c r="J178" s="3" t="s">
        <v>400</v>
      </c>
      <c r="K178" s="10" t="n">
        <v>45783</v>
      </c>
      <c r="L178" s="3" t="s">
        <v>15</v>
      </c>
      <c r="M178" s="7" t="n">
        <v>10950</v>
      </c>
      <c r="N178" s="8" t="n">
        <v>0.059</v>
      </c>
      <c r="O178" s="4" t="n">
        <f aca="false">M178*N178</f>
        <v>646.05</v>
      </c>
    </row>
    <row r="179" customFormat="false" ht="15" hidden="false" customHeight="false" outlineLevel="0" collapsed="false">
      <c r="A179" s="0" t="s">
        <v>401</v>
      </c>
      <c r="C179" s="0" t="s">
        <v>402</v>
      </c>
      <c r="D179" s="7" t="n">
        <v>28</v>
      </c>
      <c r="E179" s="8" t="n">
        <v>22.8942857142857</v>
      </c>
      <c r="F179" s="4" t="n">
        <f aca="false">D179*E179</f>
        <v>641.04</v>
      </c>
      <c r="G179" s="7" t="n">
        <v>12</v>
      </c>
      <c r="H179" s="9" t="n">
        <f aca="false">IF(G179&gt;0,D179/G179,"")</f>
        <v>2.33333333333333</v>
      </c>
      <c r="I179" s="10" t="n">
        <v>46216</v>
      </c>
      <c r="J179" s="3" t="s">
        <v>403</v>
      </c>
      <c r="K179" s="10" t="n">
        <v>46209</v>
      </c>
      <c r="L179" s="3" t="s">
        <v>14</v>
      </c>
      <c r="M179" s="7" t="n">
        <v>34</v>
      </c>
      <c r="N179" s="8" t="n">
        <v>22.8941</v>
      </c>
      <c r="O179" s="4" t="n">
        <f aca="false">M179*N179</f>
        <v>778.3994</v>
      </c>
    </row>
    <row r="180" customFormat="false" ht="15" hidden="false" customHeight="false" outlineLevel="0" collapsed="false">
      <c r="A180" s="0" t="s">
        <v>404</v>
      </c>
      <c r="C180" s="0" t="s">
        <v>33</v>
      </c>
      <c r="D180" s="7" t="n">
        <v>9231</v>
      </c>
      <c r="E180" s="8" t="n">
        <v>0.0693001841620626</v>
      </c>
      <c r="F180" s="4" t="n">
        <f aca="false">D180*E180</f>
        <v>639.71</v>
      </c>
      <c r="G180" s="7" t="n">
        <v>3420</v>
      </c>
      <c r="H180" s="9" t="n">
        <f aca="false">IF(G180&gt;0,D180/G180,"")</f>
        <v>2.69912280701754</v>
      </c>
      <c r="I180" s="10" t="n">
        <v>46315</v>
      </c>
      <c r="J180" s="3" t="s">
        <v>405</v>
      </c>
      <c r="K180" s="10" t="n">
        <v>46280</v>
      </c>
      <c r="L180" s="3" t="s">
        <v>14</v>
      </c>
      <c r="M180" s="7" t="n">
        <v>10000</v>
      </c>
      <c r="N180" s="8" t="n">
        <v>0.0693</v>
      </c>
      <c r="O180" s="4" t="n">
        <f aca="false">M180*N180</f>
        <v>693</v>
      </c>
    </row>
    <row r="181" customFormat="false" ht="15" hidden="false" customHeight="false" outlineLevel="0" collapsed="false">
      <c r="A181" s="0" t="s">
        <v>406</v>
      </c>
      <c r="C181" s="0" t="s">
        <v>36</v>
      </c>
      <c r="D181" s="7" t="n">
        <v>93285</v>
      </c>
      <c r="E181" s="8" t="n">
        <v>0.00679230315699201</v>
      </c>
      <c r="F181" s="4" t="n">
        <f aca="false">D181*E181</f>
        <v>633.62</v>
      </c>
      <c r="G181" s="7" t="n">
        <v>32095</v>
      </c>
      <c r="H181" s="9" t="n">
        <f aca="false">IF(G181&gt;0,D181/G181,"")</f>
        <v>2.90652749649478</v>
      </c>
      <c r="I181" s="10" t="n">
        <v>46311</v>
      </c>
      <c r="J181" s="3" t="s">
        <v>234</v>
      </c>
      <c r="K181" s="10" t="n">
        <v>44726</v>
      </c>
      <c r="L181" s="3" t="s">
        <v>15</v>
      </c>
      <c r="M181" s="7" t="n">
        <v>52208</v>
      </c>
      <c r="N181" s="8" t="n">
        <v>0.00827</v>
      </c>
      <c r="O181" s="4" t="n">
        <v>431.71881</v>
      </c>
    </row>
    <row r="182" customFormat="false" ht="15" hidden="false" customHeight="false" outlineLevel="0" collapsed="false">
      <c r="A182" s="0" t="s">
        <v>407</v>
      </c>
      <c r="C182" s="0" t="s">
        <v>255</v>
      </c>
      <c r="D182" s="7" t="n">
        <v>439</v>
      </c>
      <c r="E182" s="8" t="n">
        <v>1.42608200455581</v>
      </c>
      <c r="F182" s="4" t="n">
        <f aca="false">D182*E182</f>
        <v>626.05</v>
      </c>
      <c r="G182" s="7" t="n">
        <v>128</v>
      </c>
      <c r="H182" s="9" t="n">
        <f aca="false">IF(G182&gt;0,D182/G182,"")</f>
        <v>3.4296875</v>
      </c>
      <c r="I182" s="10" t="n">
        <v>46269</v>
      </c>
      <c r="J182" s="3" t="s">
        <v>408</v>
      </c>
      <c r="K182" s="10" t="n">
        <v>46266</v>
      </c>
      <c r="L182" s="3" t="s">
        <v>257</v>
      </c>
      <c r="M182" s="7" t="n">
        <v>200</v>
      </c>
      <c r="N182" s="8" t="n">
        <v>1.39</v>
      </c>
      <c r="O182" s="4" t="n">
        <f aca="false">M182*N182</f>
        <v>278</v>
      </c>
    </row>
    <row r="183" customFormat="false" ht="15" hidden="false" customHeight="false" outlineLevel="0" collapsed="false">
      <c r="A183" s="0" t="s">
        <v>409</v>
      </c>
      <c r="C183" s="0" t="s">
        <v>32</v>
      </c>
      <c r="D183" s="7" t="n">
        <v>24152</v>
      </c>
      <c r="E183" s="8" t="n">
        <v>0.0258218781053329</v>
      </c>
      <c r="F183" s="4" t="n">
        <f aca="false">D183*E183</f>
        <v>623.65</v>
      </c>
      <c r="G183" s="7" t="n">
        <v>7154</v>
      </c>
      <c r="H183" s="9" t="n">
        <f aca="false">IF(G183&gt;0,D183/G183,"")</f>
        <v>3.37601341906626</v>
      </c>
      <c r="I183" s="10" t="n">
        <v>46315</v>
      </c>
      <c r="J183" s="3" t="s">
        <v>410</v>
      </c>
      <c r="K183" s="10" t="n">
        <v>46303</v>
      </c>
      <c r="L183" s="3" t="s">
        <v>16</v>
      </c>
      <c r="M183" s="7" t="n">
        <v>4000</v>
      </c>
      <c r="N183" s="8" t="n">
        <v>0.0209</v>
      </c>
      <c r="O183" s="4" t="n">
        <f aca="false">M183*N183</f>
        <v>83.6</v>
      </c>
    </row>
    <row r="184" customFormat="false" ht="15" hidden="false" customHeight="false" outlineLevel="0" collapsed="false">
      <c r="A184" s="0" t="s">
        <v>411</v>
      </c>
      <c r="C184" s="0" t="s">
        <v>298</v>
      </c>
      <c r="D184" s="7" t="n">
        <v>19609</v>
      </c>
      <c r="E184" s="8" t="n">
        <v>0.0317323677903004</v>
      </c>
      <c r="F184" s="4" t="n">
        <f aca="false">D184*E184</f>
        <v>622.24</v>
      </c>
      <c r="G184" s="7" t="n">
        <v>9584</v>
      </c>
      <c r="H184" s="9" t="n">
        <f aca="false">IF(G184&gt;0,D184/G184,"")</f>
        <v>2.0460141903172</v>
      </c>
      <c r="I184" s="10" t="n">
        <v>46315</v>
      </c>
      <c r="J184" s="3" t="s">
        <v>336</v>
      </c>
      <c r="K184" s="10" t="n">
        <v>46245</v>
      </c>
      <c r="L184" s="3" t="s">
        <v>14</v>
      </c>
      <c r="M184" s="7" t="n">
        <v>20000</v>
      </c>
      <c r="N184" s="8" t="n">
        <v>0.0318</v>
      </c>
      <c r="O184" s="4" t="n">
        <f aca="false">M184*N184</f>
        <v>636</v>
      </c>
    </row>
    <row r="185" customFormat="false" ht="15" hidden="false" customHeight="false" outlineLevel="0" collapsed="false">
      <c r="A185" s="0" t="s">
        <v>412</v>
      </c>
      <c r="C185" s="0" t="s">
        <v>33</v>
      </c>
      <c r="D185" s="7" t="n">
        <v>5312</v>
      </c>
      <c r="E185" s="8" t="n">
        <v>0.11706890060241</v>
      </c>
      <c r="F185" s="4" t="n">
        <f aca="false">D185*E185</f>
        <v>621.87</v>
      </c>
      <c r="G185" s="7" t="n">
        <v>349</v>
      </c>
      <c r="H185" s="9" t="n">
        <f aca="false">IF(G185&gt;0,D185/G185,"")</f>
        <v>15.2206303724928</v>
      </c>
      <c r="I185" s="10" t="n">
        <v>46246</v>
      </c>
      <c r="J185" s="3" t="s">
        <v>345</v>
      </c>
      <c r="K185" s="10" t="n">
        <v>46183</v>
      </c>
      <c r="L185" s="3" t="s">
        <v>14</v>
      </c>
      <c r="M185" s="7" t="n">
        <v>5000</v>
      </c>
      <c r="N185" s="8" t="n">
        <v>0.118</v>
      </c>
      <c r="O185" s="4" t="n">
        <f aca="false">M185*N185</f>
        <v>590</v>
      </c>
    </row>
    <row r="186" customFormat="false" ht="15" hidden="false" customHeight="false" outlineLevel="0" collapsed="false">
      <c r="A186" s="0" t="s">
        <v>413</v>
      </c>
      <c r="C186" s="0" t="s">
        <v>40</v>
      </c>
      <c r="D186" s="7" t="n">
        <v>24561</v>
      </c>
      <c r="E186" s="8" t="n">
        <v>0.0252998656406498</v>
      </c>
      <c r="F186" s="4" t="n">
        <f aca="false">D186*E186</f>
        <v>621.39</v>
      </c>
      <c r="G186" s="7" t="n">
        <v>1309</v>
      </c>
      <c r="H186" s="9" t="n">
        <f aca="false">IF(G186&gt;0,D186/G186,"")</f>
        <v>18.7631779984721</v>
      </c>
      <c r="I186" s="10" t="n">
        <v>46171</v>
      </c>
      <c r="J186" s="3" t="s">
        <v>414</v>
      </c>
      <c r="K186" s="10" t="n">
        <v>44351</v>
      </c>
      <c r="L186" s="3" t="s">
        <v>19</v>
      </c>
      <c r="M186" s="7" t="n">
        <v>13000</v>
      </c>
      <c r="N186" s="8" t="n">
        <v>0.0248</v>
      </c>
      <c r="O186" s="4" t="n">
        <f aca="false">M186*N186</f>
        <v>322.4</v>
      </c>
    </row>
    <row r="187" customFormat="false" ht="15" hidden="false" customHeight="false" outlineLevel="0" collapsed="false">
      <c r="A187" s="0" t="s">
        <v>415</v>
      </c>
      <c r="C187" s="0" t="s">
        <v>33</v>
      </c>
      <c r="D187" s="7" t="n">
        <v>4833</v>
      </c>
      <c r="E187" s="8" t="n">
        <v>0.12835298986137</v>
      </c>
      <c r="F187" s="4" t="n">
        <f aca="false">D187*E187</f>
        <v>620.33</v>
      </c>
      <c r="G187" s="7" t="n">
        <v>853</v>
      </c>
      <c r="H187" s="9" t="n">
        <f aca="false">IF(G187&gt;0,D187/G187,"")</f>
        <v>5.66588511137163</v>
      </c>
      <c r="I187" s="10" t="n">
        <v>46304</v>
      </c>
      <c r="J187" s="3" t="s">
        <v>416</v>
      </c>
      <c r="K187" s="10" t="n">
        <v>45051</v>
      </c>
      <c r="L187" s="3" t="s">
        <v>18</v>
      </c>
      <c r="M187" s="7" t="n">
        <v>10275</v>
      </c>
      <c r="N187" s="8" t="n">
        <v>0.1292</v>
      </c>
      <c r="O187" s="4" t="n">
        <f aca="false">M187*N187</f>
        <v>1327.53</v>
      </c>
    </row>
    <row r="188" customFormat="false" ht="15" hidden="false" customHeight="false" outlineLevel="0" collapsed="false">
      <c r="A188" s="0" t="s">
        <v>417</v>
      </c>
      <c r="C188" s="0" t="s">
        <v>43</v>
      </c>
      <c r="D188" s="7" t="n">
        <v>850</v>
      </c>
      <c r="E188" s="8" t="n">
        <v>0.728705882352941</v>
      </c>
      <c r="F188" s="4" t="n">
        <f aca="false">D188*E188</f>
        <v>619.4</v>
      </c>
      <c r="G188" s="7" t="n">
        <v>226</v>
      </c>
      <c r="H188" s="9" t="n">
        <f aca="false">IF(G188&gt;0,D188/G188,"")</f>
        <v>3.76106194690265</v>
      </c>
      <c r="I188" s="10" t="n">
        <v>46314</v>
      </c>
      <c r="J188" s="3" t="s">
        <v>261</v>
      </c>
      <c r="K188" s="10" t="n">
        <v>46055</v>
      </c>
      <c r="L188" s="3" t="s">
        <v>14</v>
      </c>
      <c r="M188" s="7" t="n">
        <v>1000</v>
      </c>
      <c r="N188" s="8" t="n">
        <v>0.7287</v>
      </c>
      <c r="O188" s="4" t="n">
        <f aca="false">M188*N188</f>
        <v>728.7</v>
      </c>
    </row>
    <row r="189" customFormat="false" ht="15" hidden="false" customHeight="false" outlineLevel="0" collapsed="false">
      <c r="A189" s="0" t="s">
        <v>418</v>
      </c>
      <c r="C189" s="0" t="s">
        <v>34</v>
      </c>
      <c r="D189" s="7" t="n">
        <v>5211</v>
      </c>
      <c r="E189" s="8" t="n">
        <v>0.118125119938591</v>
      </c>
      <c r="F189" s="4" t="n">
        <f aca="false">D189*E189</f>
        <v>615.55</v>
      </c>
      <c r="G189" s="7" t="n">
        <v>420</v>
      </c>
      <c r="H189" s="9" t="n">
        <f aca="false">IF(G189&gt;0,D189/G189,"")</f>
        <v>12.4071428571429</v>
      </c>
      <c r="I189" s="10" t="n">
        <v>46291</v>
      </c>
      <c r="K189" s="10"/>
      <c r="M189" s="7"/>
      <c r="N189" s="8"/>
      <c r="O189" s="4"/>
    </row>
    <row r="190" customFormat="false" ht="15" hidden="false" customHeight="false" outlineLevel="0" collapsed="false">
      <c r="A190" s="0" t="s">
        <v>419</v>
      </c>
      <c r="C190" s="0" t="s">
        <v>33</v>
      </c>
      <c r="D190" s="7" t="n">
        <v>2686</v>
      </c>
      <c r="E190" s="8" t="n">
        <v>0.22819434102755</v>
      </c>
      <c r="F190" s="4" t="n">
        <f aca="false">D190*E190</f>
        <v>612.93</v>
      </c>
      <c r="G190" s="7" t="n">
        <v>667</v>
      </c>
      <c r="H190" s="9" t="n">
        <f aca="false">IF(G190&gt;0,D190/G190,"")</f>
        <v>4.02698650674663</v>
      </c>
      <c r="I190" s="10" t="n">
        <v>46302</v>
      </c>
      <c r="J190" s="3" t="s">
        <v>345</v>
      </c>
      <c r="K190" s="10" t="n">
        <v>46183</v>
      </c>
      <c r="L190" s="3" t="s">
        <v>14</v>
      </c>
      <c r="M190" s="7" t="n">
        <v>2500</v>
      </c>
      <c r="N190" s="8" t="n">
        <v>0.2272</v>
      </c>
      <c r="O190" s="4" t="n">
        <f aca="false">M190*N190</f>
        <v>568</v>
      </c>
    </row>
    <row r="191" customFormat="false" ht="15" hidden="false" customHeight="false" outlineLevel="0" collapsed="false">
      <c r="A191" s="0" t="s">
        <v>420</v>
      </c>
      <c r="C191" s="0" t="s">
        <v>33</v>
      </c>
      <c r="D191" s="7" t="n">
        <v>5972</v>
      </c>
      <c r="E191" s="8" t="n">
        <v>0.102598794373744</v>
      </c>
      <c r="F191" s="4" t="n">
        <f aca="false">D191*E191</f>
        <v>612.72</v>
      </c>
      <c r="G191" s="7" t="n">
        <v>229</v>
      </c>
      <c r="H191" s="9" t="n">
        <f aca="false">IF(G191&gt;0,D191/G191,"")</f>
        <v>26.0786026200873</v>
      </c>
      <c r="I191" s="10" t="n">
        <v>46237</v>
      </c>
      <c r="J191" s="3" t="s">
        <v>421</v>
      </c>
      <c r="K191" s="10" t="n">
        <v>46240</v>
      </c>
      <c r="L191" s="3" t="s">
        <v>18</v>
      </c>
      <c r="M191" s="7" t="n">
        <v>6000</v>
      </c>
      <c r="N191" s="8" t="n">
        <v>0.1026</v>
      </c>
      <c r="O191" s="4" t="n">
        <f aca="false">M191*N191</f>
        <v>615.6</v>
      </c>
    </row>
    <row r="192" customFormat="false" ht="15" hidden="false" customHeight="false" outlineLevel="0" collapsed="false">
      <c r="A192" s="0" t="s">
        <v>422</v>
      </c>
      <c r="C192" s="0" t="s">
        <v>295</v>
      </c>
      <c r="D192" s="7" t="n">
        <v>8189</v>
      </c>
      <c r="E192" s="8" t="n">
        <v>0.0745414580534864</v>
      </c>
      <c r="F192" s="4" t="n">
        <f aca="false">D192*E192</f>
        <v>610.42</v>
      </c>
      <c r="G192" s="7" t="n">
        <v>184</v>
      </c>
      <c r="H192" s="9" t="n">
        <f aca="false">IF(G192&gt;0,D192/G192,"")</f>
        <v>44.5054347826087</v>
      </c>
      <c r="I192" s="10" t="n">
        <v>46184</v>
      </c>
      <c r="J192" s="3" t="s">
        <v>338</v>
      </c>
      <c r="K192" s="10" t="n">
        <v>44859</v>
      </c>
      <c r="L192" s="3" t="s">
        <v>20</v>
      </c>
      <c r="M192" s="7" t="n">
        <v>8500</v>
      </c>
      <c r="N192" s="8" t="n">
        <v>0.07471</v>
      </c>
      <c r="O192" s="4" t="n">
        <f aca="false">M192*N192</f>
        <v>635.035</v>
      </c>
    </row>
    <row r="193" customFormat="false" ht="15" hidden="false" customHeight="false" outlineLevel="0" collapsed="false">
      <c r="A193" s="0" t="s">
        <v>423</v>
      </c>
      <c r="C193" s="0" t="s">
        <v>295</v>
      </c>
      <c r="D193" s="7" t="n">
        <v>8535</v>
      </c>
      <c r="E193" s="8" t="n">
        <v>0.0711364967779731</v>
      </c>
      <c r="F193" s="4" t="n">
        <f aca="false">D193*E193</f>
        <v>607.15</v>
      </c>
      <c r="G193" s="7" t="n">
        <v>281</v>
      </c>
      <c r="H193" s="9" t="n">
        <f aca="false">IF(G193&gt;0,D193/G193,"")</f>
        <v>30.373665480427</v>
      </c>
      <c r="I193" s="10" t="n">
        <v>46268</v>
      </c>
      <c r="J193" s="3" t="s">
        <v>338</v>
      </c>
      <c r="K193" s="10" t="n">
        <v>44859</v>
      </c>
      <c r="L193" s="3" t="s">
        <v>20</v>
      </c>
      <c r="M193" s="7" t="n">
        <v>9000</v>
      </c>
      <c r="N193" s="8" t="n">
        <v>0.07154</v>
      </c>
      <c r="O193" s="4" t="n">
        <f aca="false">M193*N193</f>
        <v>643.86</v>
      </c>
    </row>
    <row r="194" customFormat="false" ht="15" hidden="false" customHeight="false" outlineLevel="0" collapsed="false">
      <c r="A194" s="0" t="s">
        <v>424</v>
      </c>
      <c r="C194" s="0" t="s">
        <v>33</v>
      </c>
      <c r="D194" s="7" t="n">
        <v>9393</v>
      </c>
      <c r="E194" s="8" t="n">
        <v>0.0644086021505376</v>
      </c>
      <c r="F194" s="4" t="n">
        <f aca="false">D194*E194</f>
        <v>604.99</v>
      </c>
      <c r="G194" s="7" t="n">
        <v>5360</v>
      </c>
      <c r="H194" s="9" t="n">
        <f aca="false">IF(G194&gt;0,D194/G194,"")</f>
        <v>1.75242537313433</v>
      </c>
      <c r="I194" s="10" t="n">
        <v>46288</v>
      </c>
      <c r="J194" s="3" t="s">
        <v>405</v>
      </c>
      <c r="K194" s="10" t="n">
        <v>46280</v>
      </c>
      <c r="L194" s="3" t="s">
        <v>14</v>
      </c>
      <c r="M194" s="7" t="n">
        <v>10000</v>
      </c>
      <c r="N194" s="8" t="n">
        <v>0.065</v>
      </c>
      <c r="O194" s="4" t="n">
        <f aca="false">M194*N194</f>
        <v>650</v>
      </c>
    </row>
    <row r="195" customFormat="false" ht="15" hidden="false" customHeight="false" outlineLevel="0" collapsed="false">
      <c r="A195" s="0" t="s">
        <v>425</v>
      </c>
      <c r="C195" s="0" t="s">
        <v>42</v>
      </c>
      <c r="D195" s="7" t="n">
        <v>1622</v>
      </c>
      <c r="E195" s="8" t="n">
        <v>0.36480271270037</v>
      </c>
      <c r="F195" s="4" t="n">
        <f aca="false">D195*E195</f>
        <v>591.71</v>
      </c>
      <c r="G195" s="7" t="n">
        <v>978</v>
      </c>
      <c r="H195" s="9" t="n">
        <f aca="false">IF(G195&gt;0,D195/G195,"")</f>
        <v>1.65848670756646</v>
      </c>
      <c r="I195" s="10" t="n">
        <v>46238</v>
      </c>
      <c r="J195" s="3" t="s">
        <v>426</v>
      </c>
      <c r="K195" s="10" t="n">
        <v>46038</v>
      </c>
      <c r="L195" s="3" t="s">
        <v>14</v>
      </c>
      <c r="M195" s="7" t="n">
        <v>2500</v>
      </c>
      <c r="N195" s="8" t="n">
        <v>0.3648</v>
      </c>
      <c r="O195" s="4" t="n">
        <f aca="false">M195*N195</f>
        <v>912</v>
      </c>
    </row>
    <row r="196" customFormat="false" ht="15" hidden="false" customHeight="false" outlineLevel="0" collapsed="false">
      <c r="A196" s="0" t="s">
        <v>427</v>
      </c>
      <c r="C196" s="0" t="s">
        <v>32</v>
      </c>
      <c r="D196" s="7" t="n">
        <v>1013</v>
      </c>
      <c r="E196" s="8" t="n">
        <v>0.583968410661402</v>
      </c>
      <c r="F196" s="4" t="n">
        <f aca="false">D196*E196</f>
        <v>591.56</v>
      </c>
      <c r="G196" s="7" t="n">
        <v>247</v>
      </c>
      <c r="H196" s="9" t="n">
        <f aca="false">IF(G196&gt;0,D196/G196,"")</f>
        <v>4.10121457489879</v>
      </c>
      <c r="I196" s="10" t="n">
        <v>46260</v>
      </c>
      <c r="J196" s="3" t="s">
        <v>428</v>
      </c>
      <c r="K196" s="10" t="n">
        <v>46253</v>
      </c>
      <c r="L196" s="3" t="s">
        <v>14</v>
      </c>
      <c r="M196" s="7" t="n">
        <v>1000</v>
      </c>
      <c r="N196" s="8" t="n">
        <v>0.5832</v>
      </c>
      <c r="O196" s="4" t="n">
        <f aca="false">M196*N196</f>
        <v>583.2</v>
      </c>
    </row>
    <row r="197" customFormat="false" ht="15" hidden="false" customHeight="false" outlineLevel="0" collapsed="false">
      <c r="A197" s="0" t="s">
        <v>429</v>
      </c>
      <c r="C197" s="0" t="s">
        <v>35</v>
      </c>
      <c r="D197" s="7" t="n">
        <v>7911</v>
      </c>
      <c r="E197" s="8" t="n">
        <v>0.074703577297434</v>
      </c>
      <c r="F197" s="4" t="n">
        <f aca="false">D197*E197</f>
        <v>590.98</v>
      </c>
      <c r="G197" s="7" t="n">
        <v>106</v>
      </c>
      <c r="H197" s="9" t="n">
        <f aca="false">IF(G197&gt;0,D197/G197,"")</f>
        <v>74.6320754716981</v>
      </c>
      <c r="I197" s="10" t="n">
        <v>46308</v>
      </c>
      <c r="J197" s="3" t="s">
        <v>430</v>
      </c>
      <c r="K197" s="10" t="n">
        <v>45370</v>
      </c>
      <c r="L197" s="3" t="s">
        <v>20</v>
      </c>
      <c r="M197" s="7" t="n">
        <v>6770</v>
      </c>
      <c r="N197" s="8" t="n">
        <v>0.078</v>
      </c>
      <c r="O197" s="4" t="n">
        <f aca="false">M197*N197</f>
        <v>528.06</v>
      </c>
    </row>
    <row r="198" customFormat="false" ht="15" hidden="false" customHeight="false" outlineLevel="0" collapsed="false">
      <c r="A198" s="0" t="s">
        <v>431</v>
      </c>
      <c r="C198" s="0" t="s">
        <v>79</v>
      </c>
      <c r="D198" s="7" t="n">
        <v>2982</v>
      </c>
      <c r="E198" s="8" t="n">
        <v>0.196928236083166</v>
      </c>
      <c r="F198" s="4" t="n">
        <f aca="false">D198*E198</f>
        <v>587.24</v>
      </c>
      <c r="G198" s="7" t="n">
        <v>30</v>
      </c>
      <c r="H198" s="9" t="n">
        <f aca="false">IF(G198&gt;0,D198/G198,"")</f>
        <v>99.4</v>
      </c>
      <c r="I198" s="10" t="n">
        <v>46294</v>
      </c>
      <c r="K198" s="10"/>
      <c r="M198" s="7"/>
      <c r="N198" s="8"/>
      <c r="O198" s="4"/>
    </row>
    <row r="199" customFormat="false" ht="15" hidden="false" customHeight="false" outlineLevel="0" collapsed="false">
      <c r="A199" s="0" t="s">
        <v>432</v>
      </c>
      <c r="C199" s="0" t="s">
        <v>295</v>
      </c>
      <c r="D199" s="7" t="n">
        <v>4571</v>
      </c>
      <c r="E199" s="8" t="n">
        <v>0.12755414570116</v>
      </c>
      <c r="F199" s="4" t="n">
        <f aca="false">D199*E199</f>
        <v>583.05</v>
      </c>
      <c r="G199" s="7" t="n">
        <v>144</v>
      </c>
      <c r="H199" s="9" t="n">
        <f aca="false">IF(G199&gt;0,D199/G199,"")</f>
        <v>31.7430555555556</v>
      </c>
      <c r="I199" s="10" t="n">
        <v>46184</v>
      </c>
      <c r="J199" s="3" t="s">
        <v>338</v>
      </c>
      <c r="K199" s="10" t="n">
        <v>44859</v>
      </c>
      <c r="L199" s="3" t="s">
        <v>20</v>
      </c>
      <c r="M199" s="7" t="n">
        <v>5000</v>
      </c>
      <c r="N199" s="8" t="n">
        <v>0.12755</v>
      </c>
      <c r="O199" s="4" t="n">
        <f aca="false">M199*N199</f>
        <v>637.75</v>
      </c>
    </row>
    <row r="200" customFormat="false" ht="15" hidden="false" customHeight="false" outlineLevel="0" collapsed="false">
      <c r="A200" s="0" t="s">
        <v>433</v>
      </c>
      <c r="C200" s="0" t="s">
        <v>31</v>
      </c>
      <c r="D200" s="7" t="n">
        <v>36522</v>
      </c>
      <c r="E200" s="8" t="n">
        <v>0.0159635288319369</v>
      </c>
      <c r="F200" s="4" t="n">
        <f aca="false">D200*E200</f>
        <v>583.02</v>
      </c>
      <c r="G200" s="7" t="n">
        <v>362</v>
      </c>
      <c r="H200" s="9" t="n">
        <f aca="false">IF(G200&gt;0,D200/G200,"")</f>
        <v>100.889502762431</v>
      </c>
      <c r="I200" s="10" t="n">
        <v>46309</v>
      </c>
      <c r="J200" s="3" t="s">
        <v>317</v>
      </c>
      <c r="K200" s="10" t="n">
        <v>44860</v>
      </c>
      <c r="L200" s="3" t="s">
        <v>15</v>
      </c>
      <c r="M200" s="7" t="n">
        <v>40000</v>
      </c>
      <c r="N200" s="8" t="n">
        <v>0.01654</v>
      </c>
      <c r="O200" s="4" t="n">
        <f aca="false">M200*N200</f>
        <v>661.6</v>
      </c>
    </row>
    <row r="201" customFormat="false" ht="15" hidden="false" customHeight="false" outlineLevel="0" collapsed="false">
      <c r="A201" s="0" t="s">
        <v>434</v>
      </c>
      <c r="C201" s="0" t="s">
        <v>85</v>
      </c>
      <c r="D201" s="7" t="n">
        <v>614</v>
      </c>
      <c r="E201" s="8" t="n">
        <v>0.947459283387622</v>
      </c>
      <c r="F201" s="4" t="n">
        <f aca="false">D201*E201</f>
        <v>581.74</v>
      </c>
      <c r="G201" s="7" t="n">
        <v>564</v>
      </c>
      <c r="H201" s="9" t="n">
        <f aca="false">IF(G201&gt;0,D201/G201,"")</f>
        <v>1.0886524822695</v>
      </c>
      <c r="I201" s="10" t="n">
        <v>46163</v>
      </c>
      <c r="J201" s="3" t="s">
        <v>261</v>
      </c>
      <c r="K201" s="10" t="n">
        <v>46055</v>
      </c>
      <c r="L201" s="3" t="s">
        <v>14</v>
      </c>
      <c r="M201" s="7" t="n">
        <v>1115</v>
      </c>
      <c r="N201" s="8" t="n">
        <v>0.945991</v>
      </c>
      <c r="O201" s="4" t="n">
        <f aca="false">M201*N201</f>
        <v>1054.779965</v>
      </c>
    </row>
    <row r="202" customFormat="false" ht="15" hidden="false" customHeight="false" outlineLevel="0" collapsed="false">
      <c r="A202" s="0" t="s">
        <v>435</v>
      </c>
      <c r="C202" s="0" t="s">
        <v>95</v>
      </c>
      <c r="D202" s="7" t="n">
        <v>2992</v>
      </c>
      <c r="E202" s="8" t="n">
        <v>0.19380013368984</v>
      </c>
      <c r="F202" s="4" t="n">
        <f aca="false">D202*E202</f>
        <v>579.85</v>
      </c>
      <c r="G202" s="7" t="n">
        <v>8</v>
      </c>
      <c r="H202" s="9" t="n">
        <f aca="false">IF(G202&gt;0,D202/G202,"")</f>
        <v>374</v>
      </c>
      <c r="I202" s="10" t="n">
        <v>46190</v>
      </c>
      <c r="J202" s="3" t="s">
        <v>436</v>
      </c>
      <c r="K202" s="10" t="n">
        <v>46135</v>
      </c>
      <c r="L202" s="3" t="s">
        <v>16</v>
      </c>
      <c r="M202" s="7" t="n">
        <v>3000</v>
      </c>
      <c r="N202" s="8" t="n">
        <v>0.1938</v>
      </c>
      <c r="O202" s="4" t="n">
        <f aca="false">M202*N202</f>
        <v>581.4</v>
      </c>
    </row>
    <row r="203" customFormat="false" ht="15" hidden="false" customHeight="false" outlineLevel="0" collapsed="false">
      <c r="A203" s="0" t="s">
        <v>437</v>
      </c>
      <c r="C203" s="0" t="s">
        <v>438</v>
      </c>
      <c r="D203" s="7" t="n">
        <v>2437</v>
      </c>
      <c r="E203" s="8" t="n">
        <v>0.237550266721379</v>
      </c>
      <c r="F203" s="4" t="n">
        <f aca="false">D203*E203</f>
        <v>578.91</v>
      </c>
      <c r="G203" s="7" t="n">
        <v>1980</v>
      </c>
      <c r="H203" s="9" t="n">
        <f aca="false">IF(G203&gt;0,D203/G203,"")</f>
        <v>1.23080808080808</v>
      </c>
      <c r="I203" s="10" t="n">
        <v>46286</v>
      </c>
      <c r="J203" s="3" t="s">
        <v>439</v>
      </c>
      <c r="K203" s="10" t="n">
        <v>46113</v>
      </c>
      <c r="L203" s="3" t="s">
        <v>14</v>
      </c>
      <c r="M203" s="7" t="n">
        <v>2500</v>
      </c>
      <c r="N203" s="8" t="n">
        <v>0.234</v>
      </c>
      <c r="O203" s="4" t="n">
        <f aca="false">M203*N203</f>
        <v>585</v>
      </c>
    </row>
    <row r="204" customFormat="false" ht="15" hidden="false" customHeight="false" outlineLevel="0" collapsed="false">
      <c r="A204" s="0" t="s">
        <v>440</v>
      </c>
      <c r="C204" s="0" t="s">
        <v>441</v>
      </c>
      <c r="D204" s="7" t="n">
        <v>1112</v>
      </c>
      <c r="E204" s="8" t="n">
        <v>0.52</v>
      </c>
      <c r="F204" s="4" t="n">
        <f aca="false">D204*E204</f>
        <v>578.24</v>
      </c>
      <c r="G204" s="7" t="n">
        <v>1100</v>
      </c>
      <c r="H204" s="9" t="n">
        <f aca="false">IF(G204&gt;0,D204/G204,"")</f>
        <v>1.01090909090909</v>
      </c>
      <c r="I204" s="10" t="n">
        <v>46261</v>
      </c>
      <c r="J204" s="3" t="s">
        <v>442</v>
      </c>
      <c r="K204" s="10" t="n">
        <v>46265</v>
      </c>
      <c r="L204" s="3" t="s">
        <v>313</v>
      </c>
      <c r="M204" s="7" t="n">
        <v>1000</v>
      </c>
      <c r="N204" s="8" t="n">
        <v>0.52</v>
      </c>
      <c r="O204" s="4" t="n">
        <f aca="false">M204*N204</f>
        <v>520</v>
      </c>
    </row>
    <row r="205" customFormat="false" ht="15" hidden="false" customHeight="false" outlineLevel="0" collapsed="false">
      <c r="A205" s="0" t="s">
        <v>443</v>
      </c>
      <c r="C205" s="0" t="s">
        <v>37</v>
      </c>
      <c r="D205" s="7" t="n">
        <v>490</v>
      </c>
      <c r="E205" s="8" t="n">
        <v>1.178</v>
      </c>
      <c r="F205" s="4" t="n">
        <f aca="false">D205*E205</f>
        <v>577.22</v>
      </c>
      <c r="G205" s="7" t="n">
        <v>10</v>
      </c>
      <c r="H205" s="9" t="n">
        <f aca="false">IF(G205&gt;0,D205/G205,"")</f>
        <v>49</v>
      </c>
      <c r="I205" s="10" t="n">
        <v>46304</v>
      </c>
      <c r="J205" s="3" t="s">
        <v>444</v>
      </c>
      <c r="K205" s="10" t="n">
        <v>46240</v>
      </c>
      <c r="L205" s="3" t="s">
        <v>16</v>
      </c>
      <c r="M205" s="7" t="n">
        <v>500</v>
      </c>
      <c r="N205" s="8" t="n">
        <v>1.178</v>
      </c>
      <c r="O205" s="4" t="n">
        <f aca="false">M205*N205</f>
        <v>589</v>
      </c>
    </row>
    <row r="206" customFormat="false" ht="15" hidden="false" customHeight="false" outlineLevel="0" collapsed="false">
      <c r="A206" s="0" t="s">
        <v>445</v>
      </c>
      <c r="C206" s="0" t="s">
        <v>44</v>
      </c>
      <c r="D206" s="7" t="n">
        <v>2</v>
      </c>
      <c r="E206" s="8" t="n">
        <v>287.845</v>
      </c>
      <c r="F206" s="4" t="n">
        <f aca="false">D206*E206</f>
        <v>575.69</v>
      </c>
      <c r="G206" s="7" t="n">
        <v>2</v>
      </c>
      <c r="H206" s="9" t="n">
        <f aca="false">IF(G206&gt;0,D206/G206,"")</f>
        <v>1</v>
      </c>
      <c r="I206" s="10" t="n">
        <v>46174</v>
      </c>
      <c r="J206" s="3" t="s">
        <v>446</v>
      </c>
      <c r="K206" s="10" t="n">
        <v>46170</v>
      </c>
      <c r="L206" s="3" t="s">
        <v>14</v>
      </c>
      <c r="M206" s="7" t="n">
        <v>2</v>
      </c>
      <c r="N206" s="8" t="n">
        <v>287.845</v>
      </c>
      <c r="O206" s="4" t="n">
        <f aca="false">M206*N206</f>
        <v>575.69</v>
      </c>
    </row>
    <row r="207" customFormat="false" ht="15" hidden="false" customHeight="false" outlineLevel="0" collapsed="false">
      <c r="A207" s="0" t="s">
        <v>447</v>
      </c>
      <c r="C207" s="0" t="s">
        <v>38</v>
      </c>
      <c r="D207" s="7" t="n">
        <v>19237</v>
      </c>
      <c r="E207" s="8" t="n">
        <v>0.0297967458543432</v>
      </c>
      <c r="F207" s="4" t="n">
        <f aca="false">D207*E207</f>
        <v>573.2</v>
      </c>
      <c r="G207" s="7" t="n">
        <v>2105</v>
      </c>
      <c r="H207" s="9" t="n">
        <f aca="false">IF(G207&gt;0,D207/G207,"")</f>
        <v>9.13871733966746</v>
      </c>
      <c r="I207" s="10" t="n">
        <v>46317</v>
      </c>
      <c r="J207" s="3" t="s">
        <v>329</v>
      </c>
      <c r="K207" s="10" t="n">
        <v>45310</v>
      </c>
      <c r="L207" s="3" t="s">
        <v>14</v>
      </c>
      <c r="M207" s="7" t="n">
        <v>25000</v>
      </c>
      <c r="N207" s="8" t="n">
        <v>0.0298</v>
      </c>
      <c r="O207" s="4" t="n">
        <f aca="false">M207*N207</f>
        <v>745</v>
      </c>
    </row>
    <row r="208" customFormat="false" ht="15" hidden="false" customHeight="false" outlineLevel="0" collapsed="false">
      <c r="A208" s="0" t="s">
        <v>448</v>
      </c>
      <c r="C208" s="0" t="s">
        <v>34</v>
      </c>
      <c r="D208" s="7" t="n">
        <v>1480</v>
      </c>
      <c r="E208" s="8" t="n">
        <v>0.387101351351351</v>
      </c>
      <c r="F208" s="4" t="n">
        <f aca="false">D208*E208</f>
        <v>572.91</v>
      </c>
      <c r="G208" s="7" t="n">
        <v>90</v>
      </c>
      <c r="H208" s="9" t="n">
        <f aca="false">IF(G208&gt;0,D208/G208,"")</f>
        <v>16.4444444444444</v>
      </c>
      <c r="I208" s="10" t="n">
        <v>46302</v>
      </c>
      <c r="J208" s="3" t="s">
        <v>449</v>
      </c>
      <c r="K208" s="10" t="n">
        <v>45250</v>
      </c>
      <c r="L208" s="3" t="s">
        <v>19</v>
      </c>
      <c r="M208" s="7" t="n">
        <v>1576</v>
      </c>
      <c r="N208" s="8" t="n">
        <v>0.3871</v>
      </c>
      <c r="O208" s="4" t="n">
        <f aca="false">M208*N208</f>
        <v>610.0696</v>
      </c>
    </row>
    <row r="209" customFormat="false" ht="15" hidden="false" customHeight="false" outlineLevel="0" collapsed="false">
      <c r="A209" s="0" t="s">
        <v>450</v>
      </c>
      <c r="C209" s="0" t="s">
        <v>32</v>
      </c>
      <c r="D209" s="7" t="n">
        <v>12075</v>
      </c>
      <c r="E209" s="8" t="n">
        <v>0.0472140786749482</v>
      </c>
      <c r="F209" s="4" t="n">
        <f aca="false">D209*E209</f>
        <v>570.11</v>
      </c>
      <c r="G209" s="7" t="n">
        <v>2329</v>
      </c>
      <c r="H209" s="9" t="n">
        <f aca="false">IF(G209&gt;0,D209/G209,"")</f>
        <v>5.18462859596393</v>
      </c>
      <c r="I209" s="10" t="n">
        <v>46316</v>
      </c>
      <c r="J209" s="3" t="s">
        <v>451</v>
      </c>
      <c r="K209" s="10" t="n">
        <v>44323</v>
      </c>
      <c r="L209" s="3" t="s">
        <v>15</v>
      </c>
      <c r="M209" s="7" t="n">
        <v>405</v>
      </c>
      <c r="N209" s="8" t="n">
        <v>0.03287</v>
      </c>
      <c r="O209" s="4" t="n">
        <f aca="false">M209*N209</f>
        <v>13.31235</v>
      </c>
    </row>
    <row r="210" customFormat="false" ht="15" hidden="false" customHeight="false" outlineLevel="0" collapsed="false">
      <c r="A210" s="0" t="s">
        <v>452</v>
      </c>
      <c r="C210" s="0" t="s">
        <v>37</v>
      </c>
      <c r="D210" s="7" t="n">
        <v>42529</v>
      </c>
      <c r="E210" s="8" t="n">
        <v>0.0133831032942228</v>
      </c>
      <c r="F210" s="4" t="n">
        <f aca="false">D210*E210</f>
        <v>569.17</v>
      </c>
      <c r="G210" s="7" t="n">
        <v>1071</v>
      </c>
      <c r="H210" s="9" t="n">
        <f aca="false">IF(G210&gt;0,D210/G210,"")</f>
        <v>39.7096171802054</v>
      </c>
      <c r="I210" s="10" t="n">
        <v>46274</v>
      </c>
      <c r="J210" s="3" t="s">
        <v>453</v>
      </c>
      <c r="K210" s="10" t="n">
        <v>45028</v>
      </c>
      <c r="L210" s="3" t="s">
        <v>15</v>
      </c>
      <c r="M210" s="7" t="n">
        <v>20000</v>
      </c>
      <c r="N210" s="8" t="n">
        <v>0.01404</v>
      </c>
      <c r="O210" s="4" t="n">
        <f aca="false">M210*N210</f>
        <v>280.8</v>
      </c>
    </row>
    <row r="211" customFormat="false" ht="15" hidden="false" customHeight="false" outlineLevel="0" collapsed="false">
      <c r="A211" s="0" t="s">
        <v>454</v>
      </c>
      <c r="C211" s="0" t="s">
        <v>35</v>
      </c>
      <c r="D211" s="7" t="n">
        <v>1444</v>
      </c>
      <c r="E211" s="8" t="n">
        <v>0.393421052631579</v>
      </c>
      <c r="F211" s="4" t="n">
        <f aca="false">D211*E211</f>
        <v>568.1</v>
      </c>
      <c r="G211" s="7" t="n">
        <v>63</v>
      </c>
      <c r="H211" s="9" t="n">
        <f aca="false">IF(G211&gt;0,D211/G211,"")</f>
        <v>22.9206349206349</v>
      </c>
      <c r="I211" s="10" t="n">
        <v>46142</v>
      </c>
      <c r="J211" s="3" t="s">
        <v>455</v>
      </c>
      <c r="K211" s="10" t="n">
        <v>45689</v>
      </c>
      <c r="L211" s="3" t="s">
        <v>20</v>
      </c>
      <c r="M211" s="7" t="n">
        <v>1000</v>
      </c>
      <c r="N211" s="8" t="n">
        <v>0.327</v>
      </c>
      <c r="O211" s="4" t="n">
        <f aca="false">M211*N211</f>
        <v>327</v>
      </c>
    </row>
    <row r="212" customFormat="false" ht="15" hidden="false" customHeight="false" outlineLevel="0" collapsed="false">
      <c r="A212" s="0" t="s">
        <v>456</v>
      </c>
      <c r="C212" s="0" t="s">
        <v>298</v>
      </c>
      <c r="D212" s="7" t="n">
        <v>4840</v>
      </c>
      <c r="E212" s="8" t="n">
        <v>0.117</v>
      </c>
      <c r="F212" s="4" t="n">
        <f aca="false">D212*E212</f>
        <v>566.28</v>
      </c>
      <c r="G212" s="7" t="n">
        <v>225</v>
      </c>
      <c r="H212" s="9" t="n">
        <f aca="false">IF(G212&gt;0,D212/G212,"")</f>
        <v>21.5111111111111</v>
      </c>
      <c r="I212" s="10" t="n">
        <v>46280</v>
      </c>
      <c r="J212" s="3" t="s">
        <v>457</v>
      </c>
      <c r="K212" s="10" t="n">
        <v>45866</v>
      </c>
      <c r="L212" s="3" t="s">
        <v>16</v>
      </c>
      <c r="M212" s="7" t="n">
        <v>5000</v>
      </c>
      <c r="N212" s="8" t="n">
        <v>0.117</v>
      </c>
      <c r="O212" s="4" t="n">
        <f aca="false">M212*N212</f>
        <v>585</v>
      </c>
    </row>
    <row r="213" customFormat="false" ht="15" hidden="false" customHeight="false" outlineLevel="0" collapsed="false">
      <c r="A213" s="0" t="s">
        <v>458</v>
      </c>
      <c r="C213" s="0" t="s">
        <v>295</v>
      </c>
      <c r="D213" s="7" t="n">
        <v>7905</v>
      </c>
      <c r="E213" s="8" t="n">
        <v>0.0708374446552815</v>
      </c>
      <c r="F213" s="4" t="n">
        <f aca="false">D213*E213</f>
        <v>559.97</v>
      </c>
      <c r="G213" s="7" t="n">
        <v>208</v>
      </c>
      <c r="H213" s="9" t="n">
        <f aca="false">IF(G213&gt;0,D213/G213,"")</f>
        <v>38.0048076923077</v>
      </c>
      <c r="I213" s="10" t="n">
        <v>46184</v>
      </c>
      <c r="J213" s="3" t="s">
        <v>338</v>
      </c>
      <c r="K213" s="10" t="n">
        <v>44859</v>
      </c>
      <c r="L213" s="3" t="s">
        <v>20</v>
      </c>
      <c r="M213" s="7" t="n">
        <v>9000</v>
      </c>
      <c r="N213" s="8" t="n">
        <v>0.07087</v>
      </c>
      <c r="O213" s="4" t="n">
        <f aca="false">M213*N213</f>
        <v>637.83</v>
      </c>
    </row>
    <row r="214" customFormat="false" ht="15" hidden="false" customHeight="false" outlineLevel="0" collapsed="false">
      <c r="A214" s="0" t="s">
        <v>459</v>
      </c>
      <c r="C214" s="0" t="s">
        <v>43</v>
      </c>
      <c r="D214" s="7" t="n">
        <v>3968</v>
      </c>
      <c r="E214" s="8" t="n">
        <v>0.140902217741936</v>
      </c>
      <c r="F214" s="4" t="n">
        <f aca="false">D214*E214</f>
        <v>559.1</v>
      </c>
      <c r="G214" s="7" t="n">
        <v>945</v>
      </c>
      <c r="H214" s="9" t="n">
        <f aca="false">IF(G214&gt;0,D214/G214,"")</f>
        <v>4.1989417989418</v>
      </c>
      <c r="I214" s="10" t="n">
        <v>46267</v>
      </c>
      <c r="J214" s="3" t="s">
        <v>460</v>
      </c>
      <c r="K214" s="10" t="n">
        <v>45768</v>
      </c>
      <c r="L214" s="3" t="s">
        <v>14</v>
      </c>
      <c r="M214" s="7" t="n">
        <v>5000</v>
      </c>
      <c r="N214" s="8" t="n">
        <v>0.1409</v>
      </c>
      <c r="O214" s="4" t="n">
        <f aca="false">M214*N214</f>
        <v>704.5</v>
      </c>
    </row>
    <row r="215" customFormat="false" ht="15" hidden="false" customHeight="false" outlineLevel="0" collapsed="false">
      <c r="A215" s="0" t="s">
        <v>461</v>
      </c>
      <c r="C215" s="0" t="s">
        <v>462</v>
      </c>
      <c r="D215" s="7" t="n">
        <v>234</v>
      </c>
      <c r="E215" s="8" t="n">
        <v>2.38880341880342</v>
      </c>
      <c r="F215" s="4" t="n">
        <f aca="false">D215*E215</f>
        <v>558.98</v>
      </c>
      <c r="G215" s="7" t="n">
        <v>1</v>
      </c>
      <c r="H215" s="9" t="n">
        <f aca="false">IF(G215&gt;0,D215/G215,"")</f>
        <v>234</v>
      </c>
      <c r="I215" s="10" t="n">
        <v>46003</v>
      </c>
      <c r="J215" s="3" t="s">
        <v>287</v>
      </c>
      <c r="K215" s="10" t="n">
        <v>45922</v>
      </c>
      <c r="L215" s="3" t="s">
        <v>16</v>
      </c>
      <c r="M215" s="7" t="n">
        <v>235</v>
      </c>
      <c r="N215" s="8" t="n">
        <v>2.3888</v>
      </c>
      <c r="O215" s="4" t="n">
        <f aca="false">M215*N215</f>
        <v>561.368</v>
      </c>
    </row>
    <row r="216" customFormat="false" ht="15" hidden="false" customHeight="false" outlineLevel="0" collapsed="false">
      <c r="A216" s="0" t="s">
        <v>463</v>
      </c>
      <c r="C216" s="0" t="s">
        <v>33</v>
      </c>
      <c r="D216" s="7" t="n">
        <v>53721</v>
      </c>
      <c r="E216" s="8" t="n">
        <v>0.0102367789132741</v>
      </c>
      <c r="F216" s="4" t="n">
        <f aca="false">D216*E216</f>
        <v>549.93</v>
      </c>
      <c r="G216" s="7" t="n">
        <v>7635</v>
      </c>
      <c r="H216" s="9" t="n">
        <f aca="false">IF(G216&gt;0,D216/G216,"")</f>
        <v>7.03614931237721</v>
      </c>
      <c r="I216" s="10" t="n">
        <v>46297</v>
      </c>
      <c r="J216" s="3" t="s">
        <v>464</v>
      </c>
      <c r="K216" s="10" t="n">
        <v>44729</v>
      </c>
      <c r="L216" s="3" t="s">
        <v>465</v>
      </c>
      <c r="M216" s="7" t="n">
        <v>81709</v>
      </c>
      <c r="N216" s="8" t="n">
        <v>0</v>
      </c>
      <c r="O216" s="4" t="n">
        <v>838.214</v>
      </c>
    </row>
    <row r="217" customFormat="false" ht="15" hidden="false" customHeight="false" outlineLevel="0" collapsed="false">
      <c r="A217" s="0" t="s">
        <v>466</v>
      </c>
      <c r="D217" s="7" t="n">
        <v>139</v>
      </c>
      <c r="E217" s="8" t="n">
        <v>3.95453237410072</v>
      </c>
      <c r="F217" s="4" t="n">
        <f aca="false">D217*E217</f>
        <v>549.68</v>
      </c>
      <c r="G217" s="7" t="n">
        <v>115</v>
      </c>
      <c r="H217" s="9" t="n">
        <f aca="false">IF(G217&gt;0,D217/G217,"")</f>
        <v>1.20869565217391</v>
      </c>
      <c r="I217" s="10" t="n">
        <v>46310</v>
      </c>
      <c r="J217" s="3" t="s">
        <v>467</v>
      </c>
      <c r="K217" s="10" t="n">
        <v>45967</v>
      </c>
      <c r="L217" s="3" t="s">
        <v>14</v>
      </c>
      <c r="M217" s="7" t="n">
        <v>200</v>
      </c>
      <c r="N217" s="8" t="n">
        <v>3.9545</v>
      </c>
      <c r="O217" s="4" t="n">
        <f aca="false">M217*N217</f>
        <v>790.9</v>
      </c>
    </row>
    <row r="218" customFormat="false" ht="15" hidden="false" customHeight="false" outlineLevel="0" collapsed="false">
      <c r="A218" s="0" t="s">
        <v>468</v>
      </c>
      <c r="C218" s="0" t="s">
        <v>31</v>
      </c>
      <c r="D218" s="7" t="n">
        <v>5092</v>
      </c>
      <c r="E218" s="8" t="n">
        <v>0.107845640219953</v>
      </c>
      <c r="F218" s="4" t="n">
        <f aca="false">D218*E218</f>
        <v>549.15</v>
      </c>
      <c r="G218" s="7" t="n">
        <v>696</v>
      </c>
      <c r="H218" s="9" t="n">
        <f aca="false">IF(G218&gt;0,D218/G218,"")</f>
        <v>7.31609195402299</v>
      </c>
      <c r="I218" s="10" t="n">
        <v>46281</v>
      </c>
      <c r="K218" s="10"/>
      <c r="M218" s="7"/>
      <c r="N218" s="8"/>
      <c r="O218" s="4"/>
    </row>
    <row r="219" customFormat="false" ht="15" hidden="false" customHeight="false" outlineLevel="0" collapsed="false">
      <c r="A219" s="0" t="s">
        <v>469</v>
      </c>
      <c r="C219" s="0" t="s">
        <v>118</v>
      </c>
      <c r="D219" s="7" t="n">
        <v>33100</v>
      </c>
      <c r="E219" s="8" t="n">
        <v>0.0165649546827795</v>
      </c>
      <c r="F219" s="4" t="n">
        <f aca="false">D219*E219</f>
        <v>548.3</v>
      </c>
      <c r="G219" s="7" t="n">
        <v>7974</v>
      </c>
      <c r="H219" s="9" t="n">
        <f aca="false">IF(G219&gt;0,D219/G219,"")</f>
        <v>4.15099071983948</v>
      </c>
      <c r="I219" s="10" t="n">
        <v>46291</v>
      </c>
      <c r="J219" s="3" t="s">
        <v>343</v>
      </c>
      <c r="K219" s="10" t="n">
        <v>44328</v>
      </c>
      <c r="L219" s="3" t="s">
        <v>16</v>
      </c>
      <c r="M219" s="7" t="n">
        <v>79746</v>
      </c>
      <c r="N219" s="8" t="n">
        <v>0.016</v>
      </c>
      <c r="O219" s="4" t="n">
        <f aca="false">M219*N219</f>
        <v>1275.936</v>
      </c>
    </row>
    <row r="220" customFormat="false" ht="15" hidden="false" customHeight="false" outlineLevel="0" collapsed="false">
      <c r="A220" s="0" t="s">
        <v>470</v>
      </c>
      <c r="C220" s="0" t="s">
        <v>39</v>
      </c>
      <c r="D220" s="7" t="n">
        <v>5189</v>
      </c>
      <c r="E220" s="8" t="n">
        <v>0.105609944112546</v>
      </c>
      <c r="F220" s="4" t="n">
        <f aca="false">D220*E220</f>
        <v>548.01</v>
      </c>
      <c r="G220" s="7" t="n">
        <v>4469</v>
      </c>
      <c r="H220" s="9" t="n">
        <f aca="false">IF(G220&gt;0,D220/G220,"")</f>
        <v>1.16110986797941</v>
      </c>
      <c r="I220" s="10" t="n">
        <v>46308</v>
      </c>
      <c r="J220" s="3" t="s">
        <v>336</v>
      </c>
      <c r="K220" s="10" t="n">
        <v>46245</v>
      </c>
      <c r="L220" s="3" t="s">
        <v>14</v>
      </c>
      <c r="M220" s="7" t="n">
        <v>5000</v>
      </c>
      <c r="N220" s="8" t="n">
        <v>0.1057</v>
      </c>
      <c r="O220" s="4" t="n">
        <f aca="false">M220*N220</f>
        <v>528.5</v>
      </c>
    </row>
    <row r="221" customFormat="false" ht="15" hidden="false" customHeight="false" outlineLevel="0" collapsed="false">
      <c r="A221" s="0" t="s">
        <v>471</v>
      </c>
      <c r="C221" s="0" t="s">
        <v>360</v>
      </c>
      <c r="D221" s="7" t="n">
        <v>1140</v>
      </c>
      <c r="E221" s="8" t="n">
        <v>0.4755</v>
      </c>
      <c r="F221" s="4" t="n">
        <f aca="false">D221*E221</f>
        <v>542.07</v>
      </c>
      <c r="G221" s="7" t="n">
        <v>150</v>
      </c>
      <c r="H221" s="9" t="n">
        <f aca="false">IF(G221&gt;0,D221/G221,"")</f>
        <v>7.6</v>
      </c>
      <c r="I221" s="10" t="n">
        <v>46211</v>
      </c>
      <c r="K221" s="10"/>
      <c r="M221" s="7"/>
      <c r="N221" s="8"/>
      <c r="O221" s="4"/>
    </row>
    <row r="222" customFormat="false" ht="15" hidden="false" customHeight="false" outlineLevel="0" collapsed="false">
      <c r="A222" s="0" t="s">
        <v>472</v>
      </c>
      <c r="C222" s="0" t="s">
        <v>35</v>
      </c>
      <c r="D222" s="7" t="n">
        <v>3787</v>
      </c>
      <c r="E222" s="8" t="n">
        <v>0.143068391866913</v>
      </c>
      <c r="F222" s="4" t="n">
        <f aca="false">D222*E222</f>
        <v>541.8</v>
      </c>
      <c r="G222" s="7" t="n">
        <v>16</v>
      </c>
      <c r="H222" s="9" t="n">
        <f aca="false">IF(G222&gt;0,D222/G222,"")</f>
        <v>236.6875</v>
      </c>
      <c r="I222" s="10" t="n">
        <v>46157</v>
      </c>
      <c r="J222" s="3" t="s">
        <v>184</v>
      </c>
      <c r="K222" s="10" t="n">
        <v>45468</v>
      </c>
      <c r="L222" s="3" t="s">
        <v>20</v>
      </c>
      <c r="M222" s="7" t="n">
        <v>2000</v>
      </c>
      <c r="N222" s="8" t="n">
        <v>0.161</v>
      </c>
      <c r="O222" s="4" t="n">
        <f aca="false">M222*N222</f>
        <v>322</v>
      </c>
    </row>
    <row r="223" customFormat="false" ht="15" hidden="false" customHeight="false" outlineLevel="0" collapsed="false">
      <c r="A223" s="0" t="s">
        <v>473</v>
      </c>
      <c r="C223" s="0" t="s">
        <v>44</v>
      </c>
      <c r="D223" s="7" t="n">
        <v>50</v>
      </c>
      <c r="E223" s="8" t="n">
        <v>10.7538</v>
      </c>
      <c r="F223" s="4" t="n">
        <f aca="false">D223*E223</f>
        <v>537.69</v>
      </c>
      <c r="G223" s="7" t="n">
        <v>10</v>
      </c>
      <c r="H223" s="9" t="n">
        <f aca="false">IF(G223&gt;0,D223/G223,"")</f>
        <v>5</v>
      </c>
      <c r="I223" s="10" t="n">
        <v>46181</v>
      </c>
      <c r="J223" s="3" t="s">
        <v>345</v>
      </c>
      <c r="K223" s="10" t="n">
        <v>46183</v>
      </c>
      <c r="L223" s="3" t="s">
        <v>14</v>
      </c>
      <c r="M223" s="7" t="n">
        <v>50</v>
      </c>
      <c r="N223" s="8" t="n">
        <v>10.7538</v>
      </c>
      <c r="O223" s="4" t="n">
        <f aca="false">M223*N223</f>
        <v>537.69</v>
      </c>
    </row>
    <row r="224" customFormat="false" ht="15" hidden="false" customHeight="false" outlineLevel="0" collapsed="false">
      <c r="A224" s="0" t="s">
        <v>474</v>
      </c>
      <c r="C224" s="0" t="s">
        <v>295</v>
      </c>
      <c r="D224" s="7" t="n">
        <v>14415</v>
      </c>
      <c r="E224" s="8" t="n">
        <v>0.0369878598681929</v>
      </c>
      <c r="F224" s="4" t="n">
        <f aca="false">D224*E224</f>
        <v>533.18</v>
      </c>
      <c r="G224" s="7" t="n">
        <v>1950</v>
      </c>
      <c r="H224" s="9" t="n">
        <f aca="false">IF(G224&gt;0,D224/G224,"")</f>
        <v>7.39230769230769</v>
      </c>
      <c r="I224" s="10" t="n">
        <v>46308</v>
      </c>
      <c r="J224" s="3" t="s">
        <v>338</v>
      </c>
      <c r="K224" s="10" t="n">
        <v>44859</v>
      </c>
      <c r="L224" s="3" t="s">
        <v>20</v>
      </c>
      <c r="M224" s="7" t="n">
        <v>17000</v>
      </c>
      <c r="N224" s="8" t="n">
        <v>0.03698</v>
      </c>
      <c r="O224" s="4" t="n">
        <f aca="false">M224*N224</f>
        <v>628.66</v>
      </c>
    </row>
    <row r="225" customFormat="false" ht="15" hidden="false" customHeight="false" outlineLevel="0" collapsed="false">
      <c r="A225" s="0" t="s">
        <v>475</v>
      </c>
      <c r="C225" s="0" t="s">
        <v>36</v>
      </c>
      <c r="D225" s="7" t="n">
        <v>1849</v>
      </c>
      <c r="E225" s="8" t="n">
        <v>0.287441860465116</v>
      </c>
      <c r="F225" s="4" t="n">
        <f aca="false">D225*E225</f>
        <v>531.48</v>
      </c>
      <c r="G225" s="7" t="n">
        <v>3</v>
      </c>
      <c r="H225" s="9" t="n">
        <f aca="false">IF(G225&gt;0,D225/G225,"")</f>
        <v>616.333333333333</v>
      </c>
      <c r="I225" s="10" t="n">
        <v>46308</v>
      </c>
      <c r="J225" s="3" t="s">
        <v>476</v>
      </c>
      <c r="K225" s="10" t="n">
        <v>44287</v>
      </c>
      <c r="L225" s="3" t="s">
        <v>19</v>
      </c>
      <c r="M225" s="7" t="n">
        <v>1494</v>
      </c>
      <c r="N225" s="8" t="n">
        <v>0.2948</v>
      </c>
      <c r="O225" s="4" t="n">
        <f aca="false">M225*N225</f>
        <v>440.4312</v>
      </c>
    </row>
    <row r="226" customFormat="false" ht="15" hidden="false" customHeight="false" outlineLevel="0" collapsed="false">
      <c r="A226" s="0" t="s">
        <v>477</v>
      </c>
      <c r="C226" s="0" t="s">
        <v>120</v>
      </c>
      <c r="D226" s="7" t="n">
        <v>6325</v>
      </c>
      <c r="E226" s="8" t="n">
        <v>0.0836837944664032</v>
      </c>
      <c r="F226" s="4" t="n">
        <f aca="false">D226*E226</f>
        <v>529.3</v>
      </c>
      <c r="G226" s="7" t="n">
        <v>238</v>
      </c>
      <c r="H226" s="9" t="n">
        <f aca="false">IF(G226&gt;0,D226/G226,"")</f>
        <v>26.5756302521008</v>
      </c>
      <c r="I226" s="10" t="n">
        <v>46238</v>
      </c>
      <c r="J226" s="3" t="s">
        <v>478</v>
      </c>
      <c r="K226" s="10" t="n">
        <v>46185</v>
      </c>
      <c r="L226" s="3" t="s">
        <v>16</v>
      </c>
      <c r="M226" s="7" t="n">
        <v>6560</v>
      </c>
      <c r="N226" s="8" t="n">
        <v>0.0835975</v>
      </c>
      <c r="O226" s="4" t="n">
        <f aca="false">M226*N226</f>
        <v>548.3996</v>
      </c>
    </row>
    <row r="227" customFormat="false" ht="15" hidden="false" customHeight="false" outlineLevel="0" collapsed="false">
      <c r="A227" s="0" t="s">
        <v>479</v>
      </c>
      <c r="C227" s="0" t="s">
        <v>39</v>
      </c>
      <c r="D227" s="7" t="n">
        <v>2439</v>
      </c>
      <c r="E227" s="8" t="n">
        <v>0.216961869618696</v>
      </c>
      <c r="F227" s="4" t="n">
        <f aca="false">D227*E227</f>
        <v>529.17</v>
      </c>
      <c r="G227" s="7" t="n">
        <v>410</v>
      </c>
      <c r="H227" s="9" t="n">
        <f aca="false">IF(G227&gt;0,D227/G227,"")</f>
        <v>5.94878048780488</v>
      </c>
      <c r="I227" s="10" t="n">
        <v>46314</v>
      </c>
      <c r="J227" s="3" t="s">
        <v>147</v>
      </c>
      <c r="K227" s="10" t="n">
        <v>44777</v>
      </c>
      <c r="L227" s="3" t="s">
        <v>20</v>
      </c>
      <c r="M227" s="7" t="n">
        <v>1200</v>
      </c>
      <c r="N227" s="8" t="n">
        <v>0.2340345</v>
      </c>
      <c r="O227" s="4" t="n">
        <f aca="false">M227*N227</f>
        <v>280.8414</v>
      </c>
    </row>
    <row r="228" customFormat="false" ht="15" hidden="false" customHeight="false" outlineLevel="0" collapsed="false">
      <c r="A228" s="0" t="s">
        <v>480</v>
      </c>
      <c r="C228" s="0" t="s">
        <v>39</v>
      </c>
      <c r="D228" s="7" t="n">
        <v>24415</v>
      </c>
      <c r="E228" s="8" t="n">
        <v>0.0216387466721278</v>
      </c>
      <c r="F228" s="4" t="n">
        <f aca="false">D228*E228</f>
        <v>528.31</v>
      </c>
      <c r="G228" s="7" t="n">
        <v>471</v>
      </c>
      <c r="H228" s="9" t="n">
        <f aca="false">IF(G228&gt;0,D228/G228,"")</f>
        <v>51.8365180467091</v>
      </c>
      <c r="I228" s="10" t="n">
        <v>46125</v>
      </c>
      <c r="J228" s="3" t="s">
        <v>116</v>
      </c>
      <c r="K228" s="10" t="n">
        <v>44294</v>
      </c>
      <c r="L228" s="3" t="s">
        <v>19</v>
      </c>
      <c r="M228" s="7" t="n">
        <v>16000</v>
      </c>
      <c r="N228" s="8" t="n">
        <v>0.018</v>
      </c>
      <c r="O228" s="4" t="n">
        <f aca="false">M228*N228</f>
        <v>288</v>
      </c>
    </row>
    <row r="229" customFormat="false" ht="15" hidden="false" customHeight="false" outlineLevel="0" collapsed="false">
      <c r="A229" s="0" t="s">
        <v>481</v>
      </c>
      <c r="C229" s="0" t="s">
        <v>32</v>
      </c>
      <c r="D229" s="7" t="n">
        <v>51162</v>
      </c>
      <c r="E229" s="8" t="n">
        <v>0.0102861498768617</v>
      </c>
      <c r="F229" s="4" t="n">
        <f aca="false">D229*E229</f>
        <v>526.26</v>
      </c>
      <c r="G229" s="7" t="n">
        <v>8568</v>
      </c>
      <c r="H229" s="9" t="n">
        <f aca="false">IF(G229&gt;0,D229/G229,"")</f>
        <v>5.97128851540616</v>
      </c>
      <c r="I229" s="10" t="n">
        <v>46304</v>
      </c>
      <c r="J229" s="3" t="s">
        <v>149</v>
      </c>
      <c r="K229" s="10" t="n">
        <v>46259</v>
      </c>
      <c r="L229" s="3" t="s">
        <v>14</v>
      </c>
      <c r="M229" s="7" t="n">
        <v>50000</v>
      </c>
      <c r="N229" s="8" t="n">
        <v>0.01</v>
      </c>
      <c r="O229" s="4" t="n">
        <f aca="false">M229*N229</f>
        <v>500</v>
      </c>
    </row>
    <row r="230" customFormat="false" ht="15" hidden="false" customHeight="false" outlineLevel="0" collapsed="false">
      <c r="A230" s="0" t="s">
        <v>482</v>
      </c>
      <c r="C230" s="0" t="s">
        <v>221</v>
      </c>
      <c r="D230" s="7" t="n">
        <v>2336</v>
      </c>
      <c r="E230" s="8" t="n">
        <v>0.22509845890411</v>
      </c>
      <c r="F230" s="4" t="n">
        <f aca="false">D230*E230</f>
        <v>525.83</v>
      </c>
      <c r="G230" s="7" t="n">
        <v>803</v>
      </c>
      <c r="H230" s="9" t="n">
        <f aca="false">IF(G230&gt;0,D230/G230,"")</f>
        <v>2.90909090909091</v>
      </c>
      <c r="I230" s="10" t="n">
        <v>46300</v>
      </c>
      <c r="J230" s="3" t="s">
        <v>483</v>
      </c>
      <c r="K230" s="10" t="n">
        <v>46287</v>
      </c>
      <c r="L230" s="3" t="s">
        <v>223</v>
      </c>
      <c r="M230" s="7" t="n">
        <v>2500</v>
      </c>
      <c r="N230" s="8" t="n">
        <v>0.2251</v>
      </c>
      <c r="O230" s="4" t="n">
        <f aca="false">M230*N230</f>
        <v>562.75</v>
      </c>
    </row>
    <row r="231" customFormat="false" ht="15" hidden="false" customHeight="false" outlineLevel="0" collapsed="false">
      <c r="A231" s="0" t="s">
        <v>484</v>
      </c>
      <c r="C231" s="0" t="s">
        <v>255</v>
      </c>
      <c r="D231" s="7" t="n">
        <v>776</v>
      </c>
      <c r="E231" s="8" t="n">
        <v>0.67</v>
      </c>
      <c r="F231" s="4" t="n">
        <f aca="false">D231*E231</f>
        <v>519.92</v>
      </c>
      <c r="G231" s="7" t="n">
        <v>29</v>
      </c>
      <c r="H231" s="9" t="n">
        <f aca="false">IF(G231&gt;0,D231/G231,"")</f>
        <v>26.7586206896552</v>
      </c>
      <c r="I231" s="10" t="n">
        <v>46174</v>
      </c>
      <c r="K231" s="10"/>
      <c r="M231" s="7"/>
      <c r="N231" s="8"/>
      <c r="O231" s="4"/>
    </row>
    <row r="232" customFormat="false" ht="15" hidden="false" customHeight="false" outlineLevel="0" collapsed="false">
      <c r="A232" s="0" t="s">
        <v>485</v>
      </c>
      <c r="C232" s="0" t="s">
        <v>31</v>
      </c>
      <c r="D232" s="7" t="n">
        <v>764</v>
      </c>
      <c r="E232" s="8" t="n">
        <v>0.679005235602094</v>
      </c>
      <c r="F232" s="4" t="n">
        <f aca="false">D232*E232</f>
        <v>518.76</v>
      </c>
      <c r="G232" s="7" t="n">
        <v>10</v>
      </c>
      <c r="H232" s="9" t="n">
        <f aca="false">IF(G232&gt;0,D232/G232,"")</f>
        <v>76.4</v>
      </c>
      <c r="I232" s="10" t="n">
        <v>46288</v>
      </c>
      <c r="J232" s="3" t="s">
        <v>213</v>
      </c>
      <c r="K232" s="10" t="n">
        <v>44735</v>
      </c>
      <c r="L232" s="3" t="s">
        <v>25</v>
      </c>
      <c r="M232" s="7" t="n">
        <v>1000</v>
      </c>
      <c r="N232" s="8" t="n">
        <v>0.679</v>
      </c>
      <c r="O232" s="4" t="n">
        <f aca="false">M232*N232</f>
        <v>679</v>
      </c>
    </row>
    <row r="233" customFormat="false" ht="15" hidden="false" customHeight="false" outlineLevel="0" collapsed="false">
      <c r="A233" s="0" t="s">
        <v>486</v>
      </c>
      <c r="C233" s="0" t="s">
        <v>69</v>
      </c>
      <c r="D233" s="7" t="n">
        <v>3221</v>
      </c>
      <c r="E233" s="8" t="n">
        <v>0.160981061782055</v>
      </c>
      <c r="F233" s="4" t="n">
        <f aca="false">D233*E233</f>
        <v>518.52</v>
      </c>
      <c r="G233" s="7" t="n">
        <v>441</v>
      </c>
      <c r="H233" s="9" t="n">
        <f aca="false">IF(G233&gt;0,D233/G233,"")</f>
        <v>7.30385487528345</v>
      </c>
      <c r="I233" s="10" t="n">
        <v>46216</v>
      </c>
      <c r="J233" s="3" t="s">
        <v>487</v>
      </c>
      <c r="K233" s="10" t="n">
        <v>44399</v>
      </c>
      <c r="L233" s="3" t="s">
        <v>223</v>
      </c>
      <c r="M233" s="7" t="n">
        <v>3000</v>
      </c>
      <c r="N233" s="8" t="n">
        <v>0.163</v>
      </c>
      <c r="O233" s="4" t="n">
        <f aca="false">M233*N233</f>
        <v>489</v>
      </c>
    </row>
    <row r="234" customFormat="false" ht="15" hidden="false" customHeight="false" outlineLevel="0" collapsed="false">
      <c r="A234" s="0" t="s">
        <v>488</v>
      </c>
      <c r="C234" s="0" t="s">
        <v>32</v>
      </c>
      <c r="D234" s="7" t="n">
        <v>68187</v>
      </c>
      <c r="E234" s="8" t="n">
        <v>0.00754117353747782</v>
      </c>
      <c r="F234" s="4" t="n">
        <f aca="false">D234*E234</f>
        <v>514.21</v>
      </c>
      <c r="G234" s="7" t="n">
        <v>25872</v>
      </c>
      <c r="H234" s="9" t="n">
        <f aca="false">IF(G234&gt;0,D234/G234,"")</f>
        <v>2.63555194805195</v>
      </c>
      <c r="I234" s="10" t="n">
        <v>46314</v>
      </c>
      <c r="J234" s="3" t="s">
        <v>489</v>
      </c>
      <c r="K234" s="10" t="n">
        <v>44860</v>
      </c>
      <c r="L234" s="3" t="s">
        <v>18</v>
      </c>
      <c r="M234" s="7" t="n">
        <v>84280</v>
      </c>
      <c r="N234" s="8" t="n">
        <v>0.0076</v>
      </c>
      <c r="O234" s="4" t="n">
        <f aca="false">M234*N234</f>
        <v>640.528</v>
      </c>
    </row>
    <row r="235" customFormat="false" ht="15" hidden="false" customHeight="false" outlineLevel="0" collapsed="false">
      <c r="A235" s="0" t="s">
        <v>490</v>
      </c>
      <c r="C235" s="0" t="s">
        <v>34</v>
      </c>
      <c r="D235" s="7" t="n">
        <v>6981</v>
      </c>
      <c r="E235" s="8" t="n">
        <v>0.0734837415843002</v>
      </c>
      <c r="F235" s="4" t="n">
        <f aca="false">D235*E235</f>
        <v>512.99</v>
      </c>
      <c r="G235" s="7" t="n">
        <v>3252</v>
      </c>
      <c r="H235" s="9" t="n">
        <f aca="false">IF(G235&gt;0,D235/G235,"")</f>
        <v>2.14667896678967</v>
      </c>
      <c r="I235" s="10" t="n">
        <v>46219</v>
      </c>
      <c r="J235" s="3" t="s">
        <v>491</v>
      </c>
      <c r="K235" s="10" t="n">
        <v>45411</v>
      </c>
      <c r="L235" s="3" t="s">
        <v>15</v>
      </c>
      <c r="M235" s="7" t="n">
        <v>10000</v>
      </c>
      <c r="N235" s="8" t="n">
        <v>0.06997</v>
      </c>
      <c r="O235" s="4" t="n">
        <f aca="false">M235*N235</f>
        <v>699.7</v>
      </c>
    </row>
    <row r="236" customFormat="false" ht="15" hidden="false" customHeight="false" outlineLevel="0" collapsed="false">
      <c r="A236" s="0" t="s">
        <v>492</v>
      </c>
      <c r="C236" s="0" t="s">
        <v>33</v>
      </c>
      <c r="D236" s="7" t="n">
        <v>2743</v>
      </c>
      <c r="E236" s="8" t="n">
        <v>0.186139263580022</v>
      </c>
      <c r="F236" s="4" t="n">
        <f aca="false">D236*E236</f>
        <v>510.58</v>
      </c>
      <c r="G236" s="7" t="n">
        <v>540</v>
      </c>
      <c r="H236" s="9" t="n">
        <f aca="false">IF(G236&gt;0,D236/G236,"")</f>
        <v>5.07962962962963</v>
      </c>
      <c r="I236" s="10" t="n">
        <v>46288</v>
      </c>
      <c r="J236" s="3" t="s">
        <v>345</v>
      </c>
      <c r="K236" s="10" t="n">
        <v>46183</v>
      </c>
      <c r="L236" s="3" t="s">
        <v>14</v>
      </c>
      <c r="M236" s="7" t="n">
        <v>2500</v>
      </c>
      <c r="N236" s="8" t="n">
        <v>0.1889</v>
      </c>
      <c r="O236" s="4" t="n">
        <f aca="false">M236*N236</f>
        <v>472.25</v>
      </c>
    </row>
    <row r="237" customFormat="false" ht="15" hidden="false" customHeight="false" outlineLevel="0" collapsed="false">
      <c r="A237" s="0" t="s">
        <v>493</v>
      </c>
      <c r="C237" s="0" t="s">
        <v>494</v>
      </c>
      <c r="D237" s="7" t="n">
        <v>5069</v>
      </c>
      <c r="E237" s="8" t="n">
        <v>0.100700335371868</v>
      </c>
      <c r="F237" s="4" t="n">
        <f aca="false">D237*E237</f>
        <v>510.45</v>
      </c>
      <c r="G237" s="7" t="n">
        <v>181</v>
      </c>
      <c r="H237" s="9" t="n">
        <f aca="false">IF(G237&gt;0,D237/G237,"")</f>
        <v>28.0055248618785</v>
      </c>
      <c r="I237" s="10" t="n">
        <v>46226</v>
      </c>
      <c r="J237" s="3" t="s">
        <v>495</v>
      </c>
      <c r="K237" s="10" t="n">
        <v>45925</v>
      </c>
      <c r="L237" s="3" t="s">
        <v>16</v>
      </c>
      <c r="M237" s="7" t="n">
        <v>5250</v>
      </c>
      <c r="N237" s="8" t="n">
        <v>0.1007</v>
      </c>
      <c r="O237" s="4" t="n">
        <f aca="false">M237*N237</f>
        <v>528.675</v>
      </c>
    </row>
    <row r="238" customFormat="false" ht="15" hidden="false" customHeight="false" outlineLevel="0" collapsed="false">
      <c r="A238" s="0" t="s">
        <v>496</v>
      </c>
      <c r="C238" s="0" t="s">
        <v>497</v>
      </c>
      <c r="D238" s="7" t="n">
        <v>7180</v>
      </c>
      <c r="E238" s="8" t="n">
        <v>0.0708467966573816</v>
      </c>
      <c r="F238" s="4" t="n">
        <f aca="false">D238*E238</f>
        <v>508.68</v>
      </c>
      <c r="G238" s="7" t="n">
        <v>854</v>
      </c>
      <c r="H238" s="9" t="n">
        <f aca="false">IF(G238&gt;0,D238/G238,"")</f>
        <v>8.40749414519906</v>
      </c>
      <c r="I238" s="10" t="n">
        <v>46310</v>
      </c>
      <c r="J238" s="3" t="s">
        <v>498</v>
      </c>
      <c r="K238" s="10" t="n">
        <v>46094</v>
      </c>
      <c r="L238" s="3" t="s">
        <v>15</v>
      </c>
      <c r="M238" s="7" t="n">
        <v>6820</v>
      </c>
      <c r="N238" s="8" t="n">
        <v>0.05996</v>
      </c>
      <c r="O238" s="4" t="n">
        <f aca="false">M238*N238</f>
        <v>408.9272</v>
      </c>
    </row>
    <row r="239" customFormat="false" ht="15" hidden="false" customHeight="false" outlineLevel="0" collapsed="false">
      <c r="A239" s="0" t="s">
        <v>499</v>
      </c>
      <c r="C239" s="0" t="s">
        <v>35</v>
      </c>
      <c r="D239" s="7" t="n">
        <v>7533</v>
      </c>
      <c r="E239" s="8" t="n">
        <v>0.0673091729722554</v>
      </c>
      <c r="F239" s="4" t="n">
        <f aca="false">D239*E239</f>
        <v>507.04</v>
      </c>
      <c r="G239" s="7" t="n">
        <v>155</v>
      </c>
      <c r="H239" s="9" t="n">
        <f aca="false">IF(G239&gt;0,D239/G239,"")</f>
        <v>48.6</v>
      </c>
      <c r="I239" s="10" t="n">
        <v>46248</v>
      </c>
      <c r="J239" s="3" t="s">
        <v>184</v>
      </c>
      <c r="K239" s="10" t="n">
        <v>45468</v>
      </c>
      <c r="L239" s="3" t="s">
        <v>20</v>
      </c>
      <c r="M239" s="7" t="n">
        <v>4000</v>
      </c>
      <c r="N239" s="8" t="n">
        <v>0.078</v>
      </c>
      <c r="O239" s="4" t="n">
        <f aca="false">M239*N239</f>
        <v>312</v>
      </c>
    </row>
    <row r="240" customFormat="false" ht="15" hidden="false" customHeight="false" outlineLevel="0" collapsed="false">
      <c r="A240" s="0" t="s">
        <v>500</v>
      </c>
      <c r="C240" s="0" t="s">
        <v>32</v>
      </c>
      <c r="D240" s="7" t="n">
        <v>23730</v>
      </c>
      <c r="E240" s="8" t="n">
        <v>0.0213168984407923</v>
      </c>
      <c r="F240" s="4" t="n">
        <f aca="false">D240*E240</f>
        <v>505.85</v>
      </c>
      <c r="G240" s="7" t="n">
        <v>5544</v>
      </c>
      <c r="H240" s="9" t="n">
        <f aca="false">IF(G240&gt;0,D240/G240,"")</f>
        <v>4.28030303030303</v>
      </c>
      <c r="I240" s="10" t="n">
        <v>46314</v>
      </c>
      <c r="J240" s="3" t="s">
        <v>131</v>
      </c>
      <c r="K240" s="10" t="n">
        <v>44719</v>
      </c>
      <c r="L240" s="3" t="s">
        <v>15</v>
      </c>
      <c r="M240" s="7" t="n">
        <v>1480</v>
      </c>
      <c r="N240" s="8" t="n">
        <v>0.01336</v>
      </c>
      <c r="O240" s="4" t="n">
        <f aca="false">M240*N240</f>
        <v>19.7728</v>
      </c>
    </row>
    <row r="241" customFormat="false" ht="15" hidden="false" customHeight="false" outlineLevel="0" collapsed="false">
      <c r="A241" s="0" t="s">
        <v>501</v>
      </c>
      <c r="C241" s="0" t="s">
        <v>360</v>
      </c>
      <c r="D241" s="7" t="n">
        <v>70659</v>
      </c>
      <c r="E241" s="8" t="n">
        <v>0.00712874509970421</v>
      </c>
      <c r="F241" s="4" t="n">
        <f aca="false">D241*E241</f>
        <v>503.71</v>
      </c>
      <c r="G241" s="7" t="n">
        <v>12686</v>
      </c>
      <c r="H241" s="9" t="n">
        <f aca="false">IF(G241&gt;0,D241/G241,"")</f>
        <v>5.56984076935204</v>
      </c>
      <c r="I241" s="10" t="n">
        <v>46294</v>
      </c>
      <c r="J241" s="3" t="s">
        <v>502</v>
      </c>
      <c r="K241" s="10" t="n">
        <v>45239</v>
      </c>
      <c r="L241" s="3" t="s">
        <v>313</v>
      </c>
      <c r="M241" s="7" t="n">
        <v>50000</v>
      </c>
      <c r="N241" s="8" t="n">
        <v>0.025</v>
      </c>
      <c r="O241" s="4" t="n">
        <f aca="false">M241*N241</f>
        <v>1250</v>
      </c>
    </row>
    <row r="242" customFormat="false" ht="15" hidden="false" customHeight="false" outlineLevel="0" collapsed="false">
      <c r="A242" s="0" t="s">
        <v>503</v>
      </c>
      <c r="C242" s="0" t="s">
        <v>37</v>
      </c>
      <c r="D242" s="7" t="n">
        <v>97428</v>
      </c>
      <c r="E242" s="8" t="n">
        <v>0.00515991296136634</v>
      </c>
      <c r="F242" s="4" t="n">
        <f aca="false">D242*E242</f>
        <v>502.72</v>
      </c>
      <c r="G242" s="7" t="n">
        <v>50700</v>
      </c>
      <c r="H242" s="9" t="n">
        <f aca="false">IF(G242&gt;0,D242/G242,"")</f>
        <v>1.92165680473373</v>
      </c>
      <c r="I242" s="10" t="n">
        <v>46261</v>
      </c>
      <c r="J242" s="3" t="s">
        <v>162</v>
      </c>
      <c r="K242" s="10" t="n">
        <v>45967</v>
      </c>
      <c r="L242" s="3" t="s">
        <v>15</v>
      </c>
      <c r="M242" s="7" t="n">
        <v>108050</v>
      </c>
      <c r="N242" s="8" t="n">
        <v>0.00516</v>
      </c>
      <c r="O242" s="4" t="n">
        <f aca="false">M242*N242</f>
        <v>557.538</v>
      </c>
    </row>
    <row r="243" customFormat="false" ht="15" hidden="false" customHeight="false" outlineLevel="0" collapsed="false">
      <c r="A243" s="0" t="s">
        <v>504</v>
      </c>
      <c r="C243" s="0" t="s">
        <v>255</v>
      </c>
      <c r="D243" s="7" t="n">
        <v>88</v>
      </c>
      <c r="E243" s="8" t="n">
        <v>5.7</v>
      </c>
      <c r="F243" s="4" t="n">
        <f aca="false">D243*E243</f>
        <v>501.6</v>
      </c>
      <c r="G243" s="7" t="n">
        <v>48</v>
      </c>
      <c r="H243" s="9" t="n">
        <f aca="false">IF(G243&gt;0,D243/G243,"")</f>
        <v>1.83333333333333</v>
      </c>
      <c r="I243" s="10" t="n">
        <v>46170</v>
      </c>
      <c r="J243" s="3" t="s">
        <v>505</v>
      </c>
      <c r="K243" s="10" t="n">
        <v>45972</v>
      </c>
      <c r="L243" s="3" t="s">
        <v>257</v>
      </c>
      <c r="M243" s="7" t="n">
        <v>148</v>
      </c>
      <c r="N243" s="8" t="n">
        <v>4.61</v>
      </c>
      <c r="O243" s="4" t="n">
        <f aca="false">M243*N243</f>
        <v>682.28</v>
      </c>
    </row>
    <row r="244" customFormat="false" ht="15" hidden="false" customHeight="false" outlineLevel="0" collapsed="false">
      <c r="A244" s="0" t="s">
        <v>506</v>
      </c>
      <c r="C244" s="0" t="s">
        <v>42</v>
      </c>
      <c r="D244" s="7" t="n">
        <v>903</v>
      </c>
      <c r="E244" s="8" t="n">
        <v>0.553798449612403</v>
      </c>
      <c r="F244" s="4" t="n">
        <f aca="false">D244*E244</f>
        <v>500.08</v>
      </c>
      <c r="G244" s="7" t="n">
        <v>97</v>
      </c>
      <c r="H244" s="9" t="n">
        <f aca="false">IF(G244&gt;0,D244/G244,"")</f>
        <v>9.30927835051547</v>
      </c>
      <c r="I244" s="10" t="n">
        <v>46204</v>
      </c>
      <c r="J244" s="3" t="s">
        <v>507</v>
      </c>
      <c r="K244" s="10" t="n">
        <v>45876</v>
      </c>
      <c r="L244" s="3" t="s">
        <v>14</v>
      </c>
      <c r="M244" s="7" t="n">
        <v>1000</v>
      </c>
      <c r="N244" s="8" t="n">
        <v>0.5538</v>
      </c>
      <c r="O244" s="4" t="n">
        <f aca="false">M244*N244</f>
        <v>553.8</v>
      </c>
    </row>
    <row r="245" customFormat="false" ht="15" hidden="false" customHeight="false" outlineLevel="0" collapsed="false">
      <c r="A245" s="0" t="s">
        <v>508</v>
      </c>
      <c r="C245" s="0" t="s">
        <v>33</v>
      </c>
      <c r="D245" s="7" t="n">
        <v>2669</v>
      </c>
      <c r="E245" s="8" t="n">
        <v>0.186627950543275</v>
      </c>
      <c r="F245" s="4" t="n">
        <f aca="false">D245*E245</f>
        <v>498.11</v>
      </c>
      <c r="G245" s="7" t="n">
        <v>429</v>
      </c>
      <c r="H245" s="9" t="n">
        <f aca="false">IF(G245&gt;0,D245/G245,"")</f>
        <v>6.22144522144522</v>
      </c>
      <c r="I245" s="10" t="n">
        <v>46280</v>
      </c>
      <c r="J245" s="3" t="s">
        <v>345</v>
      </c>
      <c r="K245" s="10" t="n">
        <v>46183</v>
      </c>
      <c r="L245" s="3" t="s">
        <v>14</v>
      </c>
      <c r="M245" s="7" t="n">
        <v>2500</v>
      </c>
      <c r="N245" s="8" t="n">
        <v>0.1889</v>
      </c>
      <c r="O245" s="4" t="n">
        <f aca="false">M245*N245</f>
        <v>472.25</v>
      </c>
    </row>
    <row r="246" customFormat="false" ht="15" hidden="false" customHeight="false" outlineLevel="0" collapsed="false">
      <c r="A246" s="0" t="s">
        <v>509</v>
      </c>
      <c r="C246" s="0" t="s">
        <v>35</v>
      </c>
      <c r="D246" s="7" t="n">
        <v>3507</v>
      </c>
      <c r="E246" s="8" t="n">
        <v>0.141100655831195</v>
      </c>
      <c r="F246" s="4" t="n">
        <f aca="false">D246*E246</f>
        <v>494.84</v>
      </c>
      <c r="G246" s="7" t="n">
        <v>141</v>
      </c>
      <c r="H246" s="9" t="n">
        <f aca="false">IF(G246&gt;0,D246/G246,"")</f>
        <v>24.8723404255319</v>
      </c>
      <c r="I246" s="10" t="n">
        <v>46195</v>
      </c>
      <c r="J246" s="3" t="s">
        <v>184</v>
      </c>
      <c r="K246" s="10" t="n">
        <v>45468</v>
      </c>
      <c r="L246" s="3" t="s">
        <v>20</v>
      </c>
      <c r="M246" s="7" t="n">
        <v>2000</v>
      </c>
      <c r="N246" s="8" t="n">
        <v>0.157</v>
      </c>
      <c r="O246" s="4" t="n">
        <f aca="false">M246*N246</f>
        <v>314</v>
      </c>
    </row>
    <row r="247" customFormat="false" ht="15" hidden="false" customHeight="false" outlineLevel="0" collapsed="false">
      <c r="A247" s="0" t="s">
        <v>510</v>
      </c>
      <c r="C247" s="0" t="s">
        <v>100</v>
      </c>
      <c r="D247" s="7" t="n">
        <v>496</v>
      </c>
      <c r="E247" s="8" t="n">
        <v>0.997560483870968</v>
      </c>
      <c r="F247" s="4" t="n">
        <f aca="false">D247*E247</f>
        <v>494.79</v>
      </c>
      <c r="G247" s="7" t="n">
        <v>24</v>
      </c>
      <c r="H247" s="9" t="n">
        <f aca="false">IF(G247&gt;0,D247/G247,"")</f>
        <v>20.6666666666667</v>
      </c>
      <c r="I247" s="10" t="n">
        <v>46311</v>
      </c>
      <c r="J247" s="3" t="s">
        <v>511</v>
      </c>
      <c r="K247" s="10" t="n">
        <v>44214</v>
      </c>
      <c r="L247" s="3" t="s">
        <v>16</v>
      </c>
      <c r="M247" s="7" t="n">
        <v>771</v>
      </c>
      <c r="N247" s="8" t="n">
        <v>0.9976</v>
      </c>
      <c r="O247" s="4" t="n">
        <f aca="false">M247*N247</f>
        <v>769.1496</v>
      </c>
    </row>
    <row r="248" customFormat="false" ht="15" hidden="false" customHeight="false" outlineLevel="0" collapsed="false">
      <c r="A248" s="0" t="s">
        <v>512</v>
      </c>
      <c r="C248" s="0" t="s">
        <v>398</v>
      </c>
      <c r="D248" s="7" t="n">
        <v>14000</v>
      </c>
      <c r="E248" s="8" t="n">
        <v>0.0353</v>
      </c>
      <c r="F248" s="4" t="n">
        <f aca="false">D248*E248</f>
        <v>494.2</v>
      </c>
      <c r="G248" s="7" t="n">
        <v>406</v>
      </c>
      <c r="H248" s="9" t="n">
        <f aca="false">IF(G248&gt;0,D248/G248,"")</f>
        <v>34.4827586206897</v>
      </c>
      <c r="I248" s="10" t="n">
        <v>46276</v>
      </c>
      <c r="K248" s="10"/>
      <c r="M248" s="7"/>
      <c r="N248" s="8"/>
      <c r="O248" s="4"/>
    </row>
    <row r="249" customFormat="false" ht="15" hidden="false" customHeight="false" outlineLevel="0" collapsed="false">
      <c r="A249" s="0" t="s">
        <v>513</v>
      </c>
      <c r="C249" s="0" t="s">
        <v>255</v>
      </c>
      <c r="D249" s="7" t="n">
        <v>686</v>
      </c>
      <c r="E249" s="8" t="n">
        <v>0.72</v>
      </c>
      <c r="F249" s="4" t="n">
        <f aca="false">D249*E249</f>
        <v>493.92</v>
      </c>
      <c r="G249" s="7" t="n">
        <v>598</v>
      </c>
      <c r="H249" s="9" t="n">
        <f aca="false">IF(G249&gt;0,D249/G249,"")</f>
        <v>1.14715719063545</v>
      </c>
      <c r="I249" s="10" t="n">
        <v>46300</v>
      </c>
      <c r="J249" s="3" t="s">
        <v>514</v>
      </c>
      <c r="K249" s="10" t="n">
        <v>44271</v>
      </c>
      <c r="L249" s="3" t="s">
        <v>257</v>
      </c>
      <c r="M249" s="7" t="n">
        <v>500</v>
      </c>
      <c r="N249" s="8" t="n">
        <v>0.63</v>
      </c>
      <c r="O249" s="4" t="n">
        <f aca="false">M249*N249</f>
        <v>315</v>
      </c>
    </row>
    <row r="250" customFormat="false" ht="15" hidden="false" customHeight="false" outlineLevel="0" collapsed="false">
      <c r="A250" s="0" t="s">
        <v>515</v>
      </c>
      <c r="C250" s="0" t="s">
        <v>33</v>
      </c>
      <c r="D250" s="7" t="n">
        <v>3707</v>
      </c>
      <c r="E250" s="8" t="n">
        <v>0.13309684380901</v>
      </c>
      <c r="F250" s="4" t="n">
        <f aca="false">D250*E250</f>
        <v>493.39</v>
      </c>
      <c r="G250" s="7" t="n">
        <v>726</v>
      </c>
      <c r="H250" s="9" t="n">
        <f aca="false">IF(G250&gt;0,D250/G250,"")</f>
        <v>5.10606060606061</v>
      </c>
      <c r="I250" s="10" t="n">
        <v>46283</v>
      </c>
      <c r="J250" s="3" t="s">
        <v>345</v>
      </c>
      <c r="K250" s="10" t="n">
        <v>46183</v>
      </c>
      <c r="L250" s="3" t="s">
        <v>14</v>
      </c>
      <c r="M250" s="7" t="n">
        <v>3521</v>
      </c>
      <c r="N250" s="8" t="n">
        <v>0.1332</v>
      </c>
      <c r="O250" s="4" t="n">
        <f aca="false">M250*N250</f>
        <v>468.9972</v>
      </c>
    </row>
    <row r="251" customFormat="false" ht="15" hidden="false" customHeight="false" outlineLevel="0" collapsed="false">
      <c r="A251" s="0" t="s">
        <v>516</v>
      </c>
      <c r="C251" s="0" t="s">
        <v>40</v>
      </c>
      <c r="D251" s="7" t="n">
        <v>2776</v>
      </c>
      <c r="E251" s="8" t="n">
        <v>0.177327089337176</v>
      </c>
      <c r="F251" s="4" t="n">
        <f aca="false">D251*E251</f>
        <v>492.26</v>
      </c>
      <c r="G251" s="7" t="n">
        <v>14</v>
      </c>
      <c r="H251" s="9" t="n">
        <f aca="false">IF(G251&gt;0,D251/G251,"")</f>
        <v>198.285714285714</v>
      </c>
      <c r="I251" s="10" t="n">
        <v>46304</v>
      </c>
      <c r="J251" s="3" t="s">
        <v>517</v>
      </c>
      <c r="K251" s="10" t="n">
        <v>44806</v>
      </c>
      <c r="L251" s="3" t="s">
        <v>25</v>
      </c>
      <c r="M251" s="7" t="n">
        <v>2000</v>
      </c>
      <c r="N251" s="8" t="n">
        <v>0.305</v>
      </c>
      <c r="O251" s="4" t="n">
        <f aca="false">M251*N251</f>
        <v>610</v>
      </c>
    </row>
    <row r="252" customFormat="false" ht="15" hidden="false" customHeight="false" outlineLevel="0" collapsed="false">
      <c r="A252" s="0" t="s">
        <v>518</v>
      </c>
      <c r="C252" s="0" t="s">
        <v>32</v>
      </c>
      <c r="D252" s="7" t="n">
        <v>798</v>
      </c>
      <c r="E252" s="8" t="n">
        <v>0.616842105263158</v>
      </c>
      <c r="F252" s="4" t="n">
        <f aca="false">D252*E252</f>
        <v>492.24</v>
      </c>
      <c r="G252" s="7" t="n">
        <v>52</v>
      </c>
      <c r="H252" s="9" t="n">
        <f aca="false">IF(G252&gt;0,D252/G252,"")</f>
        <v>15.3461538461538</v>
      </c>
      <c r="I252" s="10" t="n">
        <v>46308</v>
      </c>
      <c r="J252" s="3" t="s">
        <v>308</v>
      </c>
      <c r="K252" s="10" t="n">
        <v>44295</v>
      </c>
      <c r="L252" s="3" t="s">
        <v>18</v>
      </c>
      <c r="M252" s="7" t="n">
        <v>1131</v>
      </c>
      <c r="N252" s="8" t="n">
        <v>0.6168</v>
      </c>
      <c r="O252" s="4" t="n">
        <f aca="false">M252*N252</f>
        <v>697.6008</v>
      </c>
    </row>
    <row r="253" customFormat="false" ht="15" hidden="false" customHeight="false" outlineLevel="0" collapsed="false">
      <c r="A253" s="0" t="s">
        <v>519</v>
      </c>
      <c r="C253" s="0" t="s">
        <v>295</v>
      </c>
      <c r="D253" s="7" t="n">
        <v>15443</v>
      </c>
      <c r="E253" s="8" t="n">
        <v>0.0316771352716441</v>
      </c>
      <c r="F253" s="4" t="n">
        <f aca="false">D253*E253</f>
        <v>489.19</v>
      </c>
      <c r="G253" s="7" t="n">
        <v>2897</v>
      </c>
      <c r="H253" s="9" t="n">
        <f aca="false">IF(G253&gt;0,D253/G253,"")</f>
        <v>5.33068691750086</v>
      </c>
      <c r="I253" s="10" t="n">
        <v>46301</v>
      </c>
      <c r="J253" s="3" t="s">
        <v>338</v>
      </c>
      <c r="K253" s="10" t="n">
        <v>44859</v>
      </c>
      <c r="L253" s="3" t="s">
        <v>20</v>
      </c>
      <c r="M253" s="7" t="n">
        <v>20000</v>
      </c>
      <c r="N253" s="8" t="n">
        <v>0.03168</v>
      </c>
      <c r="O253" s="4" t="n">
        <f aca="false">M253*N253</f>
        <v>633.6</v>
      </c>
    </row>
    <row r="254" customFormat="false" ht="15" hidden="false" customHeight="false" outlineLevel="0" collapsed="false">
      <c r="A254" s="0" t="s">
        <v>520</v>
      </c>
      <c r="C254" s="0" t="s">
        <v>33</v>
      </c>
      <c r="D254" s="7" t="n">
        <v>13009</v>
      </c>
      <c r="E254" s="8" t="n">
        <v>0.0375001921746483</v>
      </c>
      <c r="F254" s="4" t="n">
        <f aca="false">D254*E254</f>
        <v>487.84</v>
      </c>
      <c r="G254" s="7" t="n">
        <v>6751</v>
      </c>
      <c r="H254" s="9" t="n">
        <f aca="false">IF(G254&gt;0,D254/G254,"")</f>
        <v>1.92697378166198</v>
      </c>
      <c r="I254" s="10" t="n">
        <v>46317</v>
      </c>
      <c r="J254" s="3" t="s">
        <v>230</v>
      </c>
      <c r="K254" s="10" t="n">
        <v>46303</v>
      </c>
      <c r="L254" s="3" t="s">
        <v>18</v>
      </c>
      <c r="M254" s="7" t="n">
        <v>3070</v>
      </c>
      <c r="N254" s="8" t="n">
        <v>0.0375</v>
      </c>
      <c r="O254" s="4" t="n">
        <f aca="false">M254*N254</f>
        <v>115.125</v>
      </c>
    </row>
    <row r="255" customFormat="false" ht="15" hidden="false" customHeight="false" outlineLevel="0" collapsed="false">
      <c r="A255" s="0" t="s">
        <v>521</v>
      </c>
      <c r="C255" s="0" t="s">
        <v>33</v>
      </c>
      <c r="D255" s="7" t="n">
        <v>10908</v>
      </c>
      <c r="E255" s="8" t="n">
        <v>0.0446268793546021</v>
      </c>
      <c r="F255" s="4" t="n">
        <f aca="false">D255*E255</f>
        <v>486.79</v>
      </c>
      <c r="G255" s="7" t="n">
        <v>3426</v>
      </c>
      <c r="H255" s="9" t="n">
        <f aca="false">IF(G255&gt;0,D255/G255,"")</f>
        <v>3.18388791593695</v>
      </c>
      <c r="I255" s="10" t="n">
        <v>46315</v>
      </c>
      <c r="J255" s="3" t="s">
        <v>230</v>
      </c>
      <c r="K255" s="10" t="n">
        <v>46303</v>
      </c>
      <c r="L255" s="3" t="s">
        <v>18</v>
      </c>
      <c r="M255" s="7" t="n">
        <v>4290</v>
      </c>
      <c r="N255" s="8" t="n">
        <v>0.0476</v>
      </c>
      <c r="O255" s="4" t="n">
        <f aca="false">M255*N255</f>
        <v>204.204</v>
      </c>
    </row>
    <row r="256" customFormat="false" ht="15" hidden="false" customHeight="false" outlineLevel="0" collapsed="false">
      <c r="A256" s="0" t="s">
        <v>522</v>
      </c>
      <c r="C256" s="0" t="s">
        <v>285</v>
      </c>
      <c r="D256" s="7" t="n">
        <v>13981</v>
      </c>
      <c r="E256" s="8" t="n">
        <v>0.0348000858307703</v>
      </c>
      <c r="F256" s="4" t="n">
        <f aca="false">D256*E256</f>
        <v>486.54</v>
      </c>
      <c r="G256" s="7" t="n">
        <v>2990</v>
      </c>
      <c r="H256" s="9" t="n">
        <f aca="false">IF(G256&gt;0,D256/G256,"")</f>
        <v>4.67591973244147</v>
      </c>
      <c r="I256" s="10" t="n">
        <v>46241</v>
      </c>
      <c r="J256" s="3" t="s">
        <v>523</v>
      </c>
      <c r="K256" s="10" t="n">
        <v>46148</v>
      </c>
      <c r="L256" s="3" t="s">
        <v>16</v>
      </c>
      <c r="M256" s="7" t="n">
        <v>15000</v>
      </c>
      <c r="N256" s="8" t="n">
        <v>0.0348</v>
      </c>
      <c r="O256" s="4" t="n">
        <f aca="false">M256*N256</f>
        <v>522</v>
      </c>
    </row>
    <row r="257" customFormat="false" ht="15" hidden="false" customHeight="false" outlineLevel="0" collapsed="false">
      <c r="A257" s="0" t="s">
        <v>524</v>
      </c>
      <c r="C257" s="0" t="s">
        <v>42</v>
      </c>
      <c r="D257" s="7" t="n">
        <v>2243</v>
      </c>
      <c r="E257" s="8" t="n">
        <v>0.216598305840392</v>
      </c>
      <c r="F257" s="4" t="n">
        <f aca="false">D257*E257</f>
        <v>485.83</v>
      </c>
      <c r="G257" s="7" t="n">
        <v>271</v>
      </c>
      <c r="H257" s="9" t="n">
        <f aca="false">IF(G257&gt;0,D257/G257,"")</f>
        <v>8.27675276752768</v>
      </c>
      <c r="I257" s="10" t="n">
        <v>46310</v>
      </c>
      <c r="J257" s="3" t="s">
        <v>525</v>
      </c>
      <c r="K257" s="10" t="n">
        <v>45933</v>
      </c>
      <c r="L257" s="3" t="s">
        <v>14</v>
      </c>
      <c r="M257" s="7" t="n">
        <v>2500</v>
      </c>
      <c r="N257" s="8" t="n">
        <v>0.2166</v>
      </c>
      <c r="O257" s="4" t="n">
        <f aca="false">M257*N257</f>
        <v>541.5</v>
      </c>
    </row>
    <row r="258" customFormat="false" ht="15" hidden="false" customHeight="false" outlineLevel="0" collapsed="false">
      <c r="A258" s="0" t="s">
        <v>526</v>
      </c>
      <c r="C258" s="0" t="s">
        <v>32</v>
      </c>
      <c r="D258" s="7" t="n">
        <v>16519</v>
      </c>
      <c r="E258" s="8" t="n">
        <v>0.0293994793873721</v>
      </c>
      <c r="F258" s="4" t="n">
        <f aca="false">D258*E258</f>
        <v>485.65</v>
      </c>
      <c r="G258" s="7" t="n">
        <v>105</v>
      </c>
      <c r="H258" s="9" t="n">
        <f aca="false">IF(G258&gt;0,D258/G258,"")</f>
        <v>157.32380952381</v>
      </c>
      <c r="I258" s="10" t="n">
        <v>46280</v>
      </c>
      <c r="J258" s="3" t="s">
        <v>527</v>
      </c>
      <c r="K258" s="10" t="n">
        <v>44356</v>
      </c>
      <c r="L258" s="3" t="s">
        <v>18</v>
      </c>
      <c r="M258" s="7" t="n">
        <v>17038</v>
      </c>
      <c r="N258" s="8" t="n">
        <v>0.0294</v>
      </c>
      <c r="O258" s="4" t="n">
        <f aca="false">M258*N258</f>
        <v>500.9172</v>
      </c>
    </row>
    <row r="259" customFormat="false" ht="15" hidden="false" customHeight="false" outlineLevel="0" collapsed="false">
      <c r="A259" s="0" t="s">
        <v>528</v>
      </c>
      <c r="C259" s="0" t="s">
        <v>32</v>
      </c>
      <c r="D259" s="7" t="n">
        <v>47804</v>
      </c>
      <c r="E259" s="8" t="n">
        <v>0.0101227930717095</v>
      </c>
      <c r="F259" s="4" t="n">
        <f aca="false">D259*E259</f>
        <v>483.91</v>
      </c>
      <c r="G259" s="7" t="n">
        <v>17903</v>
      </c>
      <c r="H259" s="9" t="n">
        <f aca="false">IF(G259&gt;0,D259/G259,"")</f>
        <v>2.67016701111546</v>
      </c>
      <c r="I259" s="10" t="n">
        <v>46311</v>
      </c>
      <c r="J259" s="3" t="s">
        <v>204</v>
      </c>
      <c r="K259" s="10" t="n">
        <v>44824</v>
      </c>
      <c r="L259" s="3" t="s">
        <v>20</v>
      </c>
      <c r="M259" s="7" t="n">
        <v>30000</v>
      </c>
      <c r="N259" s="8" t="n">
        <v>0.01127</v>
      </c>
      <c r="O259" s="4" t="n">
        <f aca="false">M259*N259</f>
        <v>338.1</v>
      </c>
    </row>
    <row r="260" customFormat="false" ht="15" hidden="false" customHeight="false" outlineLevel="0" collapsed="false">
      <c r="A260" s="0" t="s">
        <v>529</v>
      </c>
      <c r="C260" s="0" t="s">
        <v>45</v>
      </c>
      <c r="D260" s="7" t="n">
        <v>3495</v>
      </c>
      <c r="E260" s="8" t="n">
        <v>0.137636623748212</v>
      </c>
      <c r="F260" s="4" t="n">
        <f aca="false">D260*E260</f>
        <v>481.04</v>
      </c>
      <c r="G260" s="7" t="n">
        <v>2398</v>
      </c>
      <c r="H260" s="9" t="n">
        <f aca="false">IF(G260&gt;0,D260/G260,"")</f>
        <v>1.45746455379483</v>
      </c>
      <c r="I260" s="10" t="n">
        <v>46288</v>
      </c>
      <c r="J260" s="3" t="s">
        <v>283</v>
      </c>
      <c r="K260" s="10" t="n">
        <v>46287</v>
      </c>
      <c r="L260" s="3" t="s">
        <v>14</v>
      </c>
      <c r="M260" s="7" t="n">
        <v>2100</v>
      </c>
      <c r="N260" s="8" t="n">
        <v>0.193</v>
      </c>
      <c r="O260" s="4" t="n">
        <f aca="false">M260*N260</f>
        <v>405.3</v>
      </c>
    </row>
    <row r="261" customFormat="false" ht="15" hidden="false" customHeight="false" outlineLevel="0" collapsed="false">
      <c r="A261" s="0" t="s">
        <v>530</v>
      </c>
      <c r="C261" s="0" t="s">
        <v>118</v>
      </c>
      <c r="D261" s="7" t="n">
        <v>27569</v>
      </c>
      <c r="E261" s="8" t="n">
        <v>0.0174351626827234</v>
      </c>
      <c r="F261" s="4" t="n">
        <f aca="false">D261*E261</f>
        <v>480.67</v>
      </c>
      <c r="G261" s="7" t="n">
        <v>854</v>
      </c>
      <c r="H261" s="9" t="n">
        <f aca="false">IF(G261&gt;0,D261/G261,"")</f>
        <v>32.2822014051522</v>
      </c>
      <c r="I261" s="10" t="n">
        <v>46304</v>
      </c>
      <c r="J261" s="3" t="s">
        <v>531</v>
      </c>
      <c r="K261" s="10" t="n">
        <v>45782</v>
      </c>
      <c r="L261" s="3" t="s">
        <v>14</v>
      </c>
      <c r="M261" s="7" t="n">
        <v>1000</v>
      </c>
      <c r="N261" s="8" t="n">
        <v>0.0534</v>
      </c>
      <c r="O261" s="4" t="n">
        <f aca="false">M261*N261</f>
        <v>53.4</v>
      </c>
    </row>
    <row r="262" customFormat="false" ht="15" hidden="false" customHeight="false" outlineLevel="0" collapsed="false">
      <c r="A262" s="0" t="s">
        <v>532</v>
      </c>
      <c r="D262" s="7" t="n">
        <v>6231</v>
      </c>
      <c r="E262" s="8" t="n">
        <v>0.0767902423367036</v>
      </c>
      <c r="F262" s="4" t="n">
        <f aca="false">D262*E262</f>
        <v>478.48</v>
      </c>
      <c r="G262" s="7" t="n">
        <v>278</v>
      </c>
      <c r="H262" s="9" t="n">
        <f aca="false">IF(G262&gt;0,D262/G262,"")</f>
        <v>22.4136690647482</v>
      </c>
      <c r="I262" s="10" t="n">
        <v>46294</v>
      </c>
      <c r="J262" s="3" t="s">
        <v>90</v>
      </c>
      <c r="K262" s="10" t="n">
        <v>46055</v>
      </c>
      <c r="L262" s="3" t="s">
        <v>16</v>
      </c>
      <c r="M262" s="7" t="n">
        <v>6500</v>
      </c>
      <c r="N262" s="8" t="n">
        <v>0.0768</v>
      </c>
      <c r="O262" s="4" t="n">
        <f aca="false">M262*N262</f>
        <v>499.2</v>
      </c>
    </row>
    <row r="263" customFormat="false" ht="15" hidden="false" customHeight="false" outlineLevel="0" collapsed="false">
      <c r="A263" s="0" t="s">
        <v>533</v>
      </c>
      <c r="C263" s="0" t="s">
        <v>31</v>
      </c>
      <c r="D263" s="7" t="n">
        <v>45796</v>
      </c>
      <c r="E263" s="8" t="n">
        <v>0.0104406498384138</v>
      </c>
      <c r="F263" s="4" t="n">
        <f aca="false">D263*E263</f>
        <v>478.14</v>
      </c>
      <c r="G263" s="7" t="n">
        <v>1630</v>
      </c>
      <c r="H263" s="9" t="n">
        <f aca="false">IF(G263&gt;0,D263/G263,"")</f>
        <v>28.0957055214724</v>
      </c>
      <c r="I263" s="10" t="n">
        <v>46280</v>
      </c>
      <c r="J263" s="3" t="s">
        <v>534</v>
      </c>
      <c r="K263" s="10" t="n">
        <v>45288</v>
      </c>
      <c r="L263" s="3" t="s">
        <v>16</v>
      </c>
      <c r="M263" s="7" t="n">
        <v>50000</v>
      </c>
      <c r="N263" s="8" t="n">
        <v>0.0076</v>
      </c>
      <c r="O263" s="4" t="n">
        <f aca="false">M263*N263</f>
        <v>380</v>
      </c>
    </row>
    <row r="264" customFormat="false" ht="15" hidden="false" customHeight="false" outlineLevel="0" collapsed="false">
      <c r="A264" s="0" t="s">
        <v>535</v>
      </c>
      <c r="C264" s="0" t="s">
        <v>34</v>
      </c>
      <c r="D264" s="7" t="n">
        <v>74616</v>
      </c>
      <c r="E264" s="8" t="n">
        <v>0.0063995657767771</v>
      </c>
      <c r="F264" s="4" t="n">
        <f aca="false">D264*E264</f>
        <v>477.51</v>
      </c>
      <c r="G264" s="7" t="n">
        <v>1906</v>
      </c>
      <c r="H264" s="9" t="n">
        <f aca="false">IF(G264&gt;0,D264/G264,"")</f>
        <v>39.1479538300105</v>
      </c>
      <c r="I264" s="10" t="n">
        <v>46308</v>
      </c>
      <c r="J264" s="3" t="s">
        <v>536</v>
      </c>
      <c r="K264" s="10" t="n">
        <v>45531</v>
      </c>
      <c r="L264" s="3" t="s">
        <v>16</v>
      </c>
      <c r="M264" s="7" t="n">
        <v>83418</v>
      </c>
      <c r="N264" s="8" t="n">
        <v>0.0064</v>
      </c>
      <c r="O264" s="4" t="n">
        <f aca="false">M264*N264</f>
        <v>533.8752</v>
      </c>
    </row>
    <row r="265" customFormat="false" ht="15" hidden="false" customHeight="false" outlineLevel="0" collapsed="false">
      <c r="A265" s="0" t="s">
        <v>537</v>
      </c>
      <c r="C265" s="0" t="s">
        <v>42</v>
      </c>
      <c r="D265" s="7" t="n">
        <v>986</v>
      </c>
      <c r="E265" s="8" t="n">
        <v>0.483894523326572</v>
      </c>
      <c r="F265" s="4" t="n">
        <f aca="false">D265*E265</f>
        <v>477.12</v>
      </c>
      <c r="G265" s="7" t="n">
        <v>14</v>
      </c>
      <c r="H265" s="9" t="n">
        <f aca="false">IF(G265&gt;0,D265/G265,"")</f>
        <v>70.4285714285714</v>
      </c>
      <c r="I265" s="10" t="n">
        <v>46066</v>
      </c>
      <c r="J265" s="3" t="s">
        <v>538</v>
      </c>
      <c r="K265" s="10" t="n">
        <v>45832</v>
      </c>
      <c r="L265" s="3" t="s">
        <v>14</v>
      </c>
      <c r="M265" s="7" t="n">
        <v>1000</v>
      </c>
      <c r="N265" s="8" t="n">
        <v>0.4839</v>
      </c>
      <c r="O265" s="4" t="n">
        <f aca="false">M265*N265</f>
        <v>483.9</v>
      </c>
    </row>
    <row r="266" customFormat="false" ht="15" hidden="false" customHeight="false" outlineLevel="0" collapsed="false">
      <c r="A266" s="0" t="s">
        <v>539</v>
      </c>
      <c r="C266" s="0" t="s">
        <v>42</v>
      </c>
      <c r="D266" s="7" t="n">
        <v>500</v>
      </c>
      <c r="E266" s="8" t="n">
        <v>0.9462</v>
      </c>
      <c r="F266" s="4" t="n">
        <f aca="false">D266*E266</f>
        <v>473.1</v>
      </c>
      <c r="G266" s="7" t="n">
        <v>500</v>
      </c>
      <c r="H266" s="9" t="n">
        <f aca="false">IF(G266&gt;0,D266/G266,"")</f>
        <v>1</v>
      </c>
      <c r="I266" s="10" t="n">
        <v>46014</v>
      </c>
      <c r="J266" s="3" t="s">
        <v>467</v>
      </c>
      <c r="K266" s="10" t="n">
        <v>45967</v>
      </c>
      <c r="L266" s="3" t="s">
        <v>14</v>
      </c>
      <c r="M266" s="7" t="n">
        <v>500</v>
      </c>
      <c r="N266" s="8" t="n">
        <v>0.9462</v>
      </c>
      <c r="O266" s="4" t="n">
        <f aca="false">M266*N266</f>
        <v>473.1</v>
      </c>
    </row>
    <row r="267" customFormat="false" ht="15" hidden="false" customHeight="false" outlineLevel="0" collapsed="false">
      <c r="A267" s="0" t="s">
        <v>540</v>
      </c>
      <c r="C267" s="0" t="s">
        <v>541</v>
      </c>
      <c r="D267" s="7" t="n">
        <v>186</v>
      </c>
      <c r="E267" s="8" t="n">
        <v>2.53091397849462</v>
      </c>
      <c r="F267" s="4" t="n">
        <f aca="false">D267*E267</f>
        <v>470.75</v>
      </c>
      <c r="G267" s="7" t="n">
        <v>84</v>
      </c>
      <c r="H267" s="9" t="n">
        <f aca="false">IF(G267&gt;0,D267/G267,"")</f>
        <v>2.21428571428571</v>
      </c>
      <c r="I267" s="10" t="n">
        <v>46273</v>
      </c>
      <c r="J267" s="3" t="s">
        <v>542</v>
      </c>
      <c r="K267" s="10" t="n">
        <v>46129</v>
      </c>
      <c r="L267" s="3" t="s">
        <v>313</v>
      </c>
      <c r="M267" s="7" t="n">
        <v>200</v>
      </c>
      <c r="N267" s="8" t="n">
        <v>2.6705</v>
      </c>
      <c r="O267" s="4" t="n">
        <f aca="false">M267*N267</f>
        <v>534.1</v>
      </c>
    </row>
    <row r="268" customFormat="false" ht="15" hidden="false" customHeight="false" outlineLevel="0" collapsed="false">
      <c r="A268" s="0" t="s">
        <v>543</v>
      </c>
      <c r="C268" s="0" t="s">
        <v>544</v>
      </c>
      <c r="D268" s="7" t="n">
        <v>1566</v>
      </c>
      <c r="E268" s="8" t="n">
        <v>0.3</v>
      </c>
      <c r="F268" s="4" t="n">
        <f aca="false">D268*E268</f>
        <v>469.8</v>
      </c>
      <c r="G268" s="7" t="n">
        <v>578</v>
      </c>
      <c r="H268" s="9" t="n">
        <f aca="false">IF(G268&gt;0,D268/G268,"")</f>
        <v>2.70934256055363</v>
      </c>
      <c r="I268" s="10" t="n">
        <v>46316</v>
      </c>
      <c r="J268" s="3" t="s">
        <v>545</v>
      </c>
      <c r="K268" s="10" t="n">
        <v>46059</v>
      </c>
      <c r="L268" s="3" t="s">
        <v>21</v>
      </c>
      <c r="M268" s="7" t="n">
        <v>1000</v>
      </c>
      <c r="N268" s="8" t="n">
        <v>0.3</v>
      </c>
      <c r="O268" s="4" t="n">
        <f aca="false">M268*N268</f>
        <v>300</v>
      </c>
    </row>
    <row r="269" customFormat="false" ht="15" hidden="false" customHeight="false" outlineLevel="0" collapsed="false">
      <c r="A269" s="0" t="s">
        <v>546</v>
      </c>
      <c r="C269" s="0" t="s">
        <v>32</v>
      </c>
      <c r="D269" s="7" t="n">
        <v>1016</v>
      </c>
      <c r="E269" s="8" t="n">
        <v>0.460413385826772</v>
      </c>
      <c r="F269" s="4" t="n">
        <f aca="false">D269*E269</f>
        <v>467.78</v>
      </c>
      <c r="G269" s="7" t="n">
        <v>182</v>
      </c>
      <c r="H269" s="9" t="n">
        <f aca="false">IF(G269&gt;0,D269/G269,"")</f>
        <v>5.58241758241758</v>
      </c>
      <c r="I269" s="10" t="n">
        <v>46240</v>
      </c>
      <c r="J269" s="3" t="s">
        <v>336</v>
      </c>
      <c r="K269" s="10" t="n">
        <v>46245</v>
      </c>
      <c r="L269" s="3" t="s">
        <v>14</v>
      </c>
      <c r="M269" s="7" t="n">
        <v>1000</v>
      </c>
      <c r="N269" s="8" t="n">
        <v>0.4605</v>
      </c>
      <c r="O269" s="4" t="n">
        <f aca="false">M269*N269</f>
        <v>460.5</v>
      </c>
    </row>
    <row r="270" customFormat="false" ht="15" hidden="false" customHeight="false" outlineLevel="0" collapsed="false">
      <c r="A270" s="0" t="s">
        <v>547</v>
      </c>
      <c r="C270" s="0" t="s">
        <v>39</v>
      </c>
      <c r="D270" s="7" t="n">
        <v>5020</v>
      </c>
      <c r="E270" s="8" t="n">
        <v>0.0930856573705179</v>
      </c>
      <c r="F270" s="4" t="n">
        <f aca="false">D270*E270</f>
        <v>467.29</v>
      </c>
      <c r="G270" s="7" t="n">
        <v>1633</v>
      </c>
      <c r="H270" s="9" t="n">
        <f aca="false">IF(G270&gt;0,D270/G270,"")</f>
        <v>3.07409675443968</v>
      </c>
      <c r="I270" s="10" t="n">
        <v>46216</v>
      </c>
      <c r="J270" s="3" t="s">
        <v>548</v>
      </c>
      <c r="K270" s="10" t="n">
        <v>46217</v>
      </c>
      <c r="L270" s="3" t="s">
        <v>14</v>
      </c>
      <c r="M270" s="7" t="n">
        <v>5000</v>
      </c>
      <c r="N270" s="8" t="n">
        <v>0.0931</v>
      </c>
      <c r="O270" s="4" t="n">
        <f aca="false">M270*N270</f>
        <v>465.5</v>
      </c>
    </row>
    <row r="271" customFormat="false" ht="15" hidden="false" customHeight="false" outlineLevel="0" collapsed="false">
      <c r="A271" s="0" t="s">
        <v>549</v>
      </c>
      <c r="C271" s="0" t="s">
        <v>298</v>
      </c>
      <c r="D271" s="7" t="n">
        <v>9724</v>
      </c>
      <c r="E271" s="8" t="n">
        <v>0.048003907856849</v>
      </c>
      <c r="F271" s="4" t="n">
        <f aca="false">D271*E271</f>
        <v>466.79</v>
      </c>
      <c r="G271" s="7" t="n">
        <v>2062</v>
      </c>
      <c r="H271" s="9" t="n">
        <f aca="false">IF(G271&gt;0,D271/G271,"")</f>
        <v>4.71580989330747</v>
      </c>
      <c r="I271" s="10" t="n">
        <v>46182</v>
      </c>
      <c r="J271" s="3" t="s">
        <v>550</v>
      </c>
      <c r="K271" s="10" t="n">
        <v>45922</v>
      </c>
      <c r="L271" s="3" t="s">
        <v>14</v>
      </c>
      <c r="M271" s="7" t="n">
        <v>13250</v>
      </c>
      <c r="N271" s="8" t="n">
        <v>0.048</v>
      </c>
      <c r="O271" s="4" t="n">
        <f aca="false">M271*N271</f>
        <v>636</v>
      </c>
    </row>
    <row r="272" customFormat="false" ht="15" hidden="false" customHeight="false" outlineLevel="0" collapsed="false">
      <c r="A272" s="0" t="s">
        <v>551</v>
      </c>
      <c r="C272" s="0" t="s">
        <v>35</v>
      </c>
      <c r="D272" s="7" t="n">
        <v>1978</v>
      </c>
      <c r="E272" s="8" t="n">
        <v>0.235328614762386</v>
      </c>
      <c r="F272" s="4" t="n">
        <f aca="false">D272*E272</f>
        <v>465.48</v>
      </c>
      <c r="G272" s="7" t="n">
        <v>49</v>
      </c>
      <c r="H272" s="9" t="n">
        <f aca="false">IF(G272&gt;0,D272/G272,"")</f>
        <v>40.3673469387755</v>
      </c>
      <c r="I272" s="10" t="n">
        <v>46267</v>
      </c>
      <c r="J272" s="3" t="s">
        <v>184</v>
      </c>
      <c r="K272" s="10" t="n">
        <v>45468</v>
      </c>
      <c r="L272" s="3" t="s">
        <v>20</v>
      </c>
      <c r="M272" s="7" t="n">
        <v>1500</v>
      </c>
      <c r="N272" s="8" t="n">
        <v>0.247</v>
      </c>
      <c r="O272" s="4" t="n">
        <f aca="false">M272*N272</f>
        <v>370.5</v>
      </c>
    </row>
    <row r="273" customFormat="false" ht="15" hidden="false" customHeight="false" outlineLevel="0" collapsed="false">
      <c r="A273" s="0" t="s">
        <v>552</v>
      </c>
      <c r="C273" s="0" t="s">
        <v>41</v>
      </c>
      <c r="D273" s="7" t="n">
        <v>29848</v>
      </c>
      <c r="E273" s="8" t="n">
        <v>0.0155209729295095</v>
      </c>
      <c r="F273" s="4" t="n">
        <f aca="false">D273*E273</f>
        <v>463.27</v>
      </c>
      <c r="G273" s="7" t="n">
        <v>1825</v>
      </c>
      <c r="H273" s="9" t="n">
        <f aca="false">IF(G273&gt;0,D273/G273,"")</f>
        <v>16.3550684931507</v>
      </c>
      <c r="I273" s="10" t="n">
        <v>46099</v>
      </c>
      <c r="J273" s="3" t="s">
        <v>553</v>
      </c>
      <c r="K273" s="10" t="n">
        <v>44687</v>
      </c>
      <c r="L273" s="3" t="s">
        <v>16</v>
      </c>
      <c r="M273" s="7" t="n">
        <v>34908</v>
      </c>
      <c r="N273" s="8" t="n">
        <v>0.0156</v>
      </c>
      <c r="O273" s="4" t="n">
        <v>542.2092</v>
      </c>
    </row>
    <row r="274" customFormat="false" ht="15" hidden="false" customHeight="false" outlineLevel="0" collapsed="false">
      <c r="A274" s="0" t="s">
        <v>554</v>
      </c>
      <c r="C274" s="0" t="s">
        <v>100</v>
      </c>
      <c r="D274" s="7" t="n">
        <v>1116</v>
      </c>
      <c r="E274" s="8" t="n">
        <v>0.414498207885305</v>
      </c>
      <c r="F274" s="4" t="n">
        <f aca="false">D274*E274</f>
        <v>462.58</v>
      </c>
      <c r="G274" s="7" t="n">
        <v>643</v>
      </c>
      <c r="H274" s="9" t="n">
        <f aca="false">IF(G274&gt;0,D274/G274,"")</f>
        <v>1.73561430793157</v>
      </c>
      <c r="I274" s="10" t="n">
        <v>46290</v>
      </c>
      <c r="J274" s="3" t="s">
        <v>523</v>
      </c>
      <c r="K274" s="10" t="n">
        <v>46148</v>
      </c>
      <c r="L274" s="3" t="s">
        <v>16</v>
      </c>
      <c r="M274" s="7" t="n">
        <v>1000</v>
      </c>
      <c r="N274" s="8" t="n">
        <v>0.4145</v>
      </c>
      <c r="O274" s="4" t="n">
        <f aca="false">M274*N274</f>
        <v>414.5</v>
      </c>
    </row>
    <row r="275" customFormat="false" ht="15" hidden="false" customHeight="false" outlineLevel="0" collapsed="false">
      <c r="A275" s="0" t="s">
        <v>555</v>
      </c>
      <c r="C275" s="0" t="s">
        <v>36</v>
      </c>
      <c r="D275" s="7" t="n">
        <v>50982</v>
      </c>
      <c r="E275" s="8" t="n">
        <v>0.00904123023812326</v>
      </c>
      <c r="F275" s="4" t="n">
        <f aca="false">D275*E275</f>
        <v>460.94</v>
      </c>
      <c r="G275" s="7" t="n">
        <v>12871</v>
      </c>
      <c r="H275" s="9" t="n">
        <f aca="false">IF(G275&gt;0,D275/G275,"")</f>
        <v>3.96099759148473</v>
      </c>
      <c r="I275" s="10" t="n">
        <v>46304</v>
      </c>
      <c r="J275" s="3" t="s">
        <v>149</v>
      </c>
      <c r="K275" s="10" t="n">
        <v>46259</v>
      </c>
      <c r="L275" s="3" t="s">
        <v>14</v>
      </c>
      <c r="M275" s="7" t="n">
        <v>50000</v>
      </c>
      <c r="N275" s="8" t="n">
        <v>0.0091</v>
      </c>
      <c r="O275" s="4" t="n">
        <f aca="false">M275*N275</f>
        <v>455</v>
      </c>
    </row>
    <row r="276" customFormat="false" ht="15" hidden="false" customHeight="false" outlineLevel="0" collapsed="false">
      <c r="A276" s="0" t="s">
        <v>556</v>
      </c>
      <c r="C276" s="0" t="s">
        <v>35</v>
      </c>
      <c r="D276" s="7" t="n">
        <v>1280</v>
      </c>
      <c r="E276" s="8" t="n">
        <v>0.35953125</v>
      </c>
      <c r="F276" s="4" t="n">
        <f aca="false">D276*E276</f>
        <v>460.2</v>
      </c>
      <c r="G276" s="7" t="n">
        <v>11</v>
      </c>
      <c r="H276" s="9" t="n">
        <f aca="false">IF(G276&gt;0,D276/G276,"")</f>
        <v>116.363636363636</v>
      </c>
      <c r="I276" s="10" t="n">
        <v>46164</v>
      </c>
      <c r="J276" s="3" t="s">
        <v>184</v>
      </c>
      <c r="K276" s="10" t="n">
        <v>45468</v>
      </c>
      <c r="L276" s="3" t="s">
        <v>20</v>
      </c>
      <c r="M276" s="7" t="n">
        <v>1000</v>
      </c>
      <c r="N276" s="8" t="n">
        <v>0.379</v>
      </c>
      <c r="O276" s="4" t="n">
        <f aca="false">M276*N276</f>
        <v>379</v>
      </c>
    </row>
    <row r="277" customFormat="false" ht="15" hidden="false" customHeight="false" outlineLevel="0" collapsed="false">
      <c r="A277" s="0" t="s">
        <v>557</v>
      </c>
      <c r="C277" s="0" t="s">
        <v>37</v>
      </c>
      <c r="D277" s="7" t="n">
        <v>44442</v>
      </c>
      <c r="E277" s="8" t="n">
        <v>0.0103402187120292</v>
      </c>
      <c r="F277" s="4" t="n">
        <f aca="false">D277*E277</f>
        <v>459.54</v>
      </c>
      <c r="G277" s="7" t="n">
        <v>5172</v>
      </c>
      <c r="H277" s="9" t="n">
        <f aca="false">IF(G277&gt;0,D277/G277,"")</f>
        <v>8.59280742459397</v>
      </c>
      <c r="I277" s="10" t="n">
        <v>46273</v>
      </c>
      <c r="J277" s="3" t="s">
        <v>558</v>
      </c>
      <c r="K277" s="10" t="n">
        <v>45457</v>
      </c>
      <c r="L277" s="3" t="s">
        <v>15</v>
      </c>
      <c r="M277" s="7" t="n">
        <v>56700</v>
      </c>
      <c r="N277" s="8" t="n">
        <v>0.01034</v>
      </c>
      <c r="O277" s="4" t="n">
        <f aca="false">M277*N277</f>
        <v>586.278</v>
      </c>
    </row>
    <row r="278" customFormat="false" ht="15" hidden="false" customHeight="false" outlineLevel="0" collapsed="false">
      <c r="A278" s="0" t="s">
        <v>559</v>
      </c>
      <c r="C278" s="0" t="s">
        <v>41</v>
      </c>
      <c r="D278" s="7" t="n">
        <v>18377</v>
      </c>
      <c r="E278" s="8" t="n">
        <v>0.0249997279207705</v>
      </c>
      <c r="F278" s="4" t="n">
        <f aca="false">D278*E278</f>
        <v>459.42</v>
      </c>
      <c r="G278" s="7" t="n">
        <v>2406</v>
      </c>
      <c r="H278" s="9" t="n">
        <f aca="false">IF(G278&gt;0,D278/G278,"")</f>
        <v>7.63798836242727</v>
      </c>
      <c r="I278" s="10" t="n">
        <v>46297</v>
      </c>
      <c r="J278" s="3" t="s">
        <v>560</v>
      </c>
      <c r="K278" s="10" t="n">
        <v>44692</v>
      </c>
      <c r="L278" s="3" t="s">
        <v>20</v>
      </c>
      <c r="M278" s="7" t="n">
        <v>25000</v>
      </c>
      <c r="N278" s="8" t="n">
        <v>0.025</v>
      </c>
      <c r="O278" s="4" t="n">
        <f aca="false">M278*N278</f>
        <v>625</v>
      </c>
    </row>
    <row r="279" customFormat="false" ht="15" hidden="false" customHeight="false" outlineLevel="0" collapsed="false">
      <c r="A279" s="0" t="s">
        <v>561</v>
      </c>
      <c r="C279" s="0" t="s">
        <v>298</v>
      </c>
      <c r="D279" s="7" t="n">
        <v>3926</v>
      </c>
      <c r="E279" s="8" t="n">
        <v>0.116897605705553</v>
      </c>
      <c r="F279" s="4" t="n">
        <f aca="false">D279*E279</f>
        <v>458.94</v>
      </c>
      <c r="G279" s="7" t="n">
        <v>6</v>
      </c>
      <c r="H279" s="9" t="n">
        <f aca="false">IF(G279&gt;0,D279/G279,"")</f>
        <v>654.333333333333</v>
      </c>
      <c r="I279" s="10" t="n">
        <v>46261</v>
      </c>
      <c r="J279" s="3" t="s">
        <v>562</v>
      </c>
      <c r="K279" s="10" t="n">
        <v>44670</v>
      </c>
      <c r="L279" s="3" t="s">
        <v>19</v>
      </c>
      <c r="M279" s="7" t="n">
        <v>4254</v>
      </c>
      <c r="N279" s="8" t="n">
        <v>0.1169</v>
      </c>
      <c r="O279" s="4" t="n">
        <f aca="false">M279*N279</f>
        <v>497.2926</v>
      </c>
    </row>
    <row r="280" customFormat="false" ht="15" hidden="false" customHeight="false" outlineLevel="0" collapsed="false">
      <c r="A280" s="0" t="s">
        <v>563</v>
      </c>
      <c r="C280" s="0" t="s">
        <v>34</v>
      </c>
      <c r="D280" s="7" t="n">
        <v>83944</v>
      </c>
      <c r="E280" s="8" t="n">
        <v>0.00545018107309635</v>
      </c>
      <c r="F280" s="4" t="n">
        <f aca="false">D280*E280</f>
        <v>457.51</v>
      </c>
      <c r="G280" s="7" t="n">
        <v>670</v>
      </c>
      <c r="H280" s="9" t="n">
        <f aca="false">IF(G280&gt;0,D280/G280,"")</f>
        <v>125.289552238806</v>
      </c>
      <c r="I280" s="10" t="n">
        <v>46244</v>
      </c>
      <c r="J280" s="3" t="s">
        <v>564</v>
      </c>
      <c r="K280" s="10" t="n">
        <v>44287</v>
      </c>
      <c r="L280" s="3" t="s">
        <v>15</v>
      </c>
      <c r="M280" s="7" t="n">
        <v>85026</v>
      </c>
      <c r="N280" s="8" t="n">
        <v>0.00545</v>
      </c>
      <c r="O280" s="4" t="n">
        <f aca="false">M280*N280</f>
        <v>463.3917</v>
      </c>
    </row>
    <row r="281" customFormat="false" ht="15" hidden="false" customHeight="false" outlineLevel="0" collapsed="false">
      <c r="A281" s="0" t="s">
        <v>565</v>
      </c>
      <c r="C281" s="0" t="s">
        <v>36</v>
      </c>
      <c r="D281" s="7" t="n">
        <v>4173</v>
      </c>
      <c r="E281" s="8" t="n">
        <v>0.10961179007908</v>
      </c>
      <c r="F281" s="4" t="n">
        <f aca="false">D281*E281</f>
        <v>457.41</v>
      </c>
      <c r="G281" s="7" t="n">
        <v>940</v>
      </c>
      <c r="H281" s="9" t="n">
        <f aca="false">IF(G281&gt;0,D281/G281,"")</f>
        <v>4.43936170212766</v>
      </c>
      <c r="I281" s="10" t="n">
        <v>46204</v>
      </c>
      <c r="J281" s="3" t="s">
        <v>566</v>
      </c>
      <c r="K281" s="10" t="n">
        <v>46204</v>
      </c>
      <c r="L281" s="3" t="s">
        <v>14</v>
      </c>
      <c r="M281" s="7" t="n">
        <v>4171</v>
      </c>
      <c r="N281" s="8" t="n">
        <v>0.1096</v>
      </c>
      <c r="O281" s="4" t="n">
        <f aca="false">M281*N281</f>
        <v>457.1416</v>
      </c>
    </row>
    <row r="282" customFormat="false" ht="15" hidden="false" customHeight="false" outlineLevel="0" collapsed="false">
      <c r="A282" s="0" t="s">
        <v>567</v>
      </c>
      <c r="C282" s="0" t="s">
        <v>32</v>
      </c>
      <c r="D282" s="7" t="n">
        <v>21274</v>
      </c>
      <c r="E282" s="8" t="n">
        <v>0.0214261539907869</v>
      </c>
      <c r="F282" s="4" t="n">
        <f aca="false">D282*E282</f>
        <v>455.82</v>
      </c>
      <c r="G282" s="7" t="n">
        <v>10770</v>
      </c>
      <c r="H282" s="9" t="n">
        <f aca="false">IF(G282&gt;0,D282/G282,"")</f>
        <v>1.9753017641597</v>
      </c>
      <c r="I282" s="10" t="n">
        <v>46314</v>
      </c>
      <c r="J282" s="3" t="s">
        <v>568</v>
      </c>
      <c r="K282" s="10" t="n">
        <v>46268</v>
      </c>
      <c r="L282" s="3" t="s">
        <v>14</v>
      </c>
      <c r="M282" s="7" t="n">
        <v>20000</v>
      </c>
      <c r="N282" s="8" t="n">
        <v>0.021</v>
      </c>
      <c r="O282" s="4" t="n">
        <f aca="false">M282*N282</f>
        <v>420</v>
      </c>
    </row>
    <row r="283" customFormat="false" ht="15" hidden="false" customHeight="false" outlineLevel="0" collapsed="false">
      <c r="A283" s="0" t="s">
        <v>569</v>
      </c>
      <c r="C283" s="0" t="s">
        <v>120</v>
      </c>
      <c r="D283" s="7" t="n">
        <v>2782</v>
      </c>
      <c r="E283" s="8" t="n">
        <v>0.163774263120058</v>
      </c>
      <c r="F283" s="4" t="n">
        <f aca="false">D283*E283</f>
        <v>455.62</v>
      </c>
      <c r="G283" s="7" t="n">
        <v>1546</v>
      </c>
      <c r="H283" s="9" t="n">
        <f aca="false">IF(G283&gt;0,D283/G283,"")</f>
        <v>1.79948253557568</v>
      </c>
      <c r="I283" s="10" t="n">
        <v>46309</v>
      </c>
      <c r="J283" s="3" t="s">
        <v>570</v>
      </c>
      <c r="K283" s="10" t="n">
        <v>46106</v>
      </c>
      <c r="L283" s="3" t="s">
        <v>16</v>
      </c>
      <c r="M283" s="7" t="n">
        <v>2624</v>
      </c>
      <c r="N283" s="8" t="n">
        <v>0.161859</v>
      </c>
      <c r="O283" s="4" t="n">
        <f aca="false">M283*N283</f>
        <v>424.718016</v>
      </c>
    </row>
    <row r="284" customFormat="false" ht="15" hidden="false" customHeight="false" outlineLevel="0" collapsed="false">
      <c r="A284" s="0" t="s">
        <v>571</v>
      </c>
      <c r="C284" s="0" t="s">
        <v>438</v>
      </c>
      <c r="D284" s="7" t="n">
        <v>81</v>
      </c>
      <c r="E284" s="8" t="n">
        <v>5.61296296296296</v>
      </c>
      <c r="F284" s="4" t="n">
        <f aca="false">D284*E284</f>
        <v>454.65</v>
      </c>
      <c r="G284" s="7" t="n">
        <v>3</v>
      </c>
      <c r="H284" s="9" t="n">
        <f aca="false">IF(G284&gt;0,D284/G284,"")</f>
        <v>27</v>
      </c>
      <c r="I284" s="10" t="n">
        <v>46192</v>
      </c>
      <c r="J284" s="3" t="s">
        <v>572</v>
      </c>
      <c r="K284" s="10" t="n">
        <v>46164</v>
      </c>
      <c r="L284" s="3" t="s">
        <v>14</v>
      </c>
      <c r="M284" s="7" t="n">
        <v>84</v>
      </c>
      <c r="N284" s="8" t="n">
        <v>5.5974</v>
      </c>
      <c r="O284" s="4" t="n">
        <v>471.4376</v>
      </c>
    </row>
    <row r="285" customFormat="false" ht="15" hidden="false" customHeight="false" outlineLevel="0" collapsed="false">
      <c r="A285" s="0" t="s">
        <v>573</v>
      </c>
      <c r="C285" s="0" t="s">
        <v>38</v>
      </c>
      <c r="D285" s="7" t="n">
        <v>1622</v>
      </c>
      <c r="E285" s="8" t="n">
        <v>0.280209617755857</v>
      </c>
      <c r="F285" s="4" t="n">
        <f aca="false">D285*E285</f>
        <v>454.5</v>
      </c>
      <c r="G285" s="7" t="n">
        <v>64</v>
      </c>
      <c r="H285" s="9" t="n">
        <f aca="false">IF(G285&gt;0,D285/G285,"")</f>
        <v>25.34375</v>
      </c>
      <c r="I285" s="10" t="n">
        <v>46241</v>
      </c>
      <c r="J285" s="3" t="s">
        <v>574</v>
      </c>
      <c r="K285" s="10" t="n">
        <v>44728</v>
      </c>
      <c r="L285" s="3" t="s">
        <v>19</v>
      </c>
      <c r="M285" s="7" t="n">
        <v>1739</v>
      </c>
      <c r="N285" s="8" t="n">
        <v>0.2802</v>
      </c>
      <c r="O285" s="4" t="n">
        <f aca="false">M285*N285</f>
        <v>487.2678</v>
      </c>
    </row>
    <row r="286" customFormat="false" ht="15" hidden="false" customHeight="false" outlineLevel="0" collapsed="false">
      <c r="A286" s="0" t="s">
        <v>575</v>
      </c>
      <c r="C286" s="0" t="s">
        <v>295</v>
      </c>
      <c r="D286" s="7" t="n">
        <v>51678</v>
      </c>
      <c r="E286" s="8" t="n">
        <v>0.00877878400866907</v>
      </c>
      <c r="F286" s="4" t="n">
        <f aca="false">D286*E286</f>
        <v>453.67</v>
      </c>
      <c r="G286" s="7" t="n">
        <v>9892</v>
      </c>
      <c r="H286" s="9" t="n">
        <f aca="false">IF(G286&gt;0,D286/G286,"")</f>
        <v>5.22422159320663</v>
      </c>
      <c r="I286" s="10" t="n">
        <v>46301</v>
      </c>
      <c r="J286" s="3" t="s">
        <v>576</v>
      </c>
      <c r="K286" s="10" t="n">
        <v>45819</v>
      </c>
      <c r="L286" s="3" t="s">
        <v>19</v>
      </c>
      <c r="M286" s="7" t="n">
        <v>5000</v>
      </c>
      <c r="N286" s="8" t="n">
        <v>0.0079</v>
      </c>
      <c r="O286" s="4" t="n">
        <f aca="false">M286*N286</f>
        <v>39.5</v>
      </c>
    </row>
    <row r="287" customFormat="false" ht="15" hidden="false" customHeight="false" outlineLevel="0" collapsed="false">
      <c r="A287" s="0" t="s">
        <v>577</v>
      </c>
      <c r="C287" s="0" t="s">
        <v>100</v>
      </c>
      <c r="D287" s="7" t="n">
        <v>390</v>
      </c>
      <c r="E287" s="8" t="n">
        <v>1.16169230769231</v>
      </c>
      <c r="F287" s="4" t="n">
        <f aca="false">D287*E287</f>
        <v>453.06</v>
      </c>
      <c r="G287" s="7" t="n">
        <v>10</v>
      </c>
      <c r="H287" s="9" t="n">
        <f aca="false">IF(G287&gt;0,D287/G287,"")</f>
        <v>39</v>
      </c>
      <c r="I287" s="10" t="n">
        <v>46108</v>
      </c>
      <c r="J287" s="3" t="s">
        <v>278</v>
      </c>
      <c r="K287" s="10" t="n">
        <v>45967</v>
      </c>
      <c r="L287" s="3" t="s">
        <v>16</v>
      </c>
      <c r="M287" s="7" t="n">
        <v>400</v>
      </c>
      <c r="N287" s="8" t="n">
        <v>1.1617</v>
      </c>
      <c r="O287" s="4" t="n">
        <f aca="false">M287*N287</f>
        <v>464.68</v>
      </c>
    </row>
    <row r="288" customFormat="false" ht="15" hidden="false" customHeight="false" outlineLevel="0" collapsed="false">
      <c r="A288" s="0" t="s">
        <v>578</v>
      </c>
      <c r="C288" s="0" t="s">
        <v>255</v>
      </c>
      <c r="D288" s="7" t="n">
        <v>415</v>
      </c>
      <c r="E288" s="8" t="n">
        <v>1.09159036144578</v>
      </c>
      <c r="F288" s="4" t="n">
        <f aca="false">D288*E288</f>
        <v>453.01</v>
      </c>
      <c r="G288" s="7" t="n">
        <v>108</v>
      </c>
      <c r="H288" s="9" t="n">
        <f aca="false">IF(G288&gt;0,D288/G288,"")</f>
        <v>3.84259259259259</v>
      </c>
      <c r="I288" s="10" t="n">
        <v>46190</v>
      </c>
      <c r="J288" s="3" t="s">
        <v>579</v>
      </c>
      <c r="K288" s="10" t="n">
        <v>44368</v>
      </c>
      <c r="L288" s="3" t="s">
        <v>257</v>
      </c>
      <c r="M288" s="7" t="n">
        <v>275</v>
      </c>
      <c r="N288" s="8" t="n">
        <v>1.09</v>
      </c>
      <c r="O288" s="4" t="n">
        <f aca="false">M288*N288</f>
        <v>299.75</v>
      </c>
    </row>
    <row r="289" customFormat="false" ht="15" hidden="false" customHeight="false" outlineLevel="0" collapsed="false">
      <c r="A289" s="0" t="s">
        <v>580</v>
      </c>
      <c r="C289" s="0" t="s">
        <v>581</v>
      </c>
      <c r="D289" s="7" t="n">
        <v>81</v>
      </c>
      <c r="E289" s="8" t="n">
        <v>5.59246913580247</v>
      </c>
      <c r="F289" s="4" t="n">
        <f aca="false">D289*E289</f>
        <v>452.99</v>
      </c>
      <c r="G289" s="7" t="n">
        <v>4</v>
      </c>
      <c r="H289" s="9" t="n">
        <f aca="false">IF(G289&gt;0,D289/G289,"")</f>
        <v>20.25</v>
      </c>
      <c r="I289" s="10" t="n">
        <v>46274</v>
      </c>
      <c r="J289" s="3" t="s">
        <v>315</v>
      </c>
      <c r="K289" s="10" t="n">
        <v>46274</v>
      </c>
      <c r="L289" s="3" t="s">
        <v>14</v>
      </c>
      <c r="M289" s="7" t="n">
        <v>74</v>
      </c>
      <c r="N289" s="8" t="n">
        <v>5.4341</v>
      </c>
      <c r="O289" s="4" t="n">
        <f aca="false">M289*N289</f>
        <v>402.1234</v>
      </c>
    </row>
    <row r="290" customFormat="false" ht="15" hidden="false" customHeight="false" outlineLevel="0" collapsed="false">
      <c r="A290" s="0" t="s">
        <v>582</v>
      </c>
      <c r="C290" s="0" t="s">
        <v>583</v>
      </c>
      <c r="D290" s="7" t="n">
        <v>8405</v>
      </c>
      <c r="E290" s="8" t="n">
        <v>0.053871505056514</v>
      </c>
      <c r="F290" s="4" t="n">
        <f aca="false">D290*E290</f>
        <v>452.79</v>
      </c>
      <c r="G290" s="7" t="n">
        <v>774</v>
      </c>
      <c r="H290" s="9" t="n">
        <f aca="false">IF(G290&gt;0,D290/G290,"")</f>
        <v>10.859173126615</v>
      </c>
      <c r="I290" s="10" t="n">
        <v>46231</v>
      </c>
      <c r="J290" s="3" t="s">
        <v>536</v>
      </c>
      <c r="K290" s="10" t="n">
        <v>45531</v>
      </c>
      <c r="L290" s="3" t="s">
        <v>16</v>
      </c>
      <c r="M290" s="7" t="n">
        <v>10000</v>
      </c>
      <c r="N290" s="8" t="n">
        <v>0.0536</v>
      </c>
      <c r="O290" s="4" t="n">
        <f aca="false">M290*N290</f>
        <v>536</v>
      </c>
    </row>
    <row r="291" customFormat="false" ht="15" hidden="false" customHeight="false" outlineLevel="0" collapsed="false">
      <c r="A291" s="0" t="s">
        <v>584</v>
      </c>
      <c r="C291" s="0" t="s">
        <v>37</v>
      </c>
      <c r="D291" s="7" t="n">
        <v>30339</v>
      </c>
      <c r="E291" s="8" t="n">
        <v>0.0148403045584891</v>
      </c>
      <c r="F291" s="4" t="n">
        <f aca="false">D291*E291</f>
        <v>450.24</v>
      </c>
      <c r="G291" s="7" t="n">
        <v>823</v>
      </c>
      <c r="H291" s="9" t="n">
        <f aca="false">IF(G291&gt;0,D291/G291,"")</f>
        <v>36.8639125151883</v>
      </c>
      <c r="I291" s="10" t="n">
        <v>46273</v>
      </c>
      <c r="J291" s="3" t="s">
        <v>585</v>
      </c>
      <c r="K291" s="10" t="n">
        <v>45778</v>
      </c>
      <c r="L291" s="3" t="s">
        <v>19</v>
      </c>
      <c r="M291" s="7" t="n">
        <v>9847</v>
      </c>
      <c r="N291" s="8" t="n">
        <v>0.0133</v>
      </c>
      <c r="O291" s="4" t="n">
        <f aca="false">M291*N291</f>
        <v>130.9651</v>
      </c>
    </row>
    <row r="292" customFormat="false" ht="15" hidden="false" customHeight="false" outlineLevel="0" collapsed="false">
      <c r="A292" s="0" t="s">
        <v>586</v>
      </c>
      <c r="C292" s="0" t="s">
        <v>100</v>
      </c>
      <c r="D292" s="7" t="n">
        <v>196</v>
      </c>
      <c r="E292" s="8" t="n">
        <v>2.29668367346939</v>
      </c>
      <c r="F292" s="4" t="n">
        <f aca="false">D292*E292</f>
        <v>450.15</v>
      </c>
      <c r="G292" s="7" t="n">
        <v>4</v>
      </c>
      <c r="H292" s="9" t="n">
        <f aca="false">IF(G292&gt;0,D292/G292,"")</f>
        <v>49</v>
      </c>
      <c r="I292" s="10" t="n">
        <v>46217</v>
      </c>
      <c r="J292" s="3" t="s">
        <v>587</v>
      </c>
      <c r="K292" s="10" t="n">
        <v>45539</v>
      </c>
      <c r="L292" s="3" t="s">
        <v>16</v>
      </c>
      <c r="M292" s="7" t="n">
        <v>190</v>
      </c>
      <c r="N292" s="8" t="n">
        <v>2.1057</v>
      </c>
      <c r="O292" s="4" t="n">
        <f aca="false">M292*N292</f>
        <v>400.083</v>
      </c>
    </row>
    <row r="293" customFormat="false" ht="15" hidden="false" customHeight="false" outlineLevel="0" collapsed="false">
      <c r="A293" s="0" t="s">
        <v>588</v>
      </c>
      <c r="C293" s="0" t="s">
        <v>43</v>
      </c>
      <c r="D293" s="7" t="n">
        <v>500</v>
      </c>
      <c r="E293" s="8" t="n">
        <v>0.9002</v>
      </c>
      <c r="F293" s="4" t="n">
        <f aca="false">D293*E293</f>
        <v>450.1</v>
      </c>
      <c r="G293" s="7" t="n">
        <v>34</v>
      </c>
      <c r="H293" s="9" t="n">
        <f aca="false">IF(G293&gt;0,D293/G293,"")</f>
        <v>14.7058823529412</v>
      </c>
      <c r="I293" s="10" t="n">
        <v>46224</v>
      </c>
      <c r="J293" s="3" t="s">
        <v>160</v>
      </c>
      <c r="K293" s="10" t="n">
        <v>46219</v>
      </c>
      <c r="L293" s="3" t="s">
        <v>14</v>
      </c>
      <c r="M293" s="7" t="n">
        <v>500</v>
      </c>
      <c r="N293" s="8" t="n">
        <v>0.9002</v>
      </c>
      <c r="O293" s="4" t="n">
        <f aca="false">M293*N293</f>
        <v>450.1</v>
      </c>
    </row>
    <row r="294" customFormat="false" ht="15" hidden="false" customHeight="false" outlineLevel="0" collapsed="false">
      <c r="A294" s="0" t="s">
        <v>589</v>
      </c>
      <c r="C294" s="0" t="s">
        <v>85</v>
      </c>
      <c r="D294" s="7" t="n">
        <v>455</v>
      </c>
      <c r="E294" s="8" t="n">
        <v>0.988</v>
      </c>
      <c r="F294" s="4" t="n">
        <f aca="false">D294*E294</f>
        <v>449.54</v>
      </c>
      <c r="G294" s="7" t="n">
        <v>22</v>
      </c>
      <c r="H294" s="9" t="n">
        <f aca="false">IF(G294&gt;0,D294/G294,"")</f>
        <v>20.6818181818182</v>
      </c>
      <c r="I294" s="10" t="n">
        <v>46290</v>
      </c>
      <c r="J294" s="3" t="s">
        <v>590</v>
      </c>
      <c r="K294" s="10" t="n">
        <v>45407</v>
      </c>
      <c r="L294" s="3" t="s">
        <v>223</v>
      </c>
      <c r="M294" s="7" t="n">
        <v>500</v>
      </c>
      <c r="N294" s="8" t="n">
        <v>0.988</v>
      </c>
      <c r="O294" s="4" t="n">
        <f aca="false">M294*N294</f>
        <v>494</v>
      </c>
    </row>
    <row r="295" customFormat="false" ht="15" hidden="false" customHeight="false" outlineLevel="0" collapsed="false">
      <c r="A295" s="0" t="s">
        <v>591</v>
      </c>
      <c r="C295" s="0" t="s">
        <v>40</v>
      </c>
      <c r="D295" s="7" t="n">
        <v>7557</v>
      </c>
      <c r="E295" s="8" t="n">
        <v>0.0594839221913458</v>
      </c>
      <c r="F295" s="4" t="n">
        <f aca="false">D295*E295</f>
        <v>449.52</v>
      </c>
      <c r="G295" s="7" t="n">
        <v>186</v>
      </c>
      <c r="H295" s="9" t="n">
        <f aca="false">IF(G295&gt;0,D295/G295,"")</f>
        <v>40.6290322580645</v>
      </c>
      <c r="I295" s="10" t="n">
        <v>46182</v>
      </c>
      <c r="J295" s="3" t="s">
        <v>592</v>
      </c>
      <c r="K295" s="10" t="n">
        <v>44713</v>
      </c>
      <c r="L295" s="3" t="s">
        <v>18</v>
      </c>
      <c r="M295" s="7" t="n">
        <v>6350</v>
      </c>
      <c r="N295" s="8" t="n">
        <v>0.0613</v>
      </c>
      <c r="O295" s="4" t="n">
        <f aca="false">M295*N295</f>
        <v>389.255</v>
      </c>
    </row>
    <row r="296" customFormat="false" ht="15" hidden="false" customHeight="false" outlineLevel="0" collapsed="false">
      <c r="A296" s="0" t="s">
        <v>593</v>
      </c>
      <c r="C296" s="0" t="s">
        <v>295</v>
      </c>
      <c r="D296" s="7" t="n">
        <v>4565</v>
      </c>
      <c r="E296" s="8" t="n">
        <v>0.0981467688937568</v>
      </c>
      <c r="F296" s="4" t="n">
        <f aca="false">D296*E296</f>
        <v>448.04</v>
      </c>
      <c r="G296" s="7" t="n">
        <v>174</v>
      </c>
      <c r="H296" s="9" t="n">
        <f aca="false">IF(G296&gt;0,D296/G296,"")</f>
        <v>26.235632183908</v>
      </c>
      <c r="I296" s="10" t="n">
        <v>46213</v>
      </c>
      <c r="J296" s="3" t="s">
        <v>594</v>
      </c>
      <c r="K296" s="10" t="n">
        <v>45897</v>
      </c>
      <c r="L296" s="3" t="s">
        <v>20</v>
      </c>
      <c r="M296" s="7" t="n">
        <v>4250</v>
      </c>
      <c r="N296" s="8" t="n">
        <v>0.09463</v>
      </c>
      <c r="O296" s="4" t="n">
        <f aca="false">M296*N296</f>
        <v>402.1775</v>
      </c>
    </row>
    <row r="297" customFormat="false" ht="15" hidden="false" customHeight="false" outlineLevel="0" collapsed="false">
      <c r="A297" s="0" t="s">
        <v>595</v>
      </c>
      <c r="C297" s="0" t="s">
        <v>295</v>
      </c>
      <c r="D297" s="7" t="n">
        <v>1132</v>
      </c>
      <c r="E297" s="8" t="n">
        <v>0.395583038869258</v>
      </c>
      <c r="F297" s="4" t="n">
        <f aca="false">D297*E297</f>
        <v>447.8</v>
      </c>
      <c r="G297" s="7" t="n">
        <v>49</v>
      </c>
      <c r="H297" s="9" t="n">
        <f aca="false">IF(G297&gt;0,D297/G297,"")</f>
        <v>23.1020408163265</v>
      </c>
      <c r="I297" s="10" t="n">
        <v>46181</v>
      </c>
      <c r="J297" s="3" t="s">
        <v>219</v>
      </c>
      <c r="K297" s="10" t="n">
        <v>45642</v>
      </c>
      <c r="L297" s="3" t="s">
        <v>15</v>
      </c>
      <c r="M297" s="7" t="n">
        <v>1260</v>
      </c>
      <c r="N297" s="8" t="n">
        <v>0.39558</v>
      </c>
      <c r="O297" s="4" t="n">
        <f aca="false">M297*N297</f>
        <v>498.4308</v>
      </c>
    </row>
    <row r="298" customFormat="false" ht="15" hidden="false" customHeight="false" outlineLevel="0" collapsed="false">
      <c r="A298" s="0" t="s">
        <v>596</v>
      </c>
      <c r="C298" s="0" t="s">
        <v>32</v>
      </c>
      <c r="D298" s="7" t="n">
        <v>11783</v>
      </c>
      <c r="E298" s="8" t="n">
        <v>0.0378893320886022</v>
      </c>
      <c r="F298" s="4" t="n">
        <f aca="false">D298*E298</f>
        <v>446.45</v>
      </c>
      <c r="G298" s="7" t="n">
        <v>5371</v>
      </c>
      <c r="H298" s="9" t="n">
        <f aca="false">IF(G298&gt;0,D298/G298,"")</f>
        <v>2.19381865574381</v>
      </c>
      <c r="I298" s="10" t="n">
        <v>46310</v>
      </c>
      <c r="J298" s="3" t="s">
        <v>597</v>
      </c>
      <c r="K298" s="10" t="n">
        <v>44293</v>
      </c>
      <c r="L298" s="3" t="s">
        <v>18</v>
      </c>
      <c r="M298" s="7" t="n">
        <v>33433</v>
      </c>
      <c r="N298" s="8" t="n">
        <v>0.0379</v>
      </c>
      <c r="O298" s="4" t="n">
        <f aca="false">M298*N298</f>
        <v>1267.1107</v>
      </c>
    </row>
    <row r="299" customFormat="false" ht="15" hidden="false" customHeight="false" outlineLevel="0" collapsed="false">
      <c r="A299" s="0" t="s">
        <v>598</v>
      </c>
      <c r="C299" s="0" t="s">
        <v>36</v>
      </c>
      <c r="D299" s="7" t="n">
        <v>5729</v>
      </c>
      <c r="E299" s="8" t="n">
        <v>0.0777989177866992</v>
      </c>
      <c r="F299" s="4" t="n">
        <f aca="false">D299*E299</f>
        <v>445.71</v>
      </c>
      <c r="G299" s="7" t="n">
        <v>843</v>
      </c>
      <c r="H299" s="9" t="n">
        <f aca="false">IF(G299&gt;0,D299/G299,"")</f>
        <v>6.79596678529063</v>
      </c>
      <c r="I299" s="10" t="n">
        <v>46191</v>
      </c>
      <c r="J299" s="3" t="s">
        <v>599</v>
      </c>
      <c r="K299" s="10" t="n">
        <v>44754</v>
      </c>
      <c r="L299" s="3" t="s">
        <v>18</v>
      </c>
      <c r="M299" s="7" t="n">
        <v>8000</v>
      </c>
      <c r="N299" s="8" t="n">
        <v>0.0778</v>
      </c>
      <c r="O299" s="4" t="n">
        <f aca="false">M299*N299</f>
        <v>622.4</v>
      </c>
    </row>
    <row r="300" customFormat="false" ht="15" hidden="false" customHeight="false" outlineLevel="0" collapsed="false">
      <c r="A300" s="0" t="s">
        <v>600</v>
      </c>
      <c r="C300" s="0" t="s">
        <v>32</v>
      </c>
      <c r="D300" s="7" t="n">
        <v>4950</v>
      </c>
      <c r="E300" s="8" t="n">
        <v>0.09</v>
      </c>
      <c r="F300" s="4" t="n">
        <f aca="false">D300*E300</f>
        <v>445.5</v>
      </c>
      <c r="G300" s="7" t="n">
        <v>1717</v>
      </c>
      <c r="H300" s="9" t="n">
        <f aca="false">IF(G300&gt;0,D300/G300,"")</f>
        <v>2.88293535235877</v>
      </c>
      <c r="I300" s="10" t="n">
        <v>46317</v>
      </c>
      <c r="J300" s="3" t="s">
        <v>601</v>
      </c>
      <c r="K300" s="10" t="n">
        <v>44727</v>
      </c>
      <c r="L300" s="3" t="s">
        <v>14</v>
      </c>
      <c r="M300" s="7" t="n">
        <v>5000</v>
      </c>
      <c r="N300" s="8" t="n">
        <v>0.0921</v>
      </c>
      <c r="O300" s="4" t="n">
        <f aca="false">M300*N300</f>
        <v>460.5</v>
      </c>
    </row>
    <row r="301" customFormat="false" ht="15" hidden="false" customHeight="false" outlineLevel="0" collapsed="false">
      <c r="A301" s="0" t="s">
        <v>602</v>
      </c>
      <c r="C301" s="0" t="s">
        <v>35</v>
      </c>
      <c r="D301" s="7" t="n">
        <v>5931</v>
      </c>
      <c r="E301" s="8" t="n">
        <v>0.0750699713370427</v>
      </c>
      <c r="F301" s="4" t="n">
        <f aca="false">D301*E301</f>
        <v>445.24</v>
      </c>
      <c r="G301" s="7" t="n">
        <v>40</v>
      </c>
      <c r="H301" s="9" t="n">
        <f aca="false">IF(G301&gt;0,D301/G301,"")</f>
        <v>148.275</v>
      </c>
      <c r="I301" s="10" t="n">
        <v>46265</v>
      </c>
      <c r="J301" s="3" t="s">
        <v>184</v>
      </c>
      <c r="K301" s="10" t="n">
        <v>45468</v>
      </c>
      <c r="L301" s="3" t="s">
        <v>20</v>
      </c>
      <c r="M301" s="7" t="n">
        <v>4000</v>
      </c>
      <c r="N301" s="8" t="n">
        <v>0.078</v>
      </c>
      <c r="O301" s="4" t="n">
        <f aca="false">M301*N301</f>
        <v>312</v>
      </c>
    </row>
    <row r="302" customFormat="false" ht="15" hidden="false" customHeight="false" outlineLevel="0" collapsed="false">
      <c r="A302" s="0" t="s">
        <v>603</v>
      </c>
      <c r="C302" s="0" t="s">
        <v>61</v>
      </c>
      <c r="D302" s="7" t="n">
        <v>416</v>
      </c>
      <c r="E302" s="8" t="n">
        <v>1.06848557692308</v>
      </c>
      <c r="F302" s="4" t="n">
        <f aca="false">D302*E302</f>
        <v>444.49</v>
      </c>
      <c r="G302" s="7" t="n">
        <v>284</v>
      </c>
      <c r="H302" s="9" t="n">
        <f aca="false">IF(G302&gt;0,D302/G302,"")</f>
        <v>1.46478873239437</v>
      </c>
      <c r="I302" s="10" t="n">
        <v>46273</v>
      </c>
      <c r="J302" s="3" t="s">
        <v>269</v>
      </c>
      <c r="K302" s="10" t="n">
        <v>46252</v>
      </c>
      <c r="L302" s="3" t="s">
        <v>14</v>
      </c>
      <c r="M302" s="7" t="n">
        <v>400</v>
      </c>
      <c r="N302" s="8" t="n">
        <v>1.0655</v>
      </c>
      <c r="O302" s="4" t="n">
        <f aca="false">M302*N302</f>
        <v>426.2</v>
      </c>
    </row>
    <row r="303" customFormat="false" ht="15" hidden="false" customHeight="false" outlineLevel="0" collapsed="false">
      <c r="A303" s="0" t="s">
        <v>604</v>
      </c>
      <c r="C303" s="0" t="s">
        <v>35</v>
      </c>
      <c r="D303" s="7" t="n">
        <v>2581</v>
      </c>
      <c r="E303" s="8" t="n">
        <v>0.171999225106548</v>
      </c>
      <c r="F303" s="4" t="n">
        <f aca="false">D303*E303</f>
        <v>443.93</v>
      </c>
      <c r="G303" s="7" t="n">
        <v>226</v>
      </c>
      <c r="H303" s="9" t="n">
        <f aca="false">IF(G303&gt;0,D303/G303,"")</f>
        <v>11.4203539823009</v>
      </c>
      <c r="I303" s="10" t="n">
        <v>46226</v>
      </c>
      <c r="J303" s="3" t="s">
        <v>184</v>
      </c>
      <c r="K303" s="10" t="n">
        <v>45468</v>
      </c>
      <c r="L303" s="3" t="s">
        <v>20</v>
      </c>
      <c r="M303" s="7" t="n">
        <v>2000</v>
      </c>
      <c r="N303" s="8" t="n">
        <v>0.172</v>
      </c>
      <c r="O303" s="4" t="n">
        <f aca="false">M303*N303</f>
        <v>344</v>
      </c>
    </row>
    <row r="304" customFormat="false" ht="15" hidden="false" customHeight="false" outlineLevel="0" collapsed="false">
      <c r="A304" s="0" t="s">
        <v>605</v>
      </c>
      <c r="C304" s="0" t="s">
        <v>100</v>
      </c>
      <c r="D304" s="7" t="n">
        <v>266</v>
      </c>
      <c r="E304" s="8" t="n">
        <v>1.66729323308271</v>
      </c>
      <c r="F304" s="4" t="n">
        <f aca="false">D304*E304</f>
        <v>443.5</v>
      </c>
      <c r="G304" s="7" t="n">
        <v>260</v>
      </c>
      <c r="H304" s="9" t="n">
        <f aca="false">IF(G304&gt;0,D304/G304,"")</f>
        <v>1.02307692307692</v>
      </c>
      <c r="I304" s="10" t="n">
        <v>46315</v>
      </c>
      <c r="J304" s="3" t="s">
        <v>606</v>
      </c>
      <c r="K304" s="10" t="n">
        <v>46252</v>
      </c>
      <c r="L304" s="3" t="s">
        <v>16</v>
      </c>
      <c r="M304" s="7" t="n">
        <v>240</v>
      </c>
      <c r="N304" s="8" t="n">
        <v>1.6673</v>
      </c>
      <c r="O304" s="4" t="n">
        <f aca="false">M304*N304</f>
        <v>400.152</v>
      </c>
    </row>
    <row r="305" customFormat="false" ht="15" hidden="false" customHeight="false" outlineLevel="0" collapsed="false">
      <c r="A305" s="0" t="s">
        <v>607</v>
      </c>
      <c r="C305" s="0" t="s">
        <v>100</v>
      </c>
      <c r="D305" s="7" t="n">
        <v>463</v>
      </c>
      <c r="E305" s="8" t="n">
        <v>0.954686825053996</v>
      </c>
      <c r="F305" s="4" t="n">
        <f aca="false">D305*E305</f>
        <v>442.02</v>
      </c>
      <c r="G305" s="7" t="n">
        <v>29</v>
      </c>
      <c r="H305" s="9" t="n">
        <f aca="false">IF(G305&gt;0,D305/G305,"")</f>
        <v>15.9655172413793</v>
      </c>
      <c r="I305" s="10" t="n">
        <v>46000</v>
      </c>
      <c r="J305" s="3" t="s">
        <v>587</v>
      </c>
      <c r="K305" s="10" t="n">
        <v>45539</v>
      </c>
      <c r="L305" s="3" t="s">
        <v>16</v>
      </c>
      <c r="M305" s="7" t="n">
        <v>500</v>
      </c>
      <c r="N305" s="8" t="n">
        <v>0.9547</v>
      </c>
      <c r="O305" s="4" t="n">
        <f aca="false">M305*N305</f>
        <v>477.35</v>
      </c>
    </row>
    <row r="306" customFormat="false" ht="15" hidden="false" customHeight="false" outlineLevel="0" collapsed="false">
      <c r="A306" s="0" t="s">
        <v>608</v>
      </c>
      <c r="C306" s="0" t="s">
        <v>609</v>
      </c>
      <c r="D306" s="7" t="n">
        <v>198</v>
      </c>
      <c r="E306" s="8" t="n">
        <v>2.23</v>
      </c>
      <c r="F306" s="4" t="n">
        <f aca="false">D306*E306</f>
        <v>441.54</v>
      </c>
      <c r="G306" s="7" t="n">
        <v>2</v>
      </c>
      <c r="H306" s="9" t="n">
        <f aca="false">IF(G306&gt;0,D306/G306,"")</f>
        <v>99</v>
      </c>
      <c r="I306" s="10" t="n">
        <v>46258</v>
      </c>
      <c r="K306" s="10"/>
      <c r="M306" s="7"/>
      <c r="N306" s="8"/>
      <c r="O306" s="4"/>
    </row>
    <row r="307" customFormat="false" ht="15" hidden="false" customHeight="false" outlineLevel="0" collapsed="false">
      <c r="A307" s="0" t="s">
        <v>610</v>
      </c>
      <c r="C307" s="0" t="s">
        <v>609</v>
      </c>
      <c r="D307" s="7" t="n">
        <v>239</v>
      </c>
      <c r="E307" s="8" t="n">
        <v>1.84481171548117</v>
      </c>
      <c r="F307" s="4" t="n">
        <f aca="false">D307*E307</f>
        <v>440.91</v>
      </c>
      <c r="G307" s="7" t="n">
        <v>13</v>
      </c>
      <c r="H307" s="9" t="n">
        <f aca="false">IF(G307&gt;0,D307/G307,"")</f>
        <v>18.3846153846154</v>
      </c>
      <c r="I307" s="10" t="n">
        <v>46156</v>
      </c>
      <c r="J307" s="3" t="s">
        <v>611</v>
      </c>
      <c r="K307" s="10" t="n">
        <v>45141</v>
      </c>
      <c r="L307" s="3" t="s">
        <v>14</v>
      </c>
      <c r="M307" s="7" t="n">
        <v>225</v>
      </c>
      <c r="N307" s="8" t="n">
        <v>1.882</v>
      </c>
      <c r="O307" s="4" t="n">
        <f aca="false">M307*N307</f>
        <v>423.45</v>
      </c>
    </row>
    <row r="308" customFormat="false" ht="15" hidden="false" customHeight="false" outlineLevel="0" collapsed="false">
      <c r="A308" s="0" t="s">
        <v>612</v>
      </c>
      <c r="C308" s="0" t="s">
        <v>36</v>
      </c>
      <c r="D308" s="7" t="n">
        <v>5042</v>
      </c>
      <c r="E308" s="8" t="n">
        <v>0.0872054740182467</v>
      </c>
      <c r="F308" s="4" t="n">
        <f aca="false">D308*E308</f>
        <v>439.69</v>
      </c>
      <c r="G308" s="7" t="n">
        <v>138</v>
      </c>
      <c r="H308" s="9" t="n">
        <f aca="false">IF(G308&gt;0,D308/G308,"")</f>
        <v>36.536231884058</v>
      </c>
      <c r="I308" s="10" t="n">
        <v>46178</v>
      </c>
      <c r="J308" s="3" t="s">
        <v>613</v>
      </c>
      <c r="K308" s="10" t="n">
        <v>44852</v>
      </c>
      <c r="L308" s="3" t="s">
        <v>18</v>
      </c>
      <c r="M308" s="7" t="n">
        <v>6100</v>
      </c>
      <c r="N308" s="8" t="n">
        <v>0.0872</v>
      </c>
      <c r="O308" s="4" t="n">
        <f aca="false">M308*N308</f>
        <v>531.92</v>
      </c>
    </row>
    <row r="309" customFormat="false" ht="15" hidden="false" customHeight="false" outlineLevel="0" collapsed="false">
      <c r="A309" s="0" t="s">
        <v>614</v>
      </c>
      <c r="C309" s="0" t="s">
        <v>615</v>
      </c>
      <c r="D309" s="7" t="n">
        <v>16632</v>
      </c>
      <c r="E309" s="8" t="n">
        <v>0.0264027176527177</v>
      </c>
      <c r="F309" s="4" t="n">
        <f aca="false">D309*E309</f>
        <v>439.13</v>
      </c>
      <c r="G309" s="7" t="n">
        <v>2950</v>
      </c>
      <c r="H309" s="9" t="n">
        <f aca="false">IF(G309&gt;0,D309/G309,"")</f>
        <v>5.63796610169492</v>
      </c>
      <c r="I309" s="10" t="n">
        <v>46202</v>
      </c>
      <c r="J309" s="3" t="s">
        <v>616</v>
      </c>
      <c r="K309" s="10" t="n">
        <v>46038</v>
      </c>
      <c r="L309" s="3" t="s">
        <v>15</v>
      </c>
      <c r="M309" s="7" t="n">
        <v>7650</v>
      </c>
      <c r="N309" s="8" t="n">
        <v>0.00458</v>
      </c>
      <c r="O309" s="4" t="n">
        <f aca="false">M309*N309</f>
        <v>35.037</v>
      </c>
    </row>
    <row r="310" customFormat="false" ht="15" hidden="false" customHeight="false" outlineLevel="0" collapsed="false">
      <c r="A310" s="0" t="s">
        <v>617</v>
      </c>
      <c r="C310" s="0" t="s">
        <v>31</v>
      </c>
      <c r="D310" s="7" t="n">
        <v>6449</v>
      </c>
      <c r="E310" s="8" t="n">
        <v>0.0680787719026206</v>
      </c>
      <c r="F310" s="4" t="n">
        <f aca="false">D310*E310</f>
        <v>439.04</v>
      </c>
      <c r="G310" s="7" t="n">
        <v>15</v>
      </c>
      <c r="H310" s="9" t="n">
        <f aca="false">IF(G310&gt;0,D310/G310,"")</f>
        <v>429.933333333333</v>
      </c>
      <c r="I310" s="10" t="n">
        <v>46014</v>
      </c>
      <c r="J310" s="3" t="s">
        <v>618</v>
      </c>
      <c r="K310" s="10" t="n">
        <v>44729</v>
      </c>
      <c r="L310" s="3" t="s">
        <v>16</v>
      </c>
      <c r="M310" s="7" t="n">
        <v>6502</v>
      </c>
      <c r="N310" s="8" t="n">
        <v>0</v>
      </c>
      <c r="O310" s="4" t="n">
        <v>442.65</v>
      </c>
    </row>
    <row r="311" customFormat="false" ht="15" hidden="false" customHeight="false" outlineLevel="0" collapsed="false">
      <c r="A311" s="0" t="s">
        <v>619</v>
      </c>
      <c r="C311" s="0" t="s">
        <v>40</v>
      </c>
      <c r="D311" s="7" t="n">
        <v>12050</v>
      </c>
      <c r="E311" s="8" t="n">
        <v>0.0364340248962656</v>
      </c>
      <c r="F311" s="4" t="n">
        <f aca="false">D311*E311</f>
        <v>439.03</v>
      </c>
      <c r="G311" s="7" t="n">
        <v>4450</v>
      </c>
      <c r="H311" s="9" t="n">
        <f aca="false">IF(G311&gt;0,D311/G311,"")</f>
        <v>2.70786516853933</v>
      </c>
      <c r="I311" s="10" t="n">
        <v>46126</v>
      </c>
      <c r="J311" s="3" t="s">
        <v>620</v>
      </c>
      <c r="K311" s="10" t="n">
        <v>46146</v>
      </c>
      <c r="L311" s="3" t="s">
        <v>16</v>
      </c>
      <c r="M311" s="7" t="n">
        <v>10000</v>
      </c>
      <c r="N311" s="8" t="n">
        <v>0.0372</v>
      </c>
      <c r="O311" s="4" t="n">
        <f aca="false">M311*N311</f>
        <v>372</v>
      </c>
    </row>
    <row r="312" customFormat="false" ht="15" hidden="false" customHeight="false" outlineLevel="0" collapsed="false">
      <c r="A312" s="0" t="s">
        <v>621</v>
      </c>
      <c r="C312" s="0" t="s">
        <v>32</v>
      </c>
      <c r="D312" s="7" t="n">
        <v>4660</v>
      </c>
      <c r="E312" s="8" t="n">
        <v>0.0940536480686695</v>
      </c>
      <c r="F312" s="4" t="n">
        <f aca="false">D312*E312</f>
        <v>438.29</v>
      </c>
      <c r="G312" s="7" t="n">
        <v>273</v>
      </c>
      <c r="H312" s="9" t="n">
        <f aca="false">IF(G312&gt;0,D312/G312,"")</f>
        <v>17.0695970695971</v>
      </c>
      <c r="I312" s="10" t="n">
        <v>46280</v>
      </c>
      <c r="J312" s="3" t="s">
        <v>550</v>
      </c>
      <c r="K312" s="10" t="n">
        <v>45922</v>
      </c>
      <c r="L312" s="3" t="s">
        <v>14</v>
      </c>
      <c r="M312" s="7" t="n">
        <v>5000</v>
      </c>
      <c r="N312" s="8" t="n">
        <v>0.0702</v>
      </c>
      <c r="O312" s="4" t="n">
        <f aca="false">M312*N312</f>
        <v>351</v>
      </c>
    </row>
    <row r="313" customFormat="false" ht="15" hidden="false" customHeight="false" outlineLevel="0" collapsed="false">
      <c r="A313" s="0" t="s">
        <v>622</v>
      </c>
      <c r="C313" s="0" t="s">
        <v>39</v>
      </c>
      <c r="D313" s="7" t="n">
        <v>1391</v>
      </c>
      <c r="E313" s="8" t="n">
        <v>0.31451473759885</v>
      </c>
      <c r="F313" s="4" t="n">
        <f aca="false">D313*E313</f>
        <v>437.49</v>
      </c>
      <c r="G313" s="7" t="n">
        <v>266</v>
      </c>
      <c r="H313" s="9" t="n">
        <f aca="false">IF(G313&gt;0,D313/G313,"")</f>
        <v>5.22932330827068</v>
      </c>
      <c r="I313" s="10" t="n">
        <v>46296</v>
      </c>
      <c r="J313" s="3" t="s">
        <v>623</v>
      </c>
      <c r="K313" s="10" t="n">
        <v>46294</v>
      </c>
      <c r="L313" s="3" t="s">
        <v>16</v>
      </c>
      <c r="M313" s="7" t="n">
        <v>632</v>
      </c>
      <c r="N313" s="8" t="n">
        <v>0.2475</v>
      </c>
      <c r="O313" s="4" t="n">
        <f aca="false">M313*N313</f>
        <v>156.42</v>
      </c>
    </row>
    <row r="314" customFormat="false" ht="15" hidden="false" customHeight="false" outlineLevel="0" collapsed="false">
      <c r="A314" s="0" t="s">
        <v>624</v>
      </c>
      <c r="C314" s="0" t="s">
        <v>32</v>
      </c>
      <c r="D314" s="7" t="n">
        <v>5570</v>
      </c>
      <c r="E314" s="8" t="n">
        <v>0.0785008976660682</v>
      </c>
      <c r="F314" s="4" t="n">
        <f aca="false">D314*E314</f>
        <v>437.25</v>
      </c>
      <c r="G314" s="7" t="n">
        <v>2444</v>
      </c>
      <c r="H314" s="9" t="n">
        <f aca="false">IF(G314&gt;0,D314/G314,"")</f>
        <v>2.27905073649755</v>
      </c>
      <c r="I314" s="10" t="n">
        <v>46316</v>
      </c>
      <c r="J314" s="3" t="s">
        <v>568</v>
      </c>
      <c r="K314" s="10" t="n">
        <v>46268</v>
      </c>
      <c r="L314" s="3" t="s">
        <v>14</v>
      </c>
      <c r="M314" s="7" t="n">
        <v>5000</v>
      </c>
      <c r="N314" s="8" t="n">
        <v>0.0789</v>
      </c>
      <c r="O314" s="4" t="n">
        <f aca="false">M314*N314</f>
        <v>394.5</v>
      </c>
    </row>
    <row r="315" customFormat="false" ht="15" hidden="false" customHeight="false" outlineLevel="0" collapsed="false">
      <c r="A315" s="0" t="s">
        <v>625</v>
      </c>
      <c r="C315" s="0" t="s">
        <v>38</v>
      </c>
      <c r="D315" s="7" t="n">
        <v>19741</v>
      </c>
      <c r="E315" s="8" t="n">
        <v>0.0220996909984297</v>
      </c>
      <c r="F315" s="4" t="n">
        <f aca="false">D315*E315</f>
        <v>436.27</v>
      </c>
      <c r="G315" s="7" t="n">
        <v>6154</v>
      </c>
      <c r="H315" s="9" t="n">
        <f aca="false">IF(G315&gt;0,D315/G315,"")</f>
        <v>3.2078323041924</v>
      </c>
      <c r="I315" s="10" t="n">
        <v>46317</v>
      </c>
      <c r="J315" s="3" t="s">
        <v>626</v>
      </c>
      <c r="K315" s="10" t="n">
        <v>46246</v>
      </c>
      <c r="L315" s="3" t="s">
        <v>14</v>
      </c>
      <c r="M315" s="7" t="n">
        <v>20000</v>
      </c>
      <c r="N315" s="8" t="n">
        <v>0.0221</v>
      </c>
      <c r="O315" s="4" t="n">
        <f aca="false">M315*N315</f>
        <v>442</v>
      </c>
    </row>
    <row r="316" customFormat="false" ht="15" hidden="false" customHeight="false" outlineLevel="0" collapsed="false">
      <c r="A316" s="0" t="s">
        <v>627</v>
      </c>
      <c r="C316" s="0" t="s">
        <v>100</v>
      </c>
      <c r="D316" s="7" t="n">
        <v>300</v>
      </c>
      <c r="E316" s="8" t="n">
        <v>1.4522</v>
      </c>
      <c r="F316" s="4" t="n">
        <f aca="false">D316*E316</f>
        <v>435.66</v>
      </c>
      <c r="G316" s="7" t="n">
        <v>100</v>
      </c>
      <c r="H316" s="9" t="n">
        <f aca="false">IF(G316&gt;0,D316/G316,"")</f>
        <v>3</v>
      </c>
      <c r="I316" s="10" t="n">
        <v>46066</v>
      </c>
      <c r="J316" s="3" t="s">
        <v>628</v>
      </c>
      <c r="K316" s="10" t="n">
        <v>46128</v>
      </c>
      <c r="L316" s="3" t="s">
        <v>16</v>
      </c>
      <c r="M316" s="7" t="n">
        <v>300</v>
      </c>
      <c r="N316" s="8" t="n">
        <v>1.4522</v>
      </c>
      <c r="O316" s="4" t="n">
        <f aca="false">M316*N316</f>
        <v>435.66</v>
      </c>
    </row>
    <row r="317" customFormat="false" ht="15" hidden="false" customHeight="false" outlineLevel="0" collapsed="false">
      <c r="A317" s="0" t="s">
        <v>629</v>
      </c>
      <c r="C317" s="0" t="s">
        <v>37</v>
      </c>
      <c r="D317" s="7" t="n">
        <v>6618</v>
      </c>
      <c r="E317" s="8" t="n">
        <v>0.0656633423995165</v>
      </c>
      <c r="F317" s="4" t="n">
        <f aca="false">D317*E317</f>
        <v>434.56</v>
      </c>
      <c r="G317" s="7" t="n">
        <v>122</v>
      </c>
      <c r="H317" s="9" t="n">
        <f aca="false">IF(G317&gt;0,D317/G317,"")</f>
        <v>54.2459016393443</v>
      </c>
      <c r="I317" s="10" t="n">
        <v>46288</v>
      </c>
      <c r="J317" s="3" t="s">
        <v>238</v>
      </c>
      <c r="K317" s="10" t="n">
        <v>45689</v>
      </c>
      <c r="L317" s="3" t="s">
        <v>15</v>
      </c>
      <c r="M317" s="7" t="n">
        <v>6590</v>
      </c>
      <c r="N317" s="8" t="n">
        <v>0.067</v>
      </c>
      <c r="O317" s="4" t="n">
        <f aca="false">M317*N317</f>
        <v>441.53</v>
      </c>
    </row>
    <row r="318" customFormat="false" ht="15" hidden="false" customHeight="false" outlineLevel="0" collapsed="false">
      <c r="A318" s="0" t="s">
        <v>630</v>
      </c>
      <c r="C318" s="0" t="s">
        <v>34</v>
      </c>
      <c r="D318" s="7" t="n">
        <v>3181</v>
      </c>
      <c r="E318" s="8" t="n">
        <v>0.136353348003772</v>
      </c>
      <c r="F318" s="4" t="n">
        <f aca="false">D318*E318</f>
        <v>433.74</v>
      </c>
      <c r="G318" s="7" t="n">
        <v>15</v>
      </c>
      <c r="H318" s="9" t="n">
        <f aca="false">IF(G318&gt;0,D318/G318,"")</f>
        <v>212.066666666667</v>
      </c>
      <c r="I318" s="10" t="n">
        <v>46143</v>
      </c>
      <c r="J318" s="3" t="s">
        <v>631</v>
      </c>
      <c r="K318" s="10" t="n">
        <v>44307</v>
      </c>
      <c r="L318" s="3" t="s">
        <v>16</v>
      </c>
      <c r="M318" s="7" t="n">
        <v>3200</v>
      </c>
      <c r="N318" s="8" t="n">
        <v>0.13635</v>
      </c>
      <c r="O318" s="4" t="n">
        <f aca="false">M318*N318</f>
        <v>436.32</v>
      </c>
    </row>
    <row r="319" customFormat="false" ht="15" hidden="false" customHeight="false" outlineLevel="0" collapsed="false">
      <c r="A319" s="0" t="s">
        <v>632</v>
      </c>
      <c r="C319" s="0" t="s">
        <v>35</v>
      </c>
      <c r="D319" s="7" t="n">
        <v>3310</v>
      </c>
      <c r="E319" s="8" t="n">
        <v>0.131003021148036</v>
      </c>
      <c r="F319" s="4" t="n">
        <f aca="false">D319*E319</f>
        <v>433.62</v>
      </c>
      <c r="G319" s="7" t="n">
        <v>2634</v>
      </c>
      <c r="H319" s="9" t="n">
        <f aca="false">IF(G319&gt;0,D319/G319,"")</f>
        <v>1.25664388762339</v>
      </c>
      <c r="I319" s="10" t="n">
        <v>46287</v>
      </c>
      <c r="J319" s="3" t="s">
        <v>633</v>
      </c>
      <c r="K319" s="10" t="n">
        <v>45758</v>
      </c>
      <c r="L319" s="3" t="s">
        <v>20</v>
      </c>
      <c r="M319" s="7" t="n">
        <v>6000</v>
      </c>
      <c r="N319" s="8" t="n">
        <v>0.131</v>
      </c>
      <c r="O319" s="4" t="n">
        <f aca="false">M319*N319</f>
        <v>786</v>
      </c>
    </row>
    <row r="320" customFormat="false" ht="15" hidden="false" customHeight="false" outlineLevel="0" collapsed="false">
      <c r="A320" s="0" t="s">
        <v>634</v>
      </c>
      <c r="C320" s="0" t="s">
        <v>40</v>
      </c>
      <c r="D320" s="7" t="n">
        <v>46419</v>
      </c>
      <c r="E320" s="8" t="n">
        <v>0.00929813223033672</v>
      </c>
      <c r="F320" s="4" t="n">
        <f aca="false">D320*E320</f>
        <v>431.61</v>
      </c>
      <c r="G320" s="7" t="n">
        <v>10840</v>
      </c>
      <c r="H320" s="9" t="n">
        <f aca="false">IF(G320&gt;0,D320/G320,"")</f>
        <v>4.28219557195572</v>
      </c>
      <c r="I320" s="10" t="n">
        <v>46308</v>
      </c>
      <c r="K320" s="10"/>
      <c r="M320" s="7"/>
      <c r="N320" s="8"/>
      <c r="O320" s="4"/>
    </row>
    <row r="321" customFormat="false" ht="15" hidden="false" customHeight="false" outlineLevel="0" collapsed="false">
      <c r="A321" s="0" t="s">
        <v>635</v>
      </c>
      <c r="D321" s="7" t="n">
        <v>238</v>
      </c>
      <c r="E321" s="8" t="n">
        <v>1.81310924369748</v>
      </c>
      <c r="F321" s="4" t="n">
        <f aca="false">D321*E321</f>
        <v>431.52</v>
      </c>
      <c r="G321" s="7" t="n">
        <v>5</v>
      </c>
      <c r="H321" s="9" t="n">
        <f aca="false">IF(G321&gt;0,D321/G321,"")</f>
        <v>47.6</v>
      </c>
      <c r="I321" s="10" t="n">
        <v>46239</v>
      </c>
      <c r="J321" s="3" t="s">
        <v>636</v>
      </c>
      <c r="K321" s="10" t="n">
        <v>45539</v>
      </c>
      <c r="L321" s="3" t="s">
        <v>23</v>
      </c>
      <c r="M321" s="7" t="n">
        <v>276</v>
      </c>
      <c r="N321" s="8" t="n">
        <v>1.8131</v>
      </c>
      <c r="O321" s="4" t="n">
        <f aca="false">M321*N321</f>
        <v>500.4156</v>
      </c>
    </row>
    <row r="322" customFormat="false" ht="15" hidden="false" customHeight="false" outlineLevel="0" collapsed="false">
      <c r="A322" s="0" t="s">
        <v>637</v>
      </c>
      <c r="C322" s="0" t="s">
        <v>35</v>
      </c>
      <c r="D322" s="7" t="n">
        <v>3477</v>
      </c>
      <c r="E322" s="8" t="n">
        <v>0.123937302272074</v>
      </c>
      <c r="F322" s="4" t="n">
        <f aca="false">D322*E322</f>
        <v>430.93</v>
      </c>
      <c r="G322" s="7" t="n">
        <v>251</v>
      </c>
      <c r="H322" s="9" t="n">
        <f aca="false">IF(G322&gt;0,D322/G322,"")</f>
        <v>13.8525896414343</v>
      </c>
      <c r="I322" s="10" t="n">
        <v>46260</v>
      </c>
      <c r="J322" s="3" t="s">
        <v>267</v>
      </c>
      <c r="K322" s="10" t="n">
        <v>45478</v>
      </c>
      <c r="L322" s="3" t="s">
        <v>20</v>
      </c>
      <c r="M322" s="7" t="n">
        <v>3700</v>
      </c>
      <c r="N322" s="8" t="n">
        <v>0.122</v>
      </c>
      <c r="O322" s="4" t="n">
        <f aca="false">M322*N322</f>
        <v>451.4</v>
      </c>
    </row>
    <row r="323" customFormat="false" ht="15" hidden="false" customHeight="false" outlineLevel="0" collapsed="false">
      <c r="A323" s="0" t="s">
        <v>638</v>
      </c>
      <c r="C323" s="0" t="s">
        <v>41</v>
      </c>
      <c r="D323" s="7" t="n">
        <v>9923</v>
      </c>
      <c r="E323" s="8" t="n">
        <v>0.0432006449662401</v>
      </c>
      <c r="F323" s="4" t="n">
        <f aca="false">D323*E323</f>
        <v>428.68</v>
      </c>
      <c r="G323" s="7" t="n">
        <v>6278</v>
      </c>
      <c r="H323" s="9" t="n">
        <f aca="false">IF(G323&gt;0,D323/G323,"")</f>
        <v>1.5805989168525</v>
      </c>
      <c r="I323" s="10" t="n">
        <v>46225</v>
      </c>
      <c r="J323" s="3" t="s">
        <v>639</v>
      </c>
      <c r="K323" s="10" t="n">
        <v>46038</v>
      </c>
      <c r="L323" s="3" t="s">
        <v>25</v>
      </c>
      <c r="M323" s="7" t="n">
        <v>10700</v>
      </c>
      <c r="N323" s="8" t="n">
        <v>0.0432</v>
      </c>
      <c r="O323" s="4" t="n">
        <f aca="false">M323*N323</f>
        <v>462.24</v>
      </c>
    </row>
    <row r="324" customFormat="false" ht="15" hidden="false" customHeight="false" outlineLevel="0" collapsed="false">
      <c r="A324" s="0" t="s">
        <v>640</v>
      </c>
      <c r="C324" s="0" t="s">
        <v>31</v>
      </c>
      <c r="D324" s="7" t="n">
        <v>193579</v>
      </c>
      <c r="E324" s="8" t="n">
        <v>0.00219998036977151</v>
      </c>
      <c r="F324" s="4" t="n">
        <f aca="false">D324*E324</f>
        <v>425.87</v>
      </c>
      <c r="G324" s="7" t="n">
        <v>55632</v>
      </c>
      <c r="H324" s="9" t="n">
        <f aca="false">IF(G324&gt;0,D324/G324,"")</f>
        <v>3.47963402358355</v>
      </c>
      <c r="I324" s="10" t="n">
        <v>46308</v>
      </c>
      <c r="J324" s="3" t="s">
        <v>641</v>
      </c>
      <c r="K324" s="10" t="n">
        <v>45826</v>
      </c>
      <c r="L324" s="3" t="s">
        <v>19</v>
      </c>
      <c r="M324" s="7" t="n">
        <v>20000</v>
      </c>
      <c r="N324" s="8" t="n">
        <v>0.0057</v>
      </c>
      <c r="O324" s="4" t="n">
        <f aca="false">M324*N324</f>
        <v>114</v>
      </c>
    </row>
    <row r="325" customFormat="false" ht="15" hidden="false" customHeight="false" outlineLevel="0" collapsed="false">
      <c r="A325" s="0" t="s">
        <v>642</v>
      </c>
      <c r="C325" s="0" t="s">
        <v>61</v>
      </c>
      <c r="D325" s="7" t="n">
        <v>435</v>
      </c>
      <c r="E325" s="8" t="n">
        <v>0.972988505747127</v>
      </c>
      <c r="F325" s="4" t="n">
        <f aca="false">D325*E325</f>
        <v>423.25</v>
      </c>
      <c r="G325" s="7" t="n">
        <v>2</v>
      </c>
      <c r="H325" s="9" t="n">
        <f aca="false">IF(G325&gt;0,D325/G325,"")</f>
        <v>217.5</v>
      </c>
      <c r="I325" s="10" t="n">
        <v>46027</v>
      </c>
      <c r="K325" s="10"/>
      <c r="M325" s="7"/>
      <c r="N325" s="8"/>
      <c r="O325" s="4"/>
    </row>
    <row r="326" customFormat="false" ht="15" hidden="false" customHeight="false" outlineLevel="0" collapsed="false">
      <c r="A326" s="0" t="s">
        <v>643</v>
      </c>
      <c r="C326" s="0" t="s">
        <v>31</v>
      </c>
      <c r="D326" s="7" t="n">
        <v>26278</v>
      </c>
      <c r="E326" s="8" t="n">
        <v>0.0160407945810183</v>
      </c>
      <c r="F326" s="4" t="n">
        <f aca="false">D326*E326</f>
        <v>421.52</v>
      </c>
      <c r="G326" s="7" t="n">
        <v>10</v>
      </c>
      <c r="H326" s="9" t="n">
        <f aca="false">IF(G326&gt;0,D326/G326,"")</f>
        <v>2627.8</v>
      </c>
      <c r="I326" s="10" t="n">
        <v>46044</v>
      </c>
      <c r="J326" s="3" t="s">
        <v>644</v>
      </c>
      <c r="K326" s="10" t="n">
        <v>44867</v>
      </c>
      <c r="L326" s="3" t="s">
        <v>19</v>
      </c>
      <c r="M326" s="7" t="n">
        <v>8000</v>
      </c>
      <c r="N326" s="8" t="n">
        <v>0.0149</v>
      </c>
      <c r="O326" s="4" t="n">
        <f aca="false">M326*N326</f>
        <v>119.2</v>
      </c>
    </row>
    <row r="327" customFormat="false" ht="15" hidden="false" customHeight="false" outlineLevel="0" collapsed="false">
      <c r="A327" s="0" t="s">
        <v>645</v>
      </c>
      <c r="C327" s="0" t="s">
        <v>35</v>
      </c>
      <c r="D327" s="7" t="n">
        <v>1325</v>
      </c>
      <c r="E327" s="8" t="n">
        <v>0.316732075471698</v>
      </c>
      <c r="F327" s="4" t="n">
        <f aca="false">D327*E327</f>
        <v>419.67</v>
      </c>
      <c r="G327" s="7" t="n">
        <v>6</v>
      </c>
      <c r="H327" s="9" t="n">
        <f aca="false">IF(G327&gt;0,D327/G327,"")</f>
        <v>220.833333333333</v>
      </c>
      <c r="I327" s="10" t="n">
        <v>46266</v>
      </c>
      <c r="J327" s="3" t="s">
        <v>184</v>
      </c>
      <c r="K327" s="10" t="n">
        <v>45468</v>
      </c>
      <c r="L327" s="3" t="s">
        <v>20</v>
      </c>
      <c r="M327" s="7" t="n">
        <v>1000</v>
      </c>
      <c r="N327" s="8" t="n">
        <v>0.35</v>
      </c>
      <c r="O327" s="4" t="n">
        <f aca="false">M327*N327</f>
        <v>350</v>
      </c>
    </row>
    <row r="328" customFormat="false" ht="15" hidden="false" customHeight="false" outlineLevel="0" collapsed="false">
      <c r="A328" s="0" t="s">
        <v>646</v>
      </c>
      <c r="C328" s="0" t="s">
        <v>32</v>
      </c>
      <c r="D328" s="7" t="n">
        <v>2185</v>
      </c>
      <c r="E328" s="8" t="n">
        <v>0.191935926773455</v>
      </c>
      <c r="F328" s="4" t="n">
        <f aca="false">D328*E328</f>
        <v>419.38</v>
      </c>
      <c r="G328" s="7" t="n">
        <v>1810</v>
      </c>
      <c r="H328" s="9" t="n">
        <f aca="false">IF(G328&gt;0,D328/G328,"")</f>
        <v>1.20718232044199</v>
      </c>
      <c r="I328" s="10" t="n">
        <v>46300</v>
      </c>
      <c r="J328" s="3" t="s">
        <v>548</v>
      </c>
      <c r="K328" s="10" t="n">
        <v>46217</v>
      </c>
      <c r="L328" s="3" t="s">
        <v>14</v>
      </c>
      <c r="M328" s="7" t="n">
        <v>1500</v>
      </c>
      <c r="N328" s="8" t="n">
        <v>0.2289</v>
      </c>
      <c r="O328" s="4" t="n">
        <f aca="false">M328*N328</f>
        <v>343.35</v>
      </c>
    </row>
    <row r="329" customFormat="false" ht="15" hidden="false" customHeight="false" outlineLevel="0" collapsed="false">
      <c r="A329" s="0" t="s">
        <v>647</v>
      </c>
      <c r="C329" s="0" t="s">
        <v>39</v>
      </c>
      <c r="D329" s="7" t="n">
        <v>1436</v>
      </c>
      <c r="E329" s="8" t="n">
        <v>0.291901114206128</v>
      </c>
      <c r="F329" s="4" t="n">
        <f aca="false">D329*E329</f>
        <v>419.17</v>
      </c>
      <c r="G329" s="7" t="n">
        <v>184</v>
      </c>
      <c r="H329" s="9" t="n">
        <f aca="false">IF(G329&gt;0,D329/G329,"")</f>
        <v>7.80434782608696</v>
      </c>
      <c r="I329" s="10" t="n">
        <v>46234</v>
      </c>
      <c r="J329" s="3" t="s">
        <v>648</v>
      </c>
      <c r="K329" s="10" t="n">
        <v>44784</v>
      </c>
      <c r="L329" s="3" t="s">
        <v>15</v>
      </c>
      <c r="M329" s="7" t="n">
        <v>874</v>
      </c>
      <c r="N329" s="8" t="n">
        <v>0.28098</v>
      </c>
      <c r="O329" s="4" t="n">
        <f aca="false">M329*N329</f>
        <v>245.57652</v>
      </c>
    </row>
    <row r="330" customFormat="false" ht="15" hidden="false" customHeight="false" outlineLevel="0" collapsed="false">
      <c r="A330" s="0" t="s">
        <v>649</v>
      </c>
      <c r="C330" s="0" t="s">
        <v>225</v>
      </c>
      <c r="D330" s="7" t="n">
        <v>11</v>
      </c>
      <c r="E330" s="8" t="n">
        <v>38.0854545454546</v>
      </c>
      <c r="F330" s="4" t="n">
        <f aca="false">D330*E330</f>
        <v>418.94</v>
      </c>
      <c r="G330" s="7" t="n">
        <v>6</v>
      </c>
      <c r="H330" s="9" t="n">
        <f aca="false">IF(G330&gt;0,D330/G330,"")</f>
        <v>1.83333333333333</v>
      </c>
      <c r="I330" s="10" t="n">
        <v>46171</v>
      </c>
      <c r="J330" s="3" t="s">
        <v>439</v>
      </c>
      <c r="K330" s="10" t="n">
        <v>46113</v>
      </c>
      <c r="L330" s="3" t="s">
        <v>14</v>
      </c>
      <c r="M330" s="7" t="n">
        <v>17</v>
      </c>
      <c r="N330" s="8" t="n">
        <v>38.0853</v>
      </c>
      <c r="O330" s="4" t="n">
        <f aca="false">M330*N330</f>
        <v>647.4501</v>
      </c>
    </row>
    <row r="331" customFormat="false" ht="15" hidden="false" customHeight="false" outlineLevel="0" collapsed="false">
      <c r="A331" s="0" t="s">
        <v>650</v>
      </c>
      <c r="C331" s="0" t="s">
        <v>100</v>
      </c>
      <c r="D331" s="7" t="n">
        <v>465</v>
      </c>
      <c r="E331" s="8" t="n">
        <v>0.900709677419355</v>
      </c>
      <c r="F331" s="4" t="n">
        <f aca="false">D331*E331</f>
        <v>418.83</v>
      </c>
      <c r="G331" s="7" t="n">
        <v>12</v>
      </c>
      <c r="H331" s="9" t="n">
        <f aca="false">IF(G331&gt;0,D331/G331,"")</f>
        <v>38.75</v>
      </c>
      <c r="I331" s="10" t="n">
        <v>46048</v>
      </c>
      <c r="K331" s="10"/>
      <c r="M331" s="7"/>
      <c r="N331" s="8"/>
      <c r="O331" s="4"/>
    </row>
    <row r="332" customFormat="false" ht="15" hidden="false" customHeight="false" outlineLevel="0" collapsed="false">
      <c r="A332" s="0" t="s">
        <v>651</v>
      </c>
      <c r="C332" s="0" t="s">
        <v>31</v>
      </c>
      <c r="D332" s="7" t="n">
        <v>48678</v>
      </c>
      <c r="E332" s="8" t="n">
        <v>0.00859936727063561</v>
      </c>
      <c r="F332" s="4" t="n">
        <f aca="false">D332*E332</f>
        <v>418.6</v>
      </c>
      <c r="G332" s="7" t="n">
        <v>40</v>
      </c>
      <c r="H332" s="9" t="n">
        <f aca="false">IF(G332&gt;0,D332/G332,"")</f>
        <v>1216.95</v>
      </c>
      <c r="I332" s="10" t="n">
        <v>45960</v>
      </c>
      <c r="J332" s="3" t="s">
        <v>652</v>
      </c>
      <c r="K332" s="10" t="n">
        <v>44288</v>
      </c>
      <c r="L332" s="3" t="s">
        <v>16</v>
      </c>
      <c r="M332" s="7" t="n">
        <v>50000</v>
      </c>
      <c r="N332" s="8" t="n">
        <v>0.0086</v>
      </c>
      <c r="O332" s="4" t="n">
        <f aca="false">M332*N332</f>
        <v>430</v>
      </c>
    </row>
    <row r="333" customFormat="false" ht="15" hidden="false" customHeight="false" outlineLevel="0" collapsed="false">
      <c r="A333" s="0" t="s">
        <v>653</v>
      </c>
      <c r="C333" s="0" t="s">
        <v>39</v>
      </c>
      <c r="D333" s="7" t="n">
        <v>2979</v>
      </c>
      <c r="E333" s="8" t="n">
        <v>0.140302114803625</v>
      </c>
      <c r="F333" s="4" t="n">
        <f aca="false">D333*E333</f>
        <v>417.96</v>
      </c>
      <c r="G333" s="7" t="n">
        <v>1371</v>
      </c>
      <c r="H333" s="9" t="n">
        <f aca="false">IF(G333&gt;0,D333/G333,"")</f>
        <v>2.17286652078775</v>
      </c>
      <c r="I333" s="10" t="n">
        <v>46314</v>
      </c>
      <c r="J333" s="3" t="s">
        <v>654</v>
      </c>
      <c r="K333" s="10" t="n">
        <v>46204</v>
      </c>
      <c r="L333" s="3" t="s">
        <v>18</v>
      </c>
      <c r="M333" s="7" t="n">
        <v>3793</v>
      </c>
      <c r="N333" s="8" t="n">
        <v>0.1403</v>
      </c>
      <c r="O333" s="4" t="n">
        <f aca="false">M333*N333</f>
        <v>532.1579</v>
      </c>
    </row>
    <row r="334" customFormat="false" ht="15" hidden="false" customHeight="false" outlineLevel="0" collapsed="false">
      <c r="A334" s="0" t="s">
        <v>655</v>
      </c>
      <c r="C334" s="0" t="s">
        <v>44</v>
      </c>
      <c r="D334" s="7" t="n">
        <v>10</v>
      </c>
      <c r="E334" s="8" t="n">
        <v>41.587</v>
      </c>
      <c r="F334" s="4" t="n">
        <f aca="false">D334*E334</f>
        <v>415.87</v>
      </c>
      <c r="G334" s="7" t="n">
        <v>4</v>
      </c>
      <c r="H334" s="9" t="n">
        <f aca="false">IF(G334&gt;0,D334/G334,"")</f>
        <v>2.5</v>
      </c>
      <c r="I334" s="10" t="n">
        <v>46195</v>
      </c>
      <c r="J334" s="3" t="s">
        <v>656</v>
      </c>
      <c r="K334" s="10" t="n">
        <v>46160</v>
      </c>
      <c r="L334" s="3" t="s">
        <v>14</v>
      </c>
      <c r="M334" s="7" t="n">
        <v>14</v>
      </c>
      <c r="N334" s="8" t="n">
        <v>41.5871</v>
      </c>
      <c r="O334" s="4" t="n">
        <f aca="false">M334*N334</f>
        <v>582.2194</v>
      </c>
    </row>
    <row r="335" customFormat="false" ht="15" hidden="false" customHeight="false" outlineLevel="0" collapsed="false">
      <c r="A335" s="0" t="s">
        <v>657</v>
      </c>
      <c r="D335" s="7" t="n">
        <v>440</v>
      </c>
      <c r="E335" s="8" t="n">
        <v>0.9445</v>
      </c>
      <c r="F335" s="4" t="n">
        <f aca="false">D335*E335</f>
        <v>415.58</v>
      </c>
      <c r="G335" s="7" t="n">
        <v>10</v>
      </c>
      <c r="H335" s="9" t="n">
        <f aca="false">IF(G335&gt;0,D335/G335,"")</f>
        <v>44</v>
      </c>
      <c r="I335" s="10" t="n">
        <v>46157</v>
      </c>
      <c r="J335" s="3" t="s">
        <v>658</v>
      </c>
      <c r="K335" s="10" t="n">
        <v>45552</v>
      </c>
      <c r="L335" s="3" t="s">
        <v>14</v>
      </c>
      <c r="M335" s="7" t="n">
        <v>500</v>
      </c>
      <c r="N335" s="8" t="n">
        <v>0.9445</v>
      </c>
      <c r="O335" s="4" t="n">
        <f aca="false">M335*N335</f>
        <v>472.25</v>
      </c>
    </row>
    <row r="336" customFormat="false" ht="15" hidden="false" customHeight="false" outlineLevel="0" collapsed="false">
      <c r="A336" s="0" t="s">
        <v>659</v>
      </c>
      <c r="C336" s="0" t="s">
        <v>44</v>
      </c>
      <c r="D336" s="7" t="n">
        <v>84</v>
      </c>
      <c r="E336" s="8" t="n">
        <v>4.94702380952381</v>
      </c>
      <c r="F336" s="4" t="n">
        <f aca="false">D336*E336</f>
        <v>415.55</v>
      </c>
      <c r="G336" s="7" t="n">
        <v>81</v>
      </c>
      <c r="H336" s="9" t="n">
        <f aca="false">IF(G336&gt;0,D336/G336,"")</f>
        <v>1.03703703703704</v>
      </c>
      <c r="I336" s="10" t="n">
        <v>46247</v>
      </c>
      <c r="J336" s="3" t="s">
        <v>347</v>
      </c>
      <c r="K336" s="10" t="n">
        <v>46210</v>
      </c>
      <c r="L336" s="3" t="s">
        <v>14</v>
      </c>
      <c r="M336" s="7" t="n">
        <v>100</v>
      </c>
      <c r="N336" s="8" t="n">
        <v>4.9471</v>
      </c>
      <c r="O336" s="4" t="n">
        <f aca="false">M336*N336</f>
        <v>494.71</v>
      </c>
    </row>
    <row r="337" customFormat="false" ht="15" hidden="false" customHeight="false" outlineLevel="0" collapsed="false">
      <c r="A337" s="0" t="s">
        <v>660</v>
      </c>
      <c r="C337" s="0" t="s">
        <v>61</v>
      </c>
      <c r="D337" s="7" t="n">
        <v>1359</v>
      </c>
      <c r="E337" s="8" t="n">
        <v>0.305533480500368</v>
      </c>
      <c r="F337" s="4" t="n">
        <f aca="false">D337*E337</f>
        <v>415.22</v>
      </c>
      <c r="G337" s="7" t="n">
        <v>60</v>
      </c>
      <c r="H337" s="9" t="n">
        <f aca="false">IF(G337&gt;0,D337/G337,"")</f>
        <v>22.65</v>
      </c>
      <c r="I337" s="10" t="n">
        <v>46260</v>
      </c>
      <c r="J337" s="3" t="s">
        <v>661</v>
      </c>
      <c r="K337" s="10" t="n">
        <v>44531</v>
      </c>
      <c r="L337" s="3" t="s">
        <v>23</v>
      </c>
      <c r="M337" s="7" t="n">
        <v>1511</v>
      </c>
      <c r="N337" s="8" t="n">
        <v>0.3084</v>
      </c>
      <c r="O337" s="4" t="n">
        <v>462.6</v>
      </c>
    </row>
    <row r="338" customFormat="false" ht="15" hidden="false" customHeight="false" outlineLevel="0" collapsed="false">
      <c r="A338" s="0" t="s">
        <v>662</v>
      </c>
      <c r="C338" s="0" t="s">
        <v>35</v>
      </c>
      <c r="D338" s="7" t="n">
        <v>414</v>
      </c>
      <c r="E338" s="8" t="n">
        <v>1.00227053140097</v>
      </c>
      <c r="F338" s="4" t="n">
        <f aca="false">D338*E338</f>
        <v>414.94</v>
      </c>
      <c r="G338" s="7" t="n">
        <v>4</v>
      </c>
      <c r="H338" s="9" t="n">
        <f aca="false">IF(G338&gt;0,D338/G338,"")</f>
        <v>103.5</v>
      </c>
      <c r="I338" s="10" t="n">
        <v>46309</v>
      </c>
      <c r="J338" s="3" t="s">
        <v>633</v>
      </c>
      <c r="K338" s="10" t="n">
        <v>45758</v>
      </c>
      <c r="L338" s="3" t="s">
        <v>20</v>
      </c>
      <c r="M338" s="7" t="n">
        <v>325</v>
      </c>
      <c r="N338" s="8" t="n">
        <v>0.773</v>
      </c>
      <c r="O338" s="4" t="n">
        <f aca="false">M338*N338</f>
        <v>251.225</v>
      </c>
    </row>
    <row r="339" customFormat="false" ht="15" hidden="false" customHeight="false" outlineLevel="0" collapsed="false">
      <c r="A339" s="0" t="s">
        <v>663</v>
      </c>
      <c r="C339" s="0" t="s">
        <v>95</v>
      </c>
      <c r="D339" s="7" t="n">
        <v>3500</v>
      </c>
      <c r="E339" s="8" t="n">
        <v>0.118</v>
      </c>
      <c r="F339" s="4" t="n">
        <f aca="false">D339*E339</f>
        <v>413</v>
      </c>
      <c r="G339" s="7" t="n">
        <v>2000</v>
      </c>
      <c r="H339" s="9" t="n">
        <f aca="false">IF(G339&gt;0,D339/G339,"")</f>
        <v>1.75</v>
      </c>
      <c r="I339" s="10" t="n">
        <v>46196</v>
      </c>
      <c r="J339" s="3" t="s">
        <v>664</v>
      </c>
      <c r="K339" s="10" t="n">
        <v>46139</v>
      </c>
      <c r="L339" s="3" t="s">
        <v>25</v>
      </c>
      <c r="M339" s="7" t="n">
        <v>5000</v>
      </c>
      <c r="N339" s="8" t="n">
        <v>0.118</v>
      </c>
      <c r="O339" s="4" t="n">
        <f aca="false">M339*N339</f>
        <v>590</v>
      </c>
    </row>
    <row r="340" customFormat="false" ht="15" hidden="false" customHeight="false" outlineLevel="0" collapsed="false">
      <c r="A340" s="0" t="s">
        <v>665</v>
      </c>
      <c r="C340" s="0" t="s">
        <v>255</v>
      </c>
      <c r="D340" s="7" t="n">
        <v>364</v>
      </c>
      <c r="E340" s="8" t="n">
        <v>1.13373626373626</v>
      </c>
      <c r="F340" s="4" t="n">
        <f aca="false">D340*E340</f>
        <v>412.68</v>
      </c>
      <c r="G340" s="7" t="n">
        <v>263</v>
      </c>
      <c r="H340" s="9" t="n">
        <f aca="false">IF(G340&gt;0,D340/G340,"")</f>
        <v>1.38403041825095</v>
      </c>
      <c r="I340" s="10" t="n">
        <v>46219</v>
      </c>
      <c r="J340" s="3" t="s">
        <v>666</v>
      </c>
      <c r="K340" s="10" t="n">
        <v>45674</v>
      </c>
      <c r="L340" s="3" t="s">
        <v>257</v>
      </c>
      <c r="M340" s="7" t="n">
        <v>544</v>
      </c>
      <c r="N340" s="8" t="n">
        <v>1.12</v>
      </c>
      <c r="O340" s="4" t="n">
        <f aca="false">M340*N340</f>
        <v>609.28</v>
      </c>
    </row>
    <row r="341" customFormat="false" ht="15" hidden="false" customHeight="false" outlineLevel="0" collapsed="false">
      <c r="A341" s="0" t="s">
        <v>667</v>
      </c>
      <c r="C341" s="0" t="s">
        <v>61</v>
      </c>
      <c r="D341" s="7" t="n">
        <v>1600</v>
      </c>
      <c r="E341" s="8" t="n">
        <v>0.2576</v>
      </c>
      <c r="F341" s="4" t="n">
        <f aca="false">D341*E341</f>
        <v>412.16</v>
      </c>
      <c r="G341" s="7" t="n">
        <v>1380</v>
      </c>
      <c r="H341" s="9" t="n">
        <f aca="false">IF(G341&gt;0,D341/G341,"")</f>
        <v>1.15942028985507</v>
      </c>
      <c r="I341" s="10" t="n">
        <v>46310</v>
      </c>
      <c r="J341" s="3" t="s">
        <v>568</v>
      </c>
      <c r="K341" s="10" t="n">
        <v>46268</v>
      </c>
      <c r="L341" s="3" t="s">
        <v>14</v>
      </c>
      <c r="M341" s="7" t="n">
        <v>1600</v>
      </c>
      <c r="N341" s="8" t="n">
        <v>0.2576</v>
      </c>
      <c r="O341" s="4" t="n">
        <f aca="false">M341*N341</f>
        <v>412.16</v>
      </c>
    </row>
    <row r="342" customFormat="false" ht="15" hidden="false" customHeight="false" outlineLevel="0" collapsed="false">
      <c r="A342" s="0" t="s">
        <v>668</v>
      </c>
      <c r="C342" s="0" t="s">
        <v>32</v>
      </c>
      <c r="D342" s="7" t="n">
        <v>2196</v>
      </c>
      <c r="E342" s="8" t="n">
        <v>0.18721766848816</v>
      </c>
      <c r="F342" s="4" t="n">
        <f aca="false">D342*E342</f>
        <v>411.13</v>
      </c>
      <c r="G342" s="7" t="n">
        <v>103</v>
      </c>
      <c r="H342" s="9" t="n">
        <f aca="false">IF(G342&gt;0,D342/G342,"")</f>
        <v>21.3203883495146</v>
      </c>
      <c r="I342" s="10" t="n">
        <v>46317</v>
      </c>
      <c r="J342" s="3" t="s">
        <v>669</v>
      </c>
      <c r="K342" s="10" t="n">
        <v>44286</v>
      </c>
      <c r="L342" s="3" t="s">
        <v>18</v>
      </c>
      <c r="M342" s="7" t="n">
        <v>3948</v>
      </c>
      <c r="N342" s="8" t="n">
        <v>0.1872</v>
      </c>
      <c r="O342" s="4" t="n">
        <f aca="false">M342*N342</f>
        <v>739.0656</v>
      </c>
    </row>
    <row r="343" customFormat="false" ht="15" hidden="false" customHeight="false" outlineLevel="0" collapsed="false">
      <c r="A343" s="0" t="s">
        <v>670</v>
      </c>
      <c r="C343" s="0" t="s">
        <v>31</v>
      </c>
      <c r="D343" s="7" t="n">
        <v>77857</v>
      </c>
      <c r="E343" s="8" t="n">
        <v>0.00528057849647431</v>
      </c>
      <c r="F343" s="4" t="n">
        <f aca="false">D343*E343</f>
        <v>411.13</v>
      </c>
      <c r="G343" s="7" t="n">
        <v>369</v>
      </c>
      <c r="H343" s="9" t="n">
        <f aca="false">IF(G343&gt;0,D343/G343,"")</f>
        <v>210.994579945799</v>
      </c>
      <c r="I343" s="10" t="n">
        <v>46238</v>
      </c>
      <c r="J343" s="3" t="s">
        <v>234</v>
      </c>
      <c r="K343" s="10" t="n">
        <v>44726</v>
      </c>
      <c r="L343" s="3" t="s">
        <v>15</v>
      </c>
      <c r="M343" s="7" t="n">
        <v>100000</v>
      </c>
      <c r="N343" s="8" t="n">
        <v>0.00528</v>
      </c>
      <c r="O343" s="4" t="n">
        <f aca="false">M343*N343</f>
        <v>528</v>
      </c>
    </row>
    <row r="344" customFormat="false" ht="15" hidden="false" customHeight="false" outlineLevel="0" collapsed="false">
      <c r="A344" s="0" t="s">
        <v>671</v>
      </c>
      <c r="C344" s="0" t="s">
        <v>255</v>
      </c>
      <c r="D344" s="7" t="n">
        <v>165</v>
      </c>
      <c r="E344" s="8" t="n">
        <v>2.48</v>
      </c>
      <c r="F344" s="4" t="n">
        <f aca="false">D344*E344</f>
        <v>409.2</v>
      </c>
      <c r="G344" s="7" t="n">
        <v>14</v>
      </c>
      <c r="H344" s="9" t="n">
        <f aca="false">IF(G344&gt;0,D344/G344,"")</f>
        <v>11.7857142857143</v>
      </c>
      <c r="I344" s="10" t="n">
        <v>46146</v>
      </c>
      <c r="J344" s="3" t="s">
        <v>505</v>
      </c>
      <c r="K344" s="10" t="n">
        <v>45972</v>
      </c>
      <c r="L344" s="3" t="s">
        <v>257</v>
      </c>
      <c r="M344" s="7" t="n">
        <v>200</v>
      </c>
      <c r="N344" s="8" t="n">
        <v>2.48</v>
      </c>
      <c r="O344" s="4" t="n">
        <f aca="false">M344*N344</f>
        <v>496</v>
      </c>
    </row>
    <row r="345" customFormat="false" ht="15" hidden="false" customHeight="false" outlineLevel="0" collapsed="false">
      <c r="A345" s="0" t="s">
        <v>672</v>
      </c>
      <c r="C345" s="0" t="s">
        <v>45</v>
      </c>
      <c r="D345" s="7" t="n">
        <v>2407</v>
      </c>
      <c r="E345" s="8" t="n">
        <v>0.17</v>
      </c>
      <c r="F345" s="4" t="n">
        <f aca="false">D345*E345</f>
        <v>409.19</v>
      </c>
      <c r="G345" s="7" t="n">
        <v>25</v>
      </c>
      <c r="H345" s="9" t="n">
        <f aca="false">IF(G345&gt;0,D345/G345,"")</f>
        <v>96.28</v>
      </c>
      <c r="I345" s="10" t="n">
        <v>46106</v>
      </c>
      <c r="J345" s="3" t="s">
        <v>673</v>
      </c>
      <c r="K345" s="10" t="n">
        <v>44972</v>
      </c>
      <c r="L345" s="3" t="s">
        <v>14</v>
      </c>
      <c r="M345" s="7" t="n">
        <v>2500</v>
      </c>
      <c r="N345" s="8" t="n">
        <v>0.1692</v>
      </c>
      <c r="O345" s="4" t="n">
        <f aca="false">M345*N345</f>
        <v>423</v>
      </c>
    </row>
    <row r="346" customFormat="false" ht="15" hidden="false" customHeight="false" outlineLevel="0" collapsed="false">
      <c r="A346" s="0" t="s">
        <v>674</v>
      </c>
      <c r="C346" s="0" t="s">
        <v>35</v>
      </c>
      <c r="D346" s="7" t="n">
        <v>1020</v>
      </c>
      <c r="E346" s="8" t="n">
        <v>0.400372549019608</v>
      </c>
      <c r="F346" s="4" t="n">
        <f aca="false">D346*E346</f>
        <v>408.38</v>
      </c>
      <c r="G346" s="7" t="n">
        <v>241</v>
      </c>
      <c r="H346" s="9" t="n">
        <f aca="false">IF(G346&gt;0,D346/G346,"")</f>
        <v>4.23236514522822</v>
      </c>
      <c r="I346" s="10" t="n">
        <v>46268</v>
      </c>
      <c r="J346" s="3" t="s">
        <v>675</v>
      </c>
      <c r="K346" s="10" t="n">
        <v>45471</v>
      </c>
      <c r="L346" s="3" t="s">
        <v>14</v>
      </c>
      <c r="M346" s="7" t="n">
        <v>440</v>
      </c>
      <c r="N346" s="8" t="n">
        <v>0.7276</v>
      </c>
      <c r="O346" s="4" t="n">
        <f aca="false">M346*N346</f>
        <v>320.144</v>
      </c>
    </row>
    <row r="347" customFormat="false" ht="15" hidden="false" customHeight="false" outlineLevel="0" collapsed="false">
      <c r="A347" s="0" t="s">
        <v>676</v>
      </c>
      <c r="C347" s="0" t="s">
        <v>31</v>
      </c>
      <c r="D347" s="7" t="n">
        <v>2214</v>
      </c>
      <c r="E347" s="8" t="n">
        <v>0.184399277326107</v>
      </c>
      <c r="F347" s="4" t="n">
        <f aca="false">D347*E347</f>
        <v>408.26</v>
      </c>
      <c r="G347" s="7" t="n">
        <v>272</v>
      </c>
      <c r="H347" s="9" t="n">
        <f aca="false">IF(G347&gt;0,D347/G347,"")</f>
        <v>8.13970588235294</v>
      </c>
      <c r="I347" s="10" t="n">
        <v>46265</v>
      </c>
      <c r="J347" s="3" t="s">
        <v>677</v>
      </c>
      <c r="K347" s="10" t="n">
        <v>45642</v>
      </c>
      <c r="L347" s="3" t="s">
        <v>16</v>
      </c>
      <c r="M347" s="7" t="n">
        <v>2550</v>
      </c>
      <c r="N347" s="8" t="n">
        <v>0.1844</v>
      </c>
      <c r="O347" s="4" t="n">
        <f aca="false">M347*N347</f>
        <v>470.22</v>
      </c>
    </row>
    <row r="348" customFormat="false" ht="15" hidden="false" customHeight="false" outlineLevel="0" collapsed="false">
      <c r="A348" s="0" t="s">
        <v>678</v>
      </c>
      <c r="C348" s="0" t="s">
        <v>679</v>
      </c>
      <c r="D348" s="7" t="n">
        <v>484</v>
      </c>
      <c r="E348" s="8" t="n">
        <v>0.842913223140496</v>
      </c>
      <c r="F348" s="4" t="n">
        <f aca="false">D348*E348</f>
        <v>407.97</v>
      </c>
      <c r="G348" s="7" t="n">
        <v>28</v>
      </c>
      <c r="H348" s="9" t="n">
        <f aca="false">IF(G348&gt;0,D348/G348,"")</f>
        <v>17.2857142857143</v>
      </c>
      <c r="I348" s="10" t="n">
        <v>46304</v>
      </c>
      <c r="J348" s="3" t="s">
        <v>680</v>
      </c>
      <c r="K348" s="10" t="n">
        <v>46240</v>
      </c>
      <c r="L348" s="3" t="s">
        <v>14</v>
      </c>
      <c r="M348" s="7" t="n">
        <v>500</v>
      </c>
      <c r="N348" s="8" t="n">
        <v>0.8429</v>
      </c>
      <c r="O348" s="4" t="n">
        <f aca="false">M348*N348</f>
        <v>421.45</v>
      </c>
    </row>
    <row r="349" customFormat="false" ht="15" hidden="false" customHeight="false" outlineLevel="0" collapsed="false">
      <c r="A349" s="0" t="s">
        <v>681</v>
      </c>
      <c r="D349" s="7" t="n">
        <v>485</v>
      </c>
      <c r="E349" s="8" t="n">
        <v>0.84098969072165</v>
      </c>
      <c r="F349" s="4" t="n">
        <f aca="false">D349*E349</f>
        <v>407.88</v>
      </c>
      <c r="G349" s="7" t="n">
        <v>5</v>
      </c>
      <c r="H349" s="9" t="n">
        <f aca="false">IF(G349&gt;0,D349/G349,"")</f>
        <v>97</v>
      </c>
      <c r="I349" s="10" t="n">
        <v>45972</v>
      </c>
      <c r="J349" s="3" t="s">
        <v>682</v>
      </c>
      <c r="K349" s="10" t="n">
        <v>45539</v>
      </c>
      <c r="L349" s="3" t="s">
        <v>14</v>
      </c>
      <c r="M349" s="7" t="n">
        <v>500</v>
      </c>
      <c r="N349" s="8" t="n">
        <v>0.841</v>
      </c>
      <c r="O349" s="4" t="n">
        <f aca="false">M349*N349</f>
        <v>420.5</v>
      </c>
    </row>
    <row r="350" customFormat="false" ht="15" hidden="false" customHeight="false" outlineLevel="0" collapsed="false">
      <c r="A350" s="0" t="s">
        <v>683</v>
      </c>
      <c r="C350" s="0" t="s">
        <v>679</v>
      </c>
      <c r="D350" s="7" t="n">
        <v>479</v>
      </c>
      <c r="E350" s="8" t="n">
        <v>0.850605427974948</v>
      </c>
      <c r="F350" s="4" t="n">
        <f aca="false">D350*E350</f>
        <v>407.44</v>
      </c>
      <c r="G350" s="7" t="n">
        <v>8</v>
      </c>
      <c r="H350" s="9" t="n">
        <f aca="false">IF(G350&gt;0,D350/G350,"")</f>
        <v>59.875</v>
      </c>
      <c r="I350" s="10" t="n">
        <v>46308</v>
      </c>
      <c r="J350" s="3" t="s">
        <v>611</v>
      </c>
      <c r="K350" s="10" t="n">
        <v>45141</v>
      </c>
      <c r="L350" s="3" t="s">
        <v>14</v>
      </c>
      <c r="M350" s="7" t="n">
        <v>500</v>
      </c>
      <c r="N350" s="8" t="n">
        <v>0.8506</v>
      </c>
      <c r="O350" s="4" t="n">
        <f aca="false">M350*N350</f>
        <v>425.3</v>
      </c>
    </row>
    <row r="351" customFormat="false" ht="15" hidden="false" customHeight="false" outlineLevel="0" collapsed="false">
      <c r="A351" s="0" t="s">
        <v>684</v>
      </c>
      <c r="C351" s="0" t="s">
        <v>61</v>
      </c>
      <c r="D351" s="7" t="n">
        <v>450</v>
      </c>
      <c r="E351" s="8" t="n">
        <v>0.902311111111111</v>
      </c>
      <c r="F351" s="4" t="n">
        <f aca="false">D351*E351</f>
        <v>406.04</v>
      </c>
      <c r="G351" s="7" t="n">
        <v>355</v>
      </c>
      <c r="H351" s="9" t="n">
        <f aca="false">IF(G351&gt;0,D351/G351,"")</f>
        <v>1.26760563380282</v>
      </c>
      <c r="I351" s="10" t="n">
        <v>46203</v>
      </c>
      <c r="J351" s="3" t="s">
        <v>566</v>
      </c>
      <c r="K351" s="10" t="n">
        <v>46204</v>
      </c>
      <c r="L351" s="3" t="s">
        <v>14</v>
      </c>
      <c r="M351" s="7" t="n">
        <v>450</v>
      </c>
      <c r="N351" s="8" t="n">
        <v>0.9023</v>
      </c>
      <c r="O351" s="4" t="n">
        <f aca="false">M351*N351</f>
        <v>406.035</v>
      </c>
    </row>
    <row r="352" customFormat="false" ht="15" hidden="false" customHeight="false" outlineLevel="0" collapsed="false">
      <c r="A352" s="0" t="s">
        <v>685</v>
      </c>
      <c r="C352" s="0" t="s">
        <v>36</v>
      </c>
      <c r="D352" s="7" t="n">
        <v>8648</v>
      </c>
      <c r="E352" s="8" t="n">
        <v>0.0468963922294172</v>
      </c>
      <c r="F352" s="4" t="n">
        <f aca="false">D352*E352</f>
        <v>405.56</v>
      </c>
      <c r="G352" s="7" t="n">
        <v>2844</v>
      </c>
      <c r="H352" s="9" t="n">
        <f aca="false">IF(G352&gt;0,D352/G352,"")</f>
        <v>3.0407876230661</v>
      </c>
      <c r="I352" s="10" t="n">
        <v>46290</v>
      </c>
      <c r="J352" s="3" t="s">
        <v>566</v>
      </c>
      <c r="K352" s="10" t="n">
        <v>46204</v>
      </c>
      <c r="L352" s="3" t="s">
        <v>14</v>
      </c>
      <c r="M352" s="7" t="n">
        <v>10000</v>
      </c>
      <c r="N352" s="8" t="n">
        <v>0.0467</v>
      </c>
      <c r="O352" s="4" t="n">
        <f aca="false">M352*N352</f>
        <v>467</v>
      </c>
    </row>
    <row r="353" customFormat="false" ht="15" hidden="false" customHeight="false" outlineLevel="0" collapsed="false">
      <c r="A353" s="0" t="s">
        <v>686</v>
      </c>
      <c r="C353" s="0" t="s">
        <v>35</v>
      </c>
      <c r="D353" s="7" t="n">
        <v>2309</v>
      </c>
      <c r="E353" s="8" t="n">
        <v>0.175292334343872</v>
      </c>
      <c r="F353" s="4" t="n">
        <f aca="false">D353*E353</f>
        <v>404.75</v>
      </c>
      <c r="G353" s="7" t="n">
        <v>180</v>
      </c>
      <c r="H353" s="9" t="n">
        <f aca="false">IF(G353&gt;0,D353/G353,"")</f>
        <v>12.8277777777778</v>
      </c>
      <c r="I353" s="10" t="n">
        <v>46104</v>
      </c>
      <c r="J353" s="3" t="s">
        <v>455</v>
      </c>
      <c r="K353" s="10" t="n">
        <v>45689</v>
      </c>
      <c r="L353" s="3" t="s">
        <v>20</v>
      </c>
      <c r="M353" s="7" t="n">
        <v>2000</v>
      </c>
      <c r="N353" s="8" t="n">
        <v>0.176</v>
      </c>
      <c r="O353" s="4" t="n">
        <f aca="false">M353*N353</f>
        <v>352</v>
      </c>
    </row>
    <row r="354" customFormat="false" ht="15" hidden="false" customHeight="false" outlineLevel="0" collapsed="false">
      <c r="A354" s="0" t="s">
        <v>687</v>
      </c>
      <c r="C354" s="0" t="s">
        <v>32</v>
      </c>
      <c r="D354" s="7" t="n">
        <v>16066</v>
      </c>
      <c r="E354" s="8" t="n">
        <v>0.0251481389269264</v>
      </c>
      <c r="F354" s="4" t="n">
        <f aca="false">D354*E354</f>
        <v>404.03</v>
      </c>
      <c r="G354" s="7" t="n">
        <v>12682</v>
      </c>
      <c r="H354" s="9" t="n">
        <f aca="false">IF(G354&gt;0,D354/G354,"")</f>
        <v>1.26683488408768</v>
      </c>
      <c r="I354" s="10" t="n">
        <v>46315</v>
      </c>
      <c r="J354" s="3" t="s">
        <v>347</v>
      </c>
      <c r="K354" s="10" t="n">
        <v>46210</v>
      </c>
      <c r="L354" s="3" t="s">
        <v>14</v>
      </c>
      <c r="M354" s="7" t="n">
        <v>20000</v>
      </c>
      <c r="N354" s="8" t="n">
        <v>0.0251</v>
      </c>
      <c r="O354" s="4" t="n">
        <f aca="false">M354*N354</f>
        <v>502</v>
      </c>
    </row>
    <row r="355" customFormat="false" ht="15" hidden="false" customHeight="false" outlineLevel="0" collapsed="false">
      <c r="A355" s="0" t="s">
        <v>688</v>
      </c>
      <c r="C355" s="0" t="s">
        <v>100</v>
      </c>
      <c r="D355" s="7" t="n">
        <v>697</v>
      </c>
      <c r="E355" s="8" t="n">
        <v>0.577489239598278</v>
      </c>
      <c r="F355" s="4" t="n">
        <f aca="false">D355*E355</f>
        <v>402.51</v>
      </c>
      <c r="G355" s="7" t="n">
        <v>19</v>
      </c>
      <c r="H355" s="9" t="n">
        <f aca="false">IF(G355&gt;0,D355/G355,"")</f>
        <v>36.6842105263158</v>
      </c>
      <c r="I355" s="10" t="n">
        <v>46234</v>
      </c>
      <c r="J355" s="3" t="s">
        <v>689</v>
      </c>
      <c r="K355" s="10" t="n">
        <v>45359</v>
      </c>
      <c r="L355" s="3" t="s">
        <v>23</v>
      </c>
      <c r="M355" s="7" t="n">
        <v>2500</v>
      </c>
      <c r="N355" s="8" t="n">
        <v>0.5775</v>
      </c>
      <c r="O355" s="4" t="n">
        <f aca="false">M355*N355</f>
        <v>1443.75</v>
      </c>
    </row>
    <row r="356" customFormat="false" ht="15" hidden="false" customHeight="false" outlineLevel="0" collapsed="false">
      <c r="A356" s="0" t="s">
        <v>690</v>
      </c>
      <c r="C356" s="0" t="s">
        <v>36</v>
      </c>
      <c r="D356" s="7" t="n">
        <v>1923</v>
      </c>
      <c r="E356" s="8" t="n">
        <v>0.208996359854394</v>
      </c>
      <c r="F356" s="4" t="n">
        <f aca="false">D356*E356</f>
        <v>401.9</v>
      </c>
      <c r="G356" s="7" t="n">
        <v>532</v>
      </c>
      <c r="H356" s="9" t="n">
        <f aca="false">IF(G356&gt;0,D356/G356,"")</f>
        <v>3.61466165413534</v>
      </c>
      <c r="I356" s="10" t="n">
        <v>46253</v>
      </c>
      <c r="J356" s="3" t="s">
        <v>421</v>
      </c>
      <c r="K356" s="10" t="n">
        <v>46240</v>
      </c>
      <c r="L356" s="3" t="s">
        <v>18</v>
      </c>
      <c r="M356" s="7" t="n">
        <v>2000</v>
      </c>
      <c r="N356" s="8" t="n">
        <v>0.209</v>
      </c>
      <c r="O356" s="4" t="n">
        <f aca="false">M356*N356</f>
        <v>418</v>
      </c>
    </row>
    <row r="357" customFormat="false" ht="15" hidden="false" customHeight="false" outlineLevel="0" collapsed="false">
      <c r="A357" s="0" t="s">
        <v>691</v>
      </c>
      <c r="C357" s="0" t="s">
        <v>45</v>
      </c>
      <c r="D357" s="7" t="n">
        <v>679</v>
      </c>
      <c r="E357" s="8" t="n">
        <v>0.591369661266569</v>
      </c>
      <c r="F357" s="4" t="n">
        <f aca="false">D357*E357</f>
        <v>401.54</v>
      </c>
      <c r="G357" s="7" t="n">
        <v>185</v>
      </c>
      <c r="H357" s="9" t="n">
        <f aca="false">IF(G357&gt;0,D357/G357,"")</f>
        <v>3.67027027027027</v>
      </c>
      <c r="I357" s="10" t="n">
        <v>46154</v>
      </c>
      <c r="J357" s="3" t="s">
        <v>149</v>
      </c>
      <c r="K357" s="10" t="n">
        <v>46259</v>
      </c>
      <c r="L357" s="3" t="s">
        <v>14</v>
      </c>
      <c r="M357" s="7" t="n">
        <v>670</v>
      </c>
      <c r="N357" s="8" t="n">
        <v>0.5971</v>
      </c>
      <c r="O357" s="4" t="n">
        <f aca="false">M357*N357</f>
        <v>400.057</v>
      </c>
    </row>
    <row r="358" customFormat="false" ht="15" hidden="false" customHeight="false" outlineLevel="0" collapsed="false">
      <c r="A358" s="0" t="s">
        <v>692</v>
      </c>
      <c r="C358" s="0" t="s">
        <v>679</v>
      </c>
      <c r="D358" s="7" t="n">
        <v>243</v>
      </c>
      <c r="E358" s="8" t="n">
        <v>1.64921810699589</v>
      </c>
      <c r="F358" s="4" t="n">
        <f aca="false">D358*E358</f>
        <v>400.76</v>
      </c>
      <c r="G358" s="7" t="n">
        <v>9</v>
      </c>
      <c r="H358" s="9" t="n">
        <f aca="false">IF(G358&gt;0,D358/G358,"")</f>
        <v>27</v>
      </c>
      <c r="I358" s="10" t="n">
        <v>46309</v>
      </c>
      <c r="J358" s="3" t="s">
        <v>693</v>
      </c>
      <c r="K358" s="10" t="n">
        <v>46304</v>
      </c>
      <c r="L358" s="3" t="s">
        <v>14</v>
      </c>
      <c r="M358" s="7" t="n">
        <v>243</v>
      </c>
      <c r="N358" s="8" t="n">
        <v>1.6492</v>
      </c>
      <c r="O358" s="4" t="n">
        <f aca="false">M358*N358</f>
        <v>400.7556</v>
      </c>
    </row>
    <row r="359" customFormat="false" ht="15" hidden="false" customHeight="false" outlineLevel="0" collapsed="false">
      <c r="A359" s="0" t="s">
        <v>694</v>
      </c>
      <c r="C359" s="0" t="s">
        <v>100</v>
      </c>
      <c r="D359" s="7" t="n">
        <v>89</v>
      </c>
      <c r="E359" s="8" t="n">
        <v>4.50213483146067</v>
      </c>
      <c r="F359" s="4" t="n">
        <f aca="false">D359*E359</f>
        <v>400.69</v>
      </c>
      <c r="G359" s="7" t="n">
        <v>39</v>
      </c>
      <c r="H359" s="9" t="n">
        <f aca="false">IF(G359&gt;0,D359/G359,"")</f>
        <v>2.28205128205128</v>
      </c>
      <c r="I359" s="10" t="n">
        <v>46252</v>
      </c>
      <c r="K359" s="10"/>
      <c r="M359" s="7"/>
      <c r="N359" s="8"/>
      <c r="O359" s="4"/>
    </row>
    <row r="360" customFormat="false" ht="15" hidden="false" customHeight="false" outlineLevel="0" collapsed="false">
      <c r="A360" s="0" t="s">
        <v>695</v>
      </c>
      <c r="C360" s="0" t="s">
        <v>255</v>
      </c>
      <c r="D360" s="7" t="n">
        <v>74</v>
      </c>
      <c r="E360" s="8" t="n">
        <v>5.4077027027027</v>
      </c>
      <c r="F360" s="4" t="n">
        <f aca="false">D360*E360</f>
        <v>400.17</v>
      </c>
      <c r="G360" s="7" t="n">
        <v>69</v>
      </c>
      <c r="H360" s="9" t="n">
        <f aca="false">IF(G360&gt;0,D360/G360,"")</f>
        <v>1.07246376811594</v>
      </c>
      <c r="I360" s="10" t="n">
        <v>46170</v>
      </c>
      <c r="J360" s="3" t="s">
        <v>696</v>
      </c>
      <c r="K360" s="10" t="n">
        <v>45476</v>
      </c>
      <c r="L360" s="3" t="s">
        <v>257</v>
      </c>
      <c r="M360" s="7" t="n">
        <v>130</v>
      </c>
      <c r="N360" s="8" t="n">
        <v>5.89</v>
      </c>
      <c r="O360" s="4" t="n">
        <f aca="false">M360*N360</f>
        <v>765.7</v>
      </c>
    </row>
    <row r="361" customFormat="false" ht="15" hidden="false" customHeight="false" outlineLevel="0" collapsed="false">
      <c r="A361" s="0" t="s">
        <v>697</v>
      </c>
      <c r="C361" s="0" t="s">
        <v>698</v>
      </c>
      <c r="D361" s="7" t="n">
        <v>2127</v>
      </c>
      <c r="E361" s="8" t="n">
        <v>0.188100611189469</v>
      </c>
      <c r="F361" s="4" t="n">
        <f aca="false">D361*E361</f>
        <v>400.09</v>
      </c>
      <c r="G361" s="7" t="n">
        <v>48</v>
      </c>
      <c r="H361" s="9" t="n">
        <f aca="false">IF(G361&gt;0,D361/G361,"")</f>
        <v>44.3125</v>
      </c>
      <c r="I361" s="10" t="n">
        <v>46087</v>
      </c>
      <c r="J361" s="3" t="s">
        <v>699</v>
      </c>
      <c r="K361" s="10" t="n">
        <v>45840</v>
      </c>
      <c r="L361" s="3" t="s">
        <v>14</v>
      </c>
      <c r="M361" s="7" t="n">
        <v>2200</v>
      </c>
      <c r="N361" s="8" t="n">
        <v>0.1881</v>
      </c>
      <c r="O361" s="4" t="n">
        <f aca="false">M361*N361</f>
        <v>413.82</v>
      </c>
    </row>
    <row r="362" customFormat="false" ht="15" hidden="false" customHeight="false" outlineLevel="0" collapsed="false">
      <c r="A362" s="0" t="s">
        <v>700</v>
      </c>
      <c r="C362" s="0" t="s">
        <v>39</v>
      </c>
      <c r="D362" s="7" t="n">
        <v>300</v>
      </c>
      <c r="E362" s="8" t="n">
        <v>1.3332</v>
      </c>
      <c r="F362" s="4" t="n">
        <f aca="false">D362*E362</f>
        <v>399.96</v>
      </c>
      <c r="G362" s="7" t="n">
        <v>45</v>
      </c>
      <c r="H362" s="9" t="n">
        <f aca="false">IF(G362&gt;0,D362/G362,"")</f>
        <v>6.66666666666667</v>
      </c>
      <c r="I362" s="10" t="n">
        <v>46253</v>
      </c>
      <c r="J362" s="3" t="s">
        <v>701</v>
      </c>
      <c r="K362" s="10" t="n">
        <v>44748</v>
      </c>
      <c r="L362" s="3" t="s">
        <v>14</v>
      </c>
      <c r="M362" s="7" t="n">
        <v>440</v>
      </c>
      <c r="N362" s="8" t="n">
        <v>1.3421</v>
      </c>
      <c r="O362" s="4" t="n">
        <v>587.8398</v>
      </c>
    </row>
    <row r="363" customFormat="false" ht="15" hidden="false" customHeight="false" outlineLevel="0" collapsed="false">
      <c r="A363" s="0" t="s">
        <v>702</v>
      </c>
      <c r="C363" s="0" t="s">
        <v>698</v>
      </c>
      <c r="D363" s="7" t="n">
        <v>2280</v>
      </c>
      <c r="E363" s="8" t="n">
        <v>0.175298245614035</v>
      </c>
      <c r="F363" s="4" t="n">
        <f aca="false">D363*E363</f>
        <v>399.68</v>
      </c>
      <c r="G363" s="7" t="n">
        <v>20</v>
      </c>
      <c r="H363" s="9" t="n">
        <f aca="false">IF(G363&gt;0,D363/G363,"")</f>
        <v>114</v>
      </c>
      <c r="I363" s="10" t="n">
        <v>46175</v>
      </c>
      <c r="J363" s="3" t="s">
        <v>703</v>
      </c>
      <c r="K363" s="10" t="n">
        <v>46155</v>
      </c>
      <c r="L363" s="3" t="s">
        <v>14</v>
      </c>
      <c r="M363" s="7" t="n">
        <v>2300</v>
      </c>
      <c r="N363" s="8" t="n">
        <v>0.1753</v>
      </c>
      <c r="O363" s="4" t="n">
        <f aca="false">M363*N363</f>
        <v>403.19</v>
      </c>
    </row>
    <row r="364" customFormat="false" ht="15" hidden="false" customHeight="false" outlineLevel="0" collapsed="false">
      <c r="A364" s="0" t="s">
        <v>704</v>
      </c>
      <c r="C364" s="0" t="s">
        <v>378</v>
      </c>
      <c r="D364" s="7" t="n">
        <v>2005</v>
      </c>
      <c r="E364" s="8" t="n">
        <v>0.19930174563591</v>
      </c>
      <c r="F364" s="4" t="n">
        <f aca="false">D364*E364</f>
        <v>399.6</v>
      </c>
      <c r="G364" s="7" t="n">
        <v>5</v>
      </c>
      <c r="H364" s="9" t="n">
        <f aca="false">IF(G364&gt;0,D364/G364,"")</f>
        <v>401</v>
      </c>
      <c r="I364" s="10" t="n">
        <v>46066</v>
      </c>
      <c r="J364" s="3" t="s">
        <v>705</v>
      </c>
      <c r="K364" s="10" t="n">
        <v>45005</v>
      </c>
      <c r="L364" s="3" t="s">
        <v>14</v>
      </c>
      <c r="M364" s="7" t="n">
        <v>2010</v>
      </c>
      <c r="N364" s="8" t="n">
        <v>0.1993</v>
      </c>
      <c r="O364" s="4" t="n">
        <f aca="false">M364*N364</f>
        <v>400.593</v>
      </c>
    </row>
    <row r="365" customFormat="false" ht="15" hidden="false" customHeight="false" outlineLevel="0" collapsed="false">
      <c r="A365" s="0" t="s">
        <v>706</v>
      </c>
      <c r="C365" s="0" t="s">
        <v>698</v>
      </c>
      <c r="D365" s="7" t="n">
        <v>1714</v>
      </c>
      <c r="E365" s="8" t="n">
        <v>0.232899649941657</v>
      </c>
      <c r="F365" s="4" t="n">
        <f aca="false">D365*E365</f>
        <v>399.19</v>
      </c>
      <c r="G365" s="7" t="n">
        <v>6</v>
      </c>
      <c r="H365" s="9" t="n">
        <f aca="false">IF(G365&gt;0,D365/G365,"")</f>
        <v>285.666666666667</v>
      </c>
      <c r="I365" s="10" t="n">
        <v>46218</v>
      </c>
      <c r="J365" s="3" t="s">
        <v>572</v>
      </c>
      <c r="K365" s="10" t="n">
        <v>46164</v>
      </c>
      <c r="L365" s="3" t="s">
        <v>14</v>
      </c>
      <c r="M365" s="7" t="n">
        <v>1720</v>
      </c>
      <c r="N365" s="8" t="n">
        <v>0.2329</v>
      </c>
      <c r="O365" s="4" t="n">
        <f aca="false">M365*N365</f>
        <v>400.588</v>
      </c>
    </row>
    <row r="366" customFormat="false" ht="15" hidden="false" customHeight="false" outlineLevel="0" collapsed="false">
      <c r="A366" s="0" t="s">
        <v>707</v>
      </c>
      <c r="C366" s="0" t="s">
        <v>45</v>
      </c>
      <c r="D366" s="7" t="n">
        <v>3650</v>
      </c>
      <c r="E366" s="8" t="n">
        <v>0.109298630136986</v>
      </c>
      <c r="F366" s="4" t="n">
        <f aca="false">D366*E366</f>
        <v>398.94</v>
      </c>
      <c r="G366" s="7" t="n">
        <v>1576</v>
      </c>
      <c r="H366" s="9" t="n">
        <f aca="false">IF(G366&gt;0,D366/G366,"")</f>
        <v>2.31598984771574</v>
      </c>
      <c r="I366" s="10" t="n">
        <v>46314</v>
      </c>
      <c r="J366" s="3" t="s">
        <v>269</v>
      </c>
      <c r="K366" s="10" t="n">
        <v>46252</v>
      </c>
      <c r="L366" s="3" t="s">
        <v>14</v>
      </c>
      <c r="M366" s="7" t="n">
        <v>3700</v>
      </c>
      <c r="N366" s="8" t="n">
        <v>0.1093</v>
      </c>
      <c r="O366" s="4" t="n">
        <f aca="false">M366*N366</f>
        <v>404.41</v>
      </c>
    </row>
    <row r="367" customFormat="false" ht="15" hidden="false" customHeight="false" outlineLevel="0" collapsed="false">
      <c r="A367" s="0" t="s">
        <v>708</v>
      </c>
      <c r="D367" s="7" t="n">
        <v>264</v>
      </c>
      <c r="E367" s="8" t="n">
        <v>1.51109848484849</v>
      </c>
      <c r="F367" s="4" t="n">
        <f aca="false">D367*E367</f>
        <v>398.93</v>
      </c>
      <c r="G367" s="7" t="n">
        <v>1</v>
      </c>
      <c r="H367" s="9" t="n">
        <f aca="false">IF(G367&gt;0,D367/G367,"")</f>
        <v>264</v>
      </c>
      <c r="I367" s="10" t="n">
        <v>46163</v>
      </c>
      <c r="J367" s="3" t="s">
        <v>709</v>
      </c>
      <c r="K367" s="10" t="n">
        <v>46080</v>
      </c>
      <c r="L367" s="3" t="s">
        <v>14</v>
      </c>
      <c r="M367" s="7" t="n">
        <v>265</v>
      </c>
      <c r="N367" s="8" t="n">
        <v>1.5111</v>
      </c>
      <c r="O367" s="4" t="n">
        <f aca="false">M367*N367</f>
        <v>400.4415</v>
      </c>
    </row>
    <row r="368" customFormat="false" ht="15" hidden="false" customHeight="false" outlineLevel="0" collapsed="false">
      <c r="A368" s="0" t="s">
        <v>710</v>
      </c>
      <c r="C368" s="0" t="s">
        <v>42</v>
      </c>
      <c r="D368" s="7" t="n">
        <v>984</v>
      </c>
      <c r="E368" s="8" t="n">
        <v>0.405233739837398</v>
      </c>
      <c r="F368" s="4" t="n">
        <f aca="false">D368*E368</f>
        <v>398.75</v>
      </c>
      <c r="G368" s="7" t="n">
        <v>412</v>
      </c>
      <c r="H368" s="9" t="n">
        <f aca="false">IF(G368&gt;0,D368/G368,"")</f>
        <v>2.38834951456311</v>
      </c>
      <c r="I368" s="10" t="n">
        <v>46252</v>
      </c>
      <c r="J368" s="3" t="s">
        <v>711</v>
      </c>
      <c r="K368" s="10" t="n">
        <v>46105</v>
      </c>
      <c r="L368" s="3" t="s">
        <v>14</v>
      </c>
      <c r="M368" s="7" t="n">
        <v>1000</v>
      </c>
      <c r="N368" s="8" t="n">
        <v>0.4053</v>
      </c>
      <c r="O368" s="4" t="n">
        <f aca="false">M368*N368</f>
        <v>405.3</v>
      </c>
    </row>
    <row r="369" customFormat="false" ht="15" hidden="false" customHeight="false" outlineLevel="0" collapsed="false">
      <c r="A369" s="0" t="s">
        <v>712</v>
      </c>
      <c r="C369" s="0" t="s">
        <v>698</v>
      </c>
      <c r="D369" s="7" t="n">
        <v>1511</v>
      </c>
      <c r="E369" s="8" t="n">
        <v>0.263395102581072</v>
      </c>
      <c r="F369" s="4" t="n">
        <f aca="false">D369*E369</f>
        <v>397.99</v>
      </c>
      <c r="G369" s="7" t="n">
        <v>8</v>
      </c>
      <c r="H369" s="9" t="n">
        <f aca="false">IF(G369&gt;0,D369/G369,"")</f>
        <v>188.875</v>
      </c>
      <c r="I369" s="10" t="n">
        <v>46276</v>
      </c>
      <c r="J369" s="3" t="s">
        <v>276</v>
      </c>
      <c r="K369" s="10" t="n">
        <v>46225</v>
      </c>
      <c r="L369" s="3" t="s">
        <v>14</v>
      </c>
      <c r="M369" s="7" t="n">
        <v>1519</v>
      </c>
      <c r="N369" s="8" t="n">
        <v>0.2634</v>
      </c>
      <c r="O369" s="4" t="n">
        <f aca="false">M369*N369</f>
        <v>400.1046</v>
      </c>
    </row>
    <row r="370" customFormat="false" ht="15" hidden="false" customHeight="false" outlineLevel="0" collapsed="false">
      <c r="A370" s="0" t="s">
        <v>713</v>
      </c>
      <c r="C370" s="0" t="s">
        <v>42</v>
      </c>
      <c r="D370" s="7" t="n">
        <v>998</v>
      </c>
      <c r="E370" s="8" t="n">
        <v>0.398697394789579</v>
      </c>
      <c r="F370" s="4" t="n">
        <f aca="false">D370*E370</f>
        <v>397.9</v>
      </c>
      <c r="G370" s="7" t="n">
        <v>6</v>
      </c>
      <c r="H370" s="9" t="n">
        <f aca="false">IF(G370&gt;0,D370/G370,"")</f>
        <v>166.333333333333</v>
      </c>
      <c r="I370" s="10" t="n">
        <v>46143</v>
      </c>
      <c r="J370" s="3" t="s">
        <v>110</v>
      </c>
      <c r="K370" s="10" t="n">
        <v>46134</v>
      </c>
      <c r="L370" s="3" t="s">
        <v>14</v>
      </c>
      <c r="M370" s="7" t="n">
        <v>1004</v>
      </c>
      <c r="N370" s="8" t="n">
        <v>0.3987</v>
      </c>
      <c r="O370" s="4" t="n">
        <f aca="false">M370*N370</f>
        <v>400.2948</v>
      </c>
    </row>
    <row r="371" customFormat="false" ht="15" hidden="false" customHeight="false" outlineLevel="0" collapsed="false">
      <c r="A371" s="0" t="s">
        <v>714</v>
      </c>
      <c r="C371" s="0" t="s">
        <v>715</v>
      </c>
      <c r="D371" s="7" t="n">
        <v>18577</v>
      </c>
      <c r="E371" s="8" t="n">
        <v>0.021411422727028</v>
      </c>
      <c r="F371" s="4" t="n">
        <f aca="false">D371*E371</f>
        <v>397.76</v>
      </c>
      <c r="G371" s="7" t="n">
        <v>42</v>
      </c>
      <c r="H371" s="9" t="n">
        <f aca="false">IF(G371&gt;0,D371/G371,"")</f>
        <v>442.309523809524</v>
      </c>
      <c r="I371" s="10" t="n">
        <v>46147</v>
      </c>
      <c r="J371" s="3" t="s">
        <v>716</v>
      </c>
      <c r="K371" s="10" t="n">
        <v>45518</v>
      </c>
      <c r="L371" s="3" t="s">
        <v>14</v>
      </c>
      <c r="M371" s="7" t="n">
        <v>35610</v>
      </c>
      <c r="N371" s="8" t="n">
        <v>0.028</v>
      </c>
      <c r="O371" s="4" t="n">
        <f aca="false">M371*N371</f>
        <v>997.08</v>
      </c>
    </row>
    <row r="372" customFormat="false" ht="15" hidden="false" customHeight="false" outlineLevel="0" collapsed="false">
      <c r="A372" s="0" t="s">
        <v>717</v>
      </c>
      <c r="C372" s="0" t="s">
        <v>698</v>
      </c>
      <c r="D372" s="7" t="n">
        <v>2576</v>
      </c>
      <c r="E372" s="8" t="n">
        <v>0.154398291925466</v>
      </c>
      <c r="F372" s="4" t="n">
        <f aca="false">D372*E372</f>
        <v>397.73</v>
      </c>
      <c r="G372" s="7" t="n">
        <v>24</v>
      </c>
      <c r="H372" s="9" t="n">
        <f aca="false">IF(G372&gt;0,D372/G372,"")</f>
        <v>107.333333333333</v>
      </c>
      <c r="I372" s="10" t="n">
        <v>46212</v>
      </c>
      <c r="J372" s="3" t="s">
        <v>656</v>
      </c>
      <c r="K372" s="10" t="n">
        <v>46160</v>
      </c>
      <c r="L372" s="3" t="s">
        <v>14</v>
      </c>
      <c r="M372" s="7" t="n">
        <v>2600</v>
      </c>
      <c r="N372" s="8" t="n">
        <v>0.1544</v>
      </c>
      <c r="O372" s="4" t="n">
        <f aca="false">M372*N372</f>
        <v>401.44</v>
      </c>
    </row>
    <row r="373" customFormat="false" ht="15" hidden="false" customHeight="false" outlineLevel="0" collapsed="false">
      <c r="A373" s="0" t="s">
        <v>718</v>
      </c>
      <c r="C373" s="0" t="s">
        <v>698</v>
      </c>
      <c r="D373" s="7" t="n">
        <v>441</v>
      </c>
      <c r="E373" s="8" t="n">
        <v>0.900204081632653</v>
      </c>
      <c r="F373" s="4" t="n">
        <f aca="false">D373*E373</f>
        <v>396.99</v>
      </c>
      <c r="G373" s="7" t="n">
        <v>4</v>
      </c>
      <c r="H373" s="9" t="n">
        <f aca="false">IF(G373&gt;0,D373/G373,"")</f>
        <v>110.25</v>
      </c>
      <c r="I373" s="10" t="n">
        <v>46308</v>
      </c>
      <c r="J373" s="3" t="s">
        <v>336</v>
      </c>
      <c r="K373" s="10" t="n">
        <v>46245</v>
      </c>
      <c r="L373" s="3" t="s">
        <v>14</v>
      </c>
      <c r="M373" s="7" t="n">
        <v>445</v>
      </c>
      <c r="N373" s="8" t="n">
        <v>0.9002</v>
      </c>
      <c r="O373" s="4" t="n">
        <f aca="false">M373*N373</f>
        <v>400.589</v>
      </c>
    </row>
    <row r="374" customFormat="false" ht="15" hidden="false" customHeight="false" outlineLevel="0" collapsed="false">
      <c r="A374" s="0" t="s">
        <v>719</v>
      </c>
      <c r="C374" s="0" t="s">
        <v>43</v>
      </c>
      <c r="D374" s="7" t="n">
        <v>488</v>
      </c>
      <c r="E374" s="8" t="n">
        <v>0.813196721311475</v>
      </c>
      <c r="F374" s="4" t="n">
        <f aca="false">D374*E374</f>
        <v>396.84</v>
      </c>
      <c r="G374" s="7" t="n">
        <v>12</v>
      </c>
      <c r="H374" s="9" t="n">
        <f aca="false">IF(G374&gt;0,D374/G374,"")</f>
        <v>40.6666666666667</v>
      </c>
      <c r="I374" s="10" t="n">
        <v>46120</v>
      </c>
      <c r="J374" s="3" t="s">
        <v>720</v>
      </c>
      <c r="K374" s="10" t="n">
        <v>45194</v>
      </c>
      <c r="L374" s="3" t="s">
        <v>14</v>
      </c>
      <c r="M374" s="7" t="n">
        <v>500</v>
      </c>
      <c r="N374" s="8" t="n">
        <v>0.8132</v>
      </c>
      <c r="O374" s="4" t="n">
        <f aca="false">M374*N374</f>
        <v>406.6</v>
      </c>
    </row>
    <row r="375" customFormat="false" ht="15" hidden="false" customHeight="false" outlineLevel="0" collapsed="false">
      <c r="A375" s="0" t="s">
        <v>721</v>
      </c>
      <c r="C375" s="0" t="s">
        <v>378</v>
      </c>
      <c r="D375" s="7" t="n">
        <v>395</v>
      </c>
      <c r="E375" s="8" t="n">
        <v>1.0033164556962</v>
      </c>
      <c r="F375" s="4" t="n">
        <f aca="false">D375*E375</f>
        <v>396.31</v>
      </c>
      <c r="G375" s="7" t="n">
        <v>4</v>
      </c>
      <c r="H375" s="9" t="n">
        <f aca="false">IF(G375&gt;0,D375/G375,"")</f>
        <v>98.75</v>
      </c>
      <c r="I375" s="10" t="n">
        <v>46289</v>
      </c>
      <c r="J375" s="3" t="s">
        <v>722</v>
      </c>
      <c r="K375" s="10" t="n">
        <v>45093</v>
      </c>
      <c r="L375" s="3" t="s">
        <v>14</v>
      </c>
      <c r="M375" s="7" t="n">
        <v>400</v>
      </c>
      <c r="N375" s="8" t="n">
        <v>1.0033</v>
      </c>
      <c r="O375" s="4" t="n">
        <f aca="false">M375*N375</f>
        <v>401.32</v>
      </c>
    </row>
    <row r="376" customFormat="false" ht="15" hidden="false" customHeight="false" outlineLevel="0" collapsed="false">
      <c r="A376" s="0" t="s">
        <v>723</v>
      </c>
      <c r="C376" s="0" t="s">
        <v>31</v>
      </c>
      <c r="D376" s="7" t="n">
        <v>501</v>
      </c>
      <c r="E376" s="8" t="n">
        <v>0.79</v>
      </c>
      <c r="F376" s="4" t="n">
        <f aca="false">D376*E376</f>
        <v>395.79</v>
      </c>
      <c r="G376" s="7" t="n">
        <v>262</v>
      </c>
      <c r="H376" s="9" t="n">
        <f aca="false">IF(G376&gt;0,D376/G376,"")</f>
        <v>1.91221374045802</v>
      </c>
      <c r="I376" s="10" t="n">
        <v>46246</v>
      </c>
      <c r="K376" s="10"/>
      <c r="M376" s="7"/>
      <c r="N376" s="8"/>
      <c r="O376" s="4"/>
    </row>
    <row r="377" customFormat="false" ht="15" hidden="false" customHeight="false" outlineLevel="0" collapsed="false">
      <c r="A377" s="0" t="s">
        <v>724</v>
      </c>
      <c r="C377" s="0" t="s">
        <v>378</v>
      </c>
      <c r="D377" s="7" t="n">
        <v>1415</v>
      </c>
      <c r="E377" s="8" t="n">
        <v>0.279194346289753</v>
      </c>
      <c r="F377" s="4" t="n">
        <f aca="false">D377*E377</f>
        <v>395.06</v>
      </c>
      <c r="G377" s="7" t="n">
        <v>20</v>
      </c>
      <c r="H377" s="9" t="n">
        <f aca="false">IF(G377&gt;0,D377/G377,"")</f>
        <v>70.75</v>
      </c>
      <c r="I377" s="10" t="n">
        <v>46160</v>
      </c>
      <c r="J377" s="3" t="s">
        <v>725</v>
      </c>
      <c r="K377" s="10" t="n">
        <v>45523</v>
      </c>
      <c r="L377" s="3" t="s">
        <v>14</v>
      </c>
      <c r="M377" s="7" t="n">
        <v>1450</v>
      </c>
      <c r="N377" s="8" t="n">
        <v>0.2792</v>
      </c>
      <c r="O377" s="4" t="n">
        <f aca="false">M377*N377</f>
        <v>404.84</v>
      </c>
    </row>
    <row r="378" customFormat="false" ht="15" hidden="false" customHeight="false" outlineLevel="0" collapsed="false">
      <c r="A378" s="0" t="s">
        <v>726</v>
      </c>
      <c r="C378" s="0" t="s">
        <v>31</v>
      </c>
      <c r="D378" s="7" t="n">
        <v>32457</v>
      </c>
      <c r="E378" s="8" t="n">
        <v>0.0121699479311089</v>
      </c>
      <c r="F378" s="4" t="n">
        <f aca="false">D378*E378</f>
        <v>395</v>
      </c>
      <c r="G378" s="7" t="n">
        <v>4374</v>
      </c>
      <c r="H378" s="9" t="n">
        <f aca="false">IF(G378&gt;0,D378/G378,"")</f>
        <v>7.42043895747599</v>
      </c>
      <c r="I378" s="10" t="n">
        <v>46294</v>
      </c>
      <c r="J378" s="3" t="s">
        <v>727</v>
      </c>
      <c r="K378" s="10" t="n">
        <v>44860</v>
      </c>
      <c r="L378" s="3" t="s">
        <v>19</v>
      </c>
      <c r="M378" s="7" t="n">
        <v>25880</v>
      </c>
      <c r="N378" s="8" t="n">
        <v>0.0103</v>
      </c>
      <c r="O378" s="4" t="n">
        <f aca="false">M378*N378</f>
        <v>266.564</v>
      </c>
    </row>
    <row r="379" customFormat="false" ht="15" hidden="false" customHeight="false" outlineLevel="0" collapsed="false">
      <c r="A379" s="0" t="s">
        <v>728</v>
      </c>
      <c r="C379" s="0" t="s">
        <v>31</v>
      </c>
      <c r="D379" s="7" t="n">
        <v>20133</v>
      </c>
      <c r="E379" s="8" t="n">
        <v>0.0195986688521333</v>
      </c>
      <c r="F379" s="4" t="n">
        <f aca="false">D379*E379</f>
        <v>394.58</v>
      </c>
      <c r="G379" s="7" t="n">
        <v>435</v>
      </c>
      <c r="H379" s="9" t="n">
        <f aca="false">IF(G379&gt;0,D379/G379,"")</f>
        <v>46.2827586206897</v>
      </c>
      <c r="I379" s="10" t="n">
        <v>46302</v>
      </c>
      <c r="K379" s="10"/>
      <c r="M379" s="7"/>
      <c r="N379" s="8"/>
      <c r="O379" s="4"/>
    </row>
    <row r="380" customFormat="false" ht="15" hidden="false" customHeight="false" outlineLevel="0" collapsed="false">
      <c r="A380" s="0" t="s">
        <v>729</v>
      </c>
      <c r="C380" s="0" t="s">
        <v>45</v>
      </c>
      <c r="D380" s="7" t="n">
        <v>1590</v>
      </c>
      <c r="E380" s="8" t="n">
        <v>0.248100628930818</v>
      </c>
      <c r="F380" s="4" t="n">
        <f aca="false">D380*E380</f>
        <v>394.48</v>
      </c>
      <c r="G380" s="7" t="n">
        <v>30</v>
      </c>
      <c r="H380" s="9" t="n">
        <f aca="false">IF(G380&gt;0,D380/G380,"")</f>
        <v>53</v>
      </c>
      <c r="I380" s="10" t="n">
        <v>46293</v>
      </c>
      <c r="J380" s="3" t="s">
        <v>680</v>
      </c>
      <c r="K380" s="10" t="n">
        <v>46240</v>
      </c>
      <c r="L380" s="3" t="s">
        <v>14</v>
      </c>
      <c r="M380" s="7" t="n">
        <v>1620</v>
      </c>
      <c r="N380" s="8" t="n">
        <v>0.2481</v>
      </c>
      <c r="O380" s="4" t="n">
        <f aca="false">M380*N380</f>
        <v>401.922</v>
      </c>
    </row>
    <row r="381" customFormat="false" ht="15" hidden="false" customHeight="false" outlineLevel="0" collapsed="false">
      <c r="A381" s="0" t="s">
        <v>730</v>
      </c>
      <c r="C381" s="0" t="s">
        <v>32</v>
      </c>
      <c r="D381" s="7" t="n">
        <v>123443</v>
      </c>
      <c r="E381" s="8" t="n">
        <v>0.00319159450110577</v>
      </c>
      <c r="F381" s="4" t="n">
        <f aca="false">D381*E381</f>
        <v>393.98</v>
      </c>
      <c r="G381" s="7" t="n">
        <v>75036</v>
      </c>
      <c r="H381" s="9" t="n">
        <f aca="false">IF(G381&gt;0,D381/G381,"")</f>
        <v>1.64511701050163</v>
      </c>
      <c r="I381" s="10" t="n">
        <v>46308</v>
      </c>
      <c r="J381" s="3" t="s">
        <v>421</v>
      </c>
      <c r="K381" s="10" t="n">
        <v>46240</v>
      </c>
      <c r="L381" s="3" t="s">
        <v>18</v>
      </c>
      <c r="M381" s="7" t="n">
        <v>100000</v>
      </c>
      <c r="N381" s="8" t="n">
        <v>0.0032</v>
      </c>
      <c r="O381" s="4" t="n">
        <f aca="false">M381*N381</f>
        <v>320</v>
      </c>
    </row>
    <row r="382" customFormat="false" ht="15" hidden="false" customHeight="false" outlineLevel="0" collapsed="false">
      <c r="A382" s="0" t="s">
        <v>731</v>
      </c>
      <c r="C382" s="0" t="s">
        <v>61</v>
      </c>
      <c r="D382" s="7" t="n">
        <v>221</v>
      </c>
      <c r="E382" s="8" t="n">
        <v>1.7820814479638</v>
      </c>
      <c r="F382" s="4" t="n">
        <f aca="false">D382*E382</f>
        <v>393.84</v>
      </c>
      <c r="G382" s="7" t="n">
        <v>4</v>
      </c>
      <c r="H382" s="9" t="n">
        <f aca="false">IF(G382&gt;0,D382/G382,"")</f>
        <v>55.25</v>
      </c>
      <c r="I382" s="10" t="n">
        <v>46113</v>
      </c>
      <c r="J382" s="3" t="s">
        <v>732</v>
      </c>
      <c r="K382" s="10" t="n">
        <v>46066</v>
      </c>
      <c r="L382" s="3" t="s">
        <v>14</v>
      </c>
      <c r="M382" s="7" t="n">
        <v>225</v>
      </c>
      <c r="N382" s="8" t="n">
        <v>1.7821</v>
      </c>
      <c r="O382" s="4" t="n">
        <f aca="false">M382*N382</f>
        <v>400.9725</v>
      </c>
    </row>
    <row r="383" customFormat="false" ht="15" hidden="false" customHeight="false" outlineLevel="0" collapsed="false">
      <c r="A383" s="0" t="s">
        <v>733</v>
      </c>
      <c r="C383" s="0" t="s">
        <v>39</v>
      </c>
      <c r="D383" s="7" t="n">
        <v>711</v>
      </c>
      <c r="E383" s="8" t="n">
        <v>0.553699015471167</v>
      </c>
      <c r="F383" s="4" t="n">
        <f aca="false">D383*E383</f>
        <v>393.68</v>
      </c>
      <c r="G383" s="7" t="n">
        <v>60</v>
      </c>
      <c r="H383" s="9" t="n">
        <f aca="false">IF(G383&gt;0,D383/G383,"")</f>
        <v>11.85</v>
      </c>
      <c r="I383" s="10" t="n">
        <v>45985</v>
      </c>
      <c r="J383" s="3" t="s">
        <v>734</v>
      </c>
      <c r="K383" s="10" t="n">
        <v>45351</v>
      </c>
      <c r="L383" s="3" t="s">
        <v>18</v>
      </c>
      <c r="M383" s="7" t="n">
        <v>632</v>
      </c>
      <c r="N383" s="8" t="n">
        <v>0.5553</v>
      </c>
      <c r="O383" s="4" t="n">
        <f aca="false">M383*N383</f>
        <v>350.9496</v>
      </c>
    </row>
    <row r="384" customFormat="false" ht="15" hidden="false" customHeight="false" outlineLevel="0" collapsed="false">
      <c r="A384" s="0" t="s">
        <v>735</v>
      </c>
      <c r="C384" s="0" t="s">
        <v>295</v>
      </c>
      <c r="D384" s="7" t="n">
        <v>1100</v>
      </c>
      <c r="E384" s="8" t="n">
        <v>0.3571</v>
      </c>
      <c r="F384" s="4" t="n">
        <f aca="false">D384*E384</f>
        <v>392.81</v>
      </c>
      <c r="G384" s="7" t="n">
        <v>28</v>
      </c>
      <c r="H384" s="9" t="n">
        <f aca="false">IF(G384&gt;0,D384/G384,"")</f>
        <v>39.2857142857143</v>
      </c>
      <c r="I384" s="10" t="n">
        <v>46181</v>
      </c>
      <c r="J384" s="3" t="s">
        <v>219</v>
      </c>
      <c r="K384" s="10" t="n">
        <v>45642</v>
      </c>
      <c r="L384" s="3" t="s">
        <v>15</v>
      </c>
      <c r="M384" s="7" t="n">
        <v>1180</v>
      </c>
      <c r="N384" s="8" t="n">
        <v>0.3571</v>
      </c>
      <c r="O384" s="4" t="n">
        <f aca="false">M384*N384</f>
        <v>421.378</v>
      </c>
    </row>
    <row r="385" customFormat="false" ht="15" hidden="false" customHeight="false" outlineLevel="0" collapsed="false">
      <c r="A385" s="0" t="s">
        <v>736</v>
      </c>
      <c r="C385" s="0" t="s">
        <v>44</v>
      </c>
      <c r="D385" s="7" t="n">
        <v>24</v>
      </c>
      <c r="E385" s="8" t="n">
        <v>16.36</v>
      </c>
      <c r="F385" s="4" t="n">
        <f aca="false">D385*E385</f>
        <v>392.64</v>
      </c>
      <c r="G385" s="7" t="n">
        <v>3</v>
      </c>
      <c r="H385" s="9" t="n">
        <f aca="false">IF(G385&gt;0,D385/G385,"")</f>
        <v>8</v>
      </c>
      <c r="I385" s="10" t="n">
        <v>45957</v>
      </c>
      <c r="J385" s="3" t="s">
        <v>737</v>
      </c>
      <c r="K385" s="10" t="n">
        <v>45133</v>
      </c>
      <c r="L385" s="3" t="s">
        <v>14</v>
      </c>
      <c r="M385" s="7" t="n">
        <v>25</v>
      </c>
      <c r="N385" s="8" t="n">
        <v>16.36</v>
      </c>
      <c r="O385" s="4" t="n">
        <f aca="false">M385*N385</f>
        <v>409</v>
      </c>
    </row>
    <row r="386" customFormat="false" ht="15" hidden="false" customHeight="false" outlineLevel="0" collapsed="false">
      <c r="A386" s="0" t="s">
        <v>738</v>
      </c>
      <c r="C386" s="0" t="s">
        <v>45</v>
      </c>
      <c r="D386" s="7" t="n">
        <v>2268</v>
      </c>
      <c r="E386" s="8" t="n">
        <v>0.172954144620811</v>
      </c>
      <c r="F386" s="4" t="n">
        <f aca="false">D386*E386</f>
        <v>392.26</v>
      </c>
      <c r="G386" s="7" t="n">
        <v>395</v>
      </c>
      <c r="H386" s="9" t="n">
        <f aca="false">IF(G386&gt;0,D386/G386,"")</f>
        <v>5.74177215189874</v>
      </c>
      <c r="I386" s="10" t="n">
        <v>46178</v>
      </c>
      <c r="J386" s="3" t="s">
        <v>739</v>
      </c>
      <c r="K386" s="10" t="n">
        <v>46027</v>
      </c>
      <c r="L386" s="3" t="s">
        <v>14</v>
      </c>
      <c r="M386" s="7" t="n">
        <v>2500</v>
      </c>
      <c r="N386" s="8" t="n">
        <v>0.176</v>
      </c>
      <c r="O386" s="4" t="n">
        <f aca="false">M386*N386</f>
        <v>440</v>
      </c>
    </row>
    <row r="387" customFormat="false" ht="15" hidden="false" customHeight="false" outlineLevel="0" collapsed="false">
      <c r="A387" s="0" t="s">
        <v>740</v>
      </c>
      <c r="C387" s="0" t="s">
        <v>741</v>
      </c>
      <c r="D387" s="7" t="n">
        <v>4114</v>
      </c>
      <c r="E387" s="8" t="n">
        <v>0.0951871657754011</v>
      </c>
      <c r="F387" s="4" t="n">
        <f aca="false">D387*E387</f>
        <v>391.6</v>
      </c>
      <c r="G387" s="7" t="n">
        <v>20</v>
      </c>
      <c r="H387" s="9" t="n">
        <f aca="false">IF(G387&gt;0,D387/G387,"")</f>
        <v>205.7</v>
      </c>
      <c r="I387" s="10" t="n">
        <v>46112</v>
      </c>
      <c r="J387" s="3" t="s">
        <v>722</v>
      </c>
      <c r="K387" s="10" t="n">
        <v>45093</v>
      </c>
      <c r="L387" s="3" t="s">
        <v>14</v>
      </c>
      <c r="M387" s="7" t="n">
        <v>4250</v>
      </c>
      <c r="N387" s="8" t="n">
        <v>0.0951</v>
      </c>
      <c r="O387" s="4" t="n">
        <f aca="false">M387*N387</f>
        <v>404.175</v>
      </c>
    </row>
    <row r="388" customFormat="false" ht="15" hidden="false" customHeight="false" outlineLevel="0" collapsed="false">
      <c r="A388" s="0" t="s">
        <v>742</v>
      </c>
      <c r="C388" s="0" t="s">
        <v>698</v>
      </c>
      <c r="D388" s="7" t="n">
        <v>2259</v>
      </c>
      <c r="E388" s="8" t="n">
        <v>0.173297919433378</v>
      </c>
      <c r="F388" s="4" t="n">
        <f aca="false">D388*E388</f>
        <v>391.48</v>
      </c>
      <c r="G388" s="7" t="n">
        <v>41</v>
      </c>
      <c r="H388" s="9" t="n">
        <f aca="false">IF(G388&gt;0,D388/G388,"")</f>
        <v>55.0975609756098</v>
      </c>
      <c r="I388" s="10" t="n">
        <v>46154</v>
      </c>
      <c r="J388" s="3" t="s">
        <v>538</v>
      </c>
      <c r="K388" s="10" t="n">
        <v>45832</v>
      </c>
      <c r="L388" s="3" t="s">
        <v>14</v>
      </c>
      <c r="M388" s="7" t="n">
        <v>2325</v>
      </c>
      <c r="N388" s="8" t="n">
        <v>0.1733</v>
      </c>
      <c r="O388" s="4" t="n">
        <f aca="false">M388*N388</f>
        <v>402.9225</v>
      </c>
    </row>
    <row r="389" customFormat="false" ht="15" hidden="false" customHeight="false" outlineLevel="0" collapsed="false">
      <c r="A389" s="0" t="s">
        <v>743</v>
      </c>
      <c r="C389" s="0" t="s">
        <v>744</v>
      </c>
      <c r="D389" s="7" t="n">
        <v>238</v>
      </c>
      <c r="E389" s="8" t="n">
        <v>1.64016806722689</v>
      </c>
      <c r="F389" s="4" t="n">
        <f aca="false">D389*E389</f>
        <v>390.36</v>
      </c>
      <c r="G389" s="7" t="n">
        <v>3</v>
      </c>
      <c r="H389" s="9" t="n">
        <f aca="false">IF(G389&gt;0,D389/G389,"")</f>
        <v>79.3333333333333</v>
      </c>
      <c r="I389" s="10" t="n">
        <v>46171</v>
      </c>
      <c r="J389" s="3" t="s">
        <v>745</v>
      </c>
      <c r="K389" s="10" t="n">
        <v>45397</v>
      </c>
      <c r="L389" s="3" t="s">
        <v>14</v>
      </c>
      <c r="M389" s="7" t="n">
        <v>244</v>
      </c>
      <c r="N389" s="8" t="n">
        <v>1.6402</v>
      </c>
      <c r="O389" s="4" t="n">
        <f aca="false">M389*N389</f>
        <v>400.2088</v>
      </c>
    </row>
    <row r="390" customFormat="false" ht="15" hidden="false" customHeight="false" outlineLevel="0" collapsed="false">
      <c r="A390" s="0" t="s">
        <v>746</v>
      </c>
      <c r="C390" s="0" t="s">
        <v>698</v>
      </c>
      <c r="D390" s="7" t="n">
        <v>2075</v>
      </c>
      <c r="E390" s="8" t="n">
        <v>0.188101204819277</v>
      </c>
      <c r="F390" s="4" t="n">
        <f aca="false">D390*E390</f>
        <v>390.31</v>
      </c>
      <c r="G390" s="7" t="n">
        <v>52</v>
      </c>
      <c r="H390" s="9" t="n">
        <f aca="false">IF(G390&gt;0,D390/G390,"")</f>
        <v>39.9038461538462</v>
      </c>
      <c r="I390" s="10" t="n">
        <v>46154</v>
      </c>
      <c r="J390" s="3" t="s">
        <v>747</v>
      </c>
      <c r="K390" s="10" t="n">
        <v>45985</v>
      </c>
      <c r="L390" s="3" t="s">
        <v>14</v>
      </c>
      <c r="M390" s="7" t="n">
        <v>2127</v>
      </c>
      <c r="N390" s="8" t="n">
        <v>0.1881</v>
      </c>
      <c r="O390" s="4" t="n">
        <f aca="false">M390*N390</f>
        <v>400.0887</v>
      </c>
    </row>
    <row r="391" customFormat="false" ht="15" hidden="false" customHeight="false" outlineLevel="0" collapsed="false">
      <c r="A391" s="0" t="s">
        <v>748</v>
      </c>
      <c r="D391" s="7" t="n">
        <v>35</v>
      </c>
      <c r="E391" s="8" t="n">
        <v>11.1</v>
      </c>
      <c r="F391" s="4" t="n">
        <f aca="false">D391*E391</f>
        <v>388.5</v>
      </c>
      <c r="G391" s="7" t="n">
        <v>2</v>
      </c>
      <c r="H391" s="9" t="n">
        <f aca="false">IF(G391&gt;0,D391/G391,"")</f>
        <v>17.5</v>
      </c>
      <c r="I391" s="10" t="n">
        <v>46003</v>
      </c>
      <c r="J391" s="3" t="s">
        <v>67</v>
      </c>
      <c r="K391" s="10" t="n">
        <v>46199</v>
      </c>
      <c r="L391" s="3" t="s">
        <v>24</v>
      </c>
      <c r="M391" s="7" t="n">
        <v>48</v>
      </c>
      <c r="N391" s="8" t="n">
        <v>11.1</v>
      </c>
      <c r="O391" s="4" t="n">
        <f aca="false">M391*N391</f>
        <v>532.8</v>
      </c>
    </row>
    <row r="392" customFormat="false" ht="15" hidden="false" customHeight="false" outlineLevel="0" collapsed="false">
      <c r="A392" s="0" t="s">
        <v>749</v>
      </c>
      <c r="C392" s="0" t="s">
        <v>32</v>
      </c>
      <c r="D392" s="7" t="n">
        <v>918</v>
      </c>
      <c r="E392" s="8" t="n">
        <v>0.423061002178649</v>
      </c>
      <c r="F392" s="4" t="n">
        <f aca="false">D392*E392</f>
        <v>388.37</v>
      </c>
      <c r="G392" s="7" t="n">
        <v>316</v>
      </c>
      <c r="H392" s="9" t="n">
        <f aca="false">IF(G392&gt;0,D392/G392,"")</f>
        <v>2.90506329113924</v>
      </c>
      <c r="I392" s="10" t="n">
        <v>46289</v>
      </c>
      <c r="J392" s="3" t="s">
        <v>315</v>
      </c>
      <c r="K392" s="10" t="n">
        <v>46274</v>
      </c>
      <c r="L392" s="3" t="s">
        <v>14</v>
      </c>
      <c r="M392" s="7" t="n">
        <v>1000</v>
      </c>
      <c r="N392" s="8" t="n">
        <v>0.4233</v>
      </c>
      <c r="O392" s="4" t="n">
        <f aca="false">M392*N392</f>
        <v>423.3</v>
      </c>
    </row>
    <row r="393" customFormat="false" ht="15" hidden="false" customHeight="false" outlineLevel="0" collapsed="false">
      <c r="A393" s="0" t="s">
        <v>750</v>
      </c>
      <c r="C393" s="0" t="s">
        <v>41</v>
      </c>
      <c r="D393" s="7" t="n">
        <v>40852</v>
      </c>
      <c r="E393" s="8" t="n">
        <v>0.00949990208557721</v>
      </c>
      <c r="F393" s="4" t="n">
        <f aca="false">D393*E393</f>
        <v>388.09</v>
      </c>
      <c r="G393" s="7" t="n">
        <v>10</v>
      </c>
      <c r="H393" s="9" t="n">
        <f aca="false">IF(G393&gt;0,D393/G393,"")</f>
        <v>4085.2</v>
      </c>
      <c r="I393" s="10" t="n">
        <v>46076</v>
      </c>
      <c r="J393" s="3" t="s">
        <v>751</v>
      </c>
      <c r="K393" s="10" t="n">
        <v>44860</v>
      </c>
      <c r="L393" s="3" t="s">
        <v>16</v>
      </c>
      <c r="M393" s="7" t="n">
        <v>43111</v>
      </c>
      <c r="N393" s="8" t="n">
        <v>0.0095</v>
      </c>
      <c r="O393" s="4" t="n">
        <f aca="false">M393*N393</f>
        <v>409.5545</v>
      </c>
    </row>
    <row r="394" customFormat="false" ht="15" hidden="false" customHeight="false" outlineLevel="0" collapsed="false">
      <c r="A394" s="0" t="s">
        <v>752</v>
      </c>
      <c r="C394" s="0" t="s">
        <v>295</v>
      </c>
      <c r="D394" s="7" t="n">
        <v>5165</v>
      </c>
      <c r="E394" s="8" t="n">
        <v>0.0750880929332043</v>
      </c>
      <c r="F394" s="4" t="n">
        <f aca="false">D394*E394</f>
        <v>387.83</v>
      </c>
      <c r="G394" s="7" t="n">
        <v>29</v>
      </c>
      <c r="H394" s="9" t="n">
        <f aca="false">IF(G394&gt;0,D394/G394,"")</f>
        <v>178.103448275862</v>
      </c>
      <c r="I394" s="10" t="n">
        <v>46273</v>
      </c>
      <c r="J394" s="3" t="s">
        <v>753</v>
      </c>
      <c r="K394" s="10" t="n">
        <v>45943</v>
      </c>
      <c r="L394" s="3" t="s">
        <v>20</v>
      </c>
      <c r="M394" s="7" t="n">
        <v>5100</v>
      </c>
      <c r="N394" s="8" t="n">
        <v>0.07491</v>
      </c>
      <c r="O394" s="4" t="n">
        <f aca="false">M394*N394</f>
        <v>382.041</v>
      </c>
    </row>
    <row r="395" customFormat="false" ht="15" hidden="false" customHeight="false" outlineLevel="0" collapsed="false">
      <c r="A395" s="0" t="s">
        <v>754</v>
      </c>
      <c r="C395" s="0" t="s">
        <v>100</v>
      </c>
      <c r="D395" s="7" t="n">
        <v>175</v>
      </c>
      <c r="E395" s="8" t="n">
        <v>2.21457142857143</v>
      </c>
      <c r="F395" s="4" t="n">
        <f aca="false">D395*E395</f>
        <v>387.55</v>
      </c>
      <c r="G395" s="7" t="n">
        <v>50</v>
      </c>
      <c r="H395" s="9" t="n">
        <f aca="false">IF(G395&gt;0,D395/G395,"")</f>
        <v>3.5</v>
      </c>
      <c r="I395" s="10" t="n">
        <v>46244</v>
      </c>
      <c r="J395" s="3" t="s">
        <v>278</v>
      </c>
      <c r="K395" s="10" t="n">
        <v>45967</v>
      </c>
      <c r="L395" s="3" t="s">
        <v>16</v>
      </c>
      <c r="M395" s="7" t="n">
        <v>200</v>
      </c>
      <c r="N395" s="8" t="n">
        <v>2.2146</v>
      </c>
      <c r="O395" s="4" t="n">
        <f aca="false">M395*N395</f>
        <v>442.92</v>
      </c>
    </row>
    <row r="396" customFormat="false" ht="15" hidden="false" customHeight="false" outlineLevel="0" collapsed="false">
      <c r="A396" s="0" t="s">
        <v>755</v>
      </c>
      <c r="C396" s="0" t="s">
        <v>497</v>
      </c>
      <c r="D396" s="7" t="n">
        <v>1073</v>
      </c>
      <c r="E396" s="8" t="n">
        <v>0.360829450139795</v>
      </c>
      <c r="F396" s="4" t="n">
        <f aca="false">D396*E396</f>
        <v>387.17</v>
      </c>
      <c r="G396" s="7" t="n">
        <v>201</v>
      </c>
      <c r="H396" s="9" t="n">
        <f aca="false">IF(G396&gt;0,D396/G396,"")</f>
        <v>5.33830845771144</v>
      </c>
      <c r="I396" s="10" t="n">
        <v>46038</v>
      </c>
      <c r="J396" s="3" t="s">
        <v>498</v>
      </c>
      <c r="K396" s="10" t="n">
        <v>46094</v>
      </c>
      <c r="L396" s="3" t="s">
        <v>15</v>
      </c>
      <c r="M396" s="7" t="n">
        <v>1063</v>
      </c>
      <c r="N396" s="8" t="n">
        <v>0.35087</v>
      </c>
      <c r="O396" s="4" t="n">
        <f aca="false">M396*N396</f>
        <v>372.97481</v>
      </c>
    </row>
    <row r="397" customFormat="false" ht="15" hidden="false" customHeight="false" outlineLevel="0" collapsed="false">
      <c r="A397" s="0" t="s">
        <v>756</v>
      </c>
      <c r="C397" s="0" t="s">
        <v>32</v>
      </c>
      <c r="D397" s="7" t="n">
        <v>7739</v>
      </c>
      <c r="E397" s="8" t="n">
        <v>0.05</v>
      </c>
      <c r="F397" s="4" t="n">
        <f aca="false">D397*E397</f>
        <v>386.95</v>
      </c>
      <c r="G397" s="7" t="n">
        <v>4467</v>
      </c>
      <c r="H397" s="9" t="n">
        <f aca="false">IF(G397&gt;0,D397/G397,"")</f>
        <v>1.73248265054847</v>
      </c>
      <c r="I397" s="10" t="n">
        <v>46304</v>
      </c>
      <c r="J397" s="3" t="s">
        <v>757</v>
      </c>
      <c r="K397" s="10" t="n">
        <v>46247</v>
      </c>
      <c r="L397" s="3" t="s">
        <v>14</v>
      </c>
      <c r="M397" s="7" t="n">
        <v>10000</v>
      </c>
      <c r="N397" s="8" t="n">
        <v>0.048</v>
      </c>
      <c r="O397" s="4" t="n">
        <f aca="false">M397*N397</f>
        <v>480</v>
      </c>
    </row>
    <row r="398" customFormat="false" ht="15" hidden="false" customHeight="false" outlineLevel="0" collapsed="false">
      <c r="A398" s="0" t="s">
        <v>758</v>
      </c>
      <c r="C398" s="0" t="s">
        <v>378</v>
      </c>
      <c r="D398" s="7" t="n">
        <v>1466</v>
      </c>
      <c r="E398" s="8" t="n">
        <v>0.263894952251023</v>
      </c>
      <c r="F398" s="4" t="n">
        <f aca="false">D398*E398</f>
        <v>386.87</v>
      </c>
      <c r="G398" s="7" t="n">
        <v>54</v>
      </c>
      <c r="H398" s="9" t="n">
        <f aca="false">IF(G398&gt;0,D398/G398,"")</f>
        <v>27.1481481481482</v>
      </c>
      <c r="I398" s="10" t="n">
        <v>46258</v>
      </c>
      <c r="J398" s="3" t="s">
        <v>745</v>
      </c>
      <c r="K398" s="10" t="n">
        <v>45397</v>
      </c>
      <c r="L398" s="3" t="s">
        <v>14</v>
      </c>
      <c r="M398" s="7" t="n">
        <v>1520</v>
      </c>
      <c r="N398" s="8" t="n">
        <v>0.2639</v>
      </c>
      <c r="O398" s="4" t="n">
        <f aca="false">M398*N398</f>
        <v>401.128</v>
      </c>
    </row>
    <row r="399" customFormat="false" ht="15" hidden="false" customHeight="false" outlineLevel="0" collapsed="false">
      <c r="A399" s="0" t="s">
        <v>759</v>
      </c>
      <c r="C399" s="0" t="s">
        <v>35</v>
      </c>
      <c r="D399" s="7" t="n">
        <v>7429</v>
      </c>
      <c r="E399" s="8" t="n">
        <v>0.0520177682056804</v>
      </c>
      <c r="F399" s="4" t="n">
        <f aca="false">D399*E399</f>
        <v>386.44</v>
      </c>
      <c r="G399" s="7" t="n">
        <v>1654</v>
      </c>
      <c r="H399" s="9" t="n">
        <f aca="false">IF(G399&gt;0,D399/G399,"")</f>
        <v>4.49153567110036</v>
      </c>
      <c r="I399" s="10" t="n">
        <v>46317</v>
      </c>
      <c r="J399" s="3" t="s">
        <v>760</v>
      </c>
      <c r="K399" s="10" t="n">
        <v>45035</v>
      </c>
      <c r="L399" s="3" t="s">
        <v>15</v>
      </c>
      <c r="M399" s="7" t="n">
        <v>8650</v>
      </c>
      <c r="N399" s="8" t="n">
        <v>0.04906</v>
      </c>
      <c r="O399" s="4" t="n">
        <f aca="false">M399*N399</f>
        <v>424.369</v>
      </c>
    </row>
    <row r="400" customFormat="false" ht="15" hidden="false" customHeight="false" outlineLevel="0" collapsed="false">
      <c r="A400" s="0" t="s">
        <v>761</v>
      </c>
      <c r="C400" s="0" t="s">
        <v>35</v>
      </c>
      <c r="D400" s="7" t="n">
        <v>4481</v>
      </c>
      <c r="E400" s="8" t="n">
        <v>0.0861905824592725</v>
      </c>
      <c r="F400" s="4" t="n">
        <f aca="false">D400*E400</f>
        <v>386.22</v>
      </c>
      <c r="G400" s="7" t="n">
        <v>128</v>
      </c>
      <c r="H400" s="9" t="n">
        <f aca="false">IF(G400&gt;0,D400/G400,"")</f>
        <v>35.0078125</v>
      </c>
      <c r="I400" s="10" t="n">
        <v>46252</v>
      </c>
      <c r="J400" s="3" t="s">
        <v>184</v>
      </c>
      <c r="K400" s="10" t="n">
        <v>45468</v>
      </c>
      <c r="L400" s="3" t="s">
        <v>20</v>
      </c>
      <c r="M400" s="7" t="n">
        <v>4000</v>
      </c>
      <c r="N400" s="8" t="n">
        <v>0.08</v>
      </c>
      <c r="O400" s="4" t="n">
        <f aca="false">M400*N400</f>
        <v>320</v>
      </c>
    </row>
    <row r="401" customFormat="false" ht="15" hidden="false" customHeight="false" outlineLevel="0" collapsed="false">
      <c r="A401" s="0" t="s">
        <v>762</v>
      </c>
      <c r="C401" s="0" t="s">
        <v>741</v>
      </c>
      <c r="D401" s="7" t="n">
        <v>2429</v>
      </c>
      <c r="E401" s="8" t="n">
        <v>0.158900782214903</v>
      </c>
      <c r="F401" s="4" t="n">
        <f aca="false">D401*E401</f>
        <v>385.97</v>
      </c>
      <c r="G401" s="7" t="n">
        <v>339</v>
      </c>
      <c r="H401" s="9" t="n">
        <f aca="false">IF(G401&gt;0,D401/G401,"")</f>
        <v>7.16519174041298</v>
      </c>
      <c r="I401" s="10" t="n">
        <v>46308</v>
      </c>
      <c r="J401" s="3" t="s">
        <v>763</v>
      </c>
      <c r="K401" s="10" t="n">
        <v>46231</v>
      </c>
      <c r="L401" s="3" t="s">
        <v>14</v>
      </c>
      <c r="M401" s="7" t="n">
        <v>2520</v>
      </c>
      <c r="N401" s="8" t="n">
        <v>0.1589</v>
      </c>
      <c r="O401" s="4" t="n">
        <f aca="false">M401*N401</f>
        <v>400.428</v>
      </c>
    </row>
    <row r="402" customFormat="false" ht="15" hidden="false" customHeight="false" outlineLevel="0" collapsed="false">
      <c r="A402" s="0" t="s">
        <v>764</v>
      </c>
      <c r="C402" s="0" t="s">
        <v>765</v>
      </c>
      <c r="D402" s="7" t="n">
        <v>1475</v>
      </c>
      <c r="E402" s="8" t="n">
        <v>0.2616</v>
      </c>
      <c r="F402" s="4" t="n">
        <f aca="false">D402*E402</f>
        <v>385.86</v>
      </c>
      <c r="G402" s="7" t="n">
        <v>10</v>
      </c>
      <c r="H402" s="9" t="n">
        <f aca="false">IF(G402&gt;0,D402/G402,"")</f>
        <v>147.5</v>
      </c>
      <c r="I402" s="10" t="n">
        <v>46274</v>
      </c>
      <c r="J402" s="3" t="s">
        <v>766</v>
      </c>
      <c r="K402" s="10" t="n">
        <v>44302</v>
      </c>
      <c r="L402" s="3" t="s">
        <v>16</v>
      </c>
      <c r="M402" s="7" t="n">
        <v>1600</v>
      </c>
      <c r="N402" s="8" t="n">
        <v>0.2616</v>
      </c>
      <c r="O402" s="4" t="n">
        <f aca="false">M402*N402</f>
        <v>418.56</v>
      </c>
    </row>
    <row r="403" customFormat="false" ht="15" hidden="false" customHeight="false" outlineLevel="0" collapsed="false">
      <c r="A403" s="0" t="s">
        <v>767</v>
      </c>
      <c r="C403" s="0" t="s">
        <v>698</v>
      </c>
      <c r="D403" s="7" t="n">
        <v>2105</v>
      </c>
      <c r="E403" s="8" t="n">
        <v>0.183301662707839</v>
      </c>
      <c r="F403" s="4" t="n">
        <f aca="false">D403*E403</f>
        <v>385.85</v>
      </c>
      <c r="G403" s="7" t="n">
        <v>95</v>
      </c>
      <c r="H403" s="9" t="n">
        <f aca="false">IF(G403&gt;0,D403/G403,"")</f>
        <v>22.1578947368421</v>
      </c>
      <c r="I403" s="10" t="n">
        <v>46213</v>
      </c>
      <c r="J403" s="3" t="s">
        <v>768</v>
      </c>
      <c r="K403" s="10" t="n">
        <v>46014</v>
      </c>
      <c r="L403" s="3" t="s">
        <v>14</v>
      </c>
      <c r="M403" s="7" t="n">
        <v>2200</v>
      </c>
      <c r="N403" s="8" t="n">
        <v>0.1833</v>
      </c>
      <c r="O403" s="4" t="n">
        <f aca="false">M403*N403</f>
        <v>403.26</v>
      </c>
    </row>
    <row r="404" customFormat="false" ht="15" hidden="false" customHeight="false" outlineLevel="0" collapsed="false">
      <c r="A404" s="0" t="s">
        <v>769</v>
      </c>
      <c r="C404" s="0" t="s">
        <v>741</v>
      </c>
      <c r="D404" s="7" t="n">
        <v>2736</v>
      </c>
      <c r="E404" s="8" t="n">
        <v>0.140961257309942</v>
      </c>
      <c r="F404" s="4" t="n">
        <f aca="false">D404*E404</f>
        <v>385.67</v>
      </c>
      <c r="G404" s="7" t="n">
        <v>48</v>
      </c>
      <c r="H404" s="9" t="n">
        <f aca="false">IF(G404&gt;0,D404/G404,"")</f>
        <v>57</v>
      </c>
      <c r="I404" s="10" t="n">
        <v>46234</v>
      </c>
      <c r="J404" s="3" t="s">
        <v>770</v>
      </c>
      <c r="K404" s="10" t="n">
        <v>45237</v>
      </c>
      <c r="L404" s="3" t="s">
        <v>14</v>
      </c>
      <c r="M404" s="7" t="n">
        <v>2850</v>
      </c>
      <c r="N404" s="8" t="n">
        <v>0.1409</v>
      </c>
      <c r="O404" s="4" t="n">
        <f aca="false">M404*N404</f>
        <v>401.565</v>
      </c>
    </row>
    <row r="405" customFormat="false" ht="15" hidden="false" customHeight="false" outlineLevel="0" collapsed="false">
      <c r="A405" s="0" t="s">
        <v>771</v>
      </c>
      <c r="C405" s="0" t="s">
        <v>37</v>
      </c>
      <c r="D405" s="7" t="n">
        <v>70124</v>
      </c>
      <c r="E405" s="8" t="n">
        <v>0.00549212822999259</v>
      </c>
      <c r="F405" s="4" t="n">
        <f aca="false">D405*E405</f>
        <v>385.13</v>
      </c>
      <c r="G405" s="7" t="n">
        <v>961</v>
      </c>
      <c r="H405" s="9" t="n">
        <f aca="false">IF(G405&gt;0,D405/G405,"")</f>
        <v>72.9698231009365</v>
      </c>
      <c r="I405" s="10" t="n">
        <v>46273</v>
      </c>
      <c r="J405" s="3" t="s">
        <v>772</v>
      </c>
      <c r="K405" s="10" t="n">
        <v>44947</v>
      </c>
      <c r="L405" s="3" t="s">
        <v>465</v>
      </c>
      <c r="M405" s="7" t="n">
        <v>5000</v>
      </c>
      <c r="N405" s="8" t="n">
        <v>0.0129</v>
      </c>
      <c r="O405" s="4" t="n">
        <f aca="false">M405*N405</f>
        <v>64.5</v>
      </c>
    </row>
    <row r="406" customFormat="false" ht="15" hidden="false" customHeight="false" outlineLevel="0" collapsed="false">
      <c r="A406" s="0" t="s">
        <v>773</v>
      </c>
      <c r="C406" s="0" t="s">
        <v>774</v>
      </c>
      <c r="D406" s="7" t="n">
        <v>19</v>
      </c>
      <c r="E406" s="8" t="n">
        <v>20.2647368421053</v>
      </c>
      <c r="F406" s="4" t="n">
        <f aca="false">D406*E406</f>
        <v>385.03</v>
      </c>
      <c r="G406" s="7" t="n">
        <v>16</v>
      </c>
      <c r="H406" s="9" t="n">
        <f aca="false">IF(G406&gt;0,D406/G406,"")</f>
        <v>1.1875</v>
      </c>
      <c r="I406" s="10" t="n">
        <v>46007</v>
      </c>
      <c r="J406" s="3" t="s">
        <v>775</v>
      </c>
      <c r="K406" s="10" t="n">
        <v>45972</v>
      </c>
      <c r="L406" s="3" t="s">
        <v>14</v>
      </c>
      <c r="M406" s="7" t="n">
        <v>20</v>
      </c>
      <c r="N406" s="8" t="n">
        <v>20.2645</v>
      </c>
      <c r="O406" s="4" t="n">
        <f aca="false">M406*N406</f>
        <v>405.29</v>
      </c>
    </row>
    <row r="407" customFormat="false" ht="15" hidden="false" customHeight="false" outlineLevel="0" collapsed="false">
      <c r="A407" s="0" t="s">
        <v>776</v>
      </c>
      <c r="C407" s="0" t="s">
        <v>777</v>
      </c>
      <c r="D407" s="7" t="n">
        <v>6860</v>
      </c>
      <c r="E407" s="8" t="n">
        <v>0.056</v>
      </c>
      <c r="F407" s="4" t="n">
        <f aca="false">D407*E407</f>
        <v>384.16</v>
      </c>
      <c r="G407" s="7" t="n">
        <v>190</v>
      </c>
      <c r="H407" s="9" t="n">
        <f aca="false">IF(G407&gt;0,D407/G407,"")</f>
        <v>36.1052631578947</v>
      </c>
      <c r="I407" s="10" t="n">
        <v>46087</v>
      </c>
      <c r="J407" s="3" t="s">
        <v>778</v>
      </c>
      <c r="K407" s="10" t="n">
        <v>45967</v>
      </c>
      <c r="L407" s="3" t="s">
        <v>15</v>
      </c>
      <c r="M407" s="7" t="n">
        <v>7050</v>
      </c>
      <c r="N407" s="8" t="n">
        <v>0.056</v>
      </c>
      <c r="O407" s="4" t="n">
        <f aca="false">M407*N407</f>
        <v>394.8</v>
      </c>
    </row>
    <row r="408" customFormat="false" ht="15" hidden="false" customHeight="false" outlineLevel="0" collapsed="false">
      <c r="A408" s="0" t="s">
        <v>779</v>
      </c>
      <c r="C408" s="0" t="s">
        <v>40</v>
      </c>
      <c r="D408" s="7" t="n">
        <v>127385</v>
      </c>
      <c r="E408" s="8" t="n">
        <v>0.00299925422930486</v>
      </c>
      <c r="F408" s="4" t="n">
        <f aca="false">D408*E408</f>
        <v>382.06</v>
      </c>
      <c r="G408" s="7" t="n">
        <v>28923</v>
      </c>
      <c r="H408" s="9" t="n">
        <f aca="false">IF(G408&gt;0,D408/G408,"")</f>
        <v>4.40428033053279</v>
      </c>
      <c r="I408" s="10" t="n">
        <v>46308</v>
      </c>
      <c r="J408" s="3" t="s">
        <v>780</v>
      </c>
      <c r="K408" s="10" t="n">
        <v>44884</v>
      </c>
      <c r="L408" s="3" t="s">
        <v>18</v>
      </c>
      <c r="M408" s="7" t="n">
        <v>13581</v>
      </c>
      <c r="N408" s="8" t="n">
        <v>0.0044</v>
      </c>
      <c r="O408" s="4" t="n">
        <f aca="false">M408*N408</f>
        <v>59.7564</v>
      </c>
    </row>
    <row r="409" customFormat="false" ht="15" hidden="false" customHeight="false" outlineLevel="0" collapsed="false">
      <c r="A409" s="0" t="s">
        <v>781</v>
      </c>
      <c r="C409" s="0" t="s">
        <v>438</v>
      </c>
      <c r="D409" s="7" t="n">
        <v>2191</v>
      </c>
      <c r="E409" s="8" t="n">
        <v>0.174303970789594</v>
      </c>
      <c r="F409" s="4" t="n">
        <f aca="false">D409*E409</f>
        <v>381.9</v>
      </c>
      <c r="G409" s="7" t="n">
        <v>2157</v>
      </c>
      <c r="H409" s="9" t="n">
        <f aca="false">IF(G409&gt;0,D409/G409,"")</f>
        <v>1.01576263328697</v>
      </c>
      <c r="I409" s="10" t="n">
        <v>46310</v>
      </c>
      <c r="J409" s="3" t="s">
        <v>572</v>
      </c>
      <c r="K409" s="10" t="n">
        <v>46164</v>
      </c>
      <c r="L409" s="3" t="s">
        <v>14</v>
      </c>
      <c r="M409" s="7" t="n">
        <v>2500</v>
      </c>
      <c r="N409" s="8" t="n">
        <v>0.1743</v>
      </c>
      <c r="O409" s="4" t="n">
        <f aca="false">M409*N409</f>
        <v>435.75</v>
      </c>
    </row>
    <row r="410" customFormat="false" ht="15" hidden="false" customHeight="false" outlineLevel="0" collapsed="false">
      <c r="A410" s="0" t="s">
        <v>782</v>
      </c>
      <c r="C410" s="0" t="s">
        <v>698</v>
      </c>
      <c r="D410" s="7" t="n">
        <v>2029</v>
      </c>
      <c r="E410" s="8" t="n">
        <v>0.188102513553475</v>
      </c>
      <c r="F410" s="4" t="n">
        <f aca="false">D410*E410</f>
        <v>381.66</v>
      </c>
      <c r="G410" s="7" t="n">
        <v>76</v>
      </c>
      <c r="H410" s="9" t="n">
        <f aca="false">IF(G410&gt;0,D410/G410,"")</f>
        <v>26.6973684210526</v>
      </c>
      <c r="I410" s="10" t="n">
        <v>46300</v>
      </c>
      <c r="J410" s="3" t="s">
        <v>538</v>
      </c>
      <c r="K410" s="10" t="n">
        <v>45832</v>
      </c>
      <c r="L410" s="3" t="s">
        <v>14</v>
      </c>
      <c r="M410" s="7" t="n">
        <v>2130</v>
      </c>
      <c r="N410" s="8" t="n">
        <v>0.1881</v>
      </c>
      <c r="O410" s="4" t="n">
        <f aca="false">M410*N410</f>
        <v>400.653</v>
      </c>
    </row>
    <row r="411" customFormat="false" ht="15" hidden="false" customHeight="false" outlineLevel="0" collapsed="false">
      <c r="A411" s="0" t="s">
        <v>783</v>
      </c>
      <c r="C411" s="0" t="s">
        <v>438</v>
      </c>
      <c r="D411" s="7" t="n">
        <v>829</v>
      </c>
      <c r="E411" s="8" t="n">
        <v>0.459300361881785</v>
      </c>
      <c r="F411" s="4" t="n">
        <f aca="false">D411*E411</f>
        <v>380.76</v>
      </c>
      <c r="G411" s="7" t="n">
        <v>771</v>
      </c>
      <c r="H411" s="9" t="n">
        <f aca="false">IF(G411&gt;0,D411/G411,"")</f>
        <v>1.07522697795071</v>
      </c>
      <c r="I411" s="10" t="n">
        <v>46316</v>
      </c>
      <c r="J411" s="3" t="s">
        <v>784</v>
      </c>
      <c r="K411" s="10" t="n">
        <v>46119</v>
      </c>
      <c r="L411" s="3" t="s">
        <v>14</v>
      </c>
      <c r="M411" s="7" t="n">
        <v>875</v>
      </c>
      <c r="N411" s="8" t="n">
        <v>0.4593</v>
      </c>
      <c r="O411" s="4" t="n">
        <f aca="false">M411*N411</f>
        <v>401.8875</v>
      </c>
    </row>
    <row r="412" customFormat="false" ht="15" hidden="false" customHeight="false" outlineLevel="0" collapsed="false">
      <c r="A412" s="0" t="s">
        <v>785</v>
      </c>
      <c r="C412" s="0" t="s">
        <v>61</v>
      </c>
      <c r="D412" s="7" t="n">
        <v>231</v>
      </c>
      <c r="E412" s="8" t="n">
        <v>1.64779220779221</v>
      </c>
      <c r="F412" s="4" t="n">
        <f aca="false">D412*E412</f>
        <v>380.64</v>
      </c>
      <c r="G412" s="7" t="n">
        <v>20</v>
      </c>
      <c r="H412" s="9" t="n">
        <f aca="false">IF(G412&gt;0,D412/G412,"")</f>
        <v>11.55</v>
      </c>
      <c r="I412" s="10" t="n">
        <v>46296</v>
      </c>
      <c r="J412" s="3" t="s">
        <v>283</v>
      </c>
      <c r="K412" s="10" t="n">
        <v>46287</v>
      </c>
      <c r="L412" s="3" t="s">
        <v>14</v>
      </c>
      <c r="M412" s="7" t="n">
        <v>250</v>
      </c>
      <c r="N412" s="8" t="n">
        <v>1.6478</v>
      </c>
      <c r="O412" s="4" t="n">
        <f aca="false">M412*N412</f>
        <v>411.95</v>
      </c>
    </row>
    <row r="413" customFormat="false" ht="15" hidden="false" customHeight="false" outlineLevel="0" collapsed="false">
      <c r="A413" s="0" t="s">
        <v>786</v>
      </c>
      <c r="C413" s="0" t="s">
        <v>37</v>
      </c>
      <c r="D413" s="7" t="n">
        <v>71491</v>
      </c>
      <c r="E413" s="8" t="n">
        <v>0.00530780098194178</v>
      </c>
      <c r="F413" s="4" t="n">
        <f aca="false">D413*E413</f>
        <v>379.46</v>
      </c>
      <c r="G413" s="7" t="n">
        <v>1150</v>
      </c>
      <c r="H413" s="9" t="n">
        <f aca="false">IF(G413&gt;0,D413/G413,"")</f>
        <v>62.1660869565217</v>
      </c>
      <c r="I413" s="10" t="n">
        <v>46317</v>
      </c>
      <c r="J413" s="3" t="s">
        <v>106</v>
      </c>
      <c r="K413" s="10" t="n">
        <v>44811</v>
      </c>
      <c r="L413" s="3" t="s">
        <v>15</v>
      </c>
      <c r="M413" s="7" t="n">
        <v>66700</v>
      </c>
      <c r="N413" s="8" t="n">
        <v>0.00533</v>
      </c>
      <c r="O413" s="4" t="n">
        <f aca="false">M413*N413</f>
        <v>355.511</v>
      </c>
    </row>
    <row r="414" customFormat="false" ht="15" hidden="false" customHeight="false" outlineLevel="0" collapsed="false">
      <c r="A414" s="0" t="s">
        <v>787</v>
      </c>
      <c r="C414" s="0" t="s">
        <v>581</v>
      </c>
      <c r="D414" s="7" t="n">
        <v>77</v>
      </c>
      <c r="E414" s="8" t="n">
        <v>4.92623376623377</v>
      </c>
      <c r="F414" s="4" t="n">
        <f aca="false">D414*E414</f>
        <v>379.32</v>
      </c>
      <c r="G414" s="7" t="n">
        <v>34</v>
      </c>
      <c r="H414" s="9" t="n">
        <f aca="false">IF(G414&gt;0,D414/G414,"")</f>
        <v>2.26470588235294</v>
      </c>
      <c r="I414" s="10" t="n">
        <v>46274</v>
      </c>
      <c r="J414" s="3" t="s">
        <v>788</v>
      </c>
      <c r="K414" s="10" t="n">
        <v>46003</v>
      </c>
      <c r="L414" s="3" t="s">
        <v>14</v>
      </c>
      <c r="M414" s="7" t="n">
        <v>100</v>
      </c>
      <c r="N414" s="8" t="n">
        <v>4.9263</v>
      </c>
      <c r="O414" s="4" t="n">
        <f aca="false">M414*N414</f>
        <v>492.63</v>
      </c>
    </row>
    <row r="415" customFormat="false" ht="15" hidden="false" customHeight="false" outlineLevel="0" collapsed="false">
      <c r="A415" s="0" t="s">
        <v>789</v>
      </c>
      <c r="C415" s="0" t="s">
        <v>32</v>
      </c>
      <c r="D415" s="7" t="n">
        <v>4889</v>
      </c>
      <c r="E415" s="8" t="n">
        <v>0.077449376150542</v>
      </c>
      <c r="F415" s="4" t="n">
        <f aca="false">D415*E415</f>
        <v>378.65</v>
      </c>
      <c r="G415" s="7" t="n">
        <v>3764</v>
      </c>
      <c r="H415" s="9" t="n">
        <f aca="false">IF(G415&gt;0,D415/G415,"")</f>
        <v>1.29888416578108</v>
      </c>
      <c r="I415" s="10" t="n">
        <v>46315</v>
      </c>
      <c r="J415" s="3" t="s">
        <v>566</v>
      </c>
      <c r="K415" s="10" t="n">
        <v>46204</v>
      </c>
      <c r="L415" s="3" t="s">
        <v>14</v>
      </c>
      <c r="M415" s="7" t="n">
        <v>5000</v>
      </c>
      <c r="N415" s="8" t="n">
        <v>0.0775</v>
      </c>
      <c r="O415" s="4" t="n">
        <f aca="false">M415*N415</f>
        <v>387.5</v>
      </c>
    </row>
    <row r="416" customFormat="false" ht="15" hidden="false" customHeight="false" outlineLevel="0" collapsed="false">
      <c r="A416" s="0" t="s">
        <v>790</v>
      </c>
      <c r="C416" s="0" t="s">
        <v>698</v>
      </c>
      <c r="D416" s="7" t="n">
        <v>2013</v>
      </c>
      <c r="E416" s="8" t="n">
        <v>0.188102334823646</v>
      </c>
      <c r="F416" s="4" t="n">
        <f aca="false">D416*E416</f>
        <v>378.65</v>
      </c>
      <c r="G416" s="7" t="n">
        <v>117</v>
      </c>
      <c r="H416" s="9" t="n">
        <f aca="false">IF(G416&gt;0,D416/G416,"")</f>
        <v>17.2051282051282</v>
      </c>
      <c r="I416" s="10" t="n">
        <v>46275</v>
      </c>
      <c r="J416" s="3" t="s">
        <v>791</v>
      </c>
      <c r="K416" s="10" t="n">
        <v>46013</v>
      </c>
      <c r="L416" s="3" t="s">
        <v>14</v>
      </c>
      <c r="M416" s="7" t="n">
        <v>2130</v>
      </c>
      <c r="N416" s="8" t="n">
        <v>0.1881</v>
      </c>
      <c r="O416" s="4" t="n">
        <f aca="false">M416*N416</f>
        <v>400.653</v>
      </c>
    </row>
    <row r="417" customFormat="false" ht="15" hidden="false" customHeight="false" outlineLevel="0" collapsed="false">
      <c r="A417" s="0" t="s">
        <v>792</v>
      </c>
      <c r="C417" s="0" t="s">
        <v>45</v>
      </c>
      <c r="D417" s="7" t="n">
        <v>957</v>
      </c>
      <c r="E417" s="8" t="n">
        <v>0.394796238244514</v>
      </c>
      <c r="F417" s="4" t="n">
        <f aca="false">D417*E417</f>
        <v>377.82</v>
      </c>
      <c r="G417" s="7" t="n">
        <v>210</v>
      </c>
      <c r="H417" s="9" t="n">
        <f aca="false">IF(G417&gt;0,D417/G417,"")</f>
        <v>4.55714285714286</v>
      </c>
      <c r="I417" s="10" t="n">
        <v>46171</v>
      </c>
      <c r="J417" s="3" t="s">
        <v>793</v>
      </c>
      <c r="K417" s="10" t="n">
        <v>46196</v>
      </c>
      <c r="L417" s="3" t="s">
        <v>14</v>
      </c>
      <c r="M417" s="7" t="n">
        <v>1015</v>
      </c>
      <c r="N417" s="8" t="n">
        <v>0.3948</v>
      </c>
      <c r="O417" s="4" t="n">
        <f aca="false">M417*N417</f>
        <v>400.722</v>
      </c>
    </row>
    <row r="418" customFormat="false" ht="15" hidden="false" customHeight="false" outlineLevel="0" collapsed="false">
      <c r="A418" s="0" t="s">
        <v>794</v>
      </c>
      <c r="C418" s="0" t="s">
        <v>295</v>
      </c>
      <c r="D418" s="7" t="n">
        <v>4143</v>
      </c>
      <c r="E418" s="8" t="n">
        <v>0.0911803041274439</v>
      </c>
      <c r="F418" s="4" t="n">
        <f aca="false">D418*E418</f>
        <v>377.76</v>
      </c>
      <c r="G418" s="7" t="n">
        <v>263</v>
      </c>
      <c r="H418" s="9" t="n">
        <f aca="false">IF(G418&gt;0,D418/G418,"")</f>
        <v>15.7528517110266</v>
      </c>
      <c r="I418" s="10" t="n">
        <v>46293</v>
      </c>
      <c r="J418" s="3" t="s">
        <v>594</v>
      </c>
      <c r="K418" s="10" t="n">
        <v>45897</v>
      </c>
      <c r="L418" s="3" t="s">
        <v>20</v>
      </c>
      <c r="M418" s="7" t="n">
        <v>4400</v>
      </c>
      <c r="N418" s="8" t="n">
        <v>0.09118</v>
      </c>
      <c r="O418" s="4" t="n">
        <f aca="false">M418*N418</f>
        <v>401.192</v>
      </c>
    </row>
    <row r="419" customFormat="false" ht="15" hidden="false" customHeight="false" outlineLevel="0" collapsed="false">
      <c r="A419" s="0" t="s">
        <v>795</v>
      </c>
      <c r="C419" s="0" t="s">
        <v>45</v>
      </c>
      <c r="D419" s="7" t="n">
        <v>426</v>
      </c>
      <c r="E419" s="8" t="n">
        <v>0.886408450704225</v>
      </c>
      <c r="F419" s="4" t="n">
        <f aca="false">D419*E419</f>
        <v>377.61</v>
      </c>
      <c r="G419" s="7" t="n">
        <v>20</v>
      </c>
      <c r="H419" s="9" t="n">
        <f aca="false">IF(G419&gt;0,D419/G419,"")</f>
        <v>21.3</v>
      </c>
      <c r="I419" s="10" t="n">
        <v>46304</v>
      </c>
      <c r="J419" s="3" t="s">
        <v>796</v>
      </c>
      <c r="K419" s="10" t="n">
        <v>45555</v>
      </c>
      <c r="L419" s="3" t="s">
        <v>14</v>
      </c>
      <c r="M419" s="7" t="n">
        <v>452</v>
      </c>
      <c r="N419" s="8" t="n">
        <v>0.8864</v>
      </c>
      <c r="O419" s="4" t="n">
        <f aca="false">M419*N419</f>
        <v>400.6528</v>
      </c>
    </row>
    <row r="420" customFormat="false" ht="15" hidden="false" customHeight="false" outlineLevel="0" collapsed="false">
      <c r="A420" s="0" t="s">
        <v>797</v>
      </c>
      <c r="C420" s="0" t="s">
        <v>36</v>
      </c>
      <c r="D420" s="7" t="n">
        <v>481</v>
      </c>
      <c r="E420" s="8" t="n">
        <v>0.783409563409563</v>
      </c>
      <c r="F420" s="4" t="n">
        <f aca="false">D420*E420</f>
        <v>376.82</v>
      </c>
      <c r="G420" s="7" t="n">
        <v>30</v>
      </c>
      <c r="H420" s="9" t="n">
        <f aca="false">IF(G420&gt;0,D420/G420,"")</f>
        <v>16.0333333333333</v>
      </c>
      <c r="I420" s="10" t="n">
        <v>46291</v>
      </c>
      <c r="J420" s="3" t="s">
        <v>680</v>
      </c>
      <c r="K420" s="10" t="n">
        <v>46240</v>
      </c>
      <c r="L420" s="3" t="s">
        <v>14</v>
      </c>
      <c r="M420" s="7" t="n">
        <v>511</v>
      </c>
      <c r="N420" s="8" t="n">
        <v>0.7834</v>
      </c>
      <c r="O420" s="4" t="n">
        <f aca="false">M420*N420</f>
        <v>400.3174</v>
      </c>
    </row>
    <row r="421" customFormat="false" ht="15" hidden="false" customHeight="false" outlineLevel="0" collapsed="false">
      <c r="A421" s="0" t="s">
        <v>798</v>
      </c>
      <c r="C421" s="0" t="s">
        <v>799</v>
      </c>
      <c r="D421" s="7" t="n">
        <v>317</v>
      </c>
      <c r="E421" s="8" t="n">
        <v>1.18646687697161</v>
      </c>
      <c r="F421" s="4" t="n">
        <f aca="false">D421*E421</f>
        <v>376.11</v>
      </c>
      <c r="G421" s="7" t="n">
        <v>2</v>
      </c>
      <c r="H421" s="9" t="n">
        <f aca="false">IF(G421&gt;0,D421/G421,"")</f>
        <v>158.5</v>
      </c>
      <c r="I421" s="10" t="n">
        <v>46034</v>
      </c>
      <c r="J421" s="3" t="s">
        <v>800</v>
      </c>
      <c r="K421" s="10" t="n">
        <v>45370</v>
      </c>
      <c r="L421" s="3" t="s">
        <v>14</v>
      </c>
      <c r="M421" s="7" t="n">
        <v>338</v>
      </c>
      <c r="N421" s="8" t="n">
        <v>1.1865</v>
      </c>
      <c r="O421" s="4" t="n">
        <f aca="false">M421*N421</f>
        <v>401.037</v>
      </c>
    </row>
    <row r="422" customFormat="false" ht="15" hidden="false" customHeight="false" outlineLevel="0" collapsed="false">
      <c r="A422" s="0" t="s">
        <v>801</v>
      </c>
      <c r="C422" s="0" t="s">
        <v>45</v>
      </c>
      <c r="D422" s="7" t="n">
        <v>996</v>
      </c>
      <c r="E422" s="8" t="n">
        <v>0.377600401606426</v>
      </c>
      <c r="F422" s="4" t="n">
        <f aca="false">D422*E422</f>
        <v>376.09</v>
      </c>
      <c r="G422" s="7" t="n">
        <v>9</v>
      </c>
      <c r="H422" s="9" t="n">
        <f aca="false">IF(G422&gt;0,D422/G422,"")</f>
        <v>110.666666666667</v>
      </c>
      <c r="I422" s="10" t="n">
        <v>46076</v>
      </c>
      <c r="J422" s="3" t="s">
        <v>802</v>
      </c>
      <c r="K422" s="10" t="n">
        <v>45824</v>
      </c>
      <c r="L422" s="3" t="s">
        <v>14</v>
      </c>
      <c r="M422" s="7" t="n">
        <v>1060</v>
      </c>
      <c r="N422" s="8" t="n">
        <v>0.3776</v>
      </c>
      <c r="O422" s="4" t="n">
        <f aca="false">M422*N422</f>
        <v>400.256</v>
      </c>
    </row>
    <row r="423" customFormat="false" ht="15" hidden="false" customHeight="false" outlineLevel="0" collapsed="false">
      <c r="A423" s="0" t="s">
        <v>803</v>
      </c>
      <c r="C423" s="0" t="s">
        <v>37</v>
      </c>
      <c r="D423" s="7" t="n">
        <v>4906</v>
      </c>
      <c r="E423" s="8" t="n">
        <v>0.0766123114553608</v>
      </c>
      <c r="F423" s="4" t="n">
        <f aca="false">D423*E423</f>
        <v>375.86</v>
      </c>
      <c r="G423" s="7" t="n">
        <v>54</v>
      </c>
      <c r="H423" s="9" t="n">
        <f aca="false">IF(G423&gt;0,D423/G423,"")</f>
        <v>90.8518518518519</v>
      </c>
      <c r="I423" s="10" t="n">
        <v>46126</v>
      </c>
      <c r="J423" s="3" t="s">
        <v>804</v>
      </c>
      <c r="K423" s="10" t="n">
        <v>45114</v>
      </c>
      <c r="L423" s="3" t="s">
        <v>19</v>
      </c>
      <c r="M423" s="7" t="n">
        <v>1250</v>
      </c>
      <c r="N423" s="8" t="n">
        <v>0.092</v>
      </c>
      <c r="O423" s="4" t="n">
        <f aca="false">M423*N423</f>
        <v>115</v>
      </c>
    </row>
    <row r="424" customFormat="false" ht="15" hidden="false" customHeight="false" outlineLevel="0" collapsed="false">
      <c r="A424" s="0" t="s">
        <v>805</v>
      </c>
      <c r="C424" s="0" t="s">
        <v>61</v>
      </c>
      <c r="D424" s="7" t="n">
        <v>530</v>
      </c>
      <c r="E424" s="8" t="n">
        <v>0.708358490566038</v>
      </c>
      <c r="F424" s="4" t="n">
        <f aca="false">D424*E424</f>
        <v>375.43</v>
      </c>
      <c r="G424" s="7" t="n">
        <v>4</v>
      </c>
      <c r="H424" s="9" t="n">
        <f aca="false">IF(G424&gt;0,D424/G424,"")</f>
        <v>132.5</v>
      </c>
      <c r="I424" s="10" t="n">
        <v>45978</v>
      </c>
      <c r="K424" s="10"/>
      <c r="M424" s="7"/>
      <c r="N424" s="8"/>
      <c r="O424" s="4"/>
    </row>
    <row r="425" customFormat="false" ht="15" hidden="false" customHeight="false" outlineLevel="0" collapsed="false">
      <c r="A425" s="0" t="s">
        <v>806</v>
      </c>
      <c r="C425" s="0" t="s">
        <v>807</v>
      </c>
      <c r="D425" s="7" t="n">
        <v>20</v>
      </c>
      <c r="E425" s="8" t="n">
        <v>18.77</v>
      </c>
      <c r="F425" s="4" t="n">
        <f aca="false">D425*E425</f>
        <v>375.4</v>
      </c>
      <c r="G425" s="7" t="n">
        <v>10</v>
      </c>
      <c r="H425" s="9" t="n">
        <f aca="false">IF(G425&gt;0,D425/G425,"")</f>
        <v>2</v>
      </c>
      <c r="I425" s="10" t="n">
        <v>45974</v>
      </c>
      <c r="J425" s="3" t="s">
        <v>808</v>
      </c>
      <c r="K425" s="10" t="n">
        <v>45940</v>
      </c>
      <c r="L425" s="3" t="s">
        <v>145</v>
      </c>
      <c r="M425" s="7" t="n">
        <v>30</v>
      </c>
      <c r="N425" s="8" t="n">
        <v>18.77</v>
      </c>
      <c r="O425" s="4" t="n">
        <f aca="false">M425*N425</f>
        <v>563.1</v>
      </c>
    </row>
    <row r="426" customFormat="false" ht="15" hidden="false" customHeight="false" outlineLevel="0" collapsed="false">
      <c r="A426" s="0" t="s">
        <v>809</v>
      </c>
      <c r="C426" s="0" t="s">
        <v>118</v>
      </c>
      <c r="D426" s="7" t="n">
        <v>10828</v>
      </c>
      <c r="E426" s="8" t="n">
        <v>0.0346444403398596</v>
      </c>
      <c r="F426" s="4" t="n">
        <f aca="false">D426*E426</f>
        <v>375.13</v>
      </c>
      <c r="G426" s="7" t="n">
        <v>1655</v>
      </c>
      <c r="H426" s="9" t="n">
        <f aca="false">IF(G426&gt;0,D426/G426,"")</f>
        <v>6.54259818731118</v>
      </c>
      <c r="I426" s="10" t="n">
        <v>46276</v>
      </c>
      <c r="J426" s="3" t="s">
        <v>810</v>
      </c>
      <c r="K426" s="10" t="n">
        <v>45056</v>
      </c>
      <c r="L426" s="3" t="s">
        <v>16</v>
      </c>
      <c r="M426" s="7" t="n">
        <v>9400</v>
      </c>
      <c r="N426" s="8" t="n">
        <v>0.04257</v>
      </c>
      <c r="O426" s="4" t="n">
        <f aca="false">M426*N426</f>
        <v>400.158</v>
      </c>
    </row>
    <row r="427" customFormat="false" ht="15" hidden="false" customHeight="false" outlineLevel="0" collapsed="false">
      <c r="A427" s="0" t="s">
        <v>811</v>
      </c>
      <c r="C427" s="0" t="s">
        <v>34</v>
      </c>
      <c r="D427" s="7" t="n">
        <v>25761</v>
      </c>
      <c r="E427" s="8" t="n">
        <v>0.0145436900741431</v>
      </c>
      <c r="F427" s="4" t="n">
        <f aca="false">D427*E427</f>
        <v>374.66</v>
      </c>
      <c r="G427" s="7" t="n">
        <v>2137</v>
      </c>
      <c r="H427" s="9" t="n">
        <f aca="false">IF(G427&gt;0,D427/G427,"")</f>
        <v>12.0547496490407</v>
      </c>
      <c r="I427" s="10" t="n">
        <v>46308</v>
      </c>
      <c r="J427" s="3" t="s">
        <v>812</v>
      </c>
      <c r="K427" s="10" t="n">
        <v>44830</v>
      </c>
      <c r="L427" s="3" t="s">
        <v>16</v>
      </c>
      <c r="M427" s="7" t="n">
        <v>22227</v>
      </c>
      <c r="N427" s="8" t="n">
        <v>0.0146</v>
      </c>
      <c r="O427" s="4" t="n">
        <f aca="false">M427*N427</f>
        <v>324.5142</v>
      </c>
    </row>
    <row r="428" customFormat="false" ht="15" hidden="false" customHeight="false" outlineLevel="0" collapsed="false">
      <c r="A428" s="0" t="s">
        <v>813</v>
      </c>
      <c r="C428" s="0" t="s">
        <v>298</v>
      </c>
      <c r="D428" s="7" t="n">
        <v>4456</v>
      </c>
      <c r="E428" s="8" t="n">
        <v>0.0839991023339318</v>
      </c>
      <c r="F428" s="4" t="n">
        <f aca="false">D428*E428</f>
        <v>374.3</v>
      </c>
      <c r="G428" s="7" t="n">
        <v>30</v>
      </c>
      <c r="H428" s="9" t="n">
        <f aca="false">IF(G428&gt;0,D428/G428,"")</f>
        <v>148.533333333333</v>
      </c>
      <c r="I428" s="10" t="n">
        <v>46142</v>
      </c>
      <c r="J428" s="3" t="s">
        <v>814</v>
      </c>
      <c r="K428" s="10" t="n">
        <v>45342</v>
      </c>
      <c r="L428" s="3" t="s">
        <v>465</v>
      </c>
      <c r="M428" s="7" t="n">
        <v>1451</v>
      </c>
      <c r="N428" s="8" t="n">
        <v>0.2067</v>
      </c>
      <c r="O428" s="4" t="n">
        <f aca="false">M428*N428</f>
        <v>299.9217</v>
      </c>
    </row>
    <row r="429" customFormat="false" ht="15" hidden="false" customHeight="false" outlineLevel="0" collapsed="false">
      <c r="A429" s="0" t="s">
        <v>815</v>
      </c>
      <c r="C429" s="0" t="s">
        <v>698</v>
      </c>
      <c r="D429" s="7" t="n">
        <v>506</v>
      </c>
      <c r="E429" s="8" t="n">
        <v>0.739505928853755</v>
      </c>
      <c r="F429" s="4" t="n">
        <f aca="false">D429*E429</f>
        <v>374.19</v>
      </c>
      <c r="G429" s="7" t="n">
        <v>10</v>
      </c>
      <c r="H429" s="9" t="n">
        <f aca="false">IF(G429&gt;0,D429/G429,"")</f>
        <v>50.6</v>
      </c>
      <c r="I429" s="10" t="n">
        <v>45981</v>
      </c>
      <c r="J429" s="3" t="s">
        <v>816</v>
      </c>
      <c r="K429" s="10" t="n">
        <v>45607</v>
      </c>
      <c r="L429" s="3" t="s">
        <v>14</v>
      </c>
      <c r="M429" s="7" t="n">
        <v>541</v>
      </c>
      <c r="N429" s="8" t="n">
        <v>0.7395</v>
      </c>
      <c r="O429" s="4" t="n">
        <f aca="false">M429*N429</f>
        <v>400.0695</v>
      </c>
    </row>
    <row r="430" customFormat="false" ht="15" hidden="false" customHeight="false" outlineLevel="0" collapsed="false">
      <c r="A430" s="0" t="s">
        <v>817</v>
      </c>
      <c r="C430" s="0" t="s">
        <v>31</v>
      </c>
      <c r="D430" s="7" t="n">
        <v>170050</v>
      </c>
      <c r="E430" s="8" t="n">
        <v>0.00220011761246692</v>
      </c>
      <c r="F430" s="4" t="n">
        <f aca="false">D430*E430</f>
        <v>374.13</v>
      </c>
      <c r="G430" s="7" t="n">
        <v>20246</v>
      </c>
      <c r="H430" s="9" t="n">
        <f aca="false">IF(G430&gt;0,D430/G430,"")</f>
        <v>8.39918996344957</v>
      </c>
      <c r="I430" s="10" t="n">
        <v>46314</v>
      </c>
      <c r="J430" s="3" t="s">
        <v>536</v>
      </c>
      <c r="K430" s="10" t="n">
        <v>45531</v>
      </c>
      <c r="L430" s="3" t="s">
        <v>16</v>
      </c>
      <c r="M430" s="7" t="n">
        <v>282143</v>
      </c>
      <c r="N430" s="8" t="n">
        <v>0.0022</v>
      </c>
      <c r="O430" s="4" t="n">
        <f aca="false">M430*N430</f>
        <v>620.7146</v>
      </c>
    </row>
    <row r="431" customFormat="false" ht="15" hidden="false" customHeight="false" outlineLevel="0" collapsed="false">
      <c r="A431" s="0" t="s">
        <v>818</v>
      </c>
      <c r="C431" s="0" t="s">
        <v>45</v>
      </c>
      <c r="D431" s="7" t="n">
        <v>8166</v>
      </c>
      <c r="E431" s="8" t="n">
        <v>0.0457996571148665</v>
      </c>
      <c r="F431" s="4" t="n">
        <f aca="false">D431*E431</f>
        <v>374</v>
      </c>
      <c r="G431" s="7" t="n">
        <v>175</v>
      </c>
      <c r="H431" s="9" t="n">
        <f aca="false">IF(G431&gt;0,D431/G431,"")</f>
        <v>46.6628571428571</v>
      </c>
      <c r="I431" s="10" t="n">
        <v>46293</v>
      </c>
      <c r="J431" s="3" t="s">
        <v>819</v>
      </c>
      <c r="K431" s="10" t="n">
        <v>45113</v>
      </c>
      <c r="L431" s="3" t="s">
        <v>14</v>
      </c>
      <c r="M431" s="7" t="n">
        <v>8603</v>
      </c>
      <c r="N431" s="8" t="n">
        <v>0.0458</v>
      </c>
      <c r="O431" s="4" t="n">
        <f aca="false">M431*N431</f>
        <v>394.0174</v>
      </c>
    </row>
    <row r="432" customFormat="false" ht="15" hidden="false" customHeight="false" outlineLevel="0" collapsed="false">
      <c r="A432" s="0" t="s">
        <v>820</v>
      </c>
      <c r="C432" s="0" t="s">
        <v>378</v>
      </c>
      <c r="D432" s="7" t="n">
        <v>3508</v>
      </c>
      <c r="E432" s="8" t="n">
        <v>0.106599201824401</v>
      </c>
      <c r="F432" s="4" t="n">
        <f aca="false">D432*E432</f>
        <v>373.95</v>
      </c>
      <c r="G432" s="7" t="n">
        <v>253</v>
      </c>
      <c r="H432" s="9" t="n">
        <f aca="false">IF(G432&gt;0,D432/G432,"")</f>
        <v>13.8656126482213</v>
      </c>
      <c r="I432" s="10" t="n">
        <v>46219</v>
      </c>
      <c r="J432" s="3" t="s">
        <v>821</v>
      </c>
      <c r="K432" s="10" t="n">
        <v>45364</v>
      </c>
      <c r="L432" s="3" t="s">
        <v>14</v>
      </c>
      <c r="M432" s="7" t="n">
        <v>3798</v>
      </c>
      <c r="N432" s="8" t="n">
        <v>0.1066</v>
      </c>
      <c r="O432" s="4" t="n">
        <f aca="false">M432*N432</f>
        <v>404.8668</v>
      </c>
    </row>
    <row r="433" customFormat="false" ht="15" hidden="false" customHeight="false" outlineLevel="0" collapsed="false">
      <c r="A433" s="0" t="s">
        <v>822</v>
      </c>
      <c r="C433" s="0" t="s">
        <v>609</v>
      </c>
      <c r="D433" s="7" t="n">
        <v>81</v>
      </c>
      <c r="E433" s="8" t="n">
        <v>4.6137037037037</v>
      </c>
      <c r="F433" s="4" t="n">
        <f aca="false">D433*E433</f>
        <v>373.71</v>
      </c>
      <c r="G433" s="7" t="n">
        <v>4</v>
      </c>
      <c r="H433" s="9" t="n">
        <f aca="false">IF(G433&gt;0,D433/G433,"")</f>
        <v>20.25</v>
      </c>
      <c r="I433" s="10" t="n">
        <v>46112</v>
      </c>
      <c r="J433" s="3" t="s">
        <v>823</v>
      </c>
      <c r="K433" s="10" t="n">
        <v>45471</v>
      </c>
      <c r="L433" s="3" t="s">
        <v>824</v>
      </c>
      <c r="M433" s="7" t="n">
        <v>2</v>
      </c>
      <c r="N433" s="8" t="n">
        <v>20.78</v>
      </c>
      <c r="O433" s="4" t="n">
        <f aca="false">M433*N433</f>
        <v>41.56</v>
      </c>
    </row>
    <row r="434" customFormat="false" ht="15" hidden="false" customHeight="false" outlineLevel="0" collapsed="false">
      <c r="A434" s="0" t="s">
        <v>825</v>
      </c>
      <c r="C434" s="0" t="s">
        <v>44</v>
      </c>
      <c r="D434" s="7" t="n">
        <v>13</v>
      </c>
      <c r="E434" s="8" t="n">
        <v>28.7161538461539</v>
      </c>
      <c r="F434" s="4" t="n">
        <f aca="false">D434*E434</f>
        <v>373.31</v>
      </c>
      <c r="G434" s="7" t="n">
        <v>12</v>
      </c>
      <c r="H434" s="9" t="n">
        <f aca="false">IF(G434&gt;0,D434/G434,"")</f>
        <v>1.08333333333333</v>
      </c>
      <c r="I434" s="10" t="n">
        <v>46209</v>
      </c>
      <c r="J434" s="3" t="s">
        <v>826</v>
      </c>
      <c r="K434" s="10" t="n">
        <v>46199</v>
      </c>
      <c r="L434" s="3" t="s">
        <v>14</v>
      </c>
      <c r="M434" s="7" t="n">
        <v>19</v>
      </c>
      <c r="N434" s="8" t="n">
        <v>28.7163</v>
      </c>
      <c r="O434" s="4" t="n">
        <f aca="false">M434*N434</f>
        <v>545.6097</v>
      </c>
    </row>
    <row r="435" customFormat="false" ht="15" hidden="false" customHeight="false" outlineLevel="0" collapsed="false">
      <c r="A435" s="0" t="s">
        <v>827</v>
      </c>
      <c r="C435" s="0" t="s">
        <v>43</v>
      </c>
      <c r="D435" s="7" t="n">
        <v>80</v>
      </c>
      <c r="E435" s="8" t="n">
        <v>4.66525</v>
      </c>
      <c r="F435" s="4" t="n">
        <f aca="false">D435*E435</f>
        <v>373.22</v>
      </c>
      <c r="G435" s="7" t="n">
        <v>20</v>
      </c>
      <c r="H435" s="9" t="n">
        <f aca="false">IF(G435&gt;0,D435/G435,"")</f>
        <v>4</v>
      </c>
      <c r="I435" s="10" t="n">
        <v>46097</v>
      </c>
      <c r="J435" s="3" t="s">
        <v>768</v>
      </c>
      <c r="K435" s="10" t="n">
        <v>46014</v>
      </c>
      <c r="L435" s="3" t="s">
        <v>14</v>
      </c>
      <c r="M435" s="7" t="n">
        <v>100</v>
      </c>
      <c r="N435" s="8" t="n">
        <v>4.6652</v>
      </c>
      <c r="O435" s="4" t="n">
        <f aca="false">M435*N435</f>
        <v>466.52</v>
      </c>
    </row>
    <row r="436" customFormat="false" ht="15" hidden="false" customHeight="false" outlineLevel="0" collapsed="false">
      <c r="A436" s="0" t="s">
        <v>828</v>
      </c>
      <c r="C436" s="0" t="s">
        <v>61</v>
      </c>
      <c r="D436" s="7" t="n">
        <v>1224</v>
      </c>
      <c r="E436" s="8" t="n">
        <v>0.304803921568628</v>
      </c>
      <c r="F436" s="4" t="n">
        <f aca="false">D436*E436</f>
        <v>373.08</v>
      </c>
      <c r="G436" s="7" t="n">
        <v>981</v>
      </c>
      <c r="H436" s="9" t="n">
        <f aca="false">IF(G436&gt;0,D436/G436,"")</f>
        <v>1.24770642201835</v>
      </c>
      <c r="I436" s="10" t="n">
        <v>46295</v>
      </c>
      <c r="J436" s="3" t="s">
        <v>711</v>
      </c>
      <c r="K436" s="10" t="n">
        <v>46105</v>
      </c>
      <c r="L436" s="3" t="s">
        <v>14</v>
      </c>
      <c r="M436" s="7" t="n">
        <v>1300</v>
      </c>
      <c r="N436" s="8" t="n">
        <v>0.3079</v>
      </c>
      <c r="O436" s="4" t="n">
        <f aca="false">M436*N436</f>
        <v>400.27</v>
      </c>
    </row>
    <row r="437" customFormat="false" ht="15" hidden="false" customHeight="false" outlineLevel="0" collapsed="false">
      <c r="A437" s="0" t="s">
        <v>829</v>
      </c>
      <c r="C437" s="0" t="s">
        <v>221</v>
      </c>
      <c r="D437" s="7" t="n">
        <v>2025</v>
      </c>
      <c r="E437" s="8" t="n">
        <v>0.184</v>
      </c>
      <c r="F437" s="4" t="n">
        <f aca="false">D437*E437</f>
        <v>372.6</v>
      </c>
      <c r="G437" s="7" t="n">
        <v>475</v>
      </c>
      <c r="H437" s="9" t="n">
        <f aca="false">IF(G437&gt;0,D437/G437,"")</f>
        <v>4.26315789473684</v>
      </c>
      <c r="I437" s="10" t="n">
        <v>46301</v>
      </c>
      <c r="J437" s="3" t="s">
        <v>830</v>
      </c>
      <c r="K437" s="10" t="n">
        <v>46057</v>
      </c>
      <c r="L437" s="3" t="s">
        <v>223</v>
      </c>
      <c r="M437" s="7" t="n">
        <v>2500</v>
      </c>
      <c r="N437" s="8" t="n">
        <v>0.184</v>
      </c>
      <c r="O437" s="4" t="n">
        <f aca="false">M437*N437</f>
        <v>460</v>
      </c>
    </row>
    <row r="438" customFormat="false" ht="15" hidden="false" customHeight="false" outlineLevel="0" collapsed="false">
      <c r="A438" s="0" t="s">
        <v>831</v>
      </c>
      <c r="C438" s="0" t="s">
        <v>832</v>
      </c>
      <c r="D438" s="7" t="n">
        <v>50</v>
      </c>
      <c r="E438" s="8" t="n">
        <v>7.44</v>
      </c>
      <c r="F438" s="4" t="n">
        <f aca="false">D438*E438</f>
        <v>372</v>
      </c>
      <c r="G438" s="7" t="n">
        <v>10</v>
      </c>
      <c r="H438" s="9" t="n">
        <f aca="false">IF(G438&gt;0,D438/G438,"")</f>
        <v>5</v>
      </c>
      <c r="I438" s="10" t="n">
        <v>46154</v>
      </c>
      <c r="J438" s="3" t="s">
        <v>833</v>
      </c>
      <c r="K438" s="10" t="n">
        <v>46171</v>
      </c>
      <c r="L438" s="3" t="s">
        <v>834</v>
      </c>
      <c r="M438" s="7" t="n">
        <v>50</v>
      </c>
      <c r="N438" s="8" t="n">
        <v>7.44</v>
      </c>
      <c r="O438" s="4" t="n">
        <f aca="false">M438*N438</f>
        <v>372</v>
      </c>
    </row>
    <row r="439" customFormat="false" ht="15" hidden="false" customHeight="false" outlineLevel="0" collapsed="false">
      <c r="A439" s="0" t="s">
        <v>835</v>
      </c>
      <c r="C439" s="0" t="s">
        <v>45</v>
      </c>
      <c r="D439" s="7" t="n">
        <v>545</v>
      </c>
      <c r="E439" s="8" t="n">
        <v>0.682495412844037</v>
      </c>
      <c r="F439" s="4" t="n">
        <f aca="false">D439*E439</f>
        <v>371.96</v>
      </c>
      <c r="G439" s="7" t="n">
        <v>35</v>
      </c>
      <c r="H439" s="9" t="n">
        <f aca="false">IF(G439&gt;0,D439/G439,"")</f>
        <v>15.5714285714286</v>
      </c>
      <c r="I439" s="10" t="n">
        <v>46293</v>
      </c>
      <c r="J439" s="3" t="s">
        <v>836</v>
      </c>
      <c r="K439" s="10" t="n">
        <v>45418</v>
      </c>
      <c r="L439" s="3" t="s">
        <v>14</v>
      </c>
      <c r="M439" s="7" t="n">
        <v>587</v>
      </c>
      <c r="N439" s="8" t="n">
        <v>0.6825</v>
      </c>
      <c r="O439" s="4" t="n">
        <f aca="false">M439*N439</f>
        <v>400.6275</v>
      </c>
    </row>
    <row r="440" customFormat="false" ht="15" hidden="false" customHeight="false" outlineLevel="0" collapsed="false">
      <c r="A440" s="0" t="s">
        <v>837</v>
      </c>
      <c r="C440" s="0" t="s">
        <v>40</v>
      </c>
      <c r="D440" s="7" t="n">
        <v>3759</v>
      </c>
      <c r="E440" s="8" t="n">
        <v>0.0987017823889332</v>
      </c>
      <c r="F440" s="4" t="n">
        <f aca="false">D440*E440</f>
        <v>371.02</v>
      </c>
      <c r="G440" s="7" t="n">
        <v>62</v>
      </c>
      <c r="H440" s="9" t="n">
        <f aca="false">IF(G440&gt;0,D440/G440,"")</f>
        <v>60.6290322580645</v>
      </c>
      <c r="I440" s="10" t="n">
        <v>46260</v>
      </c>
      <c r="J440" s="3" t="s">
        <v>838</v>
      </c>
      <c r="K440" s="10" t="n">
        <v>44280</v>
      </c>
      <c r="L440" s="3" t="s">
        <v>18</v>
      </c>
      <c r="M440" s="7" t="n">
        <v>4318</v>
      </c>
      <c r="N440" s="8" t="n">
        <v>0.0987</v>
      </c>
      <c r="O440" s="4" t="n">
        <f aca="false">M440*N440</f>
        <v>426.1866</v>
      </c>
    </row>
    <row r="441" customFormat="false" ht="15" hidden="false" customHeight="false" outlineLevel="0" collapsed="false">
      <c r="A441" s="0" t="s">
        <v>839</v>
      </c>
      <c r="C441" s="0" t="s">
        <v>37</v>
      </c>
      <c r="D441" s="7" t="n">
        <v>11031</v>
      </c>
      <c r="E441" s="8" t="n">
        <v>0.0335309582086846</v>
      </c>
      <c r="F441" s="4" t="n">
        <f aca="false">D441*E441</f>
        <v>369.88</v>
      </c>
      <c r="G441" s="7" t="n">
        <v>109</v>
      </c>
      <c r="H441" s="9" t="n">
        <f aca="false">IF(G441&gt;0,D441/G441,"")</f>
        <v>101.201834862385</v>
      </c>
      <c r="I441" s="10" t="n">
        <v>46273</v>
      </c>
      <c r="J441" s="3" t="s">
        <v>840</v>
      </c>
      <c r="K441" s="10" t="n">
        <v>45232</v>
      </c>
      <c r="L441" s="3" t="s">
        <v>15</v>
      </c>
      <c r="M441" s="7" t="n">
        <v>10220</v>
      </c>
      <c r="N441" s="8" t="n">
        <v>0.03353</v>
      </c>
      <c r="O441" s="4" t="n">
        <f aca="false">M441*N441</f>
        <v>342.6766</v>
      </c>
    </row>
    <row r="442" customFormat="false" ht="15" hidden="false" customHeight="false" outlineLevel="0" collapsed="false">
      <c r="A442" s="0" t="s">
        <v>841</v>
      </c>
      <c r="C442" s="0" t="s">
        <v>33</v>
      </c>
      <c r="D442" s="7" t="n">
        <v>178</v>
      </c>
      <c r="E442" s="8" t="n">
        <v>2.07404494382023</v>
      </c>
      <c r="F442" s="4" t="n">
        <f aca="false">D442*E442</f>
        <v>369.18</v>
      </c>
      <c r="G442" s="7" t="n">
        <v>10</v>
      </c>
      <c r="H442" s="9" t="n">
        <f aca="false">IF(G442&gt;0,D442/G442,"")</f>
        <v>17.8</v>
      </c>
      <c r="I442" s="10" t="n">
        <v>46237</v>
      </c>
      <c r="J442" s="3" t="s">
        <v>842</v>
      </c>
      <c r="K442" s="10" t="n">
        <v>44483</v>
      </c>
      <c r="L442" s="3" t="s">
        <v>465</v>
      </c>
      <c r="M442" s="7" t="n">
        <v>250</v>
      </c>
      <c r="N442" s="8" t="n">
        <v>2.0739</v>
      </c>
      <c r="O442" s="4" t="n">
        <f aca="false">M442*N442</f>
        <v>518.475</v>
      </c>
    </row>
    <row r="443" customFormat="false" ht="15" hidden="false" customHeight="false" outlineLevel="0" collapsed="false">
      <c r="A443" s="0" t="s">
        <v>843</v>
      </c>
      <c r="C443" s="0" t="s">
        <v>844</v>
      </c>
      <c r="D443" s="7" t="n">
        <v>148</v>
      </c>
      <c r="E443" s="8" t="n">
        <v>2.49344594594595</v>
      </c>
      <c r="F443" s="4" t="n">
        <f aca="false">D443*E443</f>
        <v>369.03</v>
      </c>
      <c r="G443" s="7" t="n">
        <v>4</v>
      </c>
      <c r="H443" s="9" t="n">
        <f aca="false">IF(G443&gt;0,D443/G443,"")</f>
        <v>37</v>
      </c>
      <c r="I443" s="10" t="n">
        <v>46293</v>
      </c>
      <c r="J443" s="3" t="s">
        <v>658</v>
      </c>
      <c r="K443" s="10" t="n">
        <v>45552</v>
      </c>
      <c r="L443" s="3" t="s">
        <v>14</v>
      </c>
      <c r="M443" s="7" t="n">
        <v>161</v>
      </c>
      <c r="N443" s="8" t="n">
        <v>2.4934</v>
      </c>
      <c r="O443" s="4" t="n">
        <f aca="false">M443*N443</f>
        <v>401.4374</v>
      </c>
    </row>
    <row r="444" customFormat="false" ht="15" hidden="false" customHeight="false" outlineLevel="0" collapsed="false">
      <c r="A444" s="0" t="s">
        <v>845</v>
      </c>
      <c r="C444" s="0" t="s">
        <v>39</v>
      </c>
      <c r="D444" s="7" t="n">
        <v>584</v>
      </c>
      <c r="E444" s="8" t="n">
        <v>0.630359589041096</v>
      </c>
      <c r="F444" s="4" t="n">
        <f aca="false">D444*E444</f>
        <v>368.13</v>
      </c>
      <c r="G444" s="7" t="n">
        <v>178</v>
      </c>
      <c r="H444" s="9" t="n">
        <f aca="false">IF(G444&gt;0,D444/G444,"")</f>
        <v>3.28089887640449</v>
      </c>
      <c r="I444" s="10" t="n">
        <v>46246</v>
      </c>
      <c r="J444" s="3" t="s">
        <v>846</v>
      </c>
      <c r="K444" s="10" t="n">
        <v>44797</v>
      </c>
      <c r="L444" s="3" t="s">
        <v>465</v>
      </c>
      <c r="M444" s="7" t="n">
        <v>110</v>
      </c>
      <c r="N444" s="8" t="n">
        <v>1.056</v>
      </c>
      <c r="O444" s="4" t="n">
        <v>105.6</v>
      </c>
    </row>
    <row r="445" customFormat="false" ht="15" hidden="false" customHeight="false" outlineLevel="0" collapsed="false">
      <c r="A445" s="0" t="s">
        <v>847</v>
      </c>
      <c r="C445" s="0" t="s">
        <v>698</v>
      </c>
      <c r="D445" s="7" t="n">
        <v>575</v>
      </c>
      <c r="E445" s="8" t="n">
        <v>0.6388</v>
      </c>
      <c r="F445" s="4" t="n">
        <f aca="false">D445*E445</f>
        <v>367.31</v>
      </c>
      <c r="G445" s="7" t="n">
        <v>55</v>
      </c>
      <c r="H445" s="9" t="n">
        <f aca="false">IF(G445&gt;0,D445/G445,"")</f>
        <v>10.4545454545455</v>
      </c>
      <c r="I445" s="10" t="n">
        <v>46129</v>
      </c>
      <c r="J445" s="3" t="s">
        <v>848</v>
      </c>
      <c r="K445" s="10" t="n">
        <v>46083</v>
      </c>
      <c r="L445" s="3" t="s">
        <v>14</v>
      </c>
      <c r="M445" s="7" t="n">
        <v>630</v>
      </c>
      <c r="N445" s="8" t="n">
        <v>0.6388</v>
      </c>
      <c r="O445" s="4" t="n">
        <f aca="false">M445*N445</f>
        <v>402.444</v>
      </c>
    </row>
    <row r="446" customFormat="false" ht="15" hidden="false" customHeight="false" outlineLevel="0" collapsed="false">
      <c r="A446" s="0" t="s">
        <v>849</v>
      </c>
      <c r="C446" s="0" t="s">
        <v>45</v>
      </c>
      <c r="D446" s="7" t="n">
        <v>128</v>
      </c>
      <c r="E446" s="8" t="n">
        <v>2.857109375</v>
      </c>
      <c r="F446" s="4" t="n">
        <f aca="false">D446*E446</f>
        <v>365.71</v>
      </c>
      <c r="G446" s="7" t="n">
        <v>2</v>
      </c>
      <c r="H446" s="9" t="n">
        <f aca="false">IF(G446&gt;0,D446/G446,"")</f>
        <v>64</v>
      </c>
      <c r="I446" s="10" t="n">
        <v>46301</v>
      </c>
      <c r="J446" s="3" t="s">
        <v>682</v>
      </c>
      <c r="K446" s="10" t="n">
        <v>45539</v>
      </c>
      <c r="L446" s="3" t="s">
        <v>14</v>
      </c>
      <c r="M446" s="7" t="n">
        <v>141</v>
      </c>
      <c r="N446" s="8" t="n">
        <v>2.8571</v>
      </c>
      <c r="O446" s="4" t="n">
        <f aca="false">M446*N446</f>
        <v>402.8511</v>
      </c>
    </row>
    <row r="447" customFormat="false" ht="15" hidden="false" customHeight="false" outlineLevel="0" collapsed="false">
      <c r="A447" s="0" t="s">
        <v>850</v>
      </c>
      <c r="C447" s="0" t="s">
        <v>497</v>
      </c>
      <c r="D447" s="7" t="n">
        <v>16890</v>
      </c>
      <c r="E447" s="8" t="n">
        <v>0.0216406157489639</v>
      </c>
      <c r="F447" s="4" t="n">
        <f aca="false">D447*E447</f>
        <v>365.51</v>
      </c>
      <c r="G447" s="7" t="n">
        <v>1039</v>
      </c>
      <c r="H447" s="9" t="n">
        <f aca="false">IF(G447&gt;0,D447/G447,"")</f>
        <v>16.2560153994225</v>
      </c>
      <c r="I447" s="10" t="n">
        <v>46217</v>
      </c>
      <c r="J447" s="3" t="s">
        <v>403</v>
      </c>
      <c r="K447" s="10" t="n">
        <v>46209</v>
      </c>
      <c r="L447" s="3" t="s">
        <v>14</v>
      </c>
      <c r="M447" s="7" t="n">
        <v>100</v>
      </c>
      <c r="N447" s="8" t="n">
        <v>0.6456</v>
      </c>
      <c r="O447" s="4" t="n">
        <f aca="false">M447*N447</f>
        <v>64.56</v>
      </c>
    </row>
    <row r="448" customFormat="false" ht="15" hidden="false" customHeight="false" outlineLevel="0" collapsed="false">
      <c r="A448" s="0" t="s">
        <v>851</v>
      </c>
      <c r="C448" s="0" t="s">
        <v>34</v>
      </c>
      <c r="D448" s="7" t="n">
        <v>1469</v>
      </c>
      <c r="E448" s="8" t="n">
        <v>0.248686181075562</v>
      </c>
      <c r="F448" s="4" t="n">
        <f aca="false">D448*E448</f>
        <v>365.32</v>
      </c>
      <c r="G448" s="7" t="n">
        <v>55</v>
      </c>
      <c r="H448" s="9" t="n">
        <f aca="false">IF(G448&gt;0,D448/G448,"")</f>
        <v>26.7090909090909</v>
      </c>
      <c r="I448" s="10" t="n">
        <v>46183</v>
      </c>
      <c r="J448" s="3" t="s">
        <v>852</v>
      </c>
      <c r="K448" s="10" t="n">
        <v>45883</v>
      </c>
      <c r="L448" s="3" t="s">
        <v>15</v>
      </c>
      <c r="M448" s="7" t="n">
        <v>1900</v>
      </c>
      <c r="N448" s="8" t="n">
        <v>0.25133</v>
      </c>
      <c r="O448" s="4" t="n">
        <f aca="false">M448*N448</f>
        <v>477.527</v>
      </c>
    </row>
    <row r="449" customFormat="false" ht="15" hidden="false" customHeight="false" outlineLevel="0" collapsed="false">
      <c r="A449" s="0" t="s">
        <v>853</v>
      </c>
      <c r="C449" s="0" t="s">
        <v>40</v>
      </c>
      <c r="D449" s="7" t="n">
        <v>13322</v>
      </c>
      <c r="E449" s="8" t="n">
        <v>0.0273997898213482</v>
      </c>
      <c r="F449" s="4" t="n">
        <f aca="false">D449*E449</f>
        <v>365.02</v>
      </c>
      <c r="G449" s="7" t="n">
        <v>115</v>
      </c>
      <c r="H449" s="9" t="n">
        <f aca="false">IF(G449&gt;0,D449/G449,"")</f>
        <v>115.84347826087</v>
      </c>
      <c r="I449" s="10" t="n">
        <v>46295</v>
      </c>
      <c r="J449" s="3" t="s">
        <v>236</v>
      </c>
      <c r="K449" s="10" t="n">
        <v>44694</v>
      </c>
      <c r="L449" s="3" t="s">
        <v>18</v>
      </c>
      <c r="M449" s="7" t="n">
        <v>14000</v>
      </c>
      <c r="N449" s="8" t="n">
        <v>0.0274</v>
      </c>
      <c r="O449" s="4" t="n">
        <f aca="false">M449*N449</f>
        <v>383.6</v>
      </c>
    </row>
    <row r="450" customFormat="false" ht="15" hidden="false" customHeight="false" outlineLevel="0" collapsed="false">
      <c r="A450" s="0" t="s">
        <v>854</v>
      </c>
      <c r="C450" s="0" t="s">
        <v>855</v>
      </c>
      <c r="D450" s="7" t="n">
        <v>36486</v>
      </c>
      <c r="E450" s="8" t="n">
        <v>0.01</v>
      </c>
      <c r="F450" s="4" t="n">
        <f aca="false">D450*E450</f>
        <v>364.86</v>
      </c>
      <c r="G450" s="7" t="n">
        <v>3244</v>
      </c>
      <c r="H450" s="9" t="n">
        <f aca="false">IF(G450&gt;0,D450/G450,"")</f>
        <v>11.247225647349</v>
      </c>
      <c r="I450" s="10" t="n">
        <v>46273</v>
      </c>
      <c r="K450" s="10"/>
      <c r="M450" s="7"/>
      <c r="N450" s="8"/>
      <c r="O450" s="4"/>
    </row>
    <row r="451" customFormat="false" ht="15" hidden="false" customHeight="false" outlineLevel="0" collapsed="false">
      <c r="A451" s="0" t="s">
        <v>856</v>
      </c>
      <c r="C451" s="0" t="s">
        <v>35</v>
      </c>
      <c r="D451" s="7" t="n">
        <v>4662</v>
      </c>
      <c r="E451" s="8" t="n">
        <v>0.0780737880737881</v>
      </c>
      <c r="F451" s="4" t="n">
        <f aca="false">D451*E451</f>
        <v>363.98</v>
      </c>
      <c r="G451" s="7" t="n">
        <v>1297</v>
      </c>
      <c r="H451" s="9" t="n">
        <f aca="false">IF(G451&gt;0,D451/G451,"")</f>
        <v>3.59444872783346</v>
      </c>
      <c r="I451" s="10" t="n">
        <v>46295</v>
      </c>
      <c r="J451" s="3" t="s">
        <v>753</v>
      </c>
      <c r="K451" s="10" t="n">
        <v>45943</v>
      </c>
      <c r="L451" s="3" t="s">
        <v>20</v>
      </c>
      <c r="M451" s="7" t="n">
        <v>5000</v>
      </c>
      <c r="N451" s="8" t="n">
        <v>0.078</v>
      </c>
      <c r="O451" s="4" t="n">
        <f aca="false">M451*N451</f>
        <v>390</v>
      </c>
    </row>
    <row r="452" customFormat="false" ht="15" hidden="false" customHeight="false" outlineLevel="0" collapsed="false">
      <c r="A452" s="0" t="s">
        <v>857</v>
      </c>
      <c r="C452" s="0" t="s">
        <v>36</v>
      </c>
      <c r="D452" s="7" t="n">
        <v>5616</v>
      </c>
      <c r="E452" s="8" t="n">
        <v>0.0646527777777778</v>
      </c>
      <c r="F452" s="4" t="n">
        <f aca="false">D452*E452</f>
        <v>363.09</v>
      </c>
      <c r="G452" s="7" t="n">
        <v>1400</v>
      </c>
      <c r="H452" s="9" t="n">
        <f aca="false">IF(G452&gt;0,D452/G452,"")</f>
        <v>4.01142857142857</v>
      </c>
      <c r="I452" s="10" t="n">
        <v>46232</v>
      </c>
      <c r="J452" s="3" t="s">
        <v>560</v>
      </c>
      <c r="K452" s="10" t="n">
        <v>44692</v>
      </c>
      <c r="L452" s="3" t="s">
        <v>20</v>
      </c>
      <c r="M452" s="7" t="n">
        <v>8010</v>
      </c>
      <c r="N452" s="8" t="n">
        <v>0</v>
      </c>
      <c r="O452" s="4" t="n">
        <v>518.7</v>
      </c>
    </row>
    <row r="453" customFormat="false" ht="15" hidden="false" customHeight="false" outlineLevel="0" collapsed="false">
      <c r="A453" s="0" t="s">
        <v>858</v>
      </c>
      <c r="C453" s="0" t="s">
        <v>497</v>
      </c>
      <c r="D453" s="7" t="n">
        <v>4510</v>
      </c>
      <c r="E453" s="8" t="n">
        <v>0.0805011086474501</v>
      </c>
      <c r="F453" s="4" t="n">
        <f aca="false">D453*E453</f>
        <v>363.06</v>
      </c>
      <c r="G453" s="7" t="n">
        <v>96</v>
      </c>
      <c r="H453" s="9" t="n">
        <f aca="false">IF(G453&gt;0,D453/G453,"")</f>
        <v>46.9791666666667</v>
      </c>
      <c r="I453" s="10" t="n">
        <v>46008</v>
      </c>
      <c r="J453" s="3" t="s">
        <v>859</v>
      </c>
      <c r="K453" s="10" t="n">
        <v>46128</v>
      </c>
      <c r="L453" s="3" t="s">
        <v>15</v>
      </c>
      <c r="M453" s="7" t="n">
        <v>4510</v>
      </c>
      <c r="N453" s="8" t="n">
        <v>0.0805</v>
      </c>
      <c r="O453" s="4" t="n">
        <f aca="false">M453*N453</f>
        <v>363.055</v>
      </c>
    </row>
    <row r="454" customFormat="false" ht="15" hidden="false" customHeight="false" outlineLevel="0" collapsed="false">
      <c r="A454" s="0" t="s">
        <v>860</v>
      </c>
      <c r="C454" s="0" t="s">
        <v>39</v>
      </c>
      <c r="D454" s="7" t="n">
        <v>2627</v>
      </c>
      <c r="E454" s="8" t="n">
        <v>0.138047202131709</v>
      </c>
      <c r="F454" s="4" t="n">
        <f aca="false">D454*E454</f>
        <v>362.65</v>
      </c>
      <c r="G454" s="7" t="n">
        <v>1520</v>
      </c>
      <c r="H454" s="9" t="n">
        <f aca="false">IF(G454&gt;0,D454/G454,"")</f>
        <v>1.72828947368421</v>
      </c>
      <c r="I454" s="10" t="n">
        <v>46253</v>
      </c>
      <c r="J454" s="3" t="s">
        <v>428</v>
      </c>
      <c r="K454" s="10" t="n">
        <v>46253</v>
      </c>
      <c r="L454" s="3" t="s">
        <v>14</v>
      </c>
      <c r="M454" s="7" t="n">
        <v>2500</v>
      </c>
      <c r="N454" s="8" t="n">
        <v>0.1372</v>
      </c>
      <c r="O454" s="4" t="n">
        <f aca="false">M454*N454</f>
        <v>343</v>
      </c>
    </row>
    <row r="455" customFormat="false" ht="15" hidden="false" customHeight="false" outlineLevel="0" collapsed="false">
      <c r="A455" s="0" t="s">
        <v>861</v>
      </c>
      <c r="C455" s="0" t="s">
        <v>34</v>
      </c>
      <c r="D455" s="7" t="n">
        <v>25802</v>
      </c>
      <c r="E455" s="8" t="n">
        <v>0.0140500736377025</v>
      </c>
      <c r="F455" s="4" t="n">
        <f aca="false">D455*E455</f>
        <v>362.52</v>
      </c>
      <c r="G455" s="7" t="n">
        <v>2489</v>
      </c>
      <c r="H455" s="9" t="n">
        <f aca="false">IF(G455&gt;0,D455/G455,"")</f>
        <v>10.3664122137405</v>
      </c>
      <c r="I455" s="10" t="n">
        <v>46260</v>
      </c>
      <c r="J455" s="3" t="s">
        <v>862</v>
      </c>
      <c r="K455" s="10" t="n">
        <v>44925</v>
      </c>
      <c r="L455" s="3" t="s">
        <v>15</v>
      </c>
      <c r="M455" s="7" t="n">
        <v>31400</v>
      </c>
      <c r="N455" s="8" t="n">
        <v>0.01405</v>
      </c>
      <c r="O455" s="4" t="n">
        <f aca="false">M455*N455</f>
        <v>441.17</v>
      </c>
    </row>
    <row r="456" customFormat="false" ht="15" hidden="false" customHeight="false" outlineLevel="0" collapsed="false">
      <c r="A456" s="0" t="s">
        <v>863</v>
      </c>
      <c r="C456" s="0" t="s">
        <v>37</v>
      </c>
      <c r="D456" s="7" t="n">
        <v>66225</v>
      </c>
      <c r="E456" s="8" t="n">
        <v>0.00546002265005663</v>
      </c>
      <c r="F456" s="4" t="n">
        <f aca="false">D456*E456</f>
        <v>361.59</v>
      </c>
      <c r="G456" s="7" t="n">
        <v>275</v>
      </c>
      <c r="H456" s="9" t="n">
        <f aca="false">IF(G456&gt;0,D456/G456,"")</f>
        <v>240.818181818182</v>
      </c>
      <c r="I456" s="10" t="n">
        <v>46126</v>
      </c>
      <c r="J456" s="3" t="s">
        <v>106</v>
      </c>
      <c r="K456" s="10" t="n">
        <v>44811</v>
      </c>
      <c r="L456" s="3" t="s">
        <v>15</v>
      </c>
      <c r="M456" s="7" t="n">
        <v>66700</v>
      </c>
      <c r="N456" s="8" t="n">
        <v>0.00546</v>
      </c>
      <c r="O456" s="4" t="n">
        <f aca="false">M456*N456</f>
        <v>364.182</v>
      </c>
    </row>
    <row r="457" customFormat="false" ht="15" hidden="false" customHeight="false" outlineLevel="0" collapsed="false">
      <c r="A457" s="0" t="s">
        <v>864</v>
      </c>
      <c r="C457" s="0" t="s">
        <v>42</v>
      </c>
      <c r="D457" s="7" t="n">
        <v>2328</v>
      </c>
      <c r="E457" s="8" t="n">
        <v>0.155</v>
      </c>
      <c r="F457" s="4" t="n">
        <f aca="false">D457*E457</f>
        <v>360.84</v>
      </c>
      <c r="G457" s="7" t="n">
        <v>616</v>
      </c>
      <c r="H457" s="9" t="n">
        <f aca="false">IF(G457&gt;0,D457/G457,"")</f>
        <v>3.77922077922078</v>
      </c>
      <c r="I457" s="10" t="n">
        <v>46304</v>
      </c>
      <c r="J457" s="3" t="s">
        <v>405</v>
      </c>
      <c r="K457" s="10" t="n">
        <v>46280</v>
      </c>
      <c r="L457" s="3" t="s">
        <v>14</v>
      </c>
      <c r="M457" s="7" t="n">
        <v>7000</v>
      </c>
      <c r="N457" s="8" t="n">
        <v>0.1464</v>
      </c>
      <c r="O457" s="4" t="n">
        <f aca="false">M457*N457</f>
        <v>1024.8</v>
      </c>
    </row>
    <row r="458" customFormat="false" ht="15" hidden="false" customHeight="false" outlineLevel="0" collapsed="false">
      <c r="A458" s="0" t="s">
        <v>865</v>
      </c>
      <c r="C458" s="0" t="s">
        <v>36</v>
      </c>
      <c r="D458" s="7" t="n">
        <v>2583</v>
      </c>
      <c r="E458" s="8" t="n">
        <v>0.139678668215254</v>
      </c>
      <c r="F458" s="4" t="n">
        <f aca="false">D458*E458</f>
        <v>360.79</v>
      </c>
      <c r="G458" s="7" t="n">
        <v>78</v>
      </c>
      <c r="H458" s="9" t="n">
        <f aca="false">IF(G458&gt;0,D458/G458,"")</f>
        <v>33.1153846153846</v>
      </c>
      <c r="I458" s="10" t="n">
        <v>46304</v>
      </c>
      <c r="J458" s="3" t="s">
        <v>866</v>
      </c>
      <c r="K458" s="10" t="n">
        <v>44398</v>
      </c>
      <c r="L458" s="3" t="s">
        <v>465</v>
      </c>
      <c r="M458" s="7" t="n">
        <v>2843</v>
      </c>
      <c r="N458" s="8" t="n">
        <v>0.1396</v>
      </c>
      <c r="O458" s="4" t="n">
        <f aca="false">M458*N458</f>
        <v>396.8828</v>
      </c>
    </row>
    <row r="459" customFormat="false" ht="15" hidden="false" customHeight="false" outlineLevel="0" collapsed="false">
      <c r="A459" s="0" t="s">
        <v>867</v>
      </c>
      <c r="C459" s="0" t="s">
        <v>34</v>
      </c>
      <c r="D459" s="7" t="n">
        <v>1047</v>
      </c>
      <c r="E459" s="8" t="n">
        <v>0.344555873925501</v>
      </c>
      <c r="F459" s="4" t="n">
        <f aca="false">D459*E459</f>
        <v>360.75</v>
      </c>
      <c r="G459" s="7" t="n">
        <v>1</v>
      </c>
      <c r="H459" s="9" t="n">
        <f aca="false">IF(G459&gt;0,D459/G459,"")</f>
        <v>1047</v>
      </c>
      <c r="I459" s="10" t="n">
        <v>46141</v>
      </c>
      <c r="J459" s="3" t="s">
        <v>868</v>
      </c>
      <c r="K459" s="10" t="n">
        <v>45463</v>
      </c>
      <c r="L459" s="3" t="s">
        <v>15</v>
      </c>
      <c r="M459" s="7" t="n">
        <v>1000</v>
      </c>
      <c r="N459" s="8" t="n">
        <v>0.34455</v>
      </c>
      <c r="O459" s="4" t="n">
        <f aca="false">M459*N459</f>
        <v>344.55</v>
      </c>
    </row>
    <row r="460" customFormat="false" ht="15" hidden="false" customHeight="false" outlineLevel="0" collapsed="false">
      <c r="A460" s="0" t="s">
        <v>869</v>
      </c>
      <c r="C460" s="0" t="s">
        <v>36</v>
      </c>
      <c r="D460" s="7" t="n">
        <v>23411</v>
      </c>
      <c r="E460" s="8" t="n">
        <v>0.0154004527786084</v>
      </c>
      <c r="F460" s="4" t="n">
        <f aca="false">D460*E460</f>
        <v>360.54</v>
      </c>
      <c r="G460" s="7" t="n">
        <v>3673</v>
      </c>
      <c r="H460" s="9" t="n">
        <f aca="false">IF(G460&gt;0,D460/G460,"")</f>
        <v>6.37380887557855</v>
      </c>
      <c r="I460" s="10" t="n">
        <v>46297</v>
      </c>
      <c r="J460" s="3" t="s">
        <v>870</v>
      </c>
      <c r="K460" s="10" t="n">
        <v>45464</v>
      </c>
      <c r="L460" s="3" t="s">
        <v>18</v>
      </c>
      <c r="M460" s="7" t="n">
        <v>29210</v>
      </c>
      <c r="N460" s="8" t="n">
        <v>0.0154</v>
      </c>
      <c r="O460" s="4" t="n">
        <f aca="false">M460*N460</f>
        <v>449.834</v>
      </c>
    </row>
    <row r="461" customFormat="false" ht="15" hidden="false" customHeight="false" outlineLevel="0" collapsed="false">
      <c r="A461" s="0" t="s">
        <v>871</v>
      </c>
      <c r="C461" s="0" t="s">
        <v>34</v>
      </c>
      <c r="D461" s="7" t="n">
        <v>16796</v>
      </c>
      <c r="E461" s="8" t="n">
        <v>0.0214580852583949</v>
      </c>
      <c r="F461" s="4" t="n">
        <f aca="false">D461*E461</f>
        <v>360.41</v>
      </c>
      <c r="G461" s="7" t="n">
        <v>3980</v>
      </c>
      <c r="H461" s="9" t="n">
        <f aca="false">IF(G461&gt;0,D461/G461,"")</f>
        <v>4.22010050251256</v>
      </c>
      <c r="I461" s="10" t="n">
        <v>46308</v>
      </c>
      <c r="J461" s="3" t="s">
        <v>204</v>
      </c>
      <c r="K461" s="10" t="n">
        <v>44824</v>
      </c>
      <c r="L461" s="3" t="s">
        <v>20</v>
      </c>
      <c r="M461" s="7" t="n">
        <v>25000</v>
      </c>
      <c r="N461" s="8" t="n">
        <v>0.02146</v>
      </c>
      <c r="O461" s="4" t="n">
        <f aca="false">M461*N461</f>
        <v>536.5</v>
      </c>
    </row>
    <row r="462" customFormat="false" ht="15" hidden="false" customHeight="false" outlineLevel="0" collapsed="false">
      <c r="A462" s="0" t="s">
        <v>872</v>
      </c>
      <c r="C462" s="0" t="s">
        <v>43</v>
      </c>
      <c r="D462" s="7" t="n">
        <v>1166</v>
      </c>
      <c r="E462" s="8" t="n">
        <v>0.309039451114923</v>
      </c>
      <c r="F462" s="4" t="n">
        <f aca="false">D462*E462</f>
        <v>360.34</v>
      </c>
      <c r="G462" s="7" t="n">
        <v>575</v>
      </c>
      <c r="H462" s="9" t="n">
        <f aca="false">IF(G462&gt;0,D462/G462,"")</f>
        <v>2.02782608695652</v>
      </c>
      <c r="I462" s="10" t="n">
        <v>46311</v>
      </c>
      <c r="J462" s="3" t="s">
        <v>873</v>
      </c>
      <c r="K462" s="10" t="n">
        <v>45984</v>
      </c>
      <c r="L462" s="3" t="s">
        <v>14</v>
      </c>
      <c r="M462" s="7" t="n">
        <v>1250</v>
      </c>
      <c r="N462" s="8" t="n">
        <v>0.32</v>
      </c>
      <c r="O462" s="4" t="n">
        <f aca="false">M462*N462</f>
        <v>400</v>
      </c>
    </row>
    <row r="463" customFormat="false" ht="15" hidden="false" customHeight="false" outlineLevel="0" collapsed="false">
      <c r="A463" s="0" t="s">
        <v>874</v>
      </c>
      <c r="C463" s="0" t="s">
        <v>875</v>
      </c>
      <c r="D463" s="7" t="n">
        <v>225</v>
      </c>
      <c r="E463" s="8" t="n">
        <v>1.5964</v>
      </c>
      <c r="F463" s="4" t="n">
        <f aca="false">D463*E463</f>
        <v>359.19</v>
      </c>
      <c r="G463" s="7" t="n">
        <v>14</v>
      </c>
      <c r="H463" s="9" t="n">
        <f aca="false">IF(G463&gt;0,D463/G463,"")</f>
        <v>16.0714285714286</v>
      </c>
      <c r="I463" s="10" t="n">
        <v>46143</v>
      </c>
      <c r="J463" s="3" t="s">
        <v>745</v>
      </c>
      <c r="K463" s="10" t="n">
        <v>45397</v>
      </c>
      <c r="L463" s="3" t="s">
        <v>14</v>
      </c>
      <c r="M463" s="7" t="n">
        <v>251</v>
      </c>
      <c r="N463" s="8" t="n">
        <v>1.5964</v>
      </c>
      <c r="O463" s="4" t="n">
        <f aca="false">M463*N463</f>
        <v>400.6964</v>
      </c>
    </row>
    <row r="464" customFormat="false" ht="15" hidden="false" customHeight="false" outlineLevel="0" collapsed="false">
      <c r="A464" s="0" t="s">
        <v>876</v>
      </c>
      <c r="C464" s="0" t="s">
        <v>32</v>
      </c>
      <c r="D464" s="7" t="n">
        <v>18494</v>
      </c>
      <c r="E464" s="8" t="n">
        <v>0.0194208932626798</v>
      </c>
      <c r="F464" s="4" t="n">
        <f aca="false">D464*E464</f>
        <v>359.17</v>
      </c>
      <c r="G464" s="7" t="n">
        <v>15363</v>
      </c>
      <c r="H464" s="9" t="n">
        <f aca="false">IF(G464&gt;0,D464/G464,"")</f>
        <v>1.20380134088394</v>
      </c>
      <c r="I464" s="10" t="n">
        <v>46294</v>
      </c>
      <c r="J464" s="3" t="s">
        <v>877</v>
      </c>
      <c r="K464" s="10" t="n">
        <v>46289</v>
      </c>
      <c r="L464" s="3" t="s">
        <v>18</v>
      </c>
      <c r="M464" s="7" t="n">
        <v>10000</v>
      </c>
      <c r="N464" s="8" t="n">
        <v>0.0196</v>
      </c>
      <c r="O464" s="4" t="n">
        <f aca="false">M464*N464</f>
        <v>196</v>
      </c>
    </row>
    <row r="465" customFormat="false" ht="15" hidden="false" customHeight="false" outlineLevel="0" collapsed="false">
      <c r="A465" s="0" t="s">
        <v>878</v>
      </c>
      <c r="C465" s="0" t="s">
        <v>39</v>
      </c>
      <c r="D465" s="7" t="n">
        <v>5907</v>
      </c>
      <c r="E465" s="8" t="n">
        <v>0.0605011003893686</v>
      </c>
      <c r="F465" s="4" t="n">
        <f aca="false">D465*E465</f>
        <v>357.38</v>
      </c>
      <c r="G465" s="7" t="n">
        <v>413</v>
      </c>
      <c r="H465" s="9" t="n">
        <f aca="false">IF(G465&gt;0,D465/G465,"")</f>
        <v>14.3026634382567</v>
      </c>
      <c r="I465" s="10" t="n">
        <v>46308</v>
      </c>
      <c r="J465" s="3" t="s">
        <v>879</v>
      </c>
      <c r="K465" s="10" t="n">
        <v>44291</v>
      </c>
      <c r="L465" s="3" t="s">
        <v>18</v>
      </c>
      <c r="M465" s="7" t="n">
        <v>7180</v>
      </c>
      <c r="N465" s="8" t="n">
        <v>0.0605</v>
      </c>
      <c r="O465" s="4" t="n">
        <f aca="false">M465*N465</f>
        <v>434.39</v>
      </c>
    </row>
    <row r="466" customFormat="false" ht="15" hidden="false" customHeight="false" outlineLevel="0" collapsed="false">
      <c r="A466" s="0" t="s">
        <v>880</v>
      </c>
      <c r="C466" s="0" t="s">
        <v>774</v>
      </c>
      <c r="D466" s="7" t="n">
        <v>67</v>
      </c>
      <c r="E466" s="8" t="n">
        <v>5.31820895522388</v>
      </c>
      <c r="F466" s="4" t="n">
        <f aca="false">D466*E466</f>
        <v>356.32</v>
      </c>
      <c r="G466" s="7" t="n">
        <v>10</v>
      </c>
      <c r="H466" s="9" t="n">
        <f aca="false">IF(G466&gt;0,D466/G466,"")</f>
        <v>6.7</v>
      </c>
      <c r="I466" s="10" t="n">
        <v>45953</v>
      </c>
      <c r="J466" s="3" t="s">
        <v>881</v>
      </c>
      <c r="K466" s="10" t="n">
        <v>45896</v>
      </c>
      <c r="L466" s="3" t="s">
        <v>14</v>
      </c>
      <c r="M466" s="7" t="n">
        <v>77</v>
      </c>
      <c r="N466" s="8" t="n">
        <v>5.31818182</v>
      </c>
      <c r="O466" s="4" t="n">
        <f aca="false">M466*N466</f>
        <v>409.50000014</v>
      </c>
    </row>
    <row r="467" customFormat="false" ht="15" hidden="false" customHeight="false" outlineLevel="0" collapsed="false">
      <c r="A467" s="0" t="s">
        <v>882</v>
      </c>
      <c r="C467" s="0" t="s">
        <v>43</v>
      </c>
      <c r="D467" s="7" t="n">
        <v>130</v>
      </c>
      <c r="E467" s="8" t="n">
        <v>2.73953846153846</v>
      </c>
      <c r="F467" s="4" t="n">
        <f aca="false">D467*E467</f>
        <v>356.14</v>
      </c>
      <c r="G467" s="7" t="n">
        <v>20</v>
      </c>
      <c r="H467" s="9" t="n">
        <f aca="false">IF(G467&gt;0,D467/G467,"")</f>
        <v>6.5</v>
      </c>
      <c r="I467" s="10" t="n">
        <v>46314</v>
      </c>
      <c r="J467" s="3" t="s">
        <v>680</v>
      </c>
      <c r="K467" s="10" t="n">
        <v>46240</v>
      </c>
      <c r="L467" s="3" t="s">
        <v>14</v>
      </c>
      <c r="M467" s="7" t="n">
        <v>150</v>
      </c>
      <c r="N467" s="8" t="n">
        <v>2.7395</v>
      </c>
      <c r="O467" s="4" t="n">
        <f aca="false">M467*N467</f>
        <v>410.925</v>
      </c>
    </row>
    <row r="468" customFormat="false" ht="15" hidden="false" customHeight="false" outlineLevel="0" collapsed="false">
      <c r="A468" s="0" t="s">
        <v>883</v>
      </c>
      <c r="C468" s="0" t="s">
        <v>61</v>
      </c>
      <c r="D468" s="7" t="n">
        <v>454</v>
      </c>
      <c r="E468" s="8" t="n">
        <v>0.783281938325991</v>
      </c>
      <c r="F468" s="4" t="n">
        <f aca="false">D468*E468</f>
        <v>355.61</v>
      </c>
      <c r="G468" s="7" t="n">
        <v>220</v>
      </c>
      <c r="H468" s="9" t="n">
        <f aca="false">IF(G468&gt;0,D468/G468,"")</f>
        <v>2.06363636363636</v>
      </c>
      <c r="I468" s="10" t="n">
        <v>46210</v>
      </c>
      <c r="J468" s="3" t="s">
        <v>884</v>
      </c>
      <c r="K468" s="10" t="n">
        <v>45867</v>
      </c>
      <c r="L468" s="3" t="s">
        <v>14</v>
      </c>
      <c r="M468" s="7" t="n">
        <v>2000</v>
      </c>
      <c r="N468" s="8" t="n">
        <v>0.7833</v>
      </c>
      <c r="O468" s="4" t="n">
        <f aca="false">M468*N468</f>
        <v>1566.6</v>
      </c>
    </row>
    <row r="469" customFormat="false" ht="15" hidden="false" customHeight="false" outlineLevel="0" collapsed="false">
      <c r="A469" s="0" t="s">
        <v>885</v>
      </c>
      <c r="C469" s="0" t="s">
        <v>31</v>
      </c>
      <c r="D469" s="7" t="n">
        <v>66149</v>
      </c>
      <c r="E469" s="8" t="n">
        <v>0.0053594158641854</v>
      </c>
      <c r="F469" s="4" t="n">
        <f aca="false">D469*E469</f>
        <v>354.52</v>
      </c>
      <c r="G469" s="7" t="n">
        <v>1234</v>
      </c>
      <c r="H469" s="9" t="n">
        <f aca="false">IF(G469&gt;0,D469/G469,"")</f>
        <v>53.6053484602917</v>
      </c>
      <c r="I469" s="10" t="n">
        <v>46281</v>
      </c>
      <c r="J469" s="3" t="s">
        <v>886</v>
      </c>
      <c r="K469" s="10" t="n">
        <v>44293</v>
      </c>
      <c r="L469" s="3" t="s">
        <v>15</v>
      </c>
      <c r="M469" s="7" t="n">
        <v>72500</v>
      </c>
      <c r="N469" s="8" t="n">
        <v>0.00536</v>
      </c>
      <c r="O469" s="4" t="n">
        <f aca="false">M469*N469</f>
        <v>388.6</v>
      </c>
    </row>
    <row r="470" customFormat="false" ht="15" hidden="false" customHeight="false" outlineLevel="0" collapsed="false">
      <c r="A470" s="0" t="s">
        <v>887</v>
      </c>
      <c r="C470" s="0" t="s">
        <v>295</v>
      </c>
      <c r="D470" s="7" t="n">
        <v>2362</v>
      </c>
      <c r="E470" s="8" t="n">
        <v>0.15006350550381</v>
      </c>
      <c r="F470" s="4" t="n">
        <f aca="false">D470*E470</f>
        <v>354.45</v>
      </c>
      <c r="G470" s="7" t="n">
        <v>240</v>
      </c>
      <c r="H470" s="9" t="n">
        <f aca="false">IF(G470&gt;0,D470/G470,"")</f>
        <v>9.84166666666667</v>
      </c>
      <c r="I470" s="10" t="n">
        <v>46244</v>
      </c>
      <c r="J470" s="3" t="s">
        <v>594</v>
      </c>
      <c r="K470" s="10" t="n">
        <v>45897</v>
      </c>
      <c r="L470" s="3" t="s">
        <v>20</v>
      </c>
      <c r="M470" s="7" t="n">
        <v>2600</v>
      </c>
      <c r="N470" s="8" t="n">
        <v>0.15006</v>
      </c>
      <c r="O470" s="4" t="n">
        <f aca="false">M470*N470</f>
        <v>390.156</v>
      </c>
    </row>
    <row r="471" customFormat="false" ht="15" hidden="false" customHeight="false" outlineLevel="0" collapsed="false">
      <c r="A471" s="0" t="s">
        <v>888</v>
      </c>
      <c r="C471" s="0" t="s">
        <v>889</v>
      </c>
      <c r="D471" s="7" t="n">
        <v>2477</v>
      </c>
      <c r="E471" s="8" t="n">
        <v>0.143084376261607</v>
      </c>
      <c r="F471" s="4" t="n">
        <f aca="false">D471*E471</f>
        <v>354.42</v>
      </c>
      <c r="G471" s="7" t="n">
        <v>27</v>
      </c>
      <c r="H471" s="9" t="n">
        <f aca="false">IF(G471&gt;0,D471/G471,"")</f>
        <v>91.7407407407408</v>
      </c>
      <c r="I471" s="10" t="n">
        <v>46133</v>
      </c>
      <c r="K471" s="10"/>
      <c r="M471" s="7"/>
      <c r="N471" s="8"/>
      <c r="O471" s="4"/>
    </row>
    <row r="472" customFormat="false" ht="15" hidden="false" customHeight="false" outlineLevel="0" collapsed="false">
      <c r="A472" s="0" t="s">
        <v>890</v>
      </c>
      <c r="C472" s="0" t="s">
        <v>32</v>
      </c>
      <c r="D472" s="7" t="n">
        <v>27933</v>
      </c>
      <c r="E472" s="8" t="n">
        <v>0.0126721082590484</v>
      </c>
      <c r="F472" s="4" t="n">
        <f aca="false">D472*E472</f>
        <v>353.97</v>
      </c>
      <c r="G472" s="7" t="n">
        <v>11241</v>
      </c>
      <c r="H472" s="9" t="n">
        <f aca="false">IF(G472&gt;0,D472/G472,"")</f>
        <v>2.48492127034961</v>
      </c>
      <c r="I472" s="10" t="n">
        <v>46310</v>
      </c>
      <c r="J472" s="3" t="s">
        <v>204</v>
      </c>
      <c r="K472" s="10" t="n">
        <v>44824</v>
      </c>
      <c r="L472" s="3" t="s">
        <v>20</v>
      </c>
      <c r="M472" s="7" t="n">
        <v>30000</v>
      </c>
      <c r="N472" s="8" t="n">
        <v>0.01327</v>
      </c>
      <c r="O472" s="4" t="n">
        <f aca="false">M472*N472</f>
        <v>398.1</v>
      </c>
    </row>
    <row r="473" customFormat="false" ht="15" hidden="false" customHeight="false" outlineLevel="0" collapsed="false">
      <c r="A473" s="0" t="s">
        <v>891</v>
      </c>
      <c r="C473" s="0" t="s">
        <v>581</v>
      </c>
      <c r="D473" s="7" t="n">
        <v>67</v>
      </c>
      <c r="E473" s="8" t="n">
        <v>5.28194029850746</v>
      </c>
      <c r="F473" s="4" t="n">
        <f aca="false">D473*E473</f>
        <v>353.89</v>
      </c>
      <c r="G473" s="7" t="n">
        <v>4</v>
      </c>
      <c r="H473" s="9" t="n">
        <f aca="false">IF(G473&gt;0,D473/G473,"")</f>
        <v>16.75</v>
      </c>
      <c r="I473" s="10" t="n">
        <v>46059</v>
      </c>
      <c r="J473" s="3" t="s">
        <v>682</v>
      </c>
      <c r="K473" s="10" t="n">
        <v>45539</v>
      </c>
      <c r="L473" s="3" t="s">
        <v>14</v>
      </c>
      <c r="M473" s="7" t="n">
        <v>76</v>
      </c>
      <c r="N473" s="8" t="n">
        <v>5.282</v>
      </c>
      <c r="O473" s="4" t="n">
        <f aca="false">M473*N473</f>
        <v>401.432</v>
      </c>
    </row>
    <row r="474" customFormat="false" ht="15" hidden="false" customHeight="false" outlineLevel="0" collapsed="false">
      <c r="A474" s="0" t="s">
        <v>892</v>
      </c>
      <c r="C474" s="0" t="s">
        <v>34</v>
      </c>
      <c r="D474" s="7" t="n">
        <v>10897</v>
      </c>
      <c r="E474" s="8" t="n">
        <v>0.032460310177113</v>
      </c>
      <c r="F474" s="4" t="n">
        <f aca="false">D474*E474</f>
        <v>353.72</v>
      </c>
      <c r="G474" s="7" t="n">
        <v>10</v>
      </c>
      <c r="H474" s="9" t="n">
        <f aca="false">IF(G474&gt;0,D474/G474,"")</f>
        <v>1089.7</v>
      </c>
      <c r="I474" s="10" t="n">
        <v>45964</v>
      </c>
      <c r="J474" s="3" t="s">
        <v>893</v>
      </c>
      <c r="K474" s="10" t="n">
        <v>44376</v>
      </c>
      <c r="L474" s="3" t="s">
        <v>15</v>
      </c>
      <c r="M474" s="7" t="n">
        <v>11624</v>
      </c>
      <c r="N474" s="8" t="n">
        <v>0.03246</v>
      </c>
      <c r="O474" s="4" t="n">
        <f aca="false">M474*N474</f>
        <v>377.31504</v>
      </c>
    </row>
    <row r="475" customFormat="false" ht="15" hidden="false" customHeight="false" outlineLevel="0" collapsed="false">
      <c r="A475" s="0" t="s">
        <v>894</v>
      </c>
      <c r="C475" s="0" t="s">
        <v>370</v>
      </c>
      <c r="D475" s="7" t="n">
        <v>2171</v>
      </c>
      <c r="E475" s="8" t="n">
        <v>0.162726853984339</v>
      </c>
      <c r="F475" s="4" t="n">
        <f aca="false">D475*E475</f>
        <v>353.28</v>
      </c>
      <c r="G475" s="7" t="n">
        <v>174</v>
      </c>
      <c r="H475" s="9" t="n">
        <f aca="false">IF(G475&gt;0,D475/G475,"")</f>
        <v>12.4770114942529</v>
      </c>
      <c r="I475" s="10" t="n">
        <v>46190</v>
      </c>
      <c r="J475" s="3" t="s">
        <v>895</v>
      </c>
      <c r="K475" s="10" t="n">
        <v>45516</v>
      </c>
      <c r="L475" s="3" t="s">
        <v>21</v>
      </c>
      <c r="M475" s="7" t="n">
        <v>800</v>
      </c>
      <c r="N475" s="8" t="n">
        <v>0.136</v>
      </c>
      <c r="O475" s="4" t="n">
        <f aca="false">M475*N475</f>
        <v>108.8</v>
      </c>
    </row>
    <row r="476" customFormat="false" ht="15" hidden="false" customHeight="false" outlineLevel="0" collapsed="false">
      <c r="A476" s="0" t="s">
        <v>896</v>
      </c>
      <c r="C476" s="0" t="s">
        <v>855</v>
      </c>
      <c r="D476" s="7" t="n">
        <v>18898</v>
      </c>
      <c r="E476" s="8" t="n">
        <v>0.0186845168800931</v>
      </c>
      <c r="F476" s="4" t="n">
        <f aca="false">D476*E476</f>
        <v>353.1</v>
      </c>
      <c r="G476" s="7" t="n">
        <v>58</v>
      </c>
      <c r="H476" s="9" t="n">
        <f aca="false">IF(G476&gt;0,D476/G476,"")</f>
        <v>325.827586206897</v>
      </c>
      <c r="I476" s="10" t="n">
        <v>46253</v>
      </c>
      <c r="J476" s="3" t="s">
        <v>897</v>
      </c>
      <c r="K476" s="10" t="n">
        <v>45689</v>
      </c>
      <c r="L476" s="3" t="s">
        <v>16</v>
      </c>
      <c r="M476" s="7" t="n">
        <v>9400</v>
      </c>
      <c r="N476" s="8" t="n">
        <v>0.0213</v>
      </c>
      <c r="O476" s="4" t="n">
        <f aca="false">M476*N476</f>
        <v>200.22</v>
      </c>
    </row>
    <row r="477" customFormat="false" ht="15" hidden="false" customHeight="false" outlineLevel="0" collapsed="false">
      <c r="A477" s="0" t="s">
        <v>898</v>
      </c>
      <c r="C477" s="0" t="s">
        <v>45</v>
      </c>
      <c r="D477" s="7" t="n">
        <v>1001</v>
      </c>
      <c r="E477" s="8" t="n">
        <v>0.352597402597403</v>
      </c>
      <c r="F477" s="4" t="n">
        <f aca="false">D477*E477</f>
        <v>352.95</v>
      </c>
      <c r="G477" s="7" t="n">
        <v>15</v>
      </c>
      <c r="H477" s="9" t="n">
        <f aca="false">IF(G477&gt;0,D477/G477,"")</f>
        <v>66.7333333333333</v>
      </c>
      <c r="I477" s="10" t="n">
        <v>46150</v>
      </c>
      <c r="J477" s="3" t="s">
        <v>745</v>
      </c>
      <c r="K477" s="10" t="n">
        <v>45397</v>
      </c>
      <c r="L477" s="3" t="s">
        <v>14</v>
      </c>
      <c r="M477" s="7" t="n">
        <v>1135</v>
      </c>
      <c r="N477" s="8" t="n">
        <v>0.3526</v>
      </c>
      <c r="O477" s="4" t="n">
        <f aca="false">M477*N477</f>
        <v>400.201</v>
      </c>
    </row>
    <row r="478" customFormat="false" ht="15" hidden="false" customHeight="false" outlineLevel="0" collapsed="false">
      <c r="A478" s="0" t="s">
        <v>899</v>
      </c>
      <c r="D478" s="7" t="n">
        <v>572</v>
      </c>
      <c r="E478" s="8" t="n">
        <v>0.615017482517483</v>
      </c>
      <c r="F478" s="4" t="n">
        <f aca="false">D478*E478</f>
        <v>351.79</v>
      </c>
      <c r="G478" s="7" t="n">
        <v>22</v>
      </c>
      <c r="H478" s="9" t="n">
        <f aca="false">IF(G478&gt;0,D478/G478,"")</f>
        <v>26</v>
      </c>
      <c r="I478" s="10" t="n">
        <v>46293</v>
      </c>
      <c r="J478" s="3" t="s">
        <v>900</v>
      </c>
      <c r="K478" s="10" t="n">
        <v>44804</v>
      </c>
      <c r="L478" s="3" t="s">
        <v>19</v>
      </c>
      <c r="M478" s="7" t="n">
        <v>755</v>
      </c>
      <c r="N478" s="8" t="n">
        <v>0.6204</v>
      </c>
      <c r="O478" s="4" t="n">
        <v>465.3</v>
      </c>
    </row>
    <row r="479" customFormat="false" ht="15" hidden="false" customHeight="false" outlineLevel="0" collapsed="false">
      <c r="A479" s="0" t="s">
        <v>901</v>
      </c>
      <c r="C479" s="0" t="s">
        <v>378</v>
      </c>
      <c r="D479" s="7" t="n">
        <v>1121</v>
      </c>
      <c r="E479" s="8" t="n">
        <v>0.313800178412132</v>
      </c>
      <c r="F479" s="4" t="n">
        <f aca="false">D479*E479</f>
        <v>351.77</v>
      </c>
      <c r="G479" s="7" t="n">
        <v>130</v>
      </c>
      <c r="H479" s="9" t="n">
        <f aca="false">IF(G479&gt;0,D479/G479,"")</f>
        <v>8.62307692307692</v>
      </c>
      <c r="I479" s="10" t="n">
        <v>46274</v>
      </c>
      <c r="J479" s="3" t="s">
        <v>725</v>
      </c>
      <c r="K479" s="10" t="n">
        <v>45523</v>
      </c>
      <c r="L479" s="3" t="s">
        <v>14</v>
      </c>
      <c r="M479" s="7" t="n">
        <v>1275</v>
      </c>
      <c r="N479" s="8" t="n">
        <v>0.3138</v>
      </c>
      <c r="O479" s="4" t="n">
        <f aca="false">M479*N479</f>
        <v>400.095</v>
      </c>
    </row>
    <row r="480" customFormat="false" ht="15" hidden="false" customHeight="false" outlineLevel="0" collapsed="false">
      <c r="A480" s="0" t="s">
        <v>902</v>
      </c>
      <c r="C480" s="0" t="s">
        <v>34</v>
      </c>
      <c r="D480" s="7" t="n">
        <v>4610</v>
      </c>
      <c r="E480" s="8" t="n">
        <v>0.0763015184381779</v>
      </c>
      <c r="F480" s="4" t="n">
        <f aca="false">D480*E480</f>
        <v>351.75</v>
      </c>
      <c r="G480" s="7" t="n">
        <v>39</v>
      </c>
      <c r="H480" s="9" t="n">
        <f aca="false">IF(G480&gt;0,D480/G480,"")</f>
        <v>118.205128205128</v>
      </c>
      <c r="I480" s="10" t="n">
        <v>46234</v>
      </c>
      <c r="J480" s="3" t="s">
        <v>903</v>
      </c>
      <c r="K480" s="10" t="n">
        <v>45098</v>
      </c>
      <c r="L480" s="3" t="s">
        <v>15</v>
      </c>
      <c r="M480" s="7" t="n">
        <v>250</v>
      </c>
      <c r="N480" s="8" t="n">
        <v>0.05191</v>
      </c>
      <c r="O480" s="4" t="n">
        <f aca="false">M480*N480</f>
        <v>12.9775</v>
      </c>
    </row>
    <row r="481" customFormat="false" ht="15" hidden="false" customHeight="false" outlineLevel="0" collapsed="false">
      <c r="A481" s="0" t="s">
        <v>904</v>
      </c>
      <c r="C481" s="0" t="s">
        <v>32</v>
      </c>
      <c r="D481" s="7" t="n">
        <v>17469</v>
      </c>
      <c r="E481" s="8" t="n">
        <v>0.0201059018833362</v>
      </c>
      <c r="F481" s="4" t="n">
        <f aca="false">D481*E481</f>
        <v>351.23</v>
      </c>
      <c r="G481" s="7" t="n">
        <v>16655</v>
      </c>
      <c r="H481" s="9" t="n">
        <f aca="false">IF(G481&gt;0,D481/G481,"")</f>
        <v>1.04887421194836</v>
      </c>
      <c r="I481" s="10" t="n">
        <v>46314</v>
      </c>
      <c r="J481" s="3" t="s">
        <v>273</v>
      </c>
      <c r="K481" s="10" t="n">
        <v>46251</v>
      </c>
      <c r="L481" s="3" t="s">
        <v>14</v>
      </c>
      <c r="M481" s="7" t="n">
        <v>20000</v>
      </c>
      <c r="N481" s="8" t="n">
        <v>0.0198</v>
      </c>
      <c r="O481" s="4" t="n">
        <f aca="false">M481*N481</f>
        <v>396</v>
      </c>
    </row>
    <row r="482" customFormat="false" ht="15" hidden="false" customHeight="false" outlineLevel="0" collapsed="false">
      <c r="A482" s="0" t="s">
        <v>905</v>
      </c>
      <c r="C482" s="0" t="s">
        <v>32</v>
      </c>
      <c r="D482" s="7" t="n">
        <v>137816</v>
      </c>
      <c r="E482" s="8" t="n">
        <v>0.0025448423985604</v>
      </c>
      <c r="F482" s="4" t="n">
        <f aca="false">D482*E482</f>
        <v>350.72</v>
      </c>
      <c r="G482" s="7" t="n">
        <v>95719</v>
      </c>
      <c r="H482" s="9" t="n">
        <f aca="false">IF(G482&gt;0,D482/G482,"")</f>
        <v>1.43979774130528</v>
      </c>
      <c r="I482" s="10" t="n">
        <v>46315</v>
      </c>
      <c r="J482" s="3" t="s">
        <v>654</v>
      </c>
      <c r="K482" s="10" t="n">
        <v>46204</v>
      </c>
      <c r="L482" s="3" t="s">
        <v>18</v>
      </c>
      <c r="M482" s="7" t="n">
        <v>130000</v>
      </c>
      <c r="N482" s="8" t="n">
        <v>0.003</v>
      </c>
      <c r="O482" s="4" t="n">
        <f aca="false">M482*N482</f>
        <v>390</v>
      </c>
    </row>
    <row r="483" customFormat="false" ht="15" hidden="false" customHeight="false" outlineLevel="0" collapsed="false">
      <c r="A483" s="0" t="s">
        <v>906</v>
      </c>
      <c r="C483" s="0" t="s">
        <v>715</v>
      </c>
      <c r="D483" s="7" t="n">
        <v>2297</v>
      </c>
      <c r="E483" s="8" t="n">
        <v>0.152516325642142</v>
      </c>
      <c r="F483" s="4" t="n">
        <f aca="false">D483*E483</f>
        <v>350.33</v>
      </c>
      <c r="G483" s="7" t="n">
        <v>342</v>
      </c>
      <c r="H483" s="9" t="n">
        <f aca="false">IF(G483&gt;0,D483/G483,"")</f>
        <v>6.71637426900585</v>
      </c>
      <c r="I483" s="10" t="n">
        <v>46269</v>
      </c>
      <c r="J483" s="3" t="s">
        <v>907</v>
      </c>
      <c r="K483" s="10" t="n">
        <v>45359</v>
      </c>
      <c r="L483" s="3" t="s">
        <v>15</v>
      </c>
      <c r="M483" s="7" t="n">
        <v>3370</v>
      </c>
      <c r="N483" s="8" t="n">
        <v>0.15413</v>
      </c>
      <c r="O483" s="4" t="n">
        <f aca="false">M483*N483</f>
        <v>519.4181</v>
      </c>
    </row>
    <row r="484" customFormat="false" ht="15" hidden="false" customHeight="false" outlineLevel="0" collapsed="false">
      <c r="A484" s="0" t="s">
        <v>908</v>
      </c>
      <c r="C484" s="0" t="s">
        <v>370</v>
      </c>
      <c r="D484" s="7" t="n">
        <v>1445</v>
      </c>
      <c r="E484" s="8" t="n">
        <v>0.242415224913495</v>
      </c>
      <c r="F484" s="4" t="n">
        <f aca="false">D484*E484</f>
        <v>350.29</v>
      </c>
      <c r="G484" s="7" t="n">
        <v>45</v>
      </c>
      <c r="H484" s="9" t="n">
        <f aca="false">IF(G484&gt;0,D484/G484,"")</f>
        <v>32.1111111111111</v>
      </c>
      <c r="I484" s="10" t="n">
        <v>46142</v>
      </c>
      <c r="J484" s="3" t="s">
        <v>895</v>
      </c>
      <c r="K484" s="10" t="n">
        <v>45516</v>
      </c>
      <c r="L484" s="3" t="s">
        <v>21</v>
      </c>
      <c r="M484" s="7" t="n">
        <v>500</v>
      </c>
      <c r="N484" s="8" t="n">
        <v>0.221</v>
      </c>
      <c r="O484" s="4" t="n">
        <f aca="false">M484*N484</f>
        <v>110.5</v>
      </c>
    </row>
    <row r="485" customFormat="false" ht="15" hidden="false" customHeight="false" outlineLevel="0" collapsed="false">
      <c r="A485" s="0" t="s">
        <v>909</v>
      </c>
      <c r="C485" s="0" t="s">
        <v>37</v>
      </c>
      <c r="D485" s="7" t="n">
        <v>63215</v>
      </c>
      <c r="E485" s="8" t="n">
        <v>0.00553982440876374</v>
      </c>
      <c r="F485" s="4" t="n">
        <f aca="false">D485*E485</f>
        <v>350.2</v>
      </c>
      <c r="G485" s="7" t="n">
        <v>410</v>
      </c>
      <c r="H485" s="9" t="n">
        <f aca="false">IF(G485&gt;0,D485/G485,"")</f>
        <v>154.182926829268</v>
      </c>
      <c r="I485" s="10" t="n">
        <v>46253</v>
      </c>
      <c r="J485" s="3" t="s">
        <v>106</v>
      </c>
      <c r="K485" s="10" t="n">
        <v>44811</v>
      </c>
      <c r="L485" s="3" t="s">
        <v>15</v>
      </c>
      <c r="M485" s="7" t="n">
        <v>64500</v>
      </c>
      <c r="N485" s="8" t="n">
        <v>0.00554</v>
      </c>
      <c r="O485" s="4" t="n">
        <f aca="false">M485*N485</f>
        <v>357.33</v>
      </c>
    </row>
    <row r="486" customFormat="false" ht="15" hidden="false" customHeight="false" outlineLevel="0" collapsed="false">
      <c r="A486" s="0" t="s">
        <v>910</v>
      </c>
      <c r="C486" s="0" t="s">
        <v>44</v>
      </c>
      <c r="D486" s="7" t="n">
        <v>10</v>
      </c>
      <c r="E486" s="8" t="n">
        <v>34.999</v>
      </c>
      <c r="F486" s="4" t="n">
        <f aca="false">D486*E486</f>
        <v>349.99</v>
      </c>
      <c r="G486" s="7" t="n">
        <v>1</v>
      </c>
      <c r="H486" s="9" t="n">
        <f aca="false">IF(G486&gt;0,D486/G486,"")</f>
        <v>10</v>
      </c>
      <c r="I486" s="10" t="n">
        <v>46079</v>
      </c>
      <c r="J486" s="3" t="s">
        <v>911</v>
      </c>
      <c r="K486" s="10" t="n">
        <v>45154</v>
      </c>
      <c r="L486" s="3" t="s">
        <v>14</v>
      </c>
      <c r="M486" s="7" t="n">
        <v>12</v>
      </c>
      <c r="N486" s="8" t="n">
        <v>34.9992</v>
      </c>
      <c r="O486" s="4" t="n">
        <f aca="false">M486*N486</f>
        <v>419.9904</v>
      </c>
    </row>
    <row r="487" customFormat="false" ht="15" hidden="false" customHeight="false" outlineLevel="0" collapsed="false">
      <c r="A487" s="0" t="s">
        <v>912</v>
      </c>
      <c r="C487" s="0" t="s">
        <v>31</v>
      </c>
      <c r="D487" s="7" t="n">
        <v>85359</v>
      </c>
      <c r="E487" s="8" t="n">
        <v>0.00409997774107007</v>
      </c>
      <c r="F487" s="4" t="n">
        <f aca="false">D487*E487</f>
        <v>349.97</v>
      </c>
      <c r="G487" s="7" t="n">
        <v>6186</v>
      </c>
      <c r="H487" s="9" t="n">
        <f aca="false">IF(G487&gt;0,D487/G487,"")</f>
        <v>13.7987390882638</v>
      </c>
      <c r="I487" s="10" t="n">
        <v>46311</v>
      </c>
      <c r="J487" s="3" t="s">
        <v>913</v>
      </c>
      <c r="K487" s="10" t="n">
        <v>44199</v>
      </c>
      <c r="L487" s="3" t="s">
        <v>15</v>
      </c>
      <c r="M487" s="7" t="n">
        <v>1852</v>
      </c>
      <c r="N487" s="8" t="n">
        <v>0.0055</v>
      </c>
      <c r="O487" s="4" t="n">
        <f aca="false">M487*N487</f>
        <v>10.186</v>
      </c>
    </row>
    <row r="488" customFormat="false" ht="15" hidden="false" customHeight="false" outlineLevel="0" collapsed="false">
      <c r="A488" s="0" t="s">
        <v>914</v>
      </c>
      <c r="C488" s="0" t="s">
        <v>39</v>
      </c>
      <c r="D488" s="7" t="n">
        <v>2143</v>
      </c>
      <c r="E488" s="8" t="n">
        <v>0.163196453569762</v>
      </c>
      <c r="F488" s="4" t="n">
        <f aca="false">D488*E488</f>
        <v>349.73</v>
      </c>
      <c r="G488" s="7" t="n">
        <v>20</v>
      </c>
      <c r="H488" s="9" t="n">
        <f aca="false">IF(G488&gt;0,D488/G488,"")</f>
        <v>107.15</v>
      </c>
      <c r="I488" s="10" t="n">
        <v>46059</v>
      </c>
      <c r="J488" s="3" t="s">
        <v>915</v>
      </c>
      <c r="K488" s="10" t="n">
        <v>44327</v>
      </c>
      <c r="L488" s="3" t="s">
        <v>18</v>
      </c>
      <c r="M488" s="7" t="n">
        <v>2214</v>
      </c>
      <c r="N488" s="8" t="n">
        <v>0.1632</v>
      </c>
      <c r="O488" s="4" t="n">
        <f aca="false">M488*N488</f>
        <v>361.3248</v>
      </c>
    </row>
    <row r="489" customFormat="false" ht="15" hidden="false" customHeight="false" outlineLevel="0" collapsed="false">
      <c r="A489" s="0" t="s">
        <v>916</v>
      </c>
      <c r="C489" s="0" t="s">
        <v>43</v>
      </c>
      <c r="D489" s="7" t="n">
        <v>297</v>
      </c>
      <c r="E489" s="8" t="n">
        <v>1.17430976430976</v>
      </c>
      <c r="F489" s="4" t="n">
        <f aca="false">D489*E489</f>
        <v>348.77</v>
      </c>
      <c r="G489" s="7" t="n">
        <v>203</v>
      </c>
      <c r="H489" s="9" t="n">
        <f aca="false">IF(G489&gt;0,D489/G489,"")</f>
        <v>1.46305418719212</v>
      </c>
      <c r="I489" s="10" t="n">
        <v>46204</v>
      </c>
      <c r="J489" s="3" t="s">
        <v>917</v>
      </c>
      <c r="K489" s="10" t="n">
        <v>46129</v>
      </c>
      <c r="L489" s="3" t="s">
        <v>14</v>
      </c>
      <c r="M489" s="7" t="n">
        <v>500</v>
      </c>
      <c r="N489" s="8" t="n">
        <v>1.1743</v>
      </c>
      <c r="O489" s="4" t="n">
        <f aca="false">M489*N489</f>
        <v>587.15</v>
      </c>
    </row>
    <row r="490" customFormat="false" ht="15" hidden="false" customHeight="false" outlineLevel="0" collapsed="false">
      <c r="A490" s="0" t="s">
        <v>918</v>
      </c>
      <c r="C490" s="0" t="s">
        <v>37</v>
      </c>
      <c r="D490" s="7" t="n">
        <v>13060</v>
      </c>
      <c r="E490" s="8" t="n">
        <v>0.0266845329249617</v>
      </c>
      <c r="F490" s="4" t="n">
        <f aca="false">D490*E490</f>
        <v>348.5</v>
      </c>
      <c r="G490" s="7" t="n">
        <v>1640</v>
      </c>
      <c r="H490" s="9" t="n">
        <f aca="false">IF(G490&gt;0,D490/G490,"")</f>
        <v>7.96341463414634</v>
      </c>
      <c r="I490" s="10" t="n">
        <v>46304</v>
      </c>
      <c r="J490" s="3" t="s">
        <v>919</v>
      </c>
      <c r="K490" s="10" t="n">
        <v>45119</v>
      </c>
      <c r="L490" s="3" t="s">
        <v>15</v>
      </c>
      <c r="M490" s="7" t="n">
        <v>10000</v>
      </c>
      <c r="N490" s="8" t="n">
        <v>0.02567</v>
      </c>
      <c r="O490" s="4" t="n">
        <f aca="false">M490*N490</f>
        <v>256.7</v>
      </c>
    </row>
    <row r="491" customFormat="false" ht="15" hidden="false" customHeight="false" outlineLevel="0" collapsed="false">
      <c r="A491" s="0" t="s">
        <v>920</v>
      </c>
      <c r="C491" s="0" t="s">
        <v>44</v>
      </c>
      <c r="D491" s="7" t="n">
        <v>10</v>
      </c>
      <c r="E491" s="8" t="n">
        <v>34.779</v>
      </c>
      <c r="F491" s="4" t="n">
        <f aca="false">D491*E491</f>
        <v>347.79</v>
      </c>
      <c r="G491" s="7" t="n">
        <v>10</v>
      </c>
      <c r="H491" s="9" t="n">
        <f aca="false">IF(G491&gt;0,D491/G491,"")</f>
        <v>1</v>
      </c>
      <c r="I491" s="10" t="n">
        <v>46209</v>
      </c>
      <c r="J491" s="3" t="s">
        <v>826</v>
      </c>
      <c r="K491" s="10" t="n">
        <v>46199</v>
      </c>
      <c r="L491" s="3" t="s">
        <v>14</v>
      </c>
      <c r="M491" s="7" t="n">
        <v>19</v>
      </c>
      <c r="N491" s="8" t="n">
        <v>34.7789</v>
      </c>
      <c r="O491" s="4" t="n">
        <f aca="false">M491*N491</f>
        <v>660.7991</v>
      </c>
    </row>
    <row r="492" customFormat="false" ht="15" hidden="false" customHeight="false" outlineLevel="0" collapsed="false">
      <c r="A492" s="0" t="s">
        <v>921</v>
      </c>
      <c r="C492" s="0" t="s">
        <v>34</v>
      </c>
      <c r="D492" s="7" t="n">
        <v>4440</v>
      </c>
      <c r="E492" s="8" t="n">
        <v>0.0782815315315315</v>
      </c>
      <c r="F492" s="4" t="n">
        <f aca="false">D492*E492</f>
        <v>347.57</v>
      </c>
      <c r="G492" s="7" t="n">
        <v>200</v>
      </c>
      <c r="H492" s="9" t="n">
        <f aca="false">IF(G492&gt;0,D492/G492,"")</f>
        <v>22.2</v>
      </c>
      <c r="I492" s="10" t="n">
        <v>46247</v>
      </c>
      <c r="J492" s="3" t="s">
        <v>922</v>
      </c>
      <c r="K492" s="10" t="n">
        <v>44908</v>
      </c>
      <c r="L492" s="3" t="s">
        <v>19</v>
      </c>
      <c r="M492" s="7" t="n">
        <v>400</v>
      </c>
      <c r="N492" s="8" t="n">
        <v>0.1803</v>
      </c>
      <c r="O492" s="4" t="n">
        <f aca="false">M492*N492</f>
        <v>72.12</v>
      </c>
    </row>
    <row r="493" customFormat="false" ht="15" hidden="false" customHeight="false" outlineLevel="0" collapsed="false">
      <c r="A493" s="0" t="s">
        <v>923</v>
      </c>
      <c r="C493" s="0" t="s">
        <v>31</v>
      </c>
      <c r="D493" s="7" t="n">
        <v>15705</v>
      </c>
      <c r="E493" s="8" t="n">
        <v>0.0220974212034384</v>
      </c>
      <c r="F493" s="4" t="n">
        <f aca="false">D493*E493</f>
        <v>347.04</v>
      </c>
      <c r="G493" s="7" t="n">
        <v>131</v>
      </c>
      <c r="H493" s="9" t="n">
        <f aca="false">IF(G493&gt;0,D493/G493,"")</f>
        <v>119.885496183206</v>
      </c>
      <c r="I493" s="10" t="n">
        <v>46150</v>
      </c>
      <c r="J493" s="3" t="s">
        <v>924</v>
      </c>
      <c r="K493" s="10" t="n">
        <v>45127</v>
      </c>
      <c r="L493" s="3" t="s">
        <v>15</v>
      </c>
      <c r="M493" s="7" t="n">
        <v>10000</v>
      </c>
      <c r="N493" s="8" t="n">
        <v>0.022</v>
      </c>
      <c r="O493" s="4" t="n">
        <f aca="false">M493*N493</f>
        <v>220</v>
      </c>
    </row>
    <row r="494" customFormat="false" ht="15" hidden="false" customHeight="false" outlineLevel="0" collapsed="false">
      <c r="A494" s="0" t="s">
        <v>925</v>
      </c>
      <c r="C494" s="0" t="s">
        <v>370</v>
      </c>
      <c r="D494" s="7" t="n">
        <v>1735</v>
      </c>
      <c r="E494" s="8" t="n">
        <v>0.2</v>
      </c>
      <c r="F494" s="4" t="n">
        <f aca="false">D494*E494</f>
        <v>347</v>
      </c>
      <c r="G494" s="7" t="n">
        <v>157</v>
      </c>
      <c r="H494" s="9" t="n">
        <f aca="false">IF(G494&gt;0,D494/G494,"")</f>
        <v>11.0509554140127</v>
      </c>
      <c r="I494" s="10" t="n">
        <v>46273</v>
      </c>
      <c r="J494" s="3" t="s">
        <v>926</v>
      </c>
      <c r="K494" s="10" t="n">
        <v>46009</v>
      </c>
      <c r="L494" s="3" t="s">
        <v>21</v>
      </c>
      <c r="M494" s="7" t="n">
        <v>500</v>
      </c>
      <c r="N494" s="8" t="n">
        <v>0.2</v>
      </c>
      <c r="O494" s="4" t="n">
        <f aca="false">M494*N494</f>
        <v>100</v>
      </c>
    </row>
    <row r="495" customFormat="false" ht="15" hidden="false" customHeight="false" outlineLevel="0" collapsed="false">
      <c r="A495" s="0" t="s">
        <v>927</v>
      </c>
      <c r="C495" s="0" t="s">
        <v>42</v>
      </c>
      <c r="D495" s="7" t="n">
        <v>504</v>
      </c>
      <c r="E495" s="8" t="n">
        <v>0.686884920634921</v>
      </c>
      <c r="F495" s="4" t="n">
        <f aca="false">D495*E495</f>
        <v>346.19</v>
      </c>
      <c r="G495" s="7" t="n">
        <v>450</v>
      </c>
      <c r="H495" s="9" t="n">
        <f aca="false">IF(G495&gt;0,D495/G495,"")</f>
        <v>1.12</v>
      </c>
      <c r="I495" s="10" t="n">
        <v>46247</v>
      </c>
      <c r="J495" s="3" t="s">
        <v>788</v>
      </c>
      <c r="K495" s="10" t="n">
        <v>46003</v>
      </c>
      <c r="L495" s="3" t="s">
        <v>14</v>
      </c>
      <c r="M495" s="7" t="n">
        <v>748</v>
      </c>
      <c r="N495" s="8" t="n">
        <v>0.6869</v>
      </c>
      <c r="O495" s="4" t="n">
        <f aca="false">M495*N495</f>
        <v>513.8012</v>
      </c>
    </row>
    <row r="496" customFormat="false" ht="15" hidden="false" customHeight="false" outlineLevel="0" collapsed="false">
      <c r="A496" s="0" t="s">
        <v>928</v>
      </c>
      <c r="C496" s="0" t="s">
        <v>41</v>
      </c>
      <c r="D496" s="7" t="n">
        <v>9991</v>
      </c>
      <c r="E496" s="8" t="n">
        <v>0.0346461815634071</v>
      </c>
      <c r="F496" s="4" t="n">
        <f aca="false">D496*E496</f>
        <v>346.15</v>
      </c>
      <c r="G496" s="7" t="n">
        <v>21</v>
      </c>
      <c r="H496" s="9" t="n">
        <f aca="false">IF(G496&gt;0,D496/G496,"")</f>
        <v>475.761904761905</v>
      </c>
      <c r="I496" s="10" t="n">
        <v>46154</v>
      </c>
      <c r="J496" s="3" t="s">
        <v>929</v>
      </c>
      <c r="K496" s="10" t="n">
        <v>44327</v>
      </c>
      <c r="L496" s="3" t="s">
        <v>15</v>
      </c>
      <c r="M496" s="7" t="n">
        <v>16000</v>
      </c>
      <c r="N496" s="8" t="n">
        <v>0.03464</v>
      </c>
      <c r="O496" s="4" t="n">
        <f aca="false">M496*N496</f>
        <v>554.24</v>
      </c>
    </row>
    <row r="497" customFormat="false" ht="15" hidden="false" customHeight="false" outlineLevel="0" collapsed="false">
      <c r="A497" s="0" t="s">
        <v>930</v>
      </c>
      <c r="C497" s="0" t="s">
        <v>61</v>
      </c>
      <c r="D497" s="7" t="n">
        <v>105</v>
      </c>
      <c r="E497" s="8" t="n">
        <v>3.28419047619048</v>
      </c>
      <c r="F497" s="4" t="n">
        <f aca="false">D497*E497</f>
        <v>344.84</v>
      </c>
      <c r="G497" s="7" t="n">
        <v>18</v>
      </c>
      <c r="H497" s="9" t="n">
        <f aca="false">IF(G497&gt;0,D497/G497,"")</f>
        <v>5.83333333333333</v>
      </c>
      <c r="I497" s="10" t="n">
        <v>45974</v>
      </c>
      <c r="J497" s="3" t="s">
        <v>550</v>
      </c>
      <c r="K497" s="10" t="n">
        <v>45922</v>
      </c>
      <c r="L497" s="3" t="s">
        <v>14</v>
      </c>
      <c r="M497" s="7" t="n">
        <v>123</v>
      </c>
      <c r="N497" s="8" t="n">
        <v>3.2841</v>
      </c>
      <c r="O497" s="4" t="n">
        <f aca="false">M497*N497</f>
        <v>403.9443</v>
      </c>
    </row>
    <row r="498" customFormat="false" ht="15" hidden="false" customHeight="false" outlineLevel="0" collapsed="false">
      <c r="A498" s="0" t="s">
        <v>931</v>
      </c>
      <c r="C498" s="0" t="s">
        <v>225</v>
      </c>
      <c r="D498" s="7" t="n">
        <v>33</v>
      </c>
      <c r="E498" s="8" t="n">
        <v>10.4133333333333</v>
      </c>
      <c r="F498" s="4" t="n">
        <f aca="false">D498*E498</f>
        <v>343.64</v>
      </c>
      <c r="G498" s="7" t="n">
        <v>10</v>
      </c>
      <c r="H498" s="9" t="n">
        <f aca="false">IF(G498&gt;0,D498/G498,"")</f>
        <v>3.3</v>
      </c>
      <c r="I498" s="10" t="n">
        <v>46118</v>
      </c>
      <c r="J498" s="3" t="s">
        <v>932</v>
      </c>
      <c r="K498" s="10" t="n">
        <v>45689</v>
      </c>
      <c r="L498" s="3" t="s">
        <v>14</v>
      </c>
      <c r="M498" s="7" t="n">
        <v>50</v>
      </c>
      <c r="N498" s="8" t="n">
        <v>10.4132</v>
      </c>
      <c r="O498" s="4" t="n">
        <f aca="false">M498*N498</f>
        <v>520.66</v>
      </c>
    </row>
    <row r="499" customFormat="false" ht="15" hidden="false" customHeight="false" outlineLevel="0" collapsed="false">
      <c r="A499" s="0" t="s">
        <v>933</v>
      </c>
      <c r="C499" s="0" t="s">
        <v>934</v>
      </c>
      <c r="D499" s="7" t="n">
        <v>264</v>
      </c>
      <c r="E499" s="8" t="n">
        <v>1.2992803030303</v>
      </c>
      <c r="F499" s="4" t="n">
        <f aca="false">D499*E499</f>
        <v>343.01</v>
      </c>
      <c r="G499" s="7" t="n">
        <v>8</v>
      </c>
      <c r="H499" s="9" t="n">
        <f aca="false">IF(G499&gt;0,D499/G499,"")</f>
        <v>33</v>
      </c>
      <c r="I499" s="10" t="n">
        <v>46317</v>
      </c>
      <c r="J499" s="3" t="s">
        <v>935</v>
      </c>
      <c r="K499" s="10" t="n">
        <v>46281</v>
      </c>
      <c r="L499" s="3" t="s">
        <v>936</v>
      </c>
      <c r="M499" s="7" t="n">
        <v>268</v>
      </c>
      <c r="N499" s="8" t="n">
        <v>1.2993</v>
      </c>
      <c r="O499" s="4" t="n">
        <f aca="false">M499*N499</f>
        <v>348.2124</v>
      </c>
    </row>
    <row r="500" customFormat="false" ht="15" hidden="false" customHeight="false" outlineLevel="0" collapsed="false">
      <c r="A500" s="0" t="s">
        <v>937</v>
      </c>
      <c r="C500" s="0" t="s">
        <v>275</v>
      </c>
      <c r="D500" s="7" t="n">
        <v>19</v>
      </c>
      <c r="E500" s="8" t="n">
        <v>17.9968421052632</v>
      </c>
      <c r="F500" s="4" t="n">
        <f aca="false">D500*E500</f>
        <v>341.94</v>
      </c>
      <c r="G500" s="7" t="n">
        <v>15</v>
      </c>
      <c r="H500" s="9" t="n">
        <f aca="false">IF(G500&gt;0,D500/G500,"")</f>
        <v>1.26666666666667</v>
      </c>
      <c r="I500" s="10" t="n">
        <v>46290</v>
      </c>
      <c r="J500" s="3" t="s">
        <v>938</v>
      </c>
      <c r="K500" s="10" t="n">
        <v>46294</v>
      </c>
      <c r="L500" s="3" t="s">
        <v>14</v>
      </c>
      <c r="M500" s="7" t="n">
        <v>19</v>
      </c>
      <c r="N500" s="8" t="n">
        <v>17.9968</v>
      </c>
      <c r="O500" s="4" t="n">
        <f aca="false">M500*N500</f>
        <v>341.9392</v>
      </c>
    </row>
    <row r="501" customFormat="false" ht="15" hidden="false" customHeight="false" outlineLevel="0" collapsed="false">
      <c r="A501" s="0" t="s">
        <v>939</v>
      </c>
      <c r="C501" s="0" t="s">
        <v>100</v>
      </c>
      <c r="D501" s="7" t="n">
        <v>565</v>
      </c>
      <c r="E501" s="8" t="n">
        <v>0.605097345132743</v>
      </c>
      <c r="F501" s="4" t="n">
        <f aca="false">D501*E501</f>
        <v>341.88</v>
      </c>
      <c r="G501" s="7" t="n">
        <v>324</v>
      </c>
      <c r="H501" s="9" t="n">
        <f aca="false">IF(G501&gt;0,D501/G501,"")</f>
        <v>1.74382716049383</v>
      </c>
      <c r="I501" s="10" t="n">
        <v>46301</v>
      </c>
      <c r="J501" s="3" t="s">
        <v>940</v>
      </c>
      <c r="K501" s="10" t="n">
        <v>46231</v>
      </c>
      <c r="L501" s="3" t="s">
        <v>16</v>
      </c>
      <c r="M501" s="7" t="n">
        <v>665</v>
      </c>
      <c r="N501" s="8" t="n">
        <v>0.6051</v>
      </c>
      <c r="O501" s="4" t="n">
        <f aca="false">M501*N501</f>
        <v>402.3915</v>
      </c>
    </row>
    <row r="502" customFormat="false" ht="15" hidden="false" customHeight="false" outlineLevel="0" collapsed="false">
      <c r="A502" s="0" t="s">
        <v>941</v>
      </c>
      <c r="C502" s="0" t="s">
        <v>32</v>
      </c>
      <c r="D502" s="7" t="n">
        <v>23572</v>
      </c>
      <c r="E502" s="8" t="n">
        <v>0.0144998303071441</v>
      </c>
      <c r="F502" s="4" t="n">
        <f aca="false">D502*E502</f>
        <v>341.79</v>
      </c>
      <c r="G502" s="7" t="n">
        <v>9844</v>
      </c>
      <c r="H502" s="9" t="n">
        <f aca="false">IF(G502&gt;0,D502/G502,"")</f>
        <v>2.39455505891914</v>
      </c>
      <c r="I502" s="10" t="n">
        <v>46308</v>
      </c>
      <c r="J502" s="3" t="s">
        <v>421</v>
      </c>
      <c r="K502" s="10" t="n">
        <v>46240</v>
      </c>
      <c r="L502" s="3" t="s">
        <v>18</v>
      </c>
      <c r="M502" s="7" t="n">
        <v>23560</v>
      </c>
      <c r="N502" s="8" t="n">
        <v>0.0145</v>
      </c>
      <c r="O502" s="4" t="n">
        <f aca="false">M502*N502</f>
        <v>341.62</v>
      </c>
    </row>
    <row r="503" customFormat="false" ht="15" hidden="false" customHeight="false" outlineLevel="0" collapsed="false">
      <c r="A503" s="0" t="s">
        <v>942</v>
      </c>
      <c r="C503" s="0" t="s">
        <v>39</v>
      </c>
      <c r="D503" s="7" t="n">
        <v>2565</v>
      </c>
      <c r="E503" s="8" t="n">
        <v>0.133185185185185</v>
      </c>
      <c r="F503" s="4" t="n">
        <f aca="false">D503*E503</f>
        <v>341.62</v>
      </c>
      <c r="G503" s="7" t="n">
        <v>2505</v>
      </c>
      <c r="H503" s="9" t="n">
        <f aca="false">IF(G503&gt;0,D503/G503,"")</f>
        <v>1.02395209580838</v>
      </c>
      <c r="I503" s="10" t="n">
        <v>46293</v>
      </c>
      <c r="J503" s="3" t="s">
        <v>548</v>
      </c>
      <c r="K503" s="10" t="n">
        <v>46217</v>
      </c>
      <c r="L503" s="3" t="s">
        <v>14</v>
      </c>
      <c r="M503" s="7" t="n">
        <v>2500</v>
      </c>
      <c r="N503" s="8" t="n">
        <v>0.1332</v>
      </c>
      <c r="O503" s="4" t="n">
        <f aca="false">M503*N503</f>
        <v>333</v>
      </c>
    </row>
    <row r="504" customFormat="false" ht="15" hidden="false" customHeight="false" outlineLevel="0" collapsed="false">
      <c r="A504" s="0" t="s">
        <v>943</v>
      </c>
      <c r="C504" s="0" t="s">
        <v>370</v>
      </c>
      <c r="D504" s="7" t="n">
        <v>2282</v>
      </c>
      <c r="E504" s="8" t="n">
        <v>0.149434706397897</v>
      </c>
      <c r="F504" s="4" t="n">
        <f aca="false">D504*E504</f>
        <v>341.01</v>
      </c>
      <c r="G504" s="7" t="n">
        <v>302</v>
      </c>
      <c r="H504" s="9" t="n">
        <f aca="false">IF(G504&gt;0,D504/G504,"")</f>
        <v>7.55629139072848</v>
      </c>
      <c r="I504" s="10" t="n">
        <v>46217</v>
      </c>
      <c r="J504" s="3" t="s">
        <v>895</v>
      </c>
      <c r="K504" s="10" t="n">
        <v>45516</v>
      </c>
      <c r="L504" s="3" t="s">
        <v>21</v>
      </c>
      <c r="M504" s="7" t="n">
        <v>800</v>
      </c>
      <c r="N504" s="8" t="n">
        <v>0.144</v>
      </c>
      <c r="O504" s="4" t="n">
        <f aca="false">M504*N504</f>
        <v>115.2</v>
      </c>
    </row>
    <row r="505" customFormat="false" ht="15" hidden="false" customHeight="false" outlineLevel="0" collapsed="false">
      <c r="A505" s="0" t="s">
        <v>944</v>
      </c>
      <c r="C505" s="0" t="s">
        <v>945</v>
      </c>
      <c r="D505" s="7" t="n">
        <v>53</v>
      </c>
      <c r="E505" s="8" t="n">
        <v>6.43132075471698</v>
      </c>
      <c r="F505" s="4" t="n">
        <f aca="false">D505*E505</f>
        <v>340.86</v>
      </c>
      <c r="G505" s="7" t="n">
        <v>10</v>
      </c>
      <c r="H505" s="9" t="n">
        <f aca="false">IF(G505&gt;0,D505/G505,"")</f>
        <v>5.3</v>
      </c>
      <c r="I505" s="10" t="n">
        <v>46001</v>
      </c>
      <c r="J505" s="3" t="s">
        <v>467</v>
      </c>
      <c r="K505" s="10" t="n">
        <v>45967</v>
      </c>
      <c r="L505" s="3" t="s">
        <v>14</v>
      </c>
      <c r="M505" s="7" t="n">
        <v>63</v>
      </c>
      <c r="N505" s="8" t="n">
        <v>6.4313</v>
      </c>
      <c r="O505" s="4" t="n">
        <f aca="false">M505*N505</f>
        <v>405.1719</v>
      </c>
    </row>
    <row r="506" customFormat="false" ht="15" hidden="false" customHeight="false" outlineLevel="0" collapsed="false">
      <c r="A506" s="0" t="s">
        <v>946</v>
      </c>
      <c r="C506" s="0" t="s">
        <v>37</v>
      </c>
      <c r="D506" s="7" t="n">
        <v>3282</v>
      </c>
      <c r="E506" s="8" t="n">
        <v>0.103845216331505</v>
      </c>
      <c r="F506" s="4" t="n">
        <f aca="false">D506*E506</f>
        <v>340.82</v>
      </c>
      <c r="G506" s="7" t="n">
        <v>465</v>
      </c>
      <c r="H506" s="9" t="n">
        <f aca="false">IF(G506&gt;0,D506/G506,"")</f>
        <v>7.05806451612903</v>
      </c>
      <c r="I506" s="10" t="n">
        <v>46288</v>
      </c>
      <c r="J506" s="3" t="s">
        <v>947</v>
      </c>
      <c r="K506" s="10" t="n">
        <v>45469</v>
      </c>
      <c r="L506" s="3" t="s">
        <v>15</v>
      </c>
      <c r="M506" s="7" t="n">
        <v>2090</v>
      </c>
      <c r="N506" s="8" t="n">
        <v>0.10384</v>
      </c>
      <c r="O506" s="4" t="n">
        <f aca="false">M506*N506</f>
        <v>217.0256</v>
      </c>
    </row>
    <row r="507" customFormat="false" ht="15" hidden="false" customHeight="false" outlineLevel="0" collapsed="false">
      <c r="A507" s="0" t="s">
        <v>948</v>
      </c>
      <c r="C507" s="0" t="s">
        <v>45</v>
      </c>
      <c r="D507" s="7" t="n">
        <v>1729</v>
      </c>
      <c r="E507" s="8" t="n">
        <v>0.196894158473106</v>
      </c>
      <c r="F507" s="4" t="n">
        <f aca="false">D507*E507</f>
        <v>340.43</v>
      </c>
      <c r="G507" s="7" t="n">
        <v>97</v>
      </c>
      <c r="H507" s="9" t="n">
        <f aca="false">IF(G507&gt;0,D507/G507,"")</f>
        <v>17.8247422680412</v>
      </c>
      <c r="I507" s="10" t="n">
        <v>46178</v>
      </c>
      <c r="J507" s="3" t="s">
        <v>949</v>
      </c>
      <c r="K507" s="10" t="n">
        <v>45763</v>
      </c>
      <c r="L507" s="3" t="s">
        <v>23</v>
      </c>
      <c r="M507" s="7" t="n">
        <v>2000</v>
      </c>
      <c r="N507" s="8" t="n">
        <v>0.1969</v>
      </c>
      <c r="O507" s="4" t="n">
        <f aca="false">M507*N507</f>
        <v>393.8</v>
      </c>
    </row>
    <row r="508" customFormat="false" ht="15" hidden="false" customHeight="false" outlineLevel="0" collapsed="false">
      <c r="A508" s="0" t="s">
        <v>950</v>
      </c>
      <c r="C508" s="0" t="s">
        <v>43</v>
      </c>
      <c r="D508" s="7" t="n">
        <v>996</v>
      </c>
      <c r="E508" s="8" t="n">
        <v>0.341706827309237</v>
      </c>
      <c r="F508" s="4" t="n">
        <f aca="false">D508*E508</f>
        <v>340.34</v>
      </c>
      <c r="G508" s="7" t="n">
        <v>204</v>
      </c>
      <c r="H508" s="9" t="n">
        <f aca="false">IF(G508&gt;0,D508/G508,"")</f>
        <v>4.88235294117647</v>
      </c>
      <c r="I508" s="10" t="n">
        <v>46118</v>
      </c>
      <c r="J508" s="3" t="s">
        <v>951</v>
      </c>
      <c r="K508" s="10" t="n">
        <v>45908</v>
      </c>
      <c r="L508" s="3" t="s">
        <v>14</v>
      </c>
      <c r="M508" s="7" t="n">
        <v>1200</v>
      </c>
      <c r="N508" s="8" t="n">
        <v>0.3417</v>
      </c>
      <c r="O508" s="4" t="n">
        <f aca="false">M508*N508</f>
        <v>410.04</v>
      </c>
    </row>
    <row r="509" customFormat="false" ht="15" hidden="false" customHeight="false" outlineLevel="0" collapsed="false">
      <c r="A509" s="0" t="s">
        <v>952</v>
      </c>
      <c r="C509" s="0" t="s">
        <v>44</v>
      </c>
      <c r="D509" s="7" t="n">
        <v>54</v>
      </c>
      <c r="E509" s="8" t="n">
        <v>6.29407407407407</v>
      </c>
      <c r="F509" s="4" t="n">
        <f aca="false">D509*E509</f>
        <v>339.88</v>
      </c>
      <c r="G509" s="7" t="n">
        <v>8</v>
      </c>
      <c r="H509" s="9" t="n">
        <f aca="false">IF(G509&gt;0,D509/G509,"")</f>
        <v>6.75</v>
      </c>
      <c r="I509" s="10" t="n">
        <v>45993</v>
      </c>
      <c r="J509" s="3" t="s">
        <v>953</v>
      </c>
      <c r="K509" s="10" t="n">
        <v>45357</v>
      </c>
      <c r="L509" s="3" t="s">
        <v>14</v>
      </c>
      <c r="M509" s="7" t="n">
        <v>100</v>
      </c>
      <c r="N509" s="8" t="n">
        <v>6.2941</v>
      </c>
      <c r="O509" s="4" t="n">
        <f aca="false">M509*N509</f>
        <v>629.41</v>
      </c>
    </row>
    <row r="510" customFormat="false" ht="15" hidden="false" customHeight="false" outlineLevel="0" collapsed="false">
      <c r="A510" s="0" t="s">
        <v>954</v>
      </c>
      <c r="C510" s="0" t="s">
        <v>285</v>
      </c>
      <c r="D510" s="7" t="n">
        <v>28091</v>
      </c>
      <c r="E510" s="8" t="n">
        <v>0.0120956890107152</v>
      </c>
      <c r="F510" s="4" t="n">
        <f aca="false">D510*E510</f>
        <v>339.78</v>
      </c>
      <c r="G510" s="7" t="n">
        <v>401</v>
      </c>
      <c r="H510" s="9" t="n">
        <f aca="false">IF(G510&gt;0,D510/G510,"")</f>
        <v>70.0523690773067</v>
      </c>
      <c r="I510" s="10" t="n">
        <v>46294</v>
      </c>
      <c r="K510" s="10"/>
      <c r="M510" s="7"/>
      <c r="N510" s="8"/>
      <c r="O510" s="4"/>
    </row>
    <row r="511" customFormat="false" ht="15" hidden="false" customHeight="false" outlineLevel="0" collapsed="false">
      <c r="A511" s="0" t="s">
        <v>955</v>
      </c>
      <c r="C511" s="0" t="s">
        <v>370</v>
      </c>
      <c r="D511" s="7" t="n">
        <v>2120</v>
      </c>
      <c r="E511" s="8" t="n">
        <v>0.16</v>
      </c>
      <c r="F511" s="4" t="n">
        <f aca="false">D511*E511</f>
        <v>339.2</v>
      </c>
      <c r="G511" s="7" t="n">
        <v>45</v>
      </c>
      <c r="H511" s="9" t="n">
        <f aca="false">IF(G511&gt;0,D511/G511,"")</f>
        <v>47.1111111111111</v>
      </c>
      <c r="I511" s="10" t="n">
        <v>46142</v>
      </c>
      <c r="J511" s="3" t="s">
        <v>926</v>
      </c>
      <c r="K511" s="10" t="n">
        <v>46009</v>
      </c>
      <c r="L511" s="3" t="s">
        <v>21</v>
      </c>
      <c r="M511" s="7" t="n">
        <v>625</v>
      </c>
      <c r="N511" s="8" t="n">
        <v>0.16</v>
      </c>
      <c r="O511" s="4" t="n">
        <f aca="false">M511*N511</f>
        <v>100</v>
      </c>
    </row>
    <row r="512" customFormat="false" ht="15" hidden="false" customHeight="false" outlineLevel="0" collapsed="false">
      <c r="A512" s="0" t="s">
        <v>956</v>
      </c>
      <c r="C512" s="0" t="s">
        <v>844</v>
      </c>
      <c r="D512" s="7" t="n">
        <v>139</v>
      </c>
      <c r="E512" s="8" t="n">
        <v>2.43812949640288</v>
      </c>
      <c r="F512" s="4" t="n">
        <f aca="false">D512*E512</f>
        <v>338.9</v>
      </c>
      <c r="G512" s="7" t="n">
        <v>13</v>
      </c>
      <c r="H512" s="9" t="n">
        <f aca="false">IF(G512&gt;0,D512/G512,"")</f>
        <v>10.6923076923077</v>
      </c>
      <c r="I512" s="10" t="n">
        <v>46273</v>
      </c>
      <c r="J512" s="3" t="s">
        <v>957</v>
      </c>
      <c r="K512" s="10" t="n">
        <v>45334</v>
      </c>
      <c r="L512" s="3" t="s">
        <v>14</v>
      </c>
      <c r="M512" s="7" t="n">
        <v>165</v>
      </c>
      <c r="N512" s="8" t="n">
        <v>2.4384</v>
      </c>
      <c r="O512" s="4" t="n">
        <f aca="false">M512*N512</f>
        <v>402.336</v>
      </c>
    </row>
    <row r="513" customFormat="false" ht="15" hidden="false" customHeight="false" outlineLevel="0" collapsed="false">
      <c r="A513" s="0" t="s">
        <v>958</v>
      </c>
      <c r="C513" s="0" t="s">
        <v>61</v>
      </c>
      <c r="D513" s="7" t="n">
        <v>395</v>
      </c>
      <c r="E513" s="8" t="n">
        <v>0.856987341772152</v>
      </c>
      <c r="F513" s="4" t="n">
        <f aca="false">D513*E513</f>
        <v>338.51</v>
      </c>
      <c r="G513" s="7" t="n">
        <v>54</v>
      </c>
      <c r="H513" s="9" t="n">
        <f aca="false">IF(G513&gt;0,D513/G513,"")</f>
        <v>7.31481481481482</v>
      </c>
      <c r="I513" s="10" t="n">
        <v>46210</v>
      </c>
      <c r="J513" s="3" t="s">
        <v>699</v>
      </c>
      <c r="K513" s="10" t="n">
        <v>45840</v>
      </c>
      <c r="L513" s="3" t="s">
        <v>14</v>
      </c>
      <c r="M513" s="7" t="n">
        <v>470</v>
      </c>
      <c r="N513" s="8" t="n">
        <v>0.857</v>
      </c>
      <c r="O513" s="4" t="n">
        <f aca="false">M513*N513</f>
        <v>402.79</v>
      </c>
    </row>
    <row r="514" customFormat="false" ht="15" hidden="false" customHeight="false" outlineLevel="0" collapsed="false">
      <c r="A514" s="0" t="s">
        <v>959</v>
      </c>
      <c r="C514" s="0" t="s">
        <v>225</v>
      </c>
      <c r="D514" s="7" t="n">
        <v>32</v>
      </c>
      <c r="E514" s="8" t="n">
        <v>10.56625</v>
      </c>
      <c r="F514" s="4" t="n">
        <f aca="false">D514*E514</f>
        <v>338.12</v>
      </c>
      <c r="G514" s="7" t="n">
        <v>16</v>
      </c>
      <c r="H514" s="9" t="n">
        <f aca="false">IF(G514&gt;0,D514/G514,"")</f>
        <v>2</v>
      </c>
      <c r="I514" s="10" t="n">
        <v>46006</v>
      </c>
      <c r="J514" s="3" t="s">
        <v>960</v>
      </c>
      <c r="K514" s="10" t="n">
        <v>45034</v>
      </c>
      <c r="L514" s="3" t="s">
        <v>14</v>
      </c>
      <c r="M514" s="7" t="n">
        <v>54</v>
      </c>
      <c r="N514" s="8" t="n">
        <v>10.5665</v>
      </c>
      <c r="O514" s="4" t="n">
        <f aca="false">M514*N514</f>
        <v>570.591</v>
      </c>
    </row>
    <row r="515" customFormat="false" ht="15" hidden="false" customHeight="false" outlineLevel="0" collapsed="false">
      <c r="A515" s="0" t="s">
        <v>961</v>
      </c>
      <c r="D515" s="7" t="n">
        <v>123</v>
      </c>
      <c r="E515" s="8" t="n">
        <v>2.74747967479675</v>
      </c>
      <c r="F515" s="4" t="n">
        <f aca="false">D515*E515</f>
        <v>337.94</v>
      </c>
      <c r="G515" s="7" t="n">
        <v>6</v>
      </c>
      <c r="H515" s="9" t="n">
        <f aca="false">IF(G515&gt;0,D515/G515,"")</f>
        <v>20.5</v>
      </c>
      <c r="I515" s="10" t="n">
        <v>46174</v>
      </c>
      <c r="J515" s="3" t="s">
        <v>962</v>
      </c>
      <c r="K515" s="10" t="n">
        <v>45448</v>
      </c>
      <c r="L515" s="3" t="s">
        <v>14</v>
      </c>
      <c r="M515" s="7" t="n">
        <v>146</v>
      </c>
      <c r="N515" s="8" t="n">
        <v>2.7474</v>
      </c>
      <c r="O515" s="4" t="n">
        <f aca="false">M515*N515</f>
        <v>401.1204</v>
      </c>
    </row>
    <row r="516" customFormat="false" ht="15" hidden="false" customHeight="false" outlineLevel="0" collapsed="false">
      <c r="A516" s="0" t="s">
        <v>963</v>
      </c>
      <c r="C516" s="0" t="s">
        <v>298</v>
      </c>
      <c r="D516" s="7" t="n">
        <v>17887</v>
      </c>
      <c r="E516" s="8" t="n">
        <v>0.0188170179459943</v>
      </c>
      <c r="F516" s="4" t="n">
        <f aca="false">D516*E516</f>
        <v>336.58</v>
      </c>
      <c r="G516" s="7" t="n">
        <v>3431</v>
      </c>
      <c r="H516" s="9" t="n">
        <f aca="false">IF(G516&gt;0,D516/G516,"")</f>
        <v>5.21334887787817</v>
      </c>
      <c r="I516" s="10" t="n">
        <v>46302</v>
      </c>
      <c r="J516" s="3" t="s">
        <v>240</v>
      </c>
      <c r="K516" s="10" t="n">
        <v>46265</v>
      </c>
      <c r="L516" s="3" t="s">
        <v>14</v>
      </c>
      <c r="M516" s="7" t="n">
        <v>5000</v>
      </c>
      <c r="N516" s="8" t="n">
        <v>0.0486</v>
      </c>
      <c r="O516" s="4" t="n">
        <f aca="false">M516*N516</f>
        <v>243</v>
      </c>
    </row>
    <row r="517" customFormat="false" ht="15" hidden="false" customHeight="false" outlineLevel="0" collapsed="false">
      <c r="A517" s="0" t="s">
        <v>964</v>
      </c>
      <c r="C517" s="0" t="s">
        <v>497</v>
      </c>
      <c r="D517" s="7" t="n">
        <v>3031</v>
      </c>
      <c r="E517" s="8" t="n">
        <v>0.111009567799406</v>
      </c>
      <c r="F517" s="4" t="n">
        <f aca="false">D517*E517</f>
        <v>336.47</v>
      </c>
      <c r="G517" s="7" t="n">
        <v>5</v>
      </c>
      <c r="H517" s="9" t="n">
        <f aca="false">IF(G517&gt;0,D517/G517,"")</f>
        <v>606.2</v>
      </c>
      <c r="I517" s="10" t="n">
        <v>46169</v>
      </c>
      <c r="J517" s="3" t="s">
        <v>703</v>
      </c>
      <c r="K517" s="10" t="n">
        <v>46155</v>
      </c>
      <c r="L517" s="3" t="s">
        <v>14</v>
      </c>
      <c r="M517" s="7" t="n">
        <v>25</v>
      </c>
      <c r="N517" s="8" t="n">
        <v>0.9704</v>
      </c>
      <c r="O517" s="4" t="n">
        <f aca="false">M517*N517</f>
        <v>24.26</v>
      </c>
    </row>
    <row r="518" customFormat="false" ht="15" hidden="false" customHeight="false" outlineLevel="0" collapsed="false">
      <c r="A518" s="0" t="s">
        <v>965</v>
      </c>
      <c r="C518" s="0" t="s">
        <v>118</v>
      </c>
      <c r="D518" s="7" t="n">
        <v>5511</v>
      </c>
      <c r="E518" s="8" t="n">
        <v>0.0609961894393032</v>
      </c>
      <c r="F518" s="4" t="n">
        <f aca="false">D518*E518</f>
        <v>336.15</v>
      </c>
      <c r="G518" s="7" t="n">
        <v>116</v>
      </c>
      <c r="H518" s="9" t="n">
        <f aca="false">IF(G518&gt;0,D518/G518,"")</f>
        <v>47.5086206896552</v>
      </c>
      <c r="I518" s="10" t="n">
        <v>46216</v>
      </c>
      <c r="J518" s="3" t="s">
        <v>966</v>
      </c>
      <c r="K518" s="10" t="n">
        <v>44735</v>
      </c>
      <c r="L518" s="3" t="s">
        <v>14</v>
      </c>
      <c r="M518" s="7" t="n">
        <v>8929</v>
      </c>
      <c r="N518" s="8" t="n">
        <v>0.061</v>
      </c>
      <c r="O518" s="4" t="n">
        <f aca="false">M518*N518</f>
        <v>544.669</v>
      </c>
    </row>
    <row r="519" customFormat="false" ht="15" hidden="false" customHeight="false" outlineLevel="0" collapsed="false">
      <c r="A519" s="0" t="s">
        <v>967</v>
      </c>
      <c r="C519" s="0" t="s">
        <v>945</v>
      </c>
      <c r="D519" s="7" t="n">
        <v>41</v>
      </c>
      <c r="E519" s="8" t="n">
        <v>8.18243902439024</v>
      </c>
      <c r="F519" s="4" t="n">
        <f aca="false">D519*E519</f>
        <v>335.48</v>
      </c>
      <c r="G519" s="7" t="n">
        <v>2</v>
      </c>
      <c r="H519" s="9" t="n">
        <f aca="false">IF(G519&gt;0,D519/G519,"")</f>
        <v>20.5</v>
      </c>
      <c r="I519" s="10" t="n">
        <v>46204</v>
      </c>
      <c r="J519" s="3" t="s">
        <v>968</v>
      </c>
      <c r="K519" s="10" t="n">
        <v>45304</v>
      </c>
      <c r="L519" s="3" t="s">
        <v>14</v>
      </c>
      <c r="M519" s="7" t="n">
        <v>50</v>
      </c>
      <c r="N519" s="8" t="n">
        <v>8.1824</v>
      </c>
      <c r="O519" s="4" t="n">
        <f aca="false">M519*N519</f>
        <v>409.12</v>
      </c>
    </row>
    <row r="520" customFormat="false" ht="15" hidden="false" customHeight="false" outlineLevel="0" collapsed="false">
      <c r="A520" s="0" t="s">
        <v>969</v>
      </c>
      <c r="C520" s="0" t="s">
        <v>120</v>
      </c>
      <c r="D520" s="7" t="n">
        <v>2888</v>
      </c>
      <c r="E520" s="8" t="n">
        <v>0.116004155124654</v>
      </c>
      <c r="F520" s="4" t="n">
        <f aca="false">D520*E520</f>
        <v>335.02</v>
      </c>
      <c r="G520" s="7" t="n">
        <v>182</v>
      </c>
      <c r="H520" s="9" t="n">
        <f aca="false">IF(G520&gt;0,D520/G520,"")</f>
        <v>15.8681318681319</v>
      </c>
      <c r="I520" s="10" t="n">
        <v>46150</v>
      </c>
      <c r="J520" s="3" t="s">
        <v>387</v>
      </c>
      <c r="K520" s="10" t="n">
        <v>45733</v>
      </c>
      <c r="L520" s="3" t="s">
        <v>22</v>
      </c>
      <c r="M520" s="7" t="n">
        <v>10000</v>
      </c>
      <c r="N520" s="8" t="n">
        <v>0.116</v>
      </c>
      <c r="O520" s="4" t="n">
        <f aca="false">M520*N520</f>
        <v>1160</v>
      </c>
    </row>
    <row r="521" customFormat="false" ht="15" hidden="false" customHeight="false" outlineLevel="0" collapsed="false">
      <c r="A521" s="0" t="s">
        <v>970</v>
      </c>
      <c r="C521" s="0" t="s">
        <v>38</v>
      </c>
      <c r="D521" s="7" t="n">
        <v>58758</v>
      </c>
      <c r="E521" s="8" t="n">
        <v>0.00569913884066851</v>
      </c>
      <c r="F521" s="4" t="n">
        <f aca="false">D521*E521</f>
        <v>334.87</v>
      </c>
      <c r="G521" s="7" t="n">
        <v>53798</v>
      </c>
      <c r="H521" s="9" t="n">
        <f aca="false">IF(G521&gt;0,D521/G521,"")</f>
        <v>1.09219673593814</v>
      </c>
      <c r="I521" s="10" t="n">
        <v>46317</v>
      </c>
      <c r="J521" s="3" t="s">
        <v>693</v>
      </c>
      <c r="K521" s="10" t="n">
        <v>46304</v>
      </c>
      <c r="L521" s="3" t="s">
        <v>14</v>
      </c>
      <c r="M521" s="7" t="n">
        <v>50000</v>
      </c>
      <c r="N521" s="8" t="n">
        <v>0.0056</v>
      </c>
      <c r="O521" s="4" t="n">
        <f aca="false">M521*N521</f>
        <v>280</v>
      </c>
    </row>
    <row r="522" customFormat="false" ht="15" hidden="false" customHeight="false" outlineLevel="0" collapsed="false">
      <c r="A522" s="0" t="s">
        <v>971</v>
      </c>
      <c r="C522" s="0" t="s">
        <v>285</v>
      </c>
      <c r="D522" s="7" t="n">
        <v>65287</v>
      </c>
      <c r="E522" s="8" t="n">
        <v>0.00512751390016389</v>
      </c>
      <c r="F522" s="4" t="n">
        <f aca="false">D522*E522</f>
        <v>334.76</v>
      </c>
      <c r="G522" s="7" t="n">
        <v>4598</v>
      </c>
      <c r="H522" s="9" t="n">
        <f aca="false">IF(G522&gt;0,D522/G522,"")</f>
        <v>14.1989995650283</v>
      </c>
      <c r="I522" s="10" t="n">
        <v>46316</v>
      </c>
      <c r="J522" s="3" t="s">
        <v>972</v>
      </c>
      <c r="K522" s="10" t="n">
        <v>45840</v>
      </c>
      <c r="L522" s="3" t="s">
        <v>20</v>
      </c>
      <c r="M522" s="7" t="n">
        <v>70000</v>
      </c>
      <c r="N522" s="8" t="n">
        <v>0.00513</v>
      </c>
      <c r="O522" s="4" t="n">
        <f aca="false">M522*N522</f>
        <v>359.1</v>
      </c>
    </row>
    <row r="523" customFormat="false" ht="15" hidden="false" customHeight="false" outlineLevel="0" collapsed="false">
      <c r="A523" s="0" t="s">
        <v>973</v>
      </c>
      <c r="C523" s="0" t="s">
        <v>275</v>
      </c>
      <c r="D523" s="7" t="n">
        <v>30</v>
      </c>
      <c r="E523" s="8" t="n">
        <v>11.1493333333333</v>
      </c>
      <c r="F523" s="4" t="n">
        <f aca="false">D523*E523</f>
        <v>334.48</v>
      </c>
      <c r="G523" s="7" t="n">
        <v>10</v>
      </c>
      <c r="H523" s="9" t="n">
        <f aca="false">IF(G523&gt;0,D523/G523,"")</f>
        <v>3</v>
      </c>
      <c r="I523" s="10" t="n">
        <v>46085</v>
      </c>
      <c r="J523" s="3" t="s">
        <v>974</v>
      </c>
      <c r="K523" s="10" t="n">
        <v>45307</v>
      </c>
      <c r="L523" s="3" t="s">
        <v>14</v>
      </c>
      <c r="M523" s="7" t="n">
        <v>50</v>
      </c>
      <c r="N523" s="8" t="n">
        <v>11.1494</v>
      </c>
      <c r="O523" s="4" t="n">
        <f aca="false">M523*N523</f>
        <v>557.47</v>
      </c>
    </row>
    <row r="524" customFormat="false" ht="15" hidden="false" customHeight="false" outlineLevel="0" collapsed="false">
      <c r="A524" s="0" t="s">
        <v>975</v>
      </c>
      <c r="C524" s="0" t="s">
        <v>741</v>
      </c>
      <c r="D524" s="7" t="n">
        <v>729</v>
      </c>
      <c r="E524" s="8" t="n">
        <v>0.458299039780521</v>
      </c>
      <c r="F524" s="4" t="n">
        <f aca="false">D524*E524</f>
        <v>334.1</v>
      </c>
      <c r="G524" s="7" t="n">
        <v>74</v>
      </c>
      <c r="H524" s="9" t="n">
        <f aca="false">IF(G524&gt;0,D524/G524,"")</f>
        <v>9.85135135135135</v>
      </c>
      <c r="I524" s="10" t="n">
        <v>46183</v>
      </c>
      <c r="J524" s="3" t="s">
        <v>911</v>
      </c>
      <c r="K524" s="10" t="n">
        <v>45154</v>
      </c>
      <c r="L524" s="3" t="s">
        <v>14</v>
      </c>
      <c r="M524" s="7" t="n">
        <v>1000</v>
      </c>
      <c r="N524" s="8" t="n">
        <v>0.4581</v>
      </c>
      <c r="O524" s="4" t="n">
        <f aca="false">M524*N524</f>
        <v>458.1</v>
      </c>
    </row>
    <row r="525" customFormat="false" ht="15" hidden="false" customHeight="false" outlineLevel="0" collapsed="false">
      <c r="A525" s="0" t="s">
        <v>976</v>
      </c>
      <c r="C525" s="0" t="s">
        <v>31</v>
      </c>
      <c r="D525" s="7" t="n">
        <v>3211</v>
      </c>
      <c r="E525" s="8" t="n">
        <v>0.103886639676113</v>
      </c>
      <c r="F525" s="4" t="n">
        <f aca="false">D525*E525</f>
        <v>333.58</v>
      </c>
      <c r="G525" s="7" t="n">
        <v>569</v>
      </c>
      <c r="H525" s="9" t="n">
        <f aca="false">IF(G525&gt;0,D525/G525,"")</f>
        <v>5.64323374340949</v>
      </c>
      <c r="I525" s="10" t="n">
        <v>46176</v>
      </c>
      <c r="J525" s="3" t="s">
        <v>977</v>
      </c>
      <c r="K525" s="10" t="n">
        <v>46135</v>
      </c>
      <c r="L525" s="3" t="s">
        <v>936</v>
      </c>
      <c r="M525" s="7" t="n">
        <v>3780</v>
      </c>
      <c r="N525" s="8" t="n">
        <v>0.097</v>
      </c>
      <c r="O525" s="4" t="n">
        <v>393.332</v>
      </c>
    </row>
    <row r="526" customFormat="false" ht="15" hidden="false" customHeight="false" outlineLevel="0" collapsed="false">
      <c r="A526" s="0" t="s">
        <v>978</v>
      </c>
      <c r="C526" s="0" t="s">
        <v>979</v>
      </c>
      <c r="D526" s="7" t="n">
        <v>10599</v>
      </c>
      <c r="E526" s="8" t="n">
        <v>0.0314557977167657</v>
      </c>
      <c r="F526" s="4" t="n">
        <f aca="false">D526*E526</f>
        <v>333.4</v>
      </c>
      <c r="G526" s="7" t="n">
        <v>302</v>
      </c>
      <c r="H526" s="9" t="n">
        <f aca="false">IF(G526&gt;0,D526/G526,"")</f>
        <v>35.0960264900662</v>
      </c>
      <c r="I526" s="10" t="n">
        <v>46220</v>
      </c>
      <c r="J526" s="3" t="s">
        <v>980</v>
      </c>
      <c r="K526" s="10" t="n">
        <v>46049</v>
      </c>
      <c r="L526" s="3" t="s">
        <v>18</v>
      </c>
      <c r="M526" s="7" t="n">
        <v>1700</v>
      </c>
      <c r="N526" s="8" t="n">
        <v>0.0576</v>
      </c>
      <c r="O526" s="4" t="n">
        <f aca="false">M526*N526</f>
        <v>97.92</v>
      </c>
    </row>
    <row r="527" customFormat="false" ht="15" hidden="false" customHeight="false" outlineLevel="0" collapsed="false">
      <c r="A527" s="0" t="s">
        <v>981</v>
      </c>
      <c r="C527" s="0" t="s">
        <v>945</v>
      </c>
      <c r="D527" s="7" t="n">
        <v>49</v>
      </c>
      <c r="E527" s="8" t="n">
        <v>6.79142857142857</v>
      </c>
      <c r="F527" s="4" t="n">
        <f aca="false">D527*E527</f>
        <v>332.78</v>
      </c>
      <c r="G527" s="7" t="n">
        <v>9</v>
      </c>
      <c r="H527" s="9" t="n">
        <f aca="false">IF(G527&gt;0,D527/G527,"")</f>
        <v>5.44444444444445</v>
      </c>
      <c r="I527" s="10" t="n">
        <v>46204</v>
      </c>
      <c r="J527" s="3" t="s">
        <v>982</v>
      </c>
      <c r="K527" s="10" t="n">
        <v>46169</v>
      </c>
      <c r="L527" s="3" t="s">
        <v>14</v>
      </c>
      <c r="M527" s="7" t="n">
        <v>58</v>
      </c>
      <c r="N527" s="8" t="n">
        <v>6.7914</v>
      </c>
      <c r="O527" s="4" t="n">
        <f aca="false">M527*N527</f>
        <v>393.9012</v>
      </c>
    </row>
    <row r="528" customFormat="false" ht="15" hidden="false" customHeight="false" outlineLevel="0" collapsed="false">
      <c r="A528" s="0" t="s">
        <v>983</v>
      </c>
      <c r="C528" s="0" t="s">
        <v>44</v>
      </c>
      <c r="D528" s="7" t="n">
        <v>10</v>
      </c>
      <c r="E528" s="8" t="n">
        <v>33.193</v>
      </c>
      <c r="F528" s="4" t="n">
        <f aca="false">D528*E528</f>
        <v>331.93</v>
      </c>
      <c r="G528" s="7" t="n">
        <v>2</v>
      </c>
      <c r="H528" s="9" t="n">
        <f aca="false">IF(G528&gt;0,D528/G528,"")</f>
        <v>5</v>
      </c>
      <c r="I528" s="10" t="n">
        <v>46007</v>
      </c>
      <c r="J528" s="3" t="s">
        <v>984</v>
      </c>
      <c r="K528" s="10" t="n">
        <v>45974</v>
      </c>
      <c r="L528" s="3" t="s">
        <v>14</v>
      </c>
      <c r="M528" s="7" t="n">
        <v>12</v>
      </c>
      <c r="N528" s="8" t="n">
        <v>33.1933</v>
      </c>
      <c r="O528" s="4" t="n">
        <f aca="false">M528*N528</f>
        <v>398.3196</v>
      </c>
    </row>
    <row r="529" customFormat="false" ht="15" hidden="false" customHeight="false" outlineLevel="0" collapsed="false">
      <c r="A529" s="0" t="s">
        <v>985</v>
      </c>
      <c r="C529" s="0" t="s">
        <v>438</v>
      </c>
      <c r="D529" s="7" t="n">
        <v>619</v>
      </c>
      <c r="E529" s="8" t="n">
        <v>0.535476575121163</v>
      </c>
      <c r="F529" s="4" t="n">
        <f aca="false">D529*E529</f>
        <v>331.46</v>
      </c>
      <c r="G529" s="7" t="n">
        <v>5</v>
      </c>
      <c r="H529" s="9" t="n">
        <f aca="false">IF(G529&gt;0,D529/G529,"")</f>
        <v>123.8</v>
      </c>
      <c r="I529" s="10" t="n">
        <v>45971</v>
      </c>
      <c r="J529" s="3" t="s">
        <v>986</v>
      </c>
      <c r="K529" s="10" t="n">
        <v>44199</v>
      </c>
      <c r="L529" s="3" t="s">
        <v>14</v>
      </c>
      <c r="M529" s="7" t="n">
        <v>640</v>
      </c>
      <c r="N529" s="8" t="n">
        <v>0.5355</v>
      </c>
      <c r="O529" s="4" t="n">
        <f aca="false">M529*N529</f>
        <v>342.72</v>
      </c>
    </row>
    <row r="530" customFormat="false" ht="15" hidden="false" customHeight="false" outlineLevel="0" collapsed="false">
      <c r="A530" s="0" t="s">
        <v>987</v>
      </c>
      <c r="C530" s="0" t="s">
        <v>609</v>
      </c>
      <c r="D530" s="7" t="n">
        <v>223</v>
      </c>
      <c r="E530" s="8" t="n">
        <v>1.48484304932735</v>
      </c>
      <c r="F530" s="4" t="n">
        <f aca="false">D530*E530</f>
        <v>331.12</v>
      </c>
      <c r="G530" s="7" t="n">
        <v>20</v>
      </c>
      <c r="H530" s="9" t="n">
        <f aca="false">IF(G530&gt;0,D530/G530,"")</f>
        <v>11.15</v>
      </c>
      <c r="I530" s="10" t="n">
        <v>46317</v>
      </c>
      <c r="J530" s="3" t="s">
        <v>988</v>
      </c>
      <c r="K530" s="10" t="n">
        <v>45343</v>
      </c>
      <c r="L530" s="3" t="s">
        <v>14</v>
      </c>
      <c r="M530" s="7" t="n">
        <v>277</v>
      </c>
      <c r="N530" s="8" t="n">
        <v>1.4848</v>
      </c>
      <c r="O530" s="4" t="n">
        <v>413.804</v>
      </c>
    </row>
    <row r="531" customFormat="false" ht="15" hidden="false" customHeight="false" outlineLevel="0" collapsed="false">
      <c r="A531" s="0" t="s">
        <v>989</v>
      </c>
      <c r="C531" s="0" t="s">
        <v>34</v>
      </c>
      <c r="D531" s="7" t="n">
        <v>12125</v>
      </c>
      <c r="E531" s="8" t="n">
        <v>0.0273022680412371</v>
      </c>
      <c r="F531" s="4" t="n">
        <f aca="false">D531*E531</f>
        <v>331.04</v>
      </c>
      <c r="G531" s="7" t="n">
        <v>500</v>
      </c>
      <c r="H531" s="9" t="n">
        <f aca="false">IF(G531&gt;0,D531/G531,"")</f>
        <v>24.25</v>
      </c>
      <c r="I531" s="10" t="n">
        <v>46114</v>
      </c>
      <c r="J531" s="3" t="s">
        <v>990</v>
      </c>
      <c r="K531" s="10" t="n">
        <v>44235</v>
      </c>
      <c r="L531" s="3" t="s">
        <v>15</v>
      </c>
      <c r="M531" s="7" t="n">
        <v>7500</v>
      </c>
      <c r="N531" s="8" t="n">
        <v>0.02739</v>
      </c>
      <c r="O531" s="4" t="n">
        <f aca="false">M531*N531</f>
        <v>205.425</v>
      </c>
    </row>
    <row r="532" customFormat="false" ht="15" hidden="false" customHeight="false" outlineLevel="0" collapsed="false">
      <c r="A532" s="0" t="s">
        <v>991</v>
      </c>
      <c r="C532" s="0" t="s">
        <v>285</v>
      </c>
      <c r="D532" s="7" t="n">
        <v>1546</v>
      </c>
      <c r="E532" s="8" t="n">
        <v>0.214075032341527</v>
      </c>
      <c r="F532" s="4" t="n">
        <f aca="false">D532*E532</f>
        <v>330.96</v>
      </c>
      <c r="G532" s="7" t="n">
        <v>6</v>
      </c>
      <c r="H532" s="9" t="n">
        <f aca="false">IF(G532&gt;0,D532/G532,"")</f>
        <v>257.666666666667</v>
      </c>
      <c r="I532" s="10" t="n">
        <v>46029</v>
      </c>
      <c r="J532" s="3" t="s">
        <v>992</v>
      </c>
      <c r="K532" s="10" t="n">
        <v>44673</v>
      </c>
      <c r="L532" s="3" t="s">
        <v>15</v>
      </c>
      <c r="M532" s="7" t="n">
        <v>1621</v>
      </c>
      <c r="N532" s="8" t="n">
        <v>0.21406</v>
      </c>
      <c r="O532" s="4" t="n">
        <f aca="false">M532*N532</f>
        <v>346.99126</v>
      </c>
    </row>
    <row r="533" customFormat="false" ht="15" hidden="false" customHeight="false" outlineLevel="0" collapsed="false">
      <c r="A533" s="0" t="s">
        <v>993</v>
      </c>
      <c r="C533" s="0" t="s">
        <v>32</v>
      </c>
      <c r="D533" s="7" t="n">
        <v>2367</v>
      </c>
      <c r="E533" s="8" t="n">
        <v>0.139691592733418</v>
      </c>
      <c r="F533" s="4" t="n">
        <f aca="false">D533*E533</f>
        <v>330.65</v>
      </c>
      <c r="G533" s="7" t="n">
        <v>97</v>
      </c>
      <c r="H533" s="9" t="n">
        <f aca="false">IF(G533&gt;0,D533/G533,"")</f>
        <v>24.4020618556701</v>
      </c>
      <c r="I533" s="10" t="n">
        <v>46309</v>
      </c>
      <c r="J533" s="3" t="s">
        <v>308</v>
      </c>
      <c r="K533" s="10" t="n">
        <v>44295</v>
      </c>
      <c r="L533" s="3" t="s">
        <v>18</v>
      </c>
      <c r="M533" s="7" t="n">
        <v>2800</v>
      </c>
      <c r="N533" s="8" t="n">
        <v>0.1397</v>
      </c>
      <c r="O533" s="4" t="n">
        <f aca="false">M533*N533</f>
        <v>391.16</v>
      </c>
    </row>
    <row r="534" customFormat="false" ht="15" hidden="false" customHeight="false" outlineLevel="0" collapsed="false">
      <c r="A534" s="0" t="s">
        <v>994</v>
      </c>
      <c r="C534" s="0" t="s">
        <v>44</v>
      </c>
      <c r="D534" s="7" t="n">
        <v>26</v>
      </c>
      <c r="E534" s="8" t="n">
        <v>12.7084615384615</v>
      </c>
      <c r="F534" s="4" t="n">
        <f aca="false">D534*E534</f>
        <v>330.42</v>
      </c>
      <c r="G534" s="7" t="n">
        <v>10</v>
      </c>
      <c r="H534" s="9" t="n">
        <f aca="false">IF(G534&gt;0,D534/G534,"")</f>
        <v>2.6</v>
      </c>
      <c r="I534" s="10" t="n">
        <v>46104</v>
      </c>
      <c r="J534" s="3" t="s">
        <v>995</v>
      </c>
      <c r="K534" s="10" t="n">
        <v>44692</v>
      </c>
      <c r="L534" s="3" t="s">
        <v>14</v>
      </c>
      <c r="M534" s="7" t="n">
        <v>72</v>
      </c>
      <c r="N534" s="8" t="n">
        <v>12.7086</v>
      </c>
      <c r="O534" s="4" t="n">
        <f aca="false">M534*N534</f>
        <v>915.0192</v>
      </c>
    </row>
    <row r="535" customFormat="false" ht="15" hidden="false" customHeight="false" outlineLevel="0" collapsed="false">
      <c r="A535" s="0" t="s">
        <v>996</v>
      </c>
      <c r="C535" s="0" t="s">
        <v>61</v>
      </c>
      <c r="D535" s="7" t="n">
        <v>151</v>
      </c>
      <c r="E535" s="8" t="n">
        <v>2.18443708609272</v>
      </c>
      <c r="F535" s="4" t="n">
        <f aca="false">D535*E535</f>
        <v>329.85</v>
      </c>
      <c r="G535" s="7" t="n">
        <v>49</v>
      </c>
      <c r="H535" s="9" t="n">
        <f aca="false">IF(G535&gt;0,D535/G535,"")</f>
        <v>3.08163265306122</v>
      </c>
      <c r="I535" s="10" t="n">
        <v>46071</v>
      </c>
      <c r="J535" s="3" t="s">
        <v>550</v>
      </c>
      <c r="K535" s="10" t="n">
        <v>45922</v>
      </c>
      <c r="L535" s="3" t="s">
        <v>14</v>
      </c>
      <c r="M535" s="7" t="n">
        <v>200</v>
      </c>
      <c r="N535" s="8" t="n">
        <v>2.1844</v>
      </c>
      <c r="O535" s="4" t="n">
        <f aca="false">M535*N535</f>
        <v>436.88</v>
      </c>
    </row>
    <row r="536" customFormat="false" ht="15" hidden="false" customHeight="false" outlineLevel="0" collapsed="false">
      <c r="A536" s="0" t="s">
        <v>997</v>
      </c>
      <c r="C536" s="0" t="s">
        <v>33</v>
      </c>
      <c r="D536" s="7" t="n">
        <v>972</v>
      </c>
      <c r="E536" s="8" t="n">
        <v>0.339104938271605</v>
      </c>
      <c r="F536" s="4" t="n">
        <f aca="false">D536*E536</f>
        <v>329.61</v>
      </c>
      <c r="G536" s="7" t="n">
        <v>532</v>
      </c>
      <c r="H536" s="9" t="n">
        <f aca="false">IF(G536&gt;0,D536/G536,"")</f>
        <v>1.82706766917293</v>
      </c>
      <c r="I536" s="10" t="n">
        <v>46296</v>
      </c>
      <c r="J536" s="3" t="s">
        <v>405</v>
      </c>
      <c r="K536" s="10" t="n">
        <v>46280</v>
      </c>
      <c r="L536" s="3" t="s">
        <v>14</v>
      </c>
      <c r="M536" s="7" t="n">
        <v>1000</v>
      </c>
      <c r="N536" s="8" t="n">
        <v>0.3391</v>
      </c>
      <c r="O536" s="4" t="n">
        <f aca="false">M536*N536</f>
        <v>339.1</v>
      </c>
    </row>
    <row r="537" customFormat="false" ht="15" hidden="false" customHeight="false" outlineLevel="0" collapsed="false">
      <c r="A537" s="0" t="s">
        <v>998</v>
      </c>
      <c r="C537" s="0" t="s">
        <v>360</v>
      </c>
      <c r="D537" s="7" t="n">
        <v>87915</v>
      </c>
      <c r="E537" s="8" t="n">
        <v>0.00374054484445203</v>
      </c>
      <c r="F537" s="4" t="n">
        <f aca="false">D537*E537</f>
        <v>328.85</v>
      </c>
      <c r="G537" s="7" t="n">
        <v>4975</v>
      </c>
      <c r="H537" s="9" t="n">
        <f aca="false">IF(G537&gt;0,D537/G537,"")</f>
        <v>17.6713567839196</v>
      </c>
      <c r="I537" s="10" t="n">
        <v>46283</v>
      </c>
      <c r="J537" s="3" t="s">
        <v>999</v>
      </c>
      <c r="K537" s="10" t="n">
        <v>44862</v>
      </c>
      <c r="L537" s="3" t="s">
        <v>15</v>
      </c>
      <c r="M537" s="7" t="n">
        <v>107340</v>
      </c>
      <c r="N537" s="8" t="n">
        <v>0.00374</v>
      </c>
      <c r="O537" s="4" t="n">
        <f aca="false">M537*N537</f>
        <v>401.4516</v>
      </c>
    </row>
    <row r="538" customFormat="false" ht="15" hidden="false" customHeight="false" outlineLevel="0" collapsed="false">
      <c r="A538" s="0" t="s">
        <v>1000</v>
      </c>
      <c r="C538" s="0" t="s">
        <v>370</v>
      </c>
      <c r="D538" s="7" t="n">
        <v>1540</v>
      </c>
      <c r="E538" s="8" t="n">
        <v>0.212967532467533</v>
      </c>
      <c r="F538" s="4" t="n">
        <f aca="false">D538*E538</f>
        <v>327.97</v>
      </c>
      <c r="G538" s="7" t="n">
        <v>94</v>
      </c>
      <c r="H538" s="9" t="n">
        <f aca="false">IF(G538&gt;0,D538/G538,"")</f>
        <v>16.3829787234043</v>
      </c>
      <c r="I538" s="10" t="n">
        <v>46142</v>
      </c>
      <c r="J538" s="3" t="s">
        <v>895</v>
      </c>
      <c r="K538" s="10" t="n">
        <v>45516</v>
      </c>
      <c r="L538" s="3" t="s">
        <v>21</v>
      </c>
      <c r="M538" s="7" t="n">
        <v>500</v>
      </c>
      <c r="N538" s="8" t="n">
        <v>0.213</v>
      </c>
      <c r="O538" s="4" t="n">
        <f aca="false">M538*N538</f>
        <v>106.5</v>
      </c>
    </row>
    <row r="539" customFormat="false" ht="15" hidden="false" customHeight="false" outlineLevel="0" collapsed="false">
      <c r="A539" s="0" t="s">
        <v>1001</v>
      </c>
      <c r="C539" s="0" t="s">
        <v>295</v>
      </c>
      <c r="D539" s="7" t="n">
        <v>895</v>
      </c>
      <c r="E539" s="8" t="n">
        <v>0.365944134078212</v>
      </c>
      <c r="F539" s="4" t="n">
        <f aca="false">D539*E539</f>
        <v>327.52</v>
      </c>
      <c r="G539" s="7" t="n">
        <v>6</v>
      </c>
      <c r="H539" s="9" t="n">
        <f aca="false">IF(G539&gt;0,D539/G539,"")</f>
        <v>149.166666666667</v>
      </c>
      <c r="I539" s="10" t="n">
        <v>45987</v>
      </c>
      <c r="J539" s="3" t="s">
        <v>903</v>
      </c>
      <c r="K539" s="10" t="n">
        <v>45098</v>
      </c>
      <c r="L539" s="3" t="s">
        <v>15</v>
      </c>
      <c r="M539" s="7" t="n">
        <v>980</v>
      </c>
      <c r="N539" s="8" t="n">
        <v>0.36595</v>
      </c>
      <c r="O539" s="4" t="n">
        <f aca="false">M539*N539</f>
        <v>358.631</v>
      </c>
    </row>
    <row r="540" customFormat="false" ht="15" hidden="false" customHeight="false" outlineLevel="0" collapsed="false">
      <c r="A540" s="0" t="s">
        <v>1002</v>
      </c>
      <c r="C540" s="0" t="s">
        <v>36</v>
      </c>
      <c r="D540" s="7" t="n">
        <v>2214</v>
      </c>
      <c r="E540" s="8" t="n">
        <v>0.147786811201445</v>
      </c>
      <c r="F540" s="4" t="n">
        <f aca="false">D540*E540</f>
        <v>327.2</v>
      </c>
      <c r="G540" s="7" t="n">
        <v>3</v>
      </c>
      <c r="H540" s="9" t="n">
        <f aca="false">IF(G540&gt;0,D540/G540,"")</f>
        <v>738</v>
      </c>
      <c r="I540" s="10" t="n">
        <v>45966</v>
      </c>
      <c r="J540" s="3" t="s">
        <v>1003</v>
      </c>
      <c r="K540" s="10" t="n">
        <v>44859</v>
      </c>
      <c r="L540" s="3" t="s">
        <v>14</v>
      </c>
      <c r="M540" s="7" t="n">
        <v>500</v>
      </c>
      <c r="N540" s="8" t="n">
        <v>0.1477</v>
      </c>
      <c r="O540" s="4" t="n">
        <f aca="false">M540*N540</f>
        <v>73.85</v>
      </c>
    </row>
    <row r="541" customFormat="false" ht="15" hidden="false" customHeight="false" outlineLevel="0" collapsed="false">
      <c r="A541" s="0" t="s">
        <v>1004</v>
      </c>
      <c r="D541" s="7" t="n">
        <v>529</v>
      </c>
      <c r="E541" s="8" t="n">
        <v>0.618298676748582</v>
      </c>
      <c r="F541" s="4" t="n">
        <f aca="false">D541*E541</f>
        <v>327.08</v>
      </c>
      <c r="G541" s="7" t="n">
        <v>3</v>
      </c>
      <c r="H541" s="9" t="n">
        <f aca="false">IF(G541&gt;0,D541/G541,"")</f>
        <v>176.333333333333</v>
      </c>
      <c r="I541" s="10" t="n">
        <v>45971</v>
      </c>
      <c r="J541" s="3" t="s">
        <v>1005</v>
      </c>
      <c r="K541" s="10" t="n">
        <v>45618</v>
      </c>
      <c r="L541" s="3" t="s">
        <v>1006</v>
      </c>
      <c r="M541" s="7" t="n">
        <v>1500</v>
      </c>
      <c r="N541" s="8" t="n">
        <v>0.6183</v>
      </c>
      <c r="O541" s="4" t="n">
        <f aca="false">M541*N541</f>
        <v>927.45</v>
      </c>
    </row>
    <row r="542" customFormat="false" ht="15" hidden="false" customHeight="false" outlineLevel="0" collapsed="false">
      <c r="A542" s="0" t="s">
        <v>1007</v>
      </c>
      <c r="C542" s="0" t="s">
        <v>221</v>
      </c>
      <c r="D542" s="7" t="n">
        <v>985</v>
      </c>
      <c r="E542" s="8" t="n">
        <v>0.331959390862944</v>
      </c>
      <c r="F542" s="4" t="n">
        <f aca="false">D542*E542</f>
        <v>326.98</v>
      </c>
      <c r="G542" s="7" t="n">
        <v>10</v>
      </c>
      <c r="H542" s="9" t="n">
        <f aca="false">IF(G542&gt;0,D542/G542,"")</f>
        <v>98.5</v>
      </c>
      <c r="I542" s="10" t="n">
        <v>45953</v>
      </c>
      <c r="J542" s="3" t="s">
        <v>1008</v>
      </c>
      <c r="K542" s="10" t="n">
        <v>45517</v>
      </c>
      <c r="L542" s="3" t="s">
        <v>223</v>
      </c>
      <c r="M542" s="7" t="n">
        <v>1000</v>
      </c>
      <c r="N542" s="8" t="n">
        <v>0.332</v>
      </c>
      <c r="O542" s="4" t="n">
        <f aca="false">M542*N542</f>
        <v>332</v>
      </c>
    </row>
    <row r="543" customFormat="false" ht="15" hidden="false" customHeight="false" outlineLevel="0" collapsed="false">
      <c r="A543" s="0" t="s">
        <v>1009</v>
      </c>
      <c r="C543" s="0" t="s">
        <v>1010</v>
      </c>
      <c r="D543" s="7" t="n">
        <v>915</v>
      </c>
      <c r="E543" s="8" t="n">
        <v>0.357224043715847</v>
      </c>
      <c r="F543" s="4" t="n">
        <f aca="false">D543*E543</f>
        <v>326.86</v>
      </c>
      <c r="G543" s="7" t="n">
        <v>310</v>
      </c>
      <c r="H543" s="9" t="n">
        <f aca="false">IF(G543&gt;0,D543/G543,"")</f>
        <v>2.95161290322581</v>
      </c>
      <c r="I543" s="10" t="n">
        <v>46120</v>
      </c>
      <c r="J543" s="3" t="s">
        <v>1011</v>
      </c>
      <c r="K543" s="10" t="n">
        <v>46003</v>
      </c>
      <c r="L543" s="3" t="s">
        <v>16</v>
      </c>
      <c r="M543" s="7" t="n">
        <v>1000</v>
      </c>
      <c r="N543" s="8" t="n">
        <v>0.3569</v>
      </c>
      <c r="O543" s="4" t="n">
        <f aca="false">M543*N543</f>
        <v>356.9</v>
      </c>
    </row>
    <row r="544" customFormat="false" ht="15" hidden="false" customHeight="false" outlineLevel="0" collapsed="false">
      <c r="A544" s="0" t="s">
        <v>1012</v>
      </c>
      <c r="C544" s="0" t="s">
        <v>34</v>
      </c>
      <c r="D544" s="7" t="n">
        <v>16334</v>
      </c>
      <c r="E544" s="8" t="n">
        <v>0.02</v>
      </c>
      <c r="F544" s="4" t="n">
        <f aca="false">D544*E544</f>
        <v>326.68</v>
      </c>
      <c r="G544" s="7" t="n">
        <v>142</v>
      </c>
      <c r="H544" s="9" t="n">
        <f aca="false">IF(G544&gt;0,D544/G544,"")</f>
        <v>115.028169014085</v>
      </c>
      <c r="I544" s="10" t="n">
        <v>46192</v>
      </c>
      <c r="J544" s="3" t="s">
        <v>1013</v>
      </c>
      <c r="K544" s="10" t="n">
        <v>44340</v>
      </c>
      <c r="L544" s="3" t="s">
        <v>16</v>
      </c>
      <c r="M544" s="7" t="n">
        <v>17565</v>
      </c>
      <c r="N544" s="8" t="n">
        <v>0.024</v>
      </c>
      <c r="O544" s="4" t="n">
        <f aca="false">M544*N544</f>
        <v>421.56</v>
      </c>
    </row>
    <row r="545" customFormat="false" ht="15" hidden="false" customHeight="false" outlineLevel="0" collapsed="false">
      <c r="A545" s="0" t="s">
        <v>1014</v>
      </c>
      <c r="C545" s="0" t="s">
        <v>100</v>
      </c>
      <c r="D545" s="7" t="n">
        <v>686</v>
      </c>
      <c r="E545" s="8" t="n">
        <v>0.475408163265306</v>
      </c>
      <c r="F545" s="4" t="n">
        <f aca="false">D545*E545</f>
        <v>326.13</v>
      </c>
      <c r="G545" s="7" t="n">
        <v>58</v>
      </c>
      <c r="H545" s="9" t="n">
        <f aca="false">IF(G545&gt;0,D545/G545,"")</f>
        <v>11.8275862068966</v>
      </c>
      <c r="I545" s="10" t="n">
        <v>46274</v>
      </c>
      <c r="K545" s="10"/>
      <c r="M545" s="7"/>
      <c r="N545" s="8"/>
      <c r="O545" s="4"/>
    </row>
    <row r="546" customFormat="false" ht="15" hidden="false" customHeight="false" outlineLevel="0" collapsed="false">
      <c r="A546" s="0" t="s">
        <v>1015</v>
      </c>
      <c r="C546" s="0" t="s">
        <v>38</v>
      </c>
      <c r="D546" s="7" t="n">
        <v>266</v>
      </c>
      <c r="E546" s="8" t="n">
        <v>1.22548872180451</v>
      </c>
      <c r="F546" s="4" t="n">
        <f aca="false">D546*E546</f>
        <v>325.98</v>
      </c>
      <c r="G546" s="7" t="n">
        <v>180</v>
      </c>
      <c r="H546" s="9" t="n">
        <f aca="false">IF(G546&gt;0,D546/G546,"")</f>
        <v>1.47777777777778</v>
      </c>
      <c r="I546" s="10" t="n">
        <v>46253</v>
      </c>
      <c r="J546" s="3" t="s">
        <v>680</v>
      </c>
      <c r="K546" s="10" t="n">
        <v>46240</v>
      </c>
      <c r="L546" s="3" t="s">
        <v>14</v>
      </c>
      <c r="M546" s="7" t="n">
        <v>296</v>
      </c>
      <c r="N546" s="8" t="n">
        <v>1.2255</v>
      </c>
      <c r="O546" s="4" t="n">
        <f aca="false">M546*N546</f>
        <v>362.748</v>
      </c>
    </row>
    <row r="547" customFormat="false" ht="15" hidden="false" customHeight="false" outlineLevel="0" collapsed="false">
      <c r="A547" s="0" t="s">
        <v>1016</v>
      </c>
      <c r="C547" s="0" t="s">
        <v>1017</v>
      </c>
      <c r="D547" s="7" t="n">
        <v>36614</v>
      </c>
      <c r="E547" s="8" t="n">
        <v>0.00890014748456874</v>
      </c>
      <c r="F547" s="4" t="n">
        <f aca="false">D547*E547</f>
        <v>325.87</v>
      </c>
      <c r="G547" s="7" t="n">
        <v>36</v>
      </c>
      <c r="H547" s="9" t="n">
        <f aca="false">IF(G547&gt;0,D547/G547,"")</f>
        <v>1017.05555555556</v>
      </c>
      <c r="I547" s="10" t="n">
        <v>46140</v>
      </c>
      <c r="J547" s="3" t="s">
        <v>1018</v>
      </c>
      <c r="K547" s="10" t="n">
        <v>45912</v>
      </c>
      <c r="L547" s="3" t="s">
        <v>15</v>
      </c>
      <c r="M547" s="7" t="n">
        <v>36650</v>
      </c>
      <c r="N547" s="8" t="n">
        <v>0.0089</v>
      </c>
      <c r="O547" s="4" t="n">
        <f aca="false">M547*N547</f>
        <v>326.185</v>
      </c>
    </row>
    <row r="548" customFormat="false" ht="15" hidden="false" customHeight="false" outlineLevel="0" collapsed="false">
      <c r="A548" s="0" t="s">
        <v>1019</v>
      </c>
      <c r="C548" s="0" t="s">
        <v>979</v>
      </c>
      <c r="D548" s="7" t="n">
        <v>3416</v>
      </c>
      <c r="E548" s="8" t="n">
        <v>0.0953600702576112</v>
      </c>
      <c r="F548" s="4" t="n">
        <f aca="false">D548*E548</f>
        <v>325.75</v>
      </c>
      <c r="G548" s="7" t="n">
        <v>141</v>
      </c>
      <c r="H548" s="9" t="n">
        <f aca="false">IF(G548&gt;0,D548/G548,"")</f>
        <v>24.2269503546099</v>
      </c>
      <c r="I548" s="10" t="n">
        <v>46253</v>
      </c>
      <c r="J548" s="3" t="s">
        <v>162</v>
      </c>
      <c r="K548" s="10" t="n">
        <v>45967</v>
      </c>
      <c r="L548" s="3" t="s">
        <v>15</v>
      </c>
      <c r="M548" s="7" t="n">
        <v>3170</v>
      </c>
      <c r="N548" s="8" t="n">
        <v>0.0894</v>
      </c>
      <c r="O548" s="4" t="n">
        <f aca="false">M548*N548</f>
        <v>283.398</v>
      </c>
    </row>
    <row r="549" customFormat="false" ht="15" hidden="false" customHeight="false" outlineLevel="0" collapsed="false">
      <c r="A549" s="0" t="s">
        <v>1020</v>
      </c>
      <c r="C549" s="0" t="s">
        <v>33</v>
      </c>
      <c r="D549" s="7" t="n">
        <v>1531</v>
      </c>
      <c r="E549" s="8" t="n">
        <v>0.212743305029393</v>
      </c>
      <c r="F549" s="4" t="n">
        <f aca="false">D549*E549</f>
        <v>325.71</v>
      </c>
      <c r="G549" s="7" t="n">
        <v>46</v>
      </c>
      <c r="H549" s="9" t="n">
        <f aca="false">IF(G549&gt;0,D549/G549,"")</f>
        <v>33.2826086956522</v>
      </c>
      <c r="I549" s="10" t="n">
        <v>46304</v>
      </c>
      <c r="J549" s="3" t="s">
        <v>1021</v>
      </c>
      <c r="K549" s="10" t="n">
        <v>45779</v>
      </c>
      <c r="L549" s="3" t="s">
        <v>18</v>
      </c>
      <c r="M549" s="7" t="n">
        <v>1315</v>
      </c>
      <c r="N549" s="8" t="n">
        <v>0.2149</v>
      </c>
      <c r="O549" s="4" t="n">
        <f aca="false">M549*N549</f>
        <v>282.5935</v>
      </c>
    </row>
    <row r="550" customFormat="false" ht="15" hidden="false" customHeight="false" outlineLevel="0" collapsed="false">
      <c r="A550" s="0" t="s">
        <v>1022</v>
      </c>
      <c r="C550" s="0" t="s">
        <v>889</v>
      </c>
      <c r="D550" s="7" t="n">
        <v>1731</v>
      </c>
      <c r="E550" s="8" t="n">
        <v>0.188001155401502</v>
      </c>
      <c r="F550" s="4" t="n">
        <f aca="false">D550*E550</f>
        <v>325.43</v>
      </c>
      <c r="G550" s="7" t="n">
        <v>40</v>
      </c>
      <c r="H550" s="9" t="n">
        <f aca="false">IF(G550&gt;0,D550/G550,"")</f>
        <v>43.275</v>
      </c>
      <c r="I550" s="10" t="n">
        <v>46224</v>
      </c>
      <c r="J550" s="3" t="s">
        <v>1023</v>
      </c>
      <c r="K550" s="10" t="n">
        <v>44666</v>
      </c>
      <c r="L550" s="3" t="s">
        <v>25</v>
      </c>
      <c r="M550" s="7" t="n">
        <v>3000</v>
      </c>
      <c r="N550" s="8" t="n">
        <v>0.188</v>
      </c>
      <c r="O550" s="4" t="n">
        <f aca="false">M550*N550</f>
        <v>564</v>
      </c>
    </row>
    <row r="551" customFormat="false" ht="15" hidden="false" customHeight="false" outlineLevel="0" collapsed="false">
      <c r="A551" s="0" t="s">
        <v>1024</v>
      </c>
      <c r="C551" s="0" t="s">
        <v>889</v>
      </c>
      <c r="D551" s="7" t="n">
        <v>4326</v>
      </c>
      <c r="E551" s="8" t="n">
        <v>0.0752196024040684</v>
      </c>
      <c r="F551" s="4" t="n">
        <f aca="false">D551*E551</f>
        <v>325.4</v>
      </c>
      <c r="G551" s="7" t="n">
        <v>27</v>
      </c>
      <c r="H551" s="9" t="n">
        <f aca="false">IF(G551&gt;0,D551/G551,"")</f>
        <v>160.222222222222</v>
      </c>
      <c r="I551" s="10" t="n">
        <v>46266</v>
      </c>
      <c r="J551" s="3" t="s">
        <v>88</v>
      </c>
      <c r="K551" s="10" t="n">
        <v>45325</v>
      </c>
      <c r="L551" s="3" t="s">
        <v>15</v>
      </c>
      <c r="M551" s="7" t="n">
        <v>4355</v>
      </c>
      <c r="N551" s="8" t="n">
        <v>0.07522</v>
      </c>
      <c r="O551" s="4" t="n">
        <f aca="false">M551*N551</f>
        <v>327.5831</v>
      </c>
    </row>
    <row r="552" customFormat="false" ht="15" hidden="false" customHeight="false" outlineLevel="0" collapsed="false">
      <c r="A552" s="0" t="s">
        <v>1025</v>
      </c>
      <c r="C552" s="0" t="s">
        <v>32</v>
      </c>
      <c r="D552" s="7" t="n">
        <v>15942</v>
      </c>
      <c r="E552" s="8" t="n">
        <v>0.020380127963869</v>
      </c>
      <c r="F552" s="4" t="n">
        <f aca="false">D552*E552</f>
        <v>324.9</v>
      </c>
      <c r="G552" s="7" t="n">
        <v>6015</v>
      </c>
      <c r="H552" s="9" t="n">
        <f aca="false">IF(G552&gt;0,D552/G552,"")</f>
        <v>2.65037406483791</v>
      </c>
      <c r="I552" s="10" t="n">
        <v>46308</v>
      </c>
      <c r="J552" s="3" t="s">
        <v>1026</v>
      </c>
      <c r="K552" s="10" t="n">
        <v>46090</v>
      </c>
      <c r="L552" s="3" t="s">
        <v>18</v>
      </c>
      <c r="M552" s="7" t="n">
        <v>15700</v>
      </c>
      <c r="N552" s="8" t="n">
        <v>0.0208</v>
      </c>
      <c r="O552" s="4" t="n">
        <f aca="false">M552*N552</f>
        <v>326.56</v>
      </c>
    </row>
    <row r="553" customFormat="false" ht="15" hidden="false" customHeight="false" outlineLevel="0" collapsed="false">
      <c r="A553" s="0" t="s">
        <v>1027</v>
      </c>
      <c r="C553" s="0" t="s">
        <v>33</v>
      </c>
      <c r="D553" s="7" t="n">
        <v>6600</v>
      </c>
      <c r="E553" s="8" t="n">
        <v>0.0492</v>
      </c>
      <c r="F553" s="4" t="n">
        <f aca="false">D553*E553</f>
        <v>324.72</v>
      </c>
      <c r="G553" s="7" t="n">
        <v>1775</v>
      </c>
      <c r="H553" s="9" t="n">
        <f aca="false">IF(G553&gt;0,D553/G553,"")</f>
        <v>3.71830985915493</v>
      </c>
      <c r="I553" s="10" t="n">
        <v>46317</v>
      </c>
      <c r="J553" s="3" t="s">
        <v>1028</v>
      </c>
      <c r="K553" s="10" t="n">
        <v>45689</v>
      </c>
      <c r="L553" s="3" t="s">
        <v>18</v>
      </c>
      <c r="M553" s="7" t="n">
        <v>10000</v>
      </c>
      <c r="N553" s="8" t="n">
        <v>0.0492</v>
      </c>
      <c r="O553" s="4" t="n">
        <f aca="false">M553*N553</f>
        <v>492</v>
      </c>
    </row>
    <row r="554" customFormat="false" ht="15" hidden="false" customHeight="false" outlineLevel="0" collapsed="false">
      <c r="A554" s="0" t="s">
        <v>1029</v>
      </c>
      <c r="C554" s="0" t="s">
        <v>370</v>
      </c>
      <c r="D554" s="7" t="n">
        <v>1815</v>
      </c>
      <c r="E554" s="8" t="n">
        <v>0.178892561983471</v>
      </c>
      <c r="F554" s="4" t="n">
        <f aca="false">D554*E554</f>
        <v>324.69</v>
      </c>
      <c r="G554" s="7" t="n">
        <v>1590</v>
      </c>
      <c r="H554" s="9" t="n">
        <f aca="false">IF(G554&gt;0,D554/G554,"")</f>
        <v>1.14150943396226</v>
      </c>
      <c r="I554" s="10" t="n">
        <v>46142</v>
      </c>
      <c r="J554" s="3" t="s">
        <v>926</v>
      </c>
      <c r="K554" s="10" t="n">
        <v>46009</v>
      </c>
      <c r="L554" s="3" t="s">
        <v>21</v>
      </c>
      <c r="M554" s="7" t="n">
        <v>1500</v>
      </c>
      <c r="N554" s="8" t="n">
        <v>0.19</v>
      </c>
      <c r="O554" s="4" t="n">
        <f aca="false">M554*N554</f>
        <v>285</v>
      </c>
    </row>
    <row r="555" customFormat="false" ht="15" hidden="false" customHeight="false" outlineLevel="0" collapsed="false">
      <c r="A555" s="0" t="s">
        <v>1030</v>
      </c>
      <c r="C555" s="0" t="s">
        <v>35</v>
      </c>
      <c r="D555" s="7" t="n">
        <v>1109</v>
      </c>
      <c r="E555" s="8" t="n">
        <v>0.29263300270514</v>
      </c>
      <c r="F555" s="4" t="n">
        <f aca="false">D555*E555</f>
        <v>324.53</v>
      </c>
      <c r="G555" s="7" t="n">
        <v>38</v>
      </c>
      <c r="H555" s="9" t="n">
        <f aca="false">IF(G555&gt;0,D555/G555,"")</f>
        <v>29.1842105263158</v>
      </c>
      <c r="I555" s="10" t="n">
        <v>46286</v>
      </c>
      <c r="J555" s="3" t="s">
        <v>364</v>
      </c>
      <c r="K555" s="10" t="n">
        <v>45441</v>
      </c>
      <c r="L555" s="3" t="s">
        <v>20</v>
      </c>
      <c r="M555" s="7" t="n">
        <v>1100</v>
      </c>
      <c r="N555" s="8" t="n">
        <v>0.28</v>
      </c>
      <c r="O555" s="4" t="n">
        <f aca="false">M555*N555</f>
        <v>308</v>
      </c>
    </row>
    <row r="556" customFormat="false" ht="15" hidden="false" customHeight="false" outlineLevel="0" collapsed="false">
      <c r="A556" s="0" t="s">
        <v>1031</v>
      </c>
      <c r="C556" s="0" t="s">
        <v>32</v>
      </c>
      <c r="D556" s="7" t="n">
        <v>16421</v>
      </c>
      <c r="E556" s="8" t="n">
        <v>0.019710127276049</v>
      </c>
      <c r="F556" s="4" t="n">
        <f aca="false">D556*E556</f>
        <v>323.66</v>
      </c>
      <c r="G556" s="7" t="n">
        <v>10454</v>
      </c>
      <c r="H556" s="9" t="n">
        <f aca="false">IF(G556&gt;0,D556/G556,"")</f>
        <v>1.57078630189401</v>
      </c>
      <c r="I556" s="10" t="n">
        <v>46316</v>
      </c>
      <c r="J556" s="3" t="s">
        <v>548</v>
      </c>
      <c r="K556" s="10" t="n">
        <v>46217</v>
      </c>
      <c r="L556" s="3" t="s">
        <v>14</v>
      </c>
      <c r="M556" s="7" t="n">
        <v>20000</v>
      </c>
      <c r="N556" s="8" t="n">
        <v>0.0197</v>
      </c>
      <c r="O556" s="4" t="n">
        <f aca="false">M556*N556</f>
        <v>394</v>
      </c>
    </row>
    <row r="557" customFormat="false" ht="15" hidden="false" customHeight="false" outlineLevel="0" collapsed="false">
      <c r="A557" s="0" t="s">
        <v>1032</v>
      </c>
      <c r="C557" s="0" t="s">
        <v>37</v>
      </c>
      <c r="D557" s="7" t="n">
        <v>19844</v>
      </c>
      <c r="E557" s="8" t="n">
        <v>0.0162532755492844</v>
      </c>
      <c r="F557" s="4" t="n">
        <f aca="false">D557*E557</f>
        <v>322.53</v>
      </c>
      <c r="G557" s="7" t="n">
        <v>6290</v>
      </c>
      <c r="H557" s="9" t="n">
        <f aca="false">IF(G557&gt;0,D557/G557,"")</f>
        <v>3.15484896661367</v>
      </c>
      <c r="I557" s="10" t="n">
        <v>46293</v>
      </c>
      <c r="J557" s="3" t="s">
        <v>1033</v>
      </c>
      <c r="K557" s="10" t="n">
        <v>45028</v>
      </c>
      <c r="L557" s="3" t="s">
        <v>19</v>
      </c>
      <c r="M557" s="7" t="n">
        <v>16000</v>
      </c>
      <c r="N557" s="8" t="n">
        <v>0.0143</v>
      </c>
      <c r="O557" s="4" t="n">
        <f aca="false">M557*N557</f>
        <v>228.8</v>
      </c>
    </row>
    <row r="558" customFormat="false" ht="15" hidden="false" customHeight="false" outlineLevel="0" collapsed="false">
      <c r="A558" s="0" t="s">
        <v>1034</v>
      </c>
      <c r="C558" s="0" t="s">
        <v>31</v>
      </c>
      <c r="D558" s="7" t="n">
        <v>4168</v>
      </c>
      <c r="E558" s="8" t="n">
        <v>0.0770777351247601</v>
      </c>
      <c r="F558" s="4" t="n">
        <f aca="false">D558*E558</f>
        <v>321.26</v>
      </c>
      <c r="G558" s="7" t="n">
        <v>100</v>
      </c>
      <c r="H558" s="9" t="n">
        <f aca="false">IF(G558&gt;0,D558/G558,"")</f>
        <v>41.68</v>
      </c>
      <c r="I558" s="10" t="n">
        <v>46268</v>
      </c>
      <c r="J558" s="3" t="s">
        <v>1035</v>
      </c>
      <c r="K558" s="10" t="n">
        <v>46251</v>
      </c>
      <c r="L558" s="3" t="s">
        <v>16</v>
      </c>
      <c r="M558" s="7" t="n">
        <v>4230</v>
      </c>
      <c r="N558" s="8" t="n">
        <v>0.0773</v>
      </c>
      <c r="O558" s="4" t="n">
        <f aca="false">M558*N558</f>
        <v>326.979</v>
      </c>
    </row>
    <row r="559" customFormat="false" ht="15" hidden="false" customHeight="false" outlineLevel="0" collapsed="false">
      <c r="A559" s="0" t="s">
        <v>1036</v>
      </c>
      <c r="C559" s="0" t="s">
        <v>295</v>
      </c>
      <c r="D559" s="7" t="n">
        <v>6605</v>
      </c>
      <c r="E559" s="8" t="n">
        <v>0.0485783497350492</v>
      </c>
      <c r="F559" s="4" t="n">
        <f aca="false">D559*E559</f>
        <v>320.86</v>
      </c>
      <c r="G559" s="7" t="n">
        <v>1751</v>
      </c>
      <c r="H559" s="9" t="n">
        <f aca="false">IF(G559&gt;0,D559/G559,"")</f>
        <v>3.77213021130782</v>
      </c>
      <c r="I559" s="10" t="n">
        <v>46314</v>
      </c>
      <c r="J559" s="3" t="s">
        <v>753</v>
      </c>
      <c r="K559" s="10" t="n">
        <v>45943</v>
      </c>
      <c r="L559" s="3" t="s">
        <v>20</v>
      </c>
      <c r="M559" s="7" t="n">
        <v>8300</v>
      </c>
      <c r="N559" s="8" t="n">
        <v>0.04858</v>
      </c>
      <c r="O559" s="4" t="n">
        <f aca="false">M559*N559</f>
        <v>403.214</v>
      </c>
    </row>
    <row r="560" customFormat="false" ht="15" hidden="false" customHeight="false" outlineLevel="0" collapsed="false">
      <c r="A560" s="0" t="s">
        <v>1037</v>
      </c>
      <c r="C560" s="0" t="s">
        <v>583</v>
      </c>
      <c r="D560" s="7" t="n">
        <v>8103</v>
      </c>
      <c r="E560" s="8" t="n">
        <v>0.0394224361347649</v>
      </c>
      <c r="F560" s="4" t="n">
        <f aca="false">D560*E560</f>
        <v>319.44</v>
      </c>
      <c r="G560" s="7" t="n">
        <v>963</v>
      </c>
      <c r="H560" s="9" t="n">
        <f aca="false">IF(G560&gt;0,D560/G560,"")</f>
        <v>8.41433021806854</v>
      </c>
      <c r="I560" s="10" t="n">
        <v>46294</v>
      </c>
      <c r="J560" s="3" t="s">
        <v>536</v>
      </c>
      <c r="K560" s="10" t="n">
        <v>45531</v>
      </c>
      <c r="L560" s="3" t="s">
        <v>16</v>
      </c>
      <c r="M560" s="7" t="n">
        <v>10000</v>
      </c>
      <c r="N560" s="8" t="n">
        <v>0.0393</v>
      </c>
      <c r="O560" s="4" t="n">
        <f aca="false">M560*N560</f>
        <v>393</v>
      </c>
    </row>
    <row r="561" customFormat="false" ht="15" hidden="false" customHeight="false" outlineLevel="0" collapsed="false">
      <c r="A561" s="0" t="s">
        <v>1038</v>
      </c>
      <c r="C561" s="0" t="s">
        <v>1039</v>
      </c>
      <c r="D561" s="7" t="n">
        <v>15220</v>
      </c>
      <c r="E561" s="8" t="n">
        <v>0.0209007884362681</v>
      </c>
      <c r="F561" s="4" t="n">
        <f aca="false">D561*E561</f>
        <v>318.11</v>
      </c>
      <c r="G561" s="7" t="n">
        <v>4050</v>
      </c>
      <c r="H561" s="9" t="n">
        <f aca="false">IF(G561&gt;0,D561/G561,"")</f>
        <v>3.75802469135803</v>
      </c>
      <c r="I561" s="10" t="n">
        <v>46293</v>
      </c>
      <c r="J561" s="3" t="s">
        <v>677</v>
      </c>
      <c r="K561" s="10" t="n">
        <v>45642</v>
      </c>
      <c r="L561" s="3" t="s">
        <v>16</v>
      </c>
      <c r="M561" s="7" t="n">
        <v>20000</v>
      </c>
      <c r="N561" s="8" t="n">
        <v>0.0209</v>
      </c>
      <c r="O561" s="4" t="n">
        <f aca="false">M561*N561</f>
        <v>418</v>
      </c>
    </row>
    <row r="562" customFormat="false" ht="15" hidden="false" customHeight="false" outlineLevel="0" collapsed="false">
      <c r="A562" s="0" t="s">
        <v>1040</v>
      </c>
      <c r="C562" s="0" t="s">
        <v>225</v>
      </c>
      <c r="D562" s="7" t="n">
        <v>10</v>
      </c>
      <c r="E562" s="8" t="n">
        <v>31.755</v>
      </c>
      <c r="F562" s="4" t="n">
        <f aca="false">D562*E562</f>
        <v>317.55</v>
      </c>
      <c r="G562" s="7" t="n">
        <v>2</v>
      </c>
      <c r="H562" s="9" t="n">
        <f aca="false">IF(G562&gt;0,D562/G562,"")</f>
        <v>5</v>
      </c>
      <c r="I562" s="10" t="n">
        <v>46121</v>
      </c>
      <c r="J562" s="3" t="s">
        <v>1041</v>
      </c>
      <c r="K562" s="10" t="n">
        <v>46125</v>
      </c>
      <c r="L562" s="3" t="s">
        <v>14</v>
      </c>
      <c r="M562" s="7" t="n">
        <v>10</v>
      </c>
      <c r="N562" s="8" t="n">
        <v>31.755</v>
      </c>
      <c r="O562" s="4" t="n">
        <f aca="false">M562*N562</f>
        <v>317.55</v>
      </c>
    </row>
    <row r="563" customFormat="false" ht="15" hidden="false" customHeight="false" outlineLevel="0" collapsed="false">
      <c r="A563" s="0" t="s">
        <v>1042</v>
      </c>
      <c r="C563" s="0" t="s">
        <v>295</v>
      </c>
      <c r="D563" s="7" t="n">
        <v>14595</v>
      </c>
      <c r="E563" s="8" t="n">
        <v>0.0217499143542309</v>
      </c>
      <c r="F563" s="4" t="n">
        <f aca="false">D563*E563</f>
        <v>317.44</v>
      </c>
      <c r="G563" s="7" t="n">
        <v>3726</v>
      </c>
      <c r="H563" s="9" t="n">
        <f aca="false">IF(G563&gt;0,D563/G563,"")</f>
        <v>3.9170692431562</v>
      </c>
      <c r="I563" s="10" t="n">
        <v>46304</v>
      </c>
      <c r="J563" s="3" t="s">
        <v>1043</v>
      </c>
      <c r="K563" s="10" t="n">
        <v>45972</v>
      </c>
      <c r="L563" s="3" t="s">
        <v>154</v>
      </c>
      <c r="M563" s="7" t="n">
        <v>300</v>
      </c>
      <c r="N563" s="8" t="n">
        <v>0.056</v>
      </c>
      <c r="O563" s="4" t="n">
        <f aca="false">M563*N563</f>
        <v>16.8</v>
      </c>
    </row>
    <row r="564" customFormat="false" ht="15" hidden="false" customHeight="false" outlineLevel="0" collapsed="false">
      <c r="A564" s="0" t="s">
        <v>1044</v>
      </c>
      <c r="C564" s="0" t="s">
        <v>33</v>
      </c>
      <c r="D564" s="7" t="n">
        <v>5550</v>
      </c>
      <c r="E564" s="8" t="n">
        <v>0.0571711711711712</v>
      </c>
      <c r="F564" s="4" t="n">
        <f aca="false">D564*E564</f>
        <v>317.3</v>
      </c>
      <c r="G564" s="7" t="n">
        <v>3783</v>
      </c>
      <c r="H564" s="9" t="n">
        <f aca="false">IF(G564&gt;0,D564/G564,"")</f>
        <v>1.46708961141951</v>
      </c>
      <c r="I564" s="10" t="n">
        <v>46301</v>
      </c>
      <c r="J564" s="3" t="s">
        <v>1045</v>
      </c>
      <c r="K564" s="10" t="n">
        <v>46143</v>
      </c>
      <c r="L564" s="3" t="s">
        <v>18</v>
      </c>
      <c r="M564" s="7" t="n">
        <v>3326</v>
      </c>
      <c r="N564" s="8" t="n">
        <v>0.0508</v>
      </c>
      <c r="O564" s="4" t="n">
        <f aca="false">M564*N564</f>
        <v>168.9608</v>
      </c>
    </row>
    <row r="565" customFormat="false" ht="15" hidden="false" customHeight="false" outlineLevel="0" collapsed="false">
      <c r="A565" s="0" t="s">
        <v>1046</v>
      </c>
      <c r="C565" s="0" t="s">
        <v>979</v>
      </c>
      <c r="D565" s="7" t="n">
        <v>1059</v>
      </c>
      <c r="E565" s="8" t="n">
        <v>0.299499527856468</v>
      </c>
      <c r="F565" s="4" t="n">
        <f aca="false">D565*E565</f>
        <v>317.17</v>
      </c>
      <c r="G565" s="7" t="n">
        <v>220</v>
      </c>
      <c r="H565" s="9" t="n">
        <f aca="false">IF(G565&gt;0,D565/G565,"")</f>
        <v>4.81363636363636</v>
      </c>
      <c r="I565" s="10" t="n">
        <v>46287</v>
      </c>
      <c r="J565" s="3" t="s">
        <v>193</v>
      </c>
      <c r="K565" s="10" t="n">
        <v>46265</v>
      </c>
      <c r="L565" s="3" t="s">
        <v>18</v>
      </c>
      <c r="M565" s="7" t="n">
        <v>1099</v>
      </c>
      <c r="N565" s="8" t="n">
        <v>0.2995</v>
      </c>
      <c r="O565" s="4" t="n">
        <f aca="false">M565*N565</f>
        <v>329.1505</v>
      </c>
    </row>
    <row r="566" customFormat="false" ht="15" hidden="false" customHeight="false" outlineLevel="0" collapsed="false">
      <c r="A566" s="0" t="s">
        <v>1047</v>
      </c>
      <c r="C566" s="0" t="s">
        <v>32</v>
      </c>
      <c r="D566" s="7" t="n">
        <v>20306</v>
      </c>
      <c r="E566" s="8" t="n">
        <v>0.0156150891362159</v>
      </c>
      <c r="F566" s="4" t="n">
        <f aca="false">D566*E566</f>
        <v>317.08</v>
      </c>
      <c r="G566" s="7" t="n">
        <v>18330</v>
      </c>
      <c r="H566" s="9" t="n">
        <f aca="false">IF(G566&gt;0,D566/G566,"")</f>
        <v>1.10780141843972</v>
      </c>
      <c r="I566" s="10" t="n">
        <v>46309</v>
      </c>
      <c r="J566" s="3" t="s">
        <v>566</v>
      </c>
      <c r="K566" s="10" t="n">
        <v>46204</v>
      </c>
      <c r="L566" s="3" t="s">
        <v>14</v>
      </c>
      <c r="M566" s="7" t="n">
        <v>20000</v>
      </c>
      <c r="N566" s="8" t="n">
        <v>0.0156</v>
      </c>
      <c r="O566" s="4" t="n">
        <f aca="false">M566*N566</f>
        <v>312</v>
      </c>
    </row>
    <row r="567" customFormat="false" ht="15" hidden="false" customHeight="false" outlineLevel="0" collapsed="false">
      <c r="A567" s="0" t="s">
        <v>1048</v>
      </c>
      <c r="C567" s="0" t="s">
        <v>33</v>
      </c>
      <c r="D567" s="7" t="n">
        <v>2401</v>
      </c>
      <c r="E567" s="8" t="n">
        <v>0.132040816326531</v>
      </c>
      <c r="F567" s="4" t="n">
        <f aca="false">D567*E567</f>
        <v>317.03</v>
      </c>
      <c r="G567" s="7" t="n">
        <v>1831</v>
      </c>
      <c r="H567" s="9" t="n">
        <f aca="false">IF(G567&gt;0,D567/G567,"")</f>
        <v>1.31130529765156</v>
      </c>
      <c r="I567" s="10" t="n">
        <v>46253</v>
      </c>
      <c r="J567" s="3" t="s">
        <v>230</v>
      </c>
      <c r="K567" s="10" t="n">
        <v>46303</v>
      </c>
      <c r="L567" s="3" t="s">
        <v>18</v>
      </c>
      <c r="M567" s="7" t="n">
        <v>690</v>
      </c>
      <c r="N567" s="8" t="n">
        <v>0.1151</v>
      </c>
      <c r="O567" s="4" t="n">
        <f aca="false">M567*N567</f>
        <v>79.419</v>
      </c>
    </row>
    <row r="568" customFormat="false" ht="15" hidden="false" customHeight="false" outlineLevel="0" collapsed="false">
      <c r="A568" s="0" t="s">
        <v>1049</v>
      </c>
      <c r="C568" s="0" t="s">
        <v>38</v>
      </c>
      <c r="D568" s="7" t="n">
        <v>63245</v>
      </c>
      <c r="E568" s="8" t="n">
        <v>0.00499960471183493</v>
      </c>
      <c r="F568" s="4" t="n">
        <f aca="false">D568*E568</f>
        <v>316.2</v>
      </c>
      <c r="G568" s="7" t="n">
        <v>51868</v>
      </c>
      <c r="H568" s="9" t="n">
        <f aca="false">IF(G568&gt;0,D568/G568,"")</f>
        <v>1.21934526104727</v>
      </c>
      <c r="I568" s="10" t="n">
        <v>46294</v>
      </c>
      <c r="J568" s="3" t="s">
        <v>693</v>
      </c>
      <c r="K568" s="10" t="n">
        <v>46304</v>
      </c>
      <c r="L568" s="3" t="s">
        <v>14</v>
      </c>
      <c r="M568" s="7" t="n">
        <v>50000</v>
      </c>
      <c r="N568" s="8" t="n">
        <v>0.0056</v>
      </c>
      <c r="O568" s="4" t="n">
        <f aca="false">M568*N568</f>
        <v>280</v>
      </c>
    </row>
    <row r="569" customFormat="false" ht="15" hidden="false" customHeight="false" outlineLevel="0" collapsed="false">
      <c r="A569" s="0" t="s">
        <v>1050</v>
      </c>
      <c r="C569" s="0" t="s">
        <v>79</v>
      </c>
      <c r="D569" s="7" t="n">
        <v>4240</v>
      </c>
      <c r="E569" s="8" t="n">
        <v>0.0745259433962264</v>
      </c>
      <c r="F569" s="4" t="n">
        <f aca="false">D569*E569</f>
        <v>315.99</v>
      </c>
      <c r="G569" s="7" t="n">
        <v>1525</v>
      </c>
      <c r="H569" s="9" t="n">
        <f aca="false">IF(G569&gt;0,D569/G569,"")</f>
        <v>2.78032786885246</v>
      </c>
      <c r="I569" s="10" t="n">
        <v>46275</v>
      </c>
      <c r="J569" s="3" t="s">
        <v>534</v>
      </c>
      <c r="K569" s="10" t="n">
        <v>45288</v>
      </c>
      <c r="L569" s="3" t="s">
        <v>16</v>
      </c>
      <c r="M569" s="7" t="n">
        <v>6800</v>
      </c>
      <c r="N569" s="8" t="n">
        <v>0.0745</v>
      </c>
      <c r="O569" s="4" t="n">
        <f aca="false">M569*N569</f>
        <v>506.6</v>
      </c>
    </row>
    <row r="570" customFormat="false" ht="15" hidden="false" customHeight="false" outlineLevel="0" collapsed="false">
      <c r="A570" s="0" t="s">
        <v>1051</v>
      </c>
      <c r="D570" s="7" t="n">
        <v>7926</v>
      </c>
      <c r="E570" s="8" t="n">
        <v>0.0397501892505678</v>
      </c>
      <c r="F570" s="4" t="n">
        <f aca="false">D570*E570</f>
        <v>315.06</v>
      </c>
      <c r="G570" s="7" t="n">
        <v>1037</v>
      </c>
      <c r="H570" s="9" t="n">
        <f aca="false">IF(G570&gt;0,D570/G570,"")</f>
        <v>7.64320154291225</v>
      </c>
      <c r="I570" s="10" t="n">
        <v>46315</v>
      </c>
      <c r="J570" s="3" t="s">
        <v>1052</v>
      </c>
      <c r="K570" s="10" t="n">
        <v>45223</v>
      </c>
      <c r="L570" s="3" t="s">
        <v>15</v>
      </c>
      <c r="M570" s="7" t="n">
        <v>9000</v>
      </c>
      <c r="N570" s="8" t="n">
        <v>0.03975</v>
      </c>
      <c r="O570" s="4" t="n">
        <f aca="false">M570*N570</f>
        <v>357.75</v>
      </c>
    </row>
    <row r="571" customFormat="false" ht="15" hidden="false" customHeight="false" outlineLevel="0" collapsed="false">
      <c r="A571" s="0" t="s">
        <v>1053</v>
      </c>
      <c r="C571" s="0" t="s">
        <v>340</v>
      </c>
      <c r="D571" s="7" t="n">
        <v>29180</v>
      </c>
      <c r="E571" s="8" t="n">
        <v>0.0107854694996573</v>
      </c>
      <c r="F571" s="4" t="n">
        <f aca="false">D571*E571</f>
        <v>314.72</v>
      </c>
      <c r="G571" s="7" t="n">
        <v>1235</v>
      </c>
      <c r="H571" s="9" t="n">
        <f aca="false">IF(G571&gt;0,D571/G571,"")</f>
        <v>23.6275303643725</v>
      </c>
      <c r="I571" s="10" t="n">
        <v>46202</v>
      </c>
      <c r="J571" s="3" t="s">
        <v>1054</v>
      </c>
      <c r="K571" s="10" t="n">
        <v>46224</v>
      </c>
      <c r="L571" s="3" t="s">
        <v>16</v>
      </c>
      <c r="M571" s="7" t="n">
        <v>27090</v>
      </c>
      <c r="N571" s="8" t="n">
        <v>0.0108</v>
      </c>
      <c r="O571" s="4" t="n">
        <f aca="false">M571*N571</f>
        <v>292.572</v>
      </c>
    </row>
    <row r="572" customFormat="false" ht="15" hidden="false" customHeight="false" outlineLevel="0" collapsed="false">
      <c r="A572" s="0" t="s">
        <v>1055</v>
      </c>
      <c r="C572" s="0" t="s">
        <v>33</v>
      </c>
      <c r="D572" s="7" t="n">
        <v>1079</v>
      </c>
      <c r="E572" s="8" t="n">
        <v>0.291306765523633</v>
      </c>
      <c r="F572" s="4" t="n">
        <f aca="false">D572*E572</f>
        <v>314.32</v>
      </c>
      <c r="G572" s="7" t="n">
        <v>562</v>
      </c>
      <c r="H572" s="9" t="n">
        <f aca="false">IF(G572&gt;0,D572/G572,"")</f>
        <v>1.91992882562278</v>
      </c>
      <c r="I572" s="10" t="n">
        <v>46283</v>
      </c>
      <c r="J572" s="3" t="s">
        <v>230</v>
      </c>
      <c r="K572" s="10" t="n">
        <v>46303</v>
      </c>
      <c r="L572" s="3" t="s">
        <v>18</v>
      </c>
      <c r="M572" s="7" t="n">
        <v>180</v>
      </c>
      <c r="N572" s="8" t="n">
        <v>0.2792</v>
      </c>
      <c r="O572" s="4" t="n">
        <f aca="false">M572*N572</f>
        <v>50.256</v>
      </c>
    </row>
    <row r="573" customFormat="false" ht="15" hidden="false" customHeight="false" outlineLevel="0" collapsed="false">
      <c r="A573" s="0" t="s">
        <v>1056</v>
      </c>
      <c r="C573" s="0" t="s">
        <v>497</v>
      </c>
      <c r="D573" s="7" t="n">
        <v>6751</v>
      </c>
      <c r="E573" s="8" t="n">
        <v>0.046425714708932</v>
      </c>
      <c r="F573" s="4" t="n">
        <f aca="false">D573*E573</f>
        <v>313.42</v>
      </c>
      <c r="G573" s="7" t="n">
        <v>935</v>
      </c>
      <c r="H573" s="9" t="n">
        <f aca="false">IF(G573&gt;0,D573/G573,"")</f>
        <v>7.22032085561497</v>
      </c>
      <c r="I573" s="10" t="n">
        <v>46280</v>
      </c>
      <c r="J573" s="3" t="s">
        <v>1057</v>
      </c>
      <c r="K573" s="10" t="n">
        <v>46104</v>
      </c>
      <c r="L573" s="3" t="s">
        <v>14</v>
      </c>
      <c r="M573" s="7" t="n">
        <v>120</v>
      </c>
      <c r="N573" s="8" t="n">
        <v>0.2985</v>
      </c>
      <c r="O573" s="4" t="n">
        <f aca="false">M573*N573</f>
        <v>35.82</v>
      </c>
    </row>
    <row r="574" customFormat="false" ht="15" hidden="false" customHeight="false" outlineLevel="0" collapsed="false">
      <c r="A574" s="0" t="s">
        <v>1058</v>
      </c>
      <c r="C574" s="0" t="s">
        <v>61</v>
      </c>
      <c r="D574" s="7" t="n">
        <v>54</v>
      </c>
      <c r="E574" s="8" t="n">
        <v>5.78351851851852</v>
      </c>
      <c r="F574" s="4" t="n">
        <f aca="false">D574*E574</f>
        <v>312.31</v>
      </c>
      <c r="G574" s="7" t="n">
        <v>9</v>
      </c>
      <c r="H574" s="9" t="n">
        <f aca="false">IF(G574&gt;0,D574/G574,"")</f>
        <v>6</v>
      </c>
      <c r="I574" s="10" t="n">
        <v>46069</v>
      </c>
      <c r="J574" s="3" t="s">
        <v>1059</v>
      </c>
      <c r="K574" s="10" t="n">
        <v>45763</v>
      </c>
      <c r="L574" s="3" t="s">
        <v>14</v>
      </c>
      <c r="M574" s="7" t="n">
        <v>70</v>
      </c>
      <c r="N574" s="8" t="n">
        <v>5.7836</v>
      </c>
      <c r="O574" s="4" t="n">
        <f aca="false">M574*N574</f>
        <v>404.852</v>
      </c>
    </row>
    <row r="575" customFormat="false" ht="15" hidden="false" customHeight="false" outlineLevel="0" collapsed="false">
      <c r="A575" s="0" t="s">
        <v>1060</v>
      </c>
      <c r="C575" s="0" t="s">
        <v>43</v>
      </c>
      <c r="D575" s="7" t="n">
        <v>86</v>
      </c>
      <c r="E575" s="8" t="n">
        <v>3.63116279069767</v>
      </c>
      <c r="F575" s="4" t="n">
        <f aca="false">D575*E575</f>
        <v>312.28</v>
      </c>
      <c r="G575" s="7" t="n">
        <v>25</v>
      </c>
      <c r="H575" s="9" t="n">
        <f aca="false">IF(G575&gt;0,D575/G575,"")</f>
        <v>3.44</v>
      </c>
      <c r="I575" s="10" t="n">
        <v>46036</v>
      </c>
      <c r="J575" s="3" t="s">
        <v>951</v>
      </c>
      <c r="K575" s="10" t="n">
        <v>45908</v>
      </c>
      <c r="L575" s="3" t="s">
        <v>14</v>
      </c>
      <c r="M575" s="7" t="n">
        <v>111</v>
      </c>
      <c r="N575" s="8" t="n">
        <v>3.63117117</v>
      </c>
      <c r="O575" s="4" t="n">
        <f aca="false">M575*N575</f>
        <v>403.05999987</v>
      </c>
    </row>
    <row r="576" customFormat="false" ht="15" hidden="false" customHeight="false" outlineLevel="0" collapsed="false">
      <c r="A576" s="0" t="s">
        <v>1061</v>
      </c>
      <c r="C576" s="0" t="s">
        <v>39</v>
      </c>
      <c r="D576" s="7" t="n">
        <v>2645</v>
      </c>
      <c r="E576" s="8" t="n">
        <v>0.118030245746692</v>
      </c>
      <c r="F576" s="4" t="n">
        <f aca="false">D576*E576</f>
        <v>312.19</v>
      </c>
      <c r="G576" s="7" t="n">
        <v>2540</v>
      </c>
      <c r="H576" s="9" t="n">
        <f aca="false">IF(G576&gt;0,D576/G576,"")</f>
        <v>1.04133858267717</v>
      </c>
      <c r="I576" s="10" t="n">
        <v>46315</v>
      </c>
      <c r="J576" s="3" t="s">
        <v>170</v>
      </c>
      <c r="K576" s="10" t="n">
        <v>46237</v>
      </c>
      <c r="L576" s="3" t="s">
        <v>14</v>
      </c>
      <c r="M576" s="7" t="n">
        <v>4000</v>
      </c>
      <c r="N576" s="8" t="n">
        <v>0.1193</v>
      </c>
      <c r="O576" s="4" t="n">
        <f aca="false">M576*N576</f>
        <v>477.2</v>
      </c>
    </row>
    <row r="577" customFormat="false" ht="15" hidden="false" customHeight="false" outlineLevel="0" collapsed="false">
      <c r="A577" s="0" t="s">
        <v>1062</v>
      </c>
      <c r="C577" s="0" t="s">
        <v>44</v>
      </c>
      <c r="D577" s="7" t="n">
        <v>22</v>
      </c>
      <c r="E577" s="8" t="n">
        <v>14.18</v>
      </c>
      <c r="F577" s="4" t="n">
        <f aca="false">D577*E577</f>
        <v>311.96</v>
      </c>
      <c r="G577" s="7" t="n">
        <v>20</v>
      </c>
      <c r="H577" s="9" t="n">
        <f aca="false">IF(G577&gt;0,D577/G577,"")</f>
        <v>1.1</v>
      </c>
      <c r="I577" s="10" t="n">
        <v>46183</v>
      </c>
      <c r="J577" s="3" t="s">
        <v>345</v>
      </c>
      <c r="K577" s="10" t="n">
        <v>46183</v>
      </c>
      <c r="L577" s="3" t="s">
        <v>14</v>
      </c>
      <c r="M577" s="7" t="n">
        <v>22</v>
      </c>
      <c r="N577" s="8" t="n">
        <v>14.18</v>
      </c>
      <c r="O577" s="4" t="n">
        <f aca="false">M577*N577</f>
        <v>311.96</v>
      </c>
    </row>
    <row r="578" customFormat="false" ht="15" hidden="false" customHeight="false" outlineLevel="0" collapsed="false">
      <c r="A578" s="0" t="s">
        <v>1063</v>
      </c>
      <c r="C578" s="0" t="s">
        <v>275</v>
      </c>
      <c r="D578" s="7" t="n">
        <v>10</v>
      </c>
      <c r="E578" s="8" t="n">
        <v>31.157</v>
      </c>
      <c r="F578" s="4" t="n">
        <f aca="false">D578*E578</f>
        <v>311.57</v>
      </c>
      <c r="G578" s="7" t="n">
        <v>10</v>
      </c>
      <c r="H578" s="9" t="n">
        <f aca="false">IF(G578&gt;0,D578/G578,"")</f>
        <v>1</v>
      </c>
      <c r="I578" s="10" t="n">
        <v>46315</v>
      </c>
      <c r="J578" s="3" t="s">
        <v>1064</v>
      </c>
      <c r="K578" s="10" t="n">
        <v>46303</v>
      </c>
      <c r="L578" s="3" t="s">
        <v>14</v>
      </c>
      <c r="M578" s="7" t="n">
        <v>20</v>
      </c>
      <c r="N578" s="8" t="n">
        <v>31.157</v>
      </c>
      <c r="O578" s="4" t="n">
        <f aca="false">M578*N578</f>
        <v>623.14</v>
      </c>
    </row>
    <row r="579" customFormat="false" ht="15" hidden="false" customHeight="false" outlineLevel="0" collapsed="false">
      <c r="A579" s="0" t="s">
        <v>1065</v>
      </c>
      <c r="C579" s="0" t="s">
        <v>34</v>
      </c>
      <c r="D579" s="7" t="n">
        <v>6470</v>
      </c>
      <c r="E579" s="8" t="n">
        <v>0.0481514683153014</v>
      </c>
      <c r="F579" s="4" t="n">
        <f aca="false">D579*E579</f>
        <v>311.54</v>
      </c>
      <c r="G579" s="7" t="n">
        <v>20</v>
      </c>
      <c r="H579" s="9" t="n">
        <f aca="false">IF(G579&gt;0,D579/G579,"")</f>
        <v>323.5</v>
      </c>
      <c r="I579" s="10" t="n">
        <v>46276</v>
      </c>
      <c r="J579" s="3" t="s">
        <v>1066</v>
      </c>
      <c r="K579" s="10" t="n">
        <v>45153</v>
      </c>
      <c r="L579" s="3" t="s">
        <v>16</v>
      </c>
      <c r="M579" s="7" t="n">
        <v>7420</v>
      </c>
      <c r="N579" s="8" t="n">
        <v>0.0482</v>
      </c>
      <c r="O579" s="4" t="n">
        <f aca="false">M579*N579</f>
        <v>357.644</v>
      </c>
    </row>
    <row r="580" customFormat="false" ht="15" hidden="false" customHeight="false" outlineLevel="0" collapsed="false">
      <c r="A580" s="0" t="s">
        <v>1067</v>
      </c>
      <c r="C580" s="0" t="s">
        <v>32</v>
      </c>
      <c r="D580" s="7" t="n">
        <v>1420</v>
      </c>
      <c r="E580" s="8" t="n">
        <v>0.219232394366197</v>
      </c>
      <c r="F580" s="4" t="n">
        <f aca="false">D580*E580</f>
        <v>311.31</v>
      </c>
      <c r="G580" s="7" t="n">
        <v>255</v>
      </c>
      <c r="H580" s="9" t="n">
        <f aca="false">IF(G580&gt;0,D580/G580,"")</f>
        <v>5.56862745098039</v>
      </c>
      <c r="I580" s="10" t="n">
        <v>46317</v>
      </c>
      <c r="J580" s="3" t="s">
        <v>1068</v>
      </c>
      <c r="K580" s="10" t="n">
        <v>45984</v>
      </c>
      <c r="L580" s="3" t="s">
        <v>18</v>
      </c>
      <c r="M580" s="7" t="n">
        <v>400</v>
      </c>
      <c r="N580" s="8" t="n">
        <v>0.2165</v>
      </c>
      <c r="O580" s="4" t="n">
        <f aca="false">M580*N580</f>
        <v>86.6</v>
      </c>
    </row>
    <row r="581" customFormat="false" ht="15" hidden="false" customHeight="false" outlineLevel="0" collapsed="false">
      <c r="A581" s="0" t="s">
        <v>1069</v>
      </c>
      <c r="C581" s="0" t="s">
        <v>33</v>
      </c>
      <c r="D581" s="7" t="n">
        <v>8081</v>
      </c>
      <c r="E581" s="8" t="n">
        <v>0.0385001856205915</v>
      </c>
      <c r="F581" s="4" t="n">
        <f aca="false">D581*E581</f>
        <v>311.12</v>
      </c>
      <c r="G581" s="7" t="n">
        <v>7969</v>
      </c>
      <c r="H581" s="9" t="n">
        <f aca="false">IF(G581&gt;0,D581/G581,"")</f>
        <v>1.01405446103652</v>
      </c>
      <c r="I581" s="10" t="n">
        <v>46314</v>
      </c>
      <c r="J581" s="3" t="s">
        <v>1070</v>
      </c>
      <c r="K581" s="10" t="n">
        <v>46080</v>
      </c>
      <c r="L581" s="3" t="s">
        <v>18</v>
      </c>
      <c r="M581" s="7" t="n">
        <v>12000</v>
      </c>
      <c r="N581" s="8" t="n">
        <v>0.0385</v>
      </c>
      <c r="O581" s="4" t="n">
        <f aca="false">M581*N581</f>
        <v>462</v>
      </c>
    </row>
    <row r="582" customFormat="false" ht="15" hidden="false" customHeight="false" outlineLevel="0" collapsed="false">
      <c r="A582" s="0" t="s">
        <v>1071</v>
      </c>
      <c r="C582" s="0" t="s">
        <v>61</v>
      </c>
      <c r="D582" s="7" t="n">
        <v>312</v>
      </c>
      <c r="E582" s="8" t="n">
        <v>0.994230769230769</v>
      </c>
      <c r="F582" s="4" t="n">
        <f aca="false">D582*E582</f>
        <v>310.2</v>
      </c>
      <c r="G582" s="7" t="n">
        <v>13</v>
      </c>
      <c r="H582" s="9" t="n">
        <f aca="false">IF(G582&gt;0,D582/G582,"")</f>
        <v>24</v>
      </c>
      <c r="I582" s="10" t="n">
        <v>46260</v>
      </c>
      <c r="J582" s="3" t="s">
        <v>1072</v>
      </c>
      <c r="K582" s="10" t="n">
        <v>45335</v>
      </c>
      <c r="L582" s="3" t="s">
        <v>14</v>
      </c>
      <c r="M582" s="7" t="n">
        <v>403</v>
      </c>
      <c r="N582" s="8" t="n">
        <v>0.9942</v>
      </c>
      <c r="O582" s="4" t="n">
        <f aca="false">M582*N582</f>
        <v>400.6626</v>
      </c>
    </row>
    <row r="583" customFormat="false" ht="15" hidden="false" customHeight="false" outlineLevel="0" collapsed="false">
      <c r="A583" s="0" t="s">
        <v>1073</v>
      </c>
      <c r="C583" s="0" t="s">
        <v>741</v>
      </c>
      <c r="D583" s="7" t="n">
        <v>2572</v>
      </c>
      <c r="E583" s="8" t="n">
        <v>0.120598755832037</v>
      </c>
      <c r="F583" s="4" t="n">
        <f aca="false">D583*E583</f>
        <v>310.18</v>
      </c>
      <c r="G583" s="7" t="n">
        <v>1498</v>
      </c>
      <c r="H583" s="9" t="n">
        <f aca="false">IF(G583&gt;0,D583/G583,"")</f>
        <v>1.71695594125501</v>
      </c>
      <c r="I583" s="10" t="n">
        <v>46146</v>
      </c>
      <c r="J583" s="3" t="s">
        <v>848</v>
      </c>
      <c r="K583" s="10" t="n">
        <v>46083</v>
      </c>
      <c r="L583" s="3" t="s">
        <v>14</v>
      </c>
      <c r="M583" s="7" t="n">
        <v>3320</v>
      </c>
      <c r="N583" s="8" t="n">
        <v>0.1206</v>
      </c>
      <c r="O583" s="4" t="n">
        <f aca="false">M583*N583</f>
        <v>400.392</v>
      </c>
    </row>
    <row r="584" customFormat="false" ht="15" hidden="false" customHeight="false" outlineLevel="0" collapsed="false">
      <c r="A584" s="0" t="s">
        <v>1074</v>
      </c>
      <c r="C584" s="0" t="s">
        <v>100</v>
      </c>
      <c r="D584" s="7" t="n">
        <v>2027</v>
      </c>
      <c r="E584" s="8" t="n">
        <v>0.152895905278737</v>
      </c>
      <c r="F584" s="4" t="n">
        <f aca="false">D584*E584</f>
        <v>309.92</v>
      </c>
      <c r="G584" s="7" t="n">
        <v>160</v>
      </c>
      <c r="H584" s="9" t="n">
        <f aca="false">IF(G584&gt;0,D584/G584,"")</f>
        <v>12.66875</v>
      </c>
      <c r="I584" s="10" t="n">
        <v>46105</v>
      </c>
      <c r="J584" s="3" t="s">
        <v>628</v>
      </c>
      <c r="K584" s="10" t="n">
        <v>46128</v>
      </c>
      <c r="L584" s="3" t="s">
        <v>16</v>
      </c>
      <c r="M584" s="7" t="n">
        <v>2000</v>
      </c>
      <c r="N584" s="8" t="n">
        <v>0.1525</v>
      </c>
      <c r="O584" s="4" t="n">
        <f aca="false">M584*N584</f>
        <v>305</v>
      </c>
    </row>
    <row r="585" customFormat="false" ht="15" hidden="false" customHeight="false" outlineLevel="0" collapsed="false">
      <c r="A585" s="0" t="s">
        <v>1075</v>
      </c>
      <c r="C585" s="0" t="s">
        <v>39</v>
      </c>
      <c r="D585" s="7" t="n">
        <v>2004</v>
      </c>
      <c r="E585" s="8" t="n">
        <v>0.154500998003992</v>
      </c>
      <c r="F585" s="4" t="n">
        <f aca="false">D585*E585</f>
        <v>309.62</v>
      </c>
      <c r="G585" s="7" t="n">
        <v>585</v>
      </c>
      <c r="H585" s="9" t="n">
        <f aca="false">IF(G585&gt;0,D585/G585,"")</f>
        <v>3.42564102564103</v>
      </c>
      <c r="I585" s="10" t="n">
        <v>46280</v>
      </c>
      <c r="J585" s="3" t="s">
        <v>1076</v>
      </c>
      <c r="K585" s="10" t="n">
        <v>46191</v>
      </c>
      <c r="L585" s="3" t="s">
        <v>18</v>
      </c>
      <c r="M585" s="7" t="n">
        <v>2000</v>
      </c>
      <c r="N585" s="8" t="n">
        <v>0.1545</v>
      </c>
      <c r="O585" s="4" t="n">
        <f aca="false">M585*N585</f>
        <v>309</v>
      </c>
    </row>
    <row r="586" customFormat="false" ht="15" hidden="false" customHeight="false" outlineLevel="0" collapsed="false">
      <c r="A586" s="0" t="s">
        <v>1077</v>
      </c>
      <c r="C586" s="0" t="s">
        <v>33</v>
      </c>
      <c r="D586" s="7" t="n">
        <v>1000</v>
      </c>
      <c r="E586" s="8" t="n">
        <v>0.30962</v>
      </c>
      <c r="F586" s="4" t="n">
        <f aca="false">D586*E586</f>
        <v>309.62</v>
      </c>
      <c r="G586" s="7" t="n">
        <v>75</v>
      </c>
      <c r="H586" s="9" t="n">
        <f aca="false">IF(G586&gt;0,D586/G586,"")</f>
        <v>13.3333333333333</v>
      </c>
      <c r="I586" s="10" t="n">
        <v>46280</v>
      </c>
      <c r="J586" s="3" t="s">
        <v>1078</v>
      </c>
      <c r="K586" s="10" t="n">
        <v>46199</v>
      </c>
      <c r="L586" s="3" t="s">
        <v>18</v>
      </c>
      <c r="M586" s="7" t="n">
        <v>1000</v>
      </c>
      <c r="N586" s="8" t="n">
        <v>0.3042</v>
      </c>
      <c r="O586" s="4" t="n">
        <f aca="false">M586*N586</f>
        <v>304.2</v>
      </c>
    </row>
    <row r="587" customFormat="false" ht="15" hidden="false" customHeight="false" outlineLevel="0" collapsed="false">
      <c r="A587" s="0" t="s">
        <v>1079</v>
      </c>
      <c r="C587" s="0" t="s">
        <v>298</v>
      </c>
      <c r="D587" s="7" t="n">
        <v>4611</v>
      </c>
      <c r="E587" s="8" t="n">
        <v>0.0671307742355237</v>
      </c>
      <c r="F587" s="4" t="n">
        <f aca="false">D587*E587</f>
        <v>309.54</v>
      </c>
      <c r="G587" s="7" t="n">
        <v>130</v>
      </c>
      <c r="H587" s="9" t="n">
        <f aca="false">IF(G587&gt;0,D587/G587,"")</f>
        <v>35.4692307692308</v>
      </c>
      <c r="I587" s="10" t="n">
        <v>46241</v>
      </c>
      <c r="J587" s="3" t="s">
        <v>1080</v>
      </c>
      <c r="K587" s="10" t="n">
        <v>44313</v>
      </c>
      <c r="L587" s="3" t="s">
        <v>16</v>
      </c>
      <c r="M587" s="7" t="n">
        <v>5000</v>
      </c>
      <c r="N587" s="8" t="n">
        <v>0.0669</v>
      </c>
      <c r="O587" s="4" t="n">
        <f aca="false">M587*N587</f>
        <v>334.5</v>
      </c>
    </row>
    <row r="588" customFormat="false" ht="15" hidden="false" customHeight="false" outlineLevel="0" collapsed="false">
      <c r="A588" s="0" t="s">
        <v>1081</v>
      </c>
      <c r="C588" s="0" t="s">
        <v>37</v>
      </c>
      <c r="D588" s="7" t="n">
        <v>2300</v>
      </c>
      <c r="E588" s="8" t="n">
        <v>0.1344</v>
      </c>
      <c r="F588" s="4" t="n">
        <f aca="false">D588*E588</f>
        <v>309.12</v>
      </c>
      <c r="G588" s="7" t="n">
        <v>1700</v>
      </c>
      <c r="H588" s="9" t="n">
        <f aca="false">IF(G588&gt;0,D588/G588,"")</f>
        <v>1.35294117647059</v>
      </c>
      <c r="I588" s="10" t="n">
        <v>46027</v>
      </c>
      <c r="J588" s="3" t="s">
        <v>1082</v>
      </c>
      <c r="K588" s="10" t="n">
        <v>45974</v>
      </c>
      <c r="L588" s="3" t="s">
        <v>16</v>
      </c>
      <c r="M588" s="7" t="n">
        <v>4000</v>
      </c>
      <c r="N588" s="8" t="n">
        <v>0.1344</v>
      </c>
      <c r="O588" s="4" t="n">
        <f aca="false">M588*N588</f>
        <v>537.6</v>
      </c>
    </row>
    <row r="589" customFormat="false" ht="15" hidden="false" customHeight="false" outlineLevel="0" collapsed="false">
      <c r="A589" s="0" t="s">
        <v>1083</v>
      </c>
      <c r="C589" s="0" t="s">
        <v>698</v>
      </c>
      <c r="D589" s="7" t="n">
        <v>162</v>
      </c>
      <c r="E589" s="8" t="n">
        <v>1.9079012345679</v>
      </c>
      <c r="F589" s="4" t="n">
        <f aca="false">D589*E589</f>
        <v>309.08</v>
      </c>
      <c r="G589" s="7" t="n">
        <v>23</v>
      </c>
      <c r="H589" s="9" t="n">
        <f aca="false">IF(G589&gt;0,D589/G589,"")</f>
        <v>7.04347826086957</v>
      </c>
      <c r="I589" s="10" t="n">
        <v>46195</v>
      </c>
      <c r="J589" s="3" t="s">
        <v>538</v>
      </c>
      <c r="K589" s="10" t="n">
        <v>45832</v>
      </c>
      <c r="L589" s="3" t="s">
        <v>14</v>
      </c>
      <c r="M589" s="7" t="n">
        <v>210</v>
      </c>
      <c r="N589" s="8" t="n">
        <v>1.9079</v>
      </c>
      <c r="O589" s="4" t="n">
        <f aca="false">M589*N589</f>
        <v>400.659</v>
      </c>
    </row>
    <row r="590" customFormat="false" ht="15" hidden="false" customHeight="false" outlineLevel="0" collapsed="false">
      <c r="A590" s="0" t="s">
        <v>1084</v>
      </c>
      <c r="C590" s="0" t="s">
        <v>34</v>
      </c>
      <c r="D590" s="7" t="n">
        <v>44053</v>
      </c>
      <c r="E590" s="8" t="n">
        <v>0.00701268926066329</v>
      </c>
      <c r="F590" s="4" t="n">
        <f aca="false">D590*E590</f>
        <v>308.93</v>
      </c>
      <c r="G590" s="7" t="n">
        <v>6950</v>
      </c>
      <c r="H590" s="9" t="n">
        <f aca="false">IF(G590&gt;0,D590/G590,"")</f>
        <v>6.33856115107914</v>
      </c>
      <c r="I590" s="10" t="n">
        <v>46290</v>
      </c>
      <c r="J590" s="3" t="s">
        <v>287</v>
      </c>
      <c r="K590" s="10" t="n">
        <v>45922</v>
      </c>
      <c r="L590" s="3" t="s">
        <v>16</v>
      </c>
      <c r="M590" s="7" t="n">
        <v>70000</v>
      </c>
      <c r="N590" s="8" t="n">
        <v>0.007</v>
      </c>
      <c r="O590" s="4" t="n">
        <f aca="false">M590*N590</f>
        <v>490</v>
      </c>
    </row>
    <row r="591" customFormat="false" ht="15" hidden="false" customHeight="false" outlineLevel="0" collapsed="false">
      <c r="A591" s="0" t="s">
        <v>1085</v>
      </c>
      <c r="C591" s="0" t="s">
        <v>35</v>
      </c>
      <c r="D591" s="7" t="n">
        <v>1668</v>
      </c>
      <c r="E591" s="8" t="n">
        <v>0.185</v>
      </c>
      <c r="F591" s="4" t="n">
        <f aca="false">D591*E591</f>
        <v>308.58</v>
      </c>
      <c r="G591" s="7" t="n">
        <v>13</v>
      </c>
      <c r="H591" s="9" t="n">
        <f aca="false">IF(G591&gt;0,D591/G591,"")</f>
        <v>128.307692307692</v>
      </c>
      <c r="I591" s="10" t="n">
        <v>46142</v>
      </c>
      <c r="J591" s="3" t="s">
        <v>364</v>
      </c>
      <c r="K591" s="10" t="n">
        <v>45441</v>
      </c>
      <c r="L591" s="3" t="s">
        <v>20</v>
      </c>
      <c r="M591" s="7" t="n">
        <v>1700</v>
      </c>
      <c r="N591" s="8" t="n">
        <v>0.185</v>
      </c>
      <c r="O591" s="4" t="n">
        <f aca="false">M591*N591</f>
        <v>314.5</v>
      </c>
    </row>
    <row r="592" customFormat="false" ht="15" hidden="false" customHeight="false" outlineLevel="0" collapsed="false">
      <c r="A592" s="0" t="s">
        <v>1086</v>
      </c>
      <c r="C592" s="0" t="s">
        <v>285</v>
      </c>
      <c r="D592" s="7" t="n">
        <v>217</v>
      </c>
      <c r="E592" s="8" t="n">
        <v>1.41746543778802</v>
      </c>
      <c r="F592" s="4" t="n">
        <f aca="false">D592*E592</f>
        <v>307.59</v>
      </c>
      <c r="G592" s="7" t="n">
        <v>2</v>
      </c>
      <c r="H592" s="9" t="n">
        <f aca="false">IF(G592&gt;0,D592/G592,"")</f>
        <v>108.5</v>
      </c>
      <c r="I592" s="10" t="n">
        <v>46202</v>
      </c>
      <c r="J592" s="3" t="s">
        <v>1087</v>
      </c>
      <c r="K592" s="10" t="n">
        <v>45490</v>
      </c>
      <c r="L592" s="3" t="s">
        <v>15</v>
      </c>
      <c r="M592" s="7" t="n">
        <v>221</v>
      </c>
      <c r="N592" s="8" t="n">
        <v>1.41753</v>
      </c>
      <c r="O592" s="4" t="n">
        <f aca="false">M592*N592</f>
        <v>313.27413</v>
      </c>
    </row>
    <row r="593" customFormat="false" ht="15" hidden="false" customHeight="false" outlineLevel="0" collapsed="false">
      <c r="A593" s="0" t="s">
        <v>1088</v>
      </c>
      <c r="C593" s="0" t="s">
        <v>298</v>
      </c>
      <c r="D593" s="7" t="n">
        <v>3089</v>
      </c>
      <c r="E593" s="8" t="n">
        <v>0.0995046940757527</v>
      </c>
      <c r="F593" s="4" t="n">
        <f aca="false">D593*E593</f>
        <v>307.37</v>
      </c>
      <c r="G593" s="7" t="n">
        <v>32</v>
      </c>
      <c r="H593" s="9" t="n">
        <f aca="false">IF(G593&gt;0,D593/G593,"")</f>
        <v>96.53125</v>
      </c>
      <c r="I593" s="10" t="n">
        <v>46293</v>
      </c>
      <c r="K593" s="10"/>
      <c r="M593" s="7"/>
      <c r="N593" s="8"/>
      <c r="O593" s="4"/>
    </row>
    <row r="594" customFormat="false" ht="15" hidden="false" customHeight="false" outlineLevel="0" collapsed="false">
      <c r="A594" s="0" t="s">
        <v>1089</v>
      </c>
      <c r="C594" s="0" t="s">
        <v>979</v>
      </c>
      <c r="D594" s="7" t="n">
        <v>382</v>
      </c>
      <c r="E594" s="8" t="n">
        <v>0.803612565445026</v>
      </c>
      <c r="F594" s="4" t="n">
        <f aca="false">D594*E594</f>
        <v>306.98</v>
      </c>
      <c r="G594" s="7" t="n">
        <v>255</v>
      </c>
      <c r="H594" s="9" t="n">
        <f aca="false">IF(G594&gt;0,D594/G594,"")</f>
        <v>1.49803921568627</v>
      </c>
      <c r="I594" s="10" t="n">
        <v>46304</v>
      </c>
      <c r="J594" s="3" t="s">
        <v>1090</v>
      </c>
      <c r="K594" s="10" t="n">
        <v>46308</v>
      </c>
      <c r="L594" s="3" t="s">
        <v>18</v>
      </c>
      <c r="M594" s="7" t="n">
        <v>319</v>
      </c>
      <c r="N594" s="8" t="n">
        <v>0.8036</v>
      </c>
      <c r="O594" s="4" t="n">
        <f aca="false">M594*N594</f>
        <v>256.3484</v>
      </c>
    </row>
    <row r="595" customFormat="false" ht="15" hidden="false" customHeight="false" outlineLevel="0" collapsed="false">
      <c r="A595" s="0" t="s">
        <v>1091</v>
      </c>
      <c r="C595" s="0" t="s">
        <v>285</v>
      </c>
      <c r="D595" s="7" t="n">
        <v>9221</v>
      </c>
      <c r="E595" s="8" t="n">
        <v>0.0332501897841883</v>
      </c>
      <c r="F595" s="4" t="n">
        <f aca="false">D595*E595</f>
        <v>306.6</v>
      </c>
      <c r="G595" s="7" t="n">
        <v>100</v>
      </c>
      <c r="H595" s="9" t="n">
        <f aca="false">IF(G595&gt;0,D595/G595,"")</f>
        <v>92.21</v>
      </c>
      <c r="I595" s="10" t="n">
        <v>46251</v>
      </c>
      <c r="J595" s="3" t="s">
        <v>392</v>
      </c>
      <c r="K595" s="10" t="n">
        <v>44914</v>
      </c>
      <c r="L595" s="3" t="s">
        <v>20</v>
      </c>
      <c r="M595" s="7" t="n">
        <v>9650</v>
      </c>
      <c r="N595" s="8" t="n">
        <v>0.03325</v>
      </c>
      <c r="O595" s="4" t="n">
        <f aca="false">M595*N595</f>
        <v>320.8625</v>
      </c>
    </row>
    <row r="596" customFormat="false" ht="15" hidden="false" customHeight="false" outlineLevel="0" collapsed="false">
      <c r="A596" s="0" t="s">
        <v>1092</v>
      </c>
      <c r="C596" s="0" t="s">
        <v>40</v>
      </c>
      <c r="D596" s="7" t="n">
        <v>6879</v>
      </c>
      <c r="E596" s="8" t="n">
        <v>0.0444992004651839</v>
      </c>
      <c r="F596" s="4" t="n">
        <f aca="false">D596*E596</f>
        <v>306.11</v>
      </c>
      <c r="G596" s="7" t="n">
        <v>75</v>
      </c>
      <c r="H596" s="9" t="n">
        <f aca="false">IF(G596&gt;0,D596/G596,"")</f>
        <v>91.72</v>
      </c>
      <c r="I596" s="10" t="n">
        <v>46239</v>
      </c>
      <c r="J596" s="3" t="s">
        <v>527</v>
      </c>
      <c r="K596" s="10" t="n">
        <v>44356</v>
      </c>
      <c r="L596" s="3" t="s">
        <v>18</v>
      </c>
      <c r="M596" s="7" t="n">
        <v>7050</v>
      </c>
      <c r="N596" s="8" t="n">
        <v>0.0445</v>
      </c>
      <c r="O596" s="4" t="n">
        <f aca="false">M596*N596</f>
        <v>313.725</v>
      </c>
    </row>
    <row r="597" customFormat="false" ht="15" hidden="false" customHeight="false" outlineLevel="0" collapsed="false">
      <c r="A597" s="0" t="s">
        <v>1093</v>
      </c>
      <c r="C597" s="0" t="s">
        <v>43</v>
      </c>
      <c r="D597" s="7" t="n">
        <v>1066</v>
      </c>
      <c r="E597" s="8" t="n">
        <v>0.286791744840525</v>
      </c>
      <c r="F597" s="4" t="n">
        <f aca="false">D597*E597</f>
        <v>305.72</v>
      </c>
      <c r="G597" s="7" t="n">
        <v>211</v>
      </c>
      <c r="H597" s="9" t="n">
        <f aca="false">IF(G597&gt;0,D597/G597,"")</f>
        <v>5.0521327014218</v>
      </c>
      <c r="I597" s="10" t="n">
        <v>46265</v>
      </c>
      <c r="K597" s="10"/>
      <c r="M597" s="7"/>
      <c r="N597" s="8"/>
      <c r="O597" s="4"/>
    </row>
    <row r="598" customFormat="false" ht="15" hidden="false" customHeight="false" outlineLevel="0" collapsed="false">
      <c r="A598" s="0" t="s">
        <v>1094</v>
      </c>
      <c r="C598" s="0" t="s">
        <v>295</v>
      </c>
      <c r="D598" s="7" t="n">
        <v>7467</v>
      </c>
      <c r="E598" s="8" t="n">
        <v>0.040941475826972</v>
      </c>
      <c r="F598" s="4" t="n">
        <f aca="false">D598*E598</f>
        <v>305.71</v>
      </c>
      <c r="G598" s="7" t="n">
        <v>357</v>
      </c>
      <c r="H598" s="9" t="n">
        <f aca="false">IF(G598&gt;0,D598/G598,"")</f>
        <v>20.9159663865546</v>
      </c>
      <c r="I598" s="10" t="n">
        <v>46290</v>
      </c>
      <c r="J598" s="3" t="s">
        <v>1095</v>
      </c>
      <c r="K598" s="10" t="n">
        <v>45905</v>
      </c>
      <c r="L598" s="3" t="s">
        <v>19</v>
      </c>
      <c r="M598" s="7" t="n">
        <v>964</v>
      </c>
      <c r="N598" s="8" t="n">
        <v>0.0584</v>
      </c>
      <c r="O598" s="4" t="n">
        <f aca="false">M598*N598</f>
        <v>56.2976</v>
      </c>
    </row>
    <row r="599" customFormat="false" ht="15" hidden="false" customHeight="false" outlineLevel="0" collapsed="false">
      <c r="A599" s="0" t="s">
        <v>1096</v>
      </c>
      <c r="C599" s="0" t="s">
        <v>40</v>
      </c>
      <c r="D599" s="7" t="n">
        <v>35534</v>
      </c>
      <c r="E599" s="8" t="n">
        <v>0.0085999324590533</v>
      </c>
      <c r="F599" s="4" t="n">
        <f aca="false">D599*E599</f>
        <v>305.59</v>
      </c>
      <c r="G599" s="7" t="n">
        <v>575</v>
      </c>
      <c r="H599" s="9" t="n">
        <f aca="false">IF(G599&gt;0,D599/G599,"")</f>
        <v>61.7982608695652</v>
      </c>
      <c r="I599" s="10" t="n">
        <v>46261</v>
      </c>
      <c r="J599" s="3" t="s">
        <v>1097</v>
      </c>
      <c r="K599" s="10" t="n">
        <v>44328</v>
      </c>
      <c r="L599" s="3" t="s">
        <v>18</v>
      </c>
      <c r="M599" s="7" t="n">
        <v>36900</v>
      </c>
      <c r="N599" s="8" t="n">
        <v>0.0086</v>
      </c>
      <c r="O599" s="4" t="n">
        <f aca="false">M599*N599</f>
        <v>317.34</v>
      </c>
    </row>
    <row r="600" customFormat="false" ht="15" hidden="false" customHeight="false" outlineLevel="0" collapsed="false">
      <c r="A600" s="0" t="s">
        <v>1098</v>
      </c>
      <c r="C600" s="0" t="s">
        <v>285</v>
      </c>
      <c r="D600" s="7" t="n">
        <v>3781</v>
      </c>
      <c r="E600" s="8" t="n">
        <v>0.0807987304945782</v>
      </c>
      <c r="F600" s="4" t="n">
        <f aca="false">D600*E600</f>
        <v>305.5</v>
      </c>
      <c r="G600" s="7" t="n">
        <v>111</v>
      </c>
      <c r="H600" s="9" t="n">
        <f aca="false">IF(G600&gt;0,D600/G600,"")</f>
        <v>34.0630630630631</v>
      </c>
      <c r="I600" s="10" t="n">
        <v>46195</v>
      </c>
      <c r="J600" s="3" t="s">
        <v>1099</v>
      </c>
      <c r="K600" s="10" t="n">
        <v>45984</v>
      </c>
      <c r="L600" s="3" t="s">
        <v>15</v>
      </c>
      <c r="M600" s="7" t="n">
        <v>3815</v>
      </c>
      <c r="N600" s="8" t="n">
        <v>0.08108</v>
      </c>
      <c r="O600" s="4" t="n">
        <f aca="false">M600*N600</f>
        <v>309.3202</v>
      </c>
    </row>
    <row r="601" customFormat="false" ht="15" hidden="false" customHeight="false" outlineLevel="0" collapsed="false">
      <c r="A601" s="0" t="s">
        <v>1100</v>
      </c>
      <c r="C601" s="0" t="s">
        <v>1101</v>
      </c>
      <c r="D601" s="7" t="n">
        <v>117</v>
      </c>
      <c r="E601" s="8" t="n">
        <v>2.61</v>
      </c>
      <c r="F601" s="4" t="n">
        <f aca="false">D601*E601</f>
        <v>305.37</v>
      </c>
      <c r="G601" s="7" t="n">
        <v>38</v>
      </c>
      <c r="H601" s="9" t="n">
        <f aca="false">IF(G601&gt;0,D601/G601,"")</f>
        <v>3.07894736842105</v>
      </c>
      <c r="I601" s="10" t="n">
        <v>46311</v>
      </c>
      <c r="J601" s="3" t="s">
        <v>1102</v>
      </c>
      <c r="K601" s="10" t="n">
        <v>44306</v>
      </c>
      <c r="L601" s="3" t="s">
        <v>1103</v>
      </c>
      <c r="M601" s="7" t="n">
        <v>200</v>
      </c>
      <c r="N601" s="8" t="n">
        <v>2.61</v>
      </c>
      <c r="O601" s="4" t="n">
        <f aca="false">M601*N601</f>
        <v>522</v>
      </c>
    </row>
    <row r="602" customFormat="false" ht="15" hidden="false" customHeight="false" outlineLevel="0" collapsed="false">
      <c r="A602" s="0" t="s">
        <v>1104</v>
      </c>
      <c r="C602" s="0" t="s">
        <v>741</v>
      </c>
      <c r="D602" s="7" t="n">
        <v>991</v>
      </c>
      <c r="E602" s="8" t="n">
        <v>0.308092835519677</v>
      </c>
      <c r="F602" s="4" t="n">
        <f aca="false">D602*E602</f>
        <v>305.32</v>
      </c>
      <c r="G602" s="7" t="n">
        <v>4</v>
      </c>
      <c r="H602" s="9" t="n">
        <f aca="false">IF(G602&gt;0,D602/G602,"")</f>
        <v>247.75</v>
      </c>
      <c r="I602" s="10" t="n">
        <v>46086</v>
      </c>
      <c r="J602" s="3" t="s">
        <v>1105</v>
      </c>
      <c r="K602" s="10" t="n">
        <v>44249</v>
      </c>
      <c r="L602" s="3" t="s">
        <v>14</v>
      </c>
      <c r="M602" s="7" t="n">
        <v>1000</v>
      </c>
      <c r="N602" s="8" t="n">
        <v>0.3081</v>
      </c>
      <c r="O602" s="4" t="n">
        <f aca="false">M602*N602</f>
        <v>308.1</v>
      </c>
    </row>
    <row r="603" customFormat="false" ht="15" hidden="false" customHeight="false" outlineLevel="0" collapsed="false">
      <c r="A603" s="0" t="s">
        <v>1106</v>
      </c>
      <c r="C603" s="0" t="s">
        <v>95</v>
      </c>
      <c r="D603" s="7" t="n">
        <v>4500</v>
      </c>
      <c r="E603" s="8" t="n">
        <v>0.0678</v>
      </c>
      <c r="F603" s="4" t="n">
        <f aca="false">D603*E603</f>
        <v>305.1</v>
      </c>
      <c r="G603" s="7" t="n">
        <v>500</v>
      </c>
      <c r="H603" s="9" t="n">
        <f aca="false">IF(G603&gt;0,D603/G603,"")</f>
        <v>9</v>
      </c>
      <c r="I603" s="10" t="n">
        <v>46083</v>
      </c>
      <c r="J603" s="3" t="s">
        <v>1107</v>
      </c>
      <c r="K603" s="10" t="n">
        <v>46035</v>
      </c>
      <c r="L603" s="3" t="s">
        <v>16</v>
      </c>
      <c r="M603" s="7" t="n">
        <v>5000</v>
      </c>
      <c r="N603" s="8" t="n">
        <v>0.0678</v>
      </c>
      <c r="O603" s="4" t="n">
        <f aca="false">M603*N603</f>
        <v>339</v>
      </c>
    </row>
    <row r="604" customFormat="false" ht="15" hidden="false" customHeight="false" outlineLevel="0" collapsed="false">
      <c r="A604" s="0" t="s">
        <v>1108</v>
      </c>
      <c r="C604" s="0" t="s">
        <v>1109</v>
      </c>
      <c r="D604" s="7" t="n">
        <v>356</v>
      </c>
      <c r="E604" s="8" t="n">
        <v>0.856292134831461</v>
      </c>
      <c r="F604" s="4" t="n">
        <f aca="false">D604*E604</f>
        <v>304.84</v>
      </c>
      <c r="G604" s="7" t="n">
        <v>260</v>
      </c>
      <c r="H604" s="9" t="n">
        <f aca="false">IF(G604&gt;0,D604/G604,"")</f>
        <v>1.36923076923077</v>
      </c>
      <c r="I604" s="10" t="n">
        <v>46014</v>
      </c>
      <c r="J604" s="3" t="s">
        <v>1110</v>
      </c>
      <c r="K604" s="10" t="n">
        <v>46009</v>
      </c>
      <c r="L604" s="3" t="s">
        <v>14</v>
      </c>
      <c r="M604" s="7" t="n">
        <v>606</v>
      </c>
      <c r="N604" s="8" t="n">
        <v>0.8563</v>
      </c>
      <c r="O604" s="4" t="n">
        <f aca="false">M604*N604</f>
        <v>518.9178</v>
      </c>
    </row>
    <row r="605" customFormat="false" ht="15" hidden="false" customHeight="false" outlineLevel="0" collapsed="false">
      <c r="A605" s="0" t="s">
        <v>1111</v>
      </c>
      <c r="C605" s="0" t="s">
        <v>225</v>
      </c>
      <c r="D605" s="7" t="n">
        <v>8</v>
      </c>
      <c r="E605" s="8" t="n">
        <v>38.08625</v>
      </c>
      <c r="F605" s="4" t="n">
        <f aca="false">D605*E605</f>
        <v>304.69</v>
      </c>
      <c r="G605" s="7" t="n">
        <v>6</v>
      </c>
      <c r="H605" s="9" t="n">
        <f aca="false">IF(G605&gt;0,D605/G605,"")</f>
        <v>1.33333333333333</v>
      </c>
      <c r="I605" s="10" t="n">
        <v>46273</v>
      </c>
      <c r="J605" s="3" t="s">
        <v>1112</v>
      </c>
      <c r="K605" s="10" t="n">
        <v>45614</v>
      </c>
      <c r="L605" s="3" t="s">
        <v>14</v>
      </c>
      <c r="M605" s="7" t="n">
        <v>20</v>
      </c>
      <c r="N605" s="8" t="n">
        <v>38.0855</v>
      </c>
      <c r="O605" s="4" t="n">
        <f aca="false">M605*N605</f>
        <v>761.71</v>
      </c>
    </row>
    <row r="606" customFormat="false" ht="15" hidden="false" customHeight="false" outlineLevel="0" collapsed="false">
      <c r="A606" s="0" t="s">
        <v>1113</v>
      </c>
      <c r="C606" s="0" t="s">
        <v>45</v>
      </c>
      <c r="D606" s="7" t="n">
        <v>1000</v>
      </c>
      <c r="E606" s="8" t="n">
        <v>0.30444</v>
      </c>
      <c r="F606" s="4" t="n">
        <f aca="false">D606*E606</f>
        <v>304.44</v>
      </c>
      <c r="G606" s="7" t="n">
        <v>100</v>
      </c>
      <c r="H606" s="9" t="n">
        <f aca="false">IF(G606&gt;0,D606/G606,"")</f>
        <v>10</v>
      </c>
      <c r="I606" s="10" t="n">
        <v>46248</v>
      </c>
      <c r="J606" s="3" t="s">
        <v>531</v>
      </c>
      <c r="K606" s="10" t="n">
        <v>45782</v>
      </c>
      <c r="L606" s="3" t="s">
        <v>14</v>
      </c>
      <c r="M606" s="7" t="n">
        <v>500</v>
      </c>
      <c r="N606" s="8" t="n">
        <v>0.419</v>
      </c>
      <c r="O606" s="4" t="n">
        <f aca="false">M606*N606</f>
        <v>209.5</v>
      </c>
    </row>
    <row r="607" customFormat="false" ht="15" hidden="false" customHeight="false" outlineLevel="0" collapsed="false">
      <c r="A607" s="0" t="s">
        <v>1114</v>
      </c>
      <c r="C607" s="0" t="s">
        <v>807</v>
      </c>
      <c r="D607" s="7" t="n">
        <v>11</v>
      </c>
      <c r="E607" s="8" t="n">
        <v>27.66</v>
      </c>
      <c r="F607" s="4" t="n">
        <f aca="false">D607*E607</f>
        <v>304.26</v>
      </c>
      <c r="G607" s="7" t="n">
        <v>10</v>
      </c>
      <c r="H607" s="9" t="n">
        <f aca="false">IF(G607&gt;0,D607/G607,"")</f>
        <v>1.1</v>
      </c>
      <c r="I607" s="10" t="n">
        <v>46308</v>
      </c>
      <c r="J607" s="3" t="s">
        <v>1115</v>
      </c>
      <c r="K607" s="10" t="n">
        <v>46295</v>
      </c>
      <c r="L607" s="3" t="s">
        <v>145</v>
      </c>
      <c r="M607" s="7" t="n">
        <v>21</v>
      </c>
      <c r="N607" s="8" t="n">
        <v>27.66</v>
      </c>
      <c r="O607" s="4" t="n">
        <f aca="false">M607*N607</f>
        <v>580.86</v>
      </c>
    </row>
    <row r="608" customFormat="false" ht="15" hidden="false" customHeight="false" outlineLevel="0" collapsed="false">
      <c r="A608" s="0" t="s">
        <v>1116</v>
      </c>
      <c r="C608" s="0" t="s">
        <v>497</v>
      </c>
      <c r="D608" s="7" t="n">
        <v>8295</v>
      </c>
      <c r="E608" s="8" t="n">
        <v>0.0366558167570826</v>
      </c>
      <c r="F608" s="4" t="n">
        <f aca="false">D608*E608</f>
        <v>304.06</v>
      </c>
      <c r="G608" s="7" t="n">
        <v>30</v>
      </c>
      <c r="H608" s="9" t="n">
        <f aca="false">IF(G608&gt;0,D608/G608,"")</f>
        <v>276.5</v>
      </c>
      <c r="I608" s="10" t="n">
        <v>46204</v>
      </c>
      <c r="J608" s="3" t="s">
        <v>793</v>
      </c>
      <c r="K608" s="10" t="n">
        <v>46196</v>
      </c>
      <c r="L608" s="3" t="s">
        <v>14</v>
      </c>
      <c r="M608" s="7" t="n">
        <v>100</v>
      </c>
      <c r="N608" s="8" t="n">
        <v>0.2664</v>
      </c>
      <c r="O608" s="4" t="n">
        <f aca="false">M608*N608</f>
        <v>26.64</v>
      </c>
    </row>
    <row r="609" customFormat="false" ht="15" hidden="false" customHeight="false" outlineLevel="0" collapsed="false">
      <c r="A609" s="0" t="s">
        <v>1117</v>
      </c>
      <c r="C609" s="0" t="s">
        <v>43</v>
      </c>
      <c r="D609" s="7" t="n">
        <v>511</v>
      </c>
      <c r="E609" s="8" t="n">
        <v>0.593228962818004</v>
      </c>
      <c r="F609" s="4" t="n">
        <f aca="false">D609*E609</f>
        <v>303.14</v>
      </c>
      <c r="G609" s="7" t="n">
        <v>20</v>
      </c>
      <c r="H609" s="9" t="n">
        <f aca="false">IF(G609&gt;0,D609/G609,"")</f>
        <v>25.55</v>
      </c>
      <c r="I609" s="10" t="n">
        <v>46059</v>
      </c>
      <c r="J609" s="3" t="s">
        <v>1118</v>
      </c>
      <c r="K609" s="10" t="n">
        <v>45011</v>
      </c>
      <c r="L609" s="3" t="s">
        <v>14</v>
      </c>
      <c r="M609" s="7" t="n">
        <v>500</v>
      </c>
      <c r="N609" s="8" t="n">
        <v>0.594</v>
      </c>
      <c r="O609" s="4" t="n">
        <f aca="false">M609*N609</f>
        <v>297</v>
      </c>
    </row>
    <row r="610" customFormat="false" ht="15" hidden="false" customHeight="false" outlineLevel="0" collapsed="false">
      <c r="A610" s="0" t="s">
        <v>1119</v>
      </c>
      <c r="C610" s="0" t="s">
        <v>36</v>
      </c>
      <c r="D610" s="7" t="n">
        <v>15402</v>
      </c>
      <c r="E610" s="8" t="n">
        <v>0.0196701727048435</v>
      </c>
      <c r="F610" s="4" t="n">
        <f aca="false">D610*E610</f>
        <v>302.96</v>
      </c>
      <c r="G610" s="7" t="n">
        <v>8756</v>
      </c>
      <c r="H610" s="9" t="n">
        <f aca="false">IF(G610&gt;0,D610/G610,"")</f>
        <v>1.75902238465053</v>
      </c>
      <c r="I610" s="10" t="n">
        <v>46280</v>
      </c>
      <c r="J610" s="3" t="s">
        <v>1120</v>
      </c>
      <c r="K610" s="10" t="n">
        <v>45960</v>
      </c>
      <c r="L610" s="3" t="s">
        <v>18</v>
      </c>
      <c r="M610" s="7" t="n">
        <v>16075</v>
      </c>
      <c r="N610" s="8" t="n">
        <v>0.0197</v>
      </c>
      <c r="O610" s="4" t="n">
        <f aca="false">M610*N610</f>
        <v>316.6775</v>
      </c>
    </row>
    <row r="611" customFormat="false" ht="15" hidden="false" customHeight="false" outlineLevel="0" collapsed="false">
      <c r="A611" s="0" t="s">
        <v>1121</v>
      </c>
      <c r="C611" s="0" t="s">
        <v>31</v>
      </c>
      <c r="D611" s="7" t="n">
        <v>20179</v>
      </c>
      <c r="E611" s="8" t="n">
        <v>0.014999752217652</v>
      </c>
      <c r="F611" s="4" t="n">
        <f aca="false">D611*E611</f>
        <v>302.68</v>
      </c>
      <c r="G611" s="7" t="n">
        <v>1885</v>
      </c>
      <c r="H611" s="9" t="n">
        <f aca="false">IF(G611&gt;0,D611/G611,"")</f>
        <v>10.7050397877984</v>
      </c>
      <c r="I611" s="10" t="n">
        <v>46317</v>
      </c>
      <c r="J611" s="3" t="s">
        <v>1122</v>
      </c>
      <c r="K611" s="10" t="n">
        <v>45659</v>
      </c>
      <c r="L611" s="3" t="s">
        <v>25</v>
      </c>
      <c r="M611" s="7" t="n">
        <v>25000</v>
      </c>
      <c r="N611" s="8" t="n">
        <v>0.015</v>
      </c>
      <c r="O611" s="4" t="n">
        <f aca="false">M611*N611</f>
        <v>375</v>
      </c>
    </row>
    <row r="612" customFormat="false" ht="15" hidden="false" customHeight="false" outlineLevel="0" collapsed="false">
      <c r="A612" s="0" t="s">
        <v>1123</v>
      </c>
      <c r="C612" s="0" t="s">
        <v>979</v>
      </c>
      <c r="D612" s="7" t="n">
        <v>7924</v>
      </c>
      <c r="E612" s="8" t="n">
        <v>0.0381574962140333</v>
      </c>
      <c r="F612" s="4" t="n">
        <f aca="false">D612*E612</f>
        <v>302.36</v>
      </c>
      <c r="G612" s="7" t="n">
        <v>194</v>
      </c>
      <c r="H612" s="9" t="n">
        <f aca="false">IF(G612&gt;0,D612/G612,"")</f>
        <v>40.8453608247423</v>
      </c>
      <c r="I612" s="10" t="n">
        <v>46297</v>
      </c>
      <c r="J612" s="3" t="s">
        <v>162</v>
      </c>
      <c r="K612" s="10" t="n">
        <v>45967</v>
      </c>
      <c r="L612" s="3" t="s">
        <v>15</v>
      </c>
      <c r="M612" s="7" t="n">
        <v>7470</v>
      </c>
      <c r="N612" s="8" t="n">
        <v>0.03488</v>
      </c>
      <c r="O612" s="4" t="n">
        <f aca="false">M612*N612</f>
        <v>260.5536</v>
      </c>
    </row>
    <row r="613" customFormat="false" ht="15" hidden="false" customHeight="false" outlineLevel="0" collapsed="false">
      <c r="A613" s="0" t="s">
        <v>1124</v>
      </c>
      <c r="C613" s="0" t="s">
        <v>295</v>
      </c>
      <c r="D613" s="7" t="n">
        <v>5143</v>
      </c>
      <c r="E613" s="8" t="n">
        <v>0.0587847559790006</v>
      </c>
      <c r="F613" s="4" t="n">
        <f aca="false">D613*E613</f>
        <v>302.33</v>
      </c>
      <c r="G613" s="7" t="n">
        <v>1640</v>
      </c>
      <c r="H613" s="9" t="n">
        <f aca="false">IF(G613&gt;0,D613/G613,"")</f>
        <v>3.1359756097561</v>
      </c>
      <c r="I613" s="10" t="n">
        <v>46258</v>
      </c>
      <c r="J613" s="3" t="s">
        <v>594</v>
      </c>
      <c r="K613" s="10" t="n">
        <v>45897</v>
      </c>
      <c r="L613" s="3" t="s">
        <v>20</v>
      </c>
      <c r="M613" s="7" t="n">
        <v>6800</v>
      </c>
      <c r="N613" s="8" t="n">
        <v>0.05878</v>
      </c>
      <c r="O613" s="4" t="n">
        <f aca="false">M613*N613</f>
        <v>399.704</v>
      </c>
    </row>
    <row r="614" customFormat="false" ht="15" hidden="false" customHeight="false" outlineLevel="0" collapsed="false">
      <c r="A614" s="0" t="s">
        <v>1125</v>
      </c>
      <c r="C614" s="0" t="s">
        <v>275</v>
      </c>
      <c r="D614" s="7" t="n">
        <v>40</v>
      </c>
      <c r="E614" s="8" t="n">
        <v>7.55275</v>
      </c>
      <c r="F614" s="4" t="n">
        <f aca="false">D614*E614</f>
        <v>302.11</v>
      </c>
      <c r="G614" s="7" t="n">
        <v>5</v>
      </c>
      <c r="H614" s="9" t="n">
        <f aca="false">IF(G614&gt;0,D614/G614,"")</f>
        <v>8</v>
      </c>
      <c r="I614" s="10" t="n">
        <v>46163</v>
      </c>
      <c r="J614" s="3" t="s">
        <v>974</v>
      </c>
      <c r="K614" s="10" t="n">
        <v>45307</v>
      </c>
      <c r="L614" s="3" t="s">
        <v>14</v>
      </c>
      <c r="M614" s="7" t="n">
        <v>50</v>
      </c>
      <c r="N614" s="8" t="n">
        <v>7.5528</v>
      </c>
      <c r="O614" s="4" t="n">
        <f aca="false">M614*N614</f>
        <v>377.64</v>
      </c>
    </row>
    <row r="615" customFormat="false" ht="15" hidden="false" customHeight="false" outlineLevel="0" collapsed="false">
      <c r="A615" s="0" t="s">
        <v>1126</v>
      </c>
      <c r="C615" s="0" t="s">
        <v>34</v>
      </c>
      <c r="D615" s="7" t="n">
        <v>2638</v>
      </c>
      <c r="E615" s="8" t="n">
        <v>0.114412433661865</v>
      </c>
      <c r="F615" s="4" t="n">
        <f aca="false">D615*E615</f>
        <v>301.82</v>
      </c>
      <c r="G615" s="7" t="n">
        <v>18</v>
      </c>
      <c r="H615" s="9" t="n">
        <f aca="false">IF(G615&gt;0,D615/G615,"")</f>
        <v>146.555555555556</v>
      </c>
      <c r="I615" s="10" t="n">
        <v>46000</v>
      </c>
      <c r="J615" s="3" t="s">
        <v>1127</v>
      </c>
      <c r="K615" s="10" t="n">
        <v>45017</v>
      </c>
      <c r="L615" s="3" t="s">
        <v>16</v>
      </c>
      <c r="M615" s="7" t="n">
        <v>2500</v>
      </c>
      <c r="N615" s="8" t="n">
        <v>0.0759</v>
      </c>
      <c r="O615" s="4" t="n">
        <f aca="false">M615*N615</f>
        <v>189.75</v>
      </c>
    </row>
    <row r="616" customFormat="false" ht="15" hidden="false" customHeight="false" outlineLevel="0" collapsed="false">
      <c r="A616" s="0" t="s">
        <v>1128</v>
      </c>
      <c r="C616" s="0" t="s">
        <v>441</v>
      </c>
      <c r="D616" s="7" t="n">
        <v>3</v>
      </c>
      <c r="E616" s="8" t="n">
        <v>100.583333333333</v>
      </c>
      <c r="F616" s="4" t="n">
        <f aca="false">D616*E616</f>
        <v>301.75</v>
      </c>
      <c r="G616" s="7" t="n">
        <v>1</v>
      </c>
      <c r="H616" s="9" t="n">
        <f aca="false">IF(G616&gt;0,D616/G616,"")</f>
        <v>3</v>
      </c>
      <c r="I616" s="10" t="n">
        <v>45968</v>
      </c>
      <c r="J616" s="3" t="s">
        <v>1129</v>
      </c>
      <c r="K616" s="10" t="n">
        <v>45616</v>
      </c>
      <c r="L616" s="3" t="s">
        <v>313</v>
      </c>
      <c r="M616" s="7" t="n">
        <v>5</v>
      </c>
      <c r="N616" s="8" t="n">
        <v>100.584</v>
      </c>
      <c r="O616" s="4" t="n">
        <f aca="false">M616*N616</f>
        <v>502.92</v>
      </c>
    </row>
    <row r="617" customFormat="false" ht="15" hidden="false" customHeight="false" outlineLevel="0" collapsed="false">
      <c r="A617" s="0" t="s">
        <v>1130</v>
      </c>
      <c r="C617" s="0" t="s">
        <v>35</v>
      </c>
      <c r="D617" s="7" t="n">
        <v>442</v>
      </c>
      <c r="E617" s="8" t="n">
        <v>0.682443438914027</v>
      </c>
      <c r="F617" s="4" t="n">
        <f aca="false">D617*E617</f>
        <v>301.64</v>
      </c>
      <c r="G617" s="7" t="n">
        <v>15</v>
      </c>
      <c r="H617" s="9" t="n">
        <f aca="false">IF(G617&gt;0,D617/G617,"")</f>
        <v>29.4666666666667</v>
      </c>
      <c r="I617" s="10" t="n">
        <v>46316</v>
      </c>
      <c r="J617" s="3" t="s">
        <v>633</v>
      </c>
      <c r="K617" s="10" t="n">
        <v>45758</v>
      </c>
      <c r="L617" s="3" t="s">
        <v>20</v>
      </c>
      <c r="M617" s="7" t="n">
        <v>365</v>
      </c>
      <c r="N617" s="8" t="n">
        <v>0.695</v>
      </c>
      <c r="O617" s="4" t="n">
        <f aca="false">M617*N617</f>
        <v>253.675</v>
      </c>
    </row>
    <row r="618" customFormat="false" ht="15" hidden="false" customHeight="false" outlineLevel="0" collapsed="false">
      <c r="A618" s="0" t="s">
        <v>1131</v>
      </c>
      <c r="C618" s="0" t="s">
        <v>35</v>
      </c>
      <c r="D618" s="7" t="n">
        <v>1128</v>
      </c>
      <c r="E618" s="8" t="n">
        <v>0.26686170212766</v>
      </c>
      <c r="F618" s="4" t="n">
        <f aca="false">D618*E618</f>
        <v>301.02</v>
      </c>
      <c r="G618" s="7" t="n">
        <v>10</v>
      </c>
      <c r="H618" s="9" t="n">
        <f aca="false">IF(G618&gt;0,D618/G618,"")</f>
        <v>112.8</v>
      </c>
      <c r="I618" s="10" t="n">
        <v>46092</v>
      </c>
      <c r="J618" s="3" t="s">
        <v>633</v>
      </c>
      <c r="K618" s="10" t="n">
        <v>45758</v>
      </c>
      <c r="L618" s="3" t="s">
        <v>20</v>
      </c>
      <c r="M618" s="7" t="n">
        <v>1060</v>
      </c>
      <c r="N618" s="8" t="n">
        <v>0.237</v>
      </c>
      <c r="O618" s="4" t="n">
        <f aca="false">M618*N618</f>
        <v>251.22</v>
      </c>
    </row>
    <row r="619" customFormat="false" ht="15" hidden="false" customHeight="false" outlineLevel="0" collapsed="false">
      <c r="A619" s="0" t="s">
        <v>1132</v>
      </c>
      <c r="C619" s="0" t="s">
        <v>35</v>
      </c>
      <c r="D619" s="7" t="n">
        <v>3856</v>
      </c>
      <c r="E619" s="8" t="n">
        <v>0.0780627593360996</v>
      </c>
      <c r="F619" s="4" t="n">
        <f aca="false">D619*E619</f>
        <v>301.01</v>
      </c>
      <c r="G619" s="7" t="n">
        <v>93</v>
      </c>
      <c r="H619" s="9" t="n">
        <f aca="false">IF(G619&gt;0,D619/G619,"")</f>
        <v>41.4623655913979</v>
      </c>
      <c r="I619" s="10" t="n">
        <v>46133</v>
      </c>
      <c r="J619" s="3" t="s">
        <v>364</v>
      </c>
      <c r="K619" s="10" t="n">
        <v>45441</v>
      </c>
      <c r="L619" s="3" t="s">
        <v>20</v>
      </c>
      <c r="M619" s="7" t="n">
        <v>4000</v>
      </c>
      <c r="N619" s="8" t="n">
        <v>0.078</v>
      </c>
      <c r="O619" s="4" t="n">
        <f aca="false">M619*N619</f>
        <v>312</v>
      </c>
    </row>
    <row r="620" customFormat="false" ht="15" hidden="false" customHeight="false" outlineLevel="0" collapsed="false">
      <c r="A620" s="0" t="s">
        <v>1133</v>
      </c>
      <c r="C620" s="0" t="s">
        <v>45</v>
      </c>
      <c r="D620" s="7" t="n">
        <v>56</v>
      </c>
      <c r="E620" s="8" t="n">
        <v>5.375</v>
      </c>
      <c r="F620" s="4" t="n">
        <f aca="false">D620*E620</f>
        <v>301</v>
      </c>
      <c r="G620" s="7" t="n">
        <v>37</v>
      </c>
      <c r="H620" s="9" t="n">
        <f aca="false">IF(G620&gt;0,D620/G620,"")</f>
        <v>1.51351351351351</v>
      </c>
      <c r="I620" s="10" t="n">
        <v>46134</v>
      </c>
      <c r="J620" s="3" t="s">
        <v>1134</v>
      </c>
      <c r="K620" s="10" t="n">
        <v>44630</v>
      </c>
      <c r="L620" s="3" t="s">
        <v>14</v>
      </c>
      <c r="M620" s="7" t="n">
        <v>93</v>
      </c>
      <c r="N620" s="8" t="n">
        <v>5.375</v>
      </c>
      <c r="O620" s="4" t="n">
        <f aca="false">M620*N620</f>
        <v>499.875</v>
      </c>
    </row>
    <row r="621" customFormat="false" ht="15" hidden="false" customHeight="false" outlineLevel="0" collapsed="false">
      <c r="A621" s="0" t="s">
        <v>1135</v>
      </c>
      <c r="C621" s="0" t="s">
        <v>38</v>
      </c>
      <c r="D621" s="7" t="n">
        <v>28985</v>
      </c>
      <c r="E621" s="8" t="n">
        <v>0.0103660514058996</v>
      </c>
      <c r="F621" s="4" t="n">
        <f aca="false">D621*E621</f>
        <v>300.46</v>
      </c>
      <c r="G621" s="7" t="n">
        <v>3839</v>
      </c>
      <c r="H621" s="9" t="n">
        <f aca="false">IF(G621&gt;0,D621/G621,"")</f>
        <v>7.55014326647564</v>
      </c>
      <c r="I621" s="10" t="n">
        <v>46308</v>
      </c>
      <c r="J621" s="3" t="s">
        <v>1136</v>
      </c>
      <c r="K621" s="10" t="n">
        <v>44739</v>
      </c>
      <c r="L621" s="3" t="s">
        <v>19</v>
      </c>
      <c r="M621" s="7" t="n">
        <v>50000</v>
      </c>
      <c r="N621" s="8" t="n">
        <v>0.0104</v>
      </c>
      <c r="O621" s="4" t="n">
        <f aca="false">M621*N621</f>
        <v>520</v>
      </c>
    </row>
    <row r="622" customFormat="false" ht="15" hidden="false" customHeight="false" outlineLevel="0" collapsed="false">
      <c r="A622" s="0" t="s">
        <v>1137</v>
      </c>
      <c r="C622" s="0" t="s">
        <v>44</v>
      </c>
      <c r="D622" s="7" t="n">
        <v>64</v>
      </c>
      <c r="E622" s="8" t="n">
        <v>4.6940625</v>
      </c>
      <c r="F622" s="4" t="n">
        <f aca="false">D622*E622</f>
        <v>300.42</v>
      </c>
      <c r="G622" s="7" t="n">
        <v>26</v>
      </c>
      <c r="H622" s="9" t="n">
        <f aca="false">IF(G622&gt;0,D622/G622,"")</f>
        <v>2.46153846153846</v>
      </c>
      <c r="I622" s="10" t="n">
        <v>46238</v>
      </c>
      <c r="J622" s="3" t="s">
        <v>336</v>
      </c>
      <c r="K622" s="10" t="n">
        <v>46245</v>
      </c>
      <c r="L622" s="3" t="s">
        <v>14</v>
      </c>
      <c r="M622" s="7" t="n">
        <v>50</v>
      </c>
      <c r="N622" s="8" t="n">
        <v>4.6942</v>
      </c>
      <c r="O622" s="4" t="n">
        <f aca="false">M622*N622</f>
        <v>234.71</v>
      </c>
    </row>
    <row r="623" customFormat="false" ht="15" hidden="false" customHeight="false" outlineLevel="0" collapsed="false">
      <c r="A623" s="0" t="s">
        <v>1138</v>
      </c>
      <c r="C623" s="0" t="s">
        <v>33</v>
      </c>
      <c r="D623" s="7" t="n">
        <v>434</v>
      </c>
      <c r="E623" s="8" t="n">
        <v>0.691889400921659</v>
      </c>
      <c r="F623" s="4" t="n">
        <f aca="false">D623*E623</f>
        <v>300.28</v>
      </c>
      <c r="G623" s="7" t="n">
        <v>25</v>
      </c>
      <c r="H623" s="9" t="n">
        <f aca="false">IF(G623&gt;0,D623/G623,"")</f>
        <v>17.36</v>
      </c>
      <c r="I623" s="10" t="n">
        <v>46233</v>
      </c>
      <c r="J623" s="3" t="s">
        <v>204</v>
      </c>
      <c r="K623" s="10" t="n">
        <v>44824</v>
      </c>
      <c r="L623" s="3" t="s">
        <v>20</v>
      </c>
      <c r="M623" s="7" t="n">
        <v>750</v>
      </c>
      <c r="N623" s="8" t="n">
        <v>0.6919</v>
      </c>
      <c r="O623" s="4" t="n">
        <f aca="false">M623*N623</f>
        <v>518.925</v>
      </c>
    </row>
    <row r="624" customFormat="false" ht="15" hidden="false" customHeight="false" outlineLevel="0" collapsed="false">
      <c r="A624" s="0" t="s">
        <v>1139</v>
      </c>
      <c r="C624" s="0" t="s">
        <v>118</v>
      </c>
      <c r="D624" s="7" t="n">
        <v>8937</v>
      </c>
      <c r="E624" s="8" t="n">
        <v>0.0335671925702137</v>
      </c>
      <c r="F624" s="4" t="n">
        <f aca="false">D624*E624</f>
        <v>299.99</v>
      </c>
      <c r="G624" s="7" t="n">
        <v>1033</v>
      </c>
      <c r="H624" s="9" t="n">
        <f aca="false">IF(G624&gt;0,D624/G624,"")</f>
        <v>8.65150048402711</v>
      </c>
      <c r="I624" s="10" t="n">
        <v>46316</v>
      </c>
      <c r="J624" s="3" t="s">
        <v>1140</v>
      </c>
      <c r="K624" s="10" t="n">
        <v>45614</v>
      </c>
      <c r="L624" s="3" t="s">
        <v>15</v>
      </c>
      <c r="M624" s="7" t="n">
        <v>10905</v>
      </c>
      <c r="N624" s="8" t="n">
        <v>0.03357</v>
      </c>
      <c r="O624" s="4" t="n">
        <f aca="false">M624*N624</f>
        <v>366.08085</v>
      </c>
    </row>
    <row r="625" customFormat="false" ht="15" hidden="false" customHeight="false" outlineLevel="0" collapsed="false">
      <c r="A625" s="0" t="s">
        <v>1141</v>
      </c>
      <c r="C625" s="0" t="s">
        <v>31</v>
      </c>
      <c r="D625" s="7" t="n">
        <v>8105</v>
      </c>
      <c r="E625" s="8" t="n">
        <v>0.0369993830968538</v>
      </c>
      <c r="F625" s="4" t="n">
        <f aca="false">D625*E625</f>
        <v>299.88</v>
      </c>
      <c r="G625" s="7" t="n">
        <v>306</v>
      </c>
      <c r="H625" s="9" t="n">
        <f aca="false">IF(G625&gt;0,D625/G625,"")</f>
        <v>26.4869281045752</v>
      </c>
      <c r="I625" s="10" t="n">
        <v>46157</v>
      </c>
      <c r="J625" s="3" t="s">
        <v>1142</v>
      </c>
      <c r="K625" s="10" t="n">
        <v>44734</v>
      </c>
      <c r="L625" s="3" t="s">
        <v>16</v>
      </c>
      <c r="M625" s="7" t="n">
        <v>1378</v>
      </c>
      <c r="N625" s="8" t="n">
        <v>0.0194</v>
      </c>
      <c r="O625" s="4" t="n">
        <v>26.578</v>
      </c>
    </row>
    <row r="626" customFormat="false" ht="15" hidden="false" customHeight="false" outlineLevel="0" collapsed="false">
      <c r="A626" s="0" t="s">
        <v>1143</v>
      </c>
      <c r="C626" s="0" t="s">
        <v>609</v>
      </c>
      <c r="D626" s="7" t="n">
        <v>171</v>
      </c>
      <c r="E626" s="8" t="n">
        <v>1.75198830409357</v>
      </c>
      <c r="F626" s="4" t="n">
        <f aca="false">D626*E626</f>
        <v>299.59</v>
      </c>
      <c r="G626" s="7" t="n">
        <v>4</v>
      </c>
      <c r="H626" s="9" t="n">
        <f aca="false">IF(G626&gt;0,D626/G626,"")</f>
        <v>42.75</v>
      </c>
      <c r="I626" s="10" t="n">
        <v>46146</v>
      </c>
      <c r="J626" s="3" t="s">
        <v>1144</v>
      </c>
      <c r="K626" s="10" t="n">
        <v>44257</v>
      </c>
      <c r="L626" s="3" t="s">
        <v>14</v>
      </c>
      <c r="M626" s="7" t="n">
        <v>200</v>
      </c>
      <c r="N626" s="8" t="n">
        <v>1.7519</v>
      </c>
      <c r="O626" s="4" t="n">
        <f aca="false">M626*N626</f>
        <v>350.38</v>
      </c>
    </row>
    <row r="627" customFormat="false" ht="15" hidden="false" customHeight="false" outlineLevel="0" collapsed="false">
      <c r="A627" s="0" t="s">
        <v>1145</v>
      </c>
      <c r="C627" s="0" t="s">
        <v>32</v>
      </c>
      <c r="D627" s="7" t="n">
        <v>50296</v>
      </c>
      <c r="E627" s="8" t="n">
        <v>0.00595196437092413</v>
      </c>
      <c r="F627" s="4" t="n">
        <f aca="false">D627*E627</f>
        <v>299.36</v>
      </c>
      <c r="G627" s="7" t="n">
        <v>8334</v>
      </c>
      <c r="H627" s="9" t="n">
        <f aca="false">IF(G627&gt;0,D627/G627,"")</f>
        <v>6.03503719702424</v>
      </c>
      <c r="I627" s="10" t="n">
        <v>46308</v>
      </c>
      <c r="J627" s="3" t="s">
        <v>149</v>
      </c>
      <c r="K627" s="10" t="n">
        <v>46259</v>
      </c>
      <c r="L627" s="3" t="s">
        <v>14</v>
      </c>
      <c r="M627" s="7" t="n">
        <v>50000</v>
      </c>
      <c r="N627" s="8" t="n">
        <v>0.0059</v>
      </c>
      <c r="O627" s="4" t="n">
        <f aca="false">M627*N627</f>
        <v>295</v>
      </c>
    </row>
    <row r="628" customFormat="false" ht="15" hidden="false" customHeight="false" outlineLevel="0" collapsed="false">
      <c r="A628" s="0" t="s">
        <v>1146</v>
      </c>
      <c r="C628" s="0" t="s">
        <v>32</v>
      </c>
      <c r="D628" s="7" t="n">
        <v>21532</v>
      </c>
      <c r="E628" s="8" t="n">
        <v>0.0138914174252276</v>
      </c>
      <c r="F628" s="4" t="n">
        <f aca="false">D628*E628</f>
        <v>299.11</v>
      </c>
      <c r="G628" s="7" t="n">
        <v>17840</v>
      </c>
      <c r="H628" s="9" t="n">
        <f aca="false">IF(G628&gt;0,D628/G628,"")</f>
        <v>1.20695067264574</v>
      </c>
      <c r="I628" s="10" t="n">
        <v>46300</v>
      </c>
      <c r="J628" s="3" t="s">
        <v>160</v>
      </c>
      <c r="K628" s="10" t="n">
        <v>46219</v>
      </c>
      <c r="L628" s="3" t="s">
        <v>14</v>
      </c>
      <c r="M628" s="7" t="n">
        <v>20000</v>
      </c>
      <c r="N628" s="8" t="n">
        <v>0.0141</v>
      </c>
      <c r="O628" s="4" t="n">
        <f aca="false">M628*N628</f>
        <v>282</v>
      </c>
    </row>
    <row r="629" customFormat="false" ht="15" hidden="false" customHeight="false" outlineLevel="0" collapsed="false">
      <c r="A629" s="0" t="s">
        <v>1147</v>
      </c>
      <c r="C629" s="0" t="s">
        <v>44</v>
      </c>
      <c r="D629" s="7" t="n">
        <v>5</v>
      </c>
      <c r="E629" s="8" t="n">
        <v>59.82</v>
      </c>
      <c r="F629" s="4" t="n">
        <f aca="false">D629*E629</f>
        <v>299.1</v>
      </c>
      <c r="G629" s="7" t="n">
        <v>3</v>
      </c>
      <c r="H629" s="9" t="n">
        <f aca="false">IF(G629&gt;0,D629/G629,"")</f>
        <v>1.66666666666667</v>
      </c>
      <c r="I629" s="10" t="n">
        <v>46310</v>
      </c>
      <c r="J629" s="3" t="s">
        <v>1148</v>
      </c>
      <c r="K629" s="10" t="n">
        <v>46288</v>
      </c>
      <c r="L629" s="3" t="s">
        <v>14</v>
      </c>
      <c r="M629" s="7" t="n">
        <v>8</v>
      </c>
      <c r="N629" s="8" t="n">
        <v>59.82</v>
      </c>
      <c r="O629" s="4" t="n">
        <f aca="false">M629*N629</f>
        <v>478.56</v>
      </c>
    </row>
    <row r="630" customFormat="false" ht="15" hidden="false" customHeight="false" outlineLevel="0" collapsed="false">
      <c r="A630" s="0" t="s">
        <v>1149</v>
      </c>
      <c r="C630" s="0" t="s">
        <v>225</v>
      </c>
      <c r="D630" s="7" t="n">
        <v>26</v>
      </c>
      <c r="E630" s="8" t="n">
        <v>11.4930769230769</v>
      </c>
      <c r="F630" s="4" t="n">
        <f aca="false">D630*E630</f>
        <v>298.82</v>
      </c>
      <c r="G630" s="7" t="n">
        <v>12</v>
      </c>
      <c r="H630" s="9" t="n">
        <f aca="false">IF(G630&gt;0,D630/G630,"")</f>
        <v>2.16666666666667</v>
      </c>
      <c r="I630" s="10" t="n">
        <v>46300</v>
      </c>
      <c r="J630" s="3" t="s">
        <v>1150</v>
      </c>
      <c r="K630" s="10" t="n">
        <v>45574</v>
      </c>
      <c r="L630" s="3" t="s">
        <v>14</v>
      </c>
      <c r="M630" s="7" t="n">
        <v>50</v>
      </c>
      <c r="N630" s="8" t="n">
        <v>11.4932</v>
      </c>
      <c r="O630" s="4" t="n">
        <f aca="false">M630*N630</f>
        <v>574.66</v>
      </c>
    </row>
    <row r="631" customFormat="false" ht="15" hidden="false" customHeight="false" outlineLevel="0" collapsed="false">
      <c r="A631" s="0" t="s">
        <v>1151</v>
      </c>
      <c r="C631" s="0" t="s">
        <v>34</v>
      </c>
      <c r="D631" s="7" t="n">
        <v>9753</v>
      </c>
      <c r="E631" s="8" t="n">
        <v>0.0306151953245155</v>
      </c>
      <c r="F631" s="4" t="n">
        <f aca="false">D631*E631</f>
        <v>298.59</v>
      </c>
      <c r="G631" s="7" t="n">
        <v>714</v>
      </c>
      <c r="H631" s="9" t="n">
        <f aca="false">IF(G631&gt;0,D631/G631,"")</f>
        <v>13.6596638655462</v>
      </c>
      <c r="I631" s="10" t="n">
        <v>46317</v>
      </c>
      <c r="J631" s="3" t="s">
        <v>1152</v>
      </c>
      <c r="K631" s="10" t="n">
        <v>45790</v>
      </c>
      <c r="L631" s="3" t="s">
        <v>26</v>
      </c>
      <c r="M631" s="7" t="n">
        <v>1000</v>
      </c>
      <c r="N631" s="8" t="n">
        <v>0.0664</v>
      </c>
      <c r="O631" s="4" t="n">
        <f aca="false">M631*N631</f>
        <v>66.4</v>
      </c>
    </row>
    <row r="632" customFormat="false" ht="15" hidden="false" customHeight="false" outlineLevel="0" collapsed="false">
      <c r="A632" s="0" t="s">
        <v>1153</v>
      </c>
      <c r="C632" s="0" t="s">
        <v>44</v>
      </c>
      <c r="D632" s="7" t="n">
        <v>29</v>
      </c>
      <c r="E632" s="8" t="n">
        <v>10.2648275862069</v>
      </c>
      <c r="F632" s="4" t="n">
        <f aca="false">D632*E632</f>
        <v>297.68</v>
      </c>
      <c r="G632" s="7" t="n">
        <v>15</v>
      </c>
      <c r="H632" s="9" t="n">
        <f aca="false">IF(G632&gt;0,D632/G632,"")</f>
        <v>1.93333333333333</v>
      </c>
      <c r="I632" s="10" t="n">
        <v>46240</v>
      </c>
      <c r="J632" s="3" t="s">
        <v>1154</v>
      </c>
      <c r="K632" s="10" t="n">
        <v>44235</v>
      </c>
      <c r="L632" s="3" t="s">
        <v>14</v>
      </c>
      <c r="M632" s="7" t="n">
        <v>60</v>
      </c>
      <c r="N632" s="8" t="n">
        <v>9.0614</v>
      </c>
      <c r="O632" s="4" t="n">
        <f aca="false">M632*N632</f>
        <v>543.684</v>
      </c>
    </row>
    <row r="633" customFormat="false" ht="15" hidden="false" customHeight="false" outlineLevel="0" collapsed="false">
      <c r="A633" s="0" t="s">
        <v>1155</v>
      </c>
      <c r="C633" s="0" t="s">
        <v>799</v>
      </c>
      <c r="D633" s="7" t="n">
        <v>243</v>
      </c>
      <c r="E633" s="8" t="n">
        <v>1.2220987654321</v>
      </c>
      <c r="F633" s="4" t="n">
        <f aca="false">D633*E633</f>
        <v>296.97</v>
      </c>
      <c r="G633" s="7" t="n">
        <v>29</v>
      </c>
      <c r="H633" s="9" t="n">
        <f aca="false">IF(G633&gt;0,D633/G633,"")</f>
        <v>8.37931034482759</v>
      </c>
      <c r="I633" s="10" t="n">
        <v>46287</v>
      </c>
      <c r="J633" s="3" t="s">
        <v>802</v>
      </c>
      <c r="K633" s="10" t="n">
        <v>45824</v>
      </c>
      <c r="L633" s="3" t="s">
        <v>14</v>
      </c>
      <c r="M633" s="7" t="n">
        <v>330</v>
      </c>
      <c r="N633" s="8" t="n">
        <v>1.2221</v>
      </c>
      <c r="O633" s="4" t="n">
        <f aca="false">M633*N633</f>
        <v>403.293</v>
      </c>
    </row>
    <row r="634" customFormat="false" ht="15" hidden="false" customHeight="false" outlineLevel="0" collapsed="false">
      <c r="A634" s="0" t="s">
        <v>1156</v>
      </c>
      <c r="C634" s="0" t="s">
        <v>295</v>
      </c>
      <c r="D634" s="7" t="n">
        <v>14293</v>
      </c>
      <c r="E634" s="8" t="n">
        <v>0.0207696075001749</v>
      </c>
      <c r="F634" s="4" t="n">
        <f aca="false">D634*E634</f>
        <v>296.86</v>
      </c>
      <c r="G634" s="7" t="n">
        <v>5854</v>
      </c>
      <c r="H634" s="9" t="n">
        <f aca="false">IF(G634&gt;0,D634/G634,"")</f>
        <v>2.4415784079262</v>
      </c>
      <c r="I634" s="10" t="n">
        <v>46238</v>
      </c>
      <c r="J634" s="3" t="s">
        <v>972</v>
      </c>
      <c r="K634" s="10" t="n">
        <v>45840</v>
      </c>
      <c r="L634" s="3" t="s">
        <v>20</v>
      </c>
      <c r="M634" s="7" t="n">
        <v>20000</v>
      </c>
      <c r="N634" s="8" t="n">
        <v>0.02077</v>
      </c>
      <c r="O634" s="4" t="n">
        <f aca="false">M634*N634</f>
        <v>415.4</v>
      </c>
    </row>
    <row r="635" customFormat="false" ht="15" hidden="false" customHeight="false" outlineLevel="0" collapsed="false">
      <c r="A635" s="0" t="s">
        <v>1157</v>
      </c>
      <c r="C635" s="0" t="s">
        <v>34</v>
      </c>
      <c r="D635" s="7" t="n">
        <v>2222</v>
      </c>
      <c r="E635" s="8" t="n">
        <v>0.133298829882988</v>
      </c>
      <c r="F635" s="4" t="n">
        <f aca="false">D635*E635</f>
        <v>296.19</v>
      </c>
      <c r="G635" s="7" t="n">
        <v>544</v>
      </c>
      <c r="H635" s="9" t="n">
        <f aca="false">IF(G635&gt;0,D635/G635,"")</f>
        <v>4.08455882352941</v>
      </c>
      <c r="I635" s="10" t="n">
        <v>46202</v>
      </c>
      <c r="K635" s="10"/>
      <c r="M635" s="7"/>
      <c r="N635" s="8"/>
      <c r="O635" s="4"/>
    </row>
    <row r="636" customFormat="false" ht="15" hidden="false" customHeight="false" outlineLevel="0" collapsed="false">
      <c r="A636" s="0" t="s">
        <v>1158</v>
      </c>
      <c r="C636" s="0" t="s">
        <v>44</v>
      </c>
      <c r="D636" s="7" t="n">
        <v>18</v>
      </c>
      <c r="E636" s="8" t="n">
        <v>16.4327777777778</v>
      </c>
      <c r="F636" s="4" t="n">
        <f aca="false">D636*E636</f>
        <v>295.79</v>
      </c>
      <c r="G636" s="7" t="n">
        <v>12</v>
      </c>
      <c r="H636" s="9" t="n">
        <f aca="false">IF(G636&gt;0,D636/G636,"")</f>
        <v>1.5</v>
      </c>
      <c r="I636" s="10" t="n">
        <v>46241</v>
      </c>
      <c r="J636" s="3" t="s">
        <v>336</v>
      </c>
      <c r="K636" s="10" t="n">
        <v>46245</v>
      </c>
      <c r="L636" s="3" t="s">
        <v>14</v>
      </c>
      <c r="M636" s="7" t="n">
        <v>10</v>
      </c>
      <c r="N636" s="8" t="n">
        <v>16.433</v>
      </c>
      <c r="O636" s="4" t="n">
        <f aca="false">M636*N636</f>
        <v>164.33</v>
      </c>
    </row>
    <row r="637" customFormat="false" ht="15" hidden="false" customHeight="false" outlineLevel="0" collapsed="false">
      <c r="A637" s="0" t="s">
        <v>1159</v>
      </c>
      <c r="C637" s="0" t="s">
        <v>43</v>
      </c>
      <c r="D637" s="7" t="n">
        <v>550</v>
      </c>
      <c r="E637" s="8" t="n">
        <v>0.537709090909091</v>
      </c>
      <c r="F637" s="4" t="n">
        <f aca="false">D637*E637</f>
        <v>295.74</v>
      </c>
      <c r="G637" s="7" t="n">
        <v>279</v>
      </c>
      <c r="H637" s="9" t="n">
        <f aca="false">IF(G637&gt;0,D637/G637,"")</f>
        <v>1.97132616487455</v>
      </c>
      <c r="I637" s="10" t="n">
        <v>46265</v>
      </c>
      <c r="J637" s="3" t="s">
        <v>1112</v>
      </c>
      <c r="K637" s="10" t="n">
        <v>45614</v>
      </c>
      <c r="L637" s="3" t="s">
        <v>14</v>
      </c>
      <c r="M637" s="7" t="n">
        <v>1000</v>
      </c>
      <c r="N637" s="8" t="n">
        <v>0.5377</v>
      </c>
      <c r="O637" s="4" t="n">
        <f aca="false">M637*N637</f>
        <v>537.7</v>
      </c>
    </row>
    <row r="638" customFormat="false" ht="15" hidden="false" customHeight="false" outlineLevel="0" collapsed="false">
      <c r="A638" s="0" t="s">
        <v>1160</v>
      </c>
      <c r="C638" s="0" t="s">
        <v>1161</v>
      </c>
      <c r="D638" s="7" t="n">
        <v>1141</v>
      </c>
      <c r="E638" s="8" t="n">
        <v>0.259097283085013</v>
      </c>
      <c r="F638" s="4" t="n">
        <f aca="false">D638*E638</f>
        <v>295.63</v>
      </c>
      <c r="G638" s="7" t="n">
        <v>330</v>
      </c>
      <c r="H638" s="9" t="n">
        <f aca="false">IF(G638&gt;0,D638/G638,"")</f>
        <v>3.45757575757576</v>
      </c>
      <c r="I638" s="10" t="n">
        <v>46308</v>
      </c>
      <c r="J638" s="3" t="s">
        <v>1162</v>
      </c>
      <c r="K638" s="10" t="n">
        <v>46127</v>
      </c>
      <c r="L638" s="3" t="s">
        <v>936</v>
      </c>
      <c r="M638" s="7" t="n">
        <v>1351</v>
      </c>
      <c r="N638" s="8" t="n">
        <v>0.2591</v>
      </c>
      <c r="O638" s="4" t="n">
        <f aca="false">M638*N638</f>
        <v>350.0441</v>
      </c>
    </row>
    <row r="639" customFormat="false" ht="15" hidden="false" customHeight="false" outlineLevel="0" collapsed="false">
      <c r="A639" s="0" t="s">
        <v>1163</v>
      </c>
      <c r="C639" s="0" t="s">
        <v>497</v>
      </c>
      <c r="D639" s="7" t="n">
        <v>4372</v>
      </c>
      <c r="E639" s="8" t="n">
        <v>0.0675709057639524</v>
      </c>
      <c r="F639" s="4" t="n">
        <f aca="false">D639*E639</f>
        <v>295.42</v>
      </c>
      <c r="G639" s="7" t="n">
        <v>632</v>
      </c>
      <c r="H639" s="9" t="n">
        <f aca="false">IF(G639&gt;0,D639/G639,"")</f>
        <v>6.91772151898734</v>
      </c>
      <c r="I639" s="10" t="n">
        <v>46315</v>
      </c>
      <c r="J639" s="3" t="s">
        <v>498</v>
      </c>
      <c r="K639" s="10" t="n">
        <v>46094</v>
      </c>
      <c r="L639" s="3" t="s">
        <v>15</v>
      </c>
      <c r="M639" s="7" t="n">
        <v>4745</v>
      </c>
      <c r="N639" s="8" t="n">
        <v>0.06757</v>
      </c>
      <c r="O639" s="4" t="n">
        <f aca="false">M639*N639</f>
        <v>320.61965</v>
      </c>
    </row>
    <row r="640" customFormat="false" ht="15" hidden="false" customHeight="false" outlineLevel="0" collapsed="false">
      <c r="A640" s="0" t="s">
        <v>1164</v>
      </c>
      <c r="C640" s="0" t="s">
        <v>36</v>
      </c>
      <c r="D640" s="7" t="n">
        <v>5724</v>
      </c>
      <c r="E640" s="8" t="n">
        <v>0.0515985324947589</v>
      </c>
      <c r="F640" s="4" t="n">
        <f aca="false">D640*E640</f>
        <v>295.35</v>
      </c>
      <c r="G640" s="7" t="n">
        <v>652</v>
      </c>
      <c r="H640" s="9" t="n">
        <f aca="false">IF(G640&gt;0,D640/G640,"")</f>
        <v>8.77914110429448</v>
      </c>
      <c r="I640" s="10" t="n">
        <v>46248</v>
      </c>
      <c r="J640" s="3" t="s">
        <v>1165</v>
      </c>
      <c r="K640" s="10" t="n">
        <v>44285</v>
      </c>
      <c r="L640" s="3" t="s">
        <v>465</v>
      </c>
      <c r="M640" s="7" t="n">
        <v>7036</v>
      </c>
      <c r="N640" s="8" t="n">
        <v>0.0516</v>
      </c>
      <c r="O640" s="4" t="n">
        <f aca="false">M640*N640</f>
        <v>363.0576</v>
      </c>
    </row>
    <row r="641" customFormat="false" ht="15" hidden="false" customHeight="false" outlineLevel="0" collapsed="false">
      <c r="A641" s="0" t="s">
        <v>1166</v>
      </c>
      <c r="C641" s="0" t="s">
        <v>378</v>
      </c>
      <c r="D641" s="7" t="n">
        <v>826</v>
      </c>
      <c r="E641" s="8" t="n">
        <v>0.357203389830509</v>
      </c>
      <c r="F641" s="4" t="n">
        <f aca="false">D641*E641</f>
        <v>295.05</v>
      </c>
      <c r="G641" s="7" t="n">
        <v>4</v>
      </c>
      <c r="H641" s="9" t="n">
        <f aca="false">IF(G641&gt;0,D641/G641,"")</f>
        <v>206.5</v>
      </c>
      <c r="I641" s="10" t="n">
        <v>46251</v>
      </c>
      <c r="J641" s="3" t="s">
        <v>1167</v>
      </c>
      <c r="K641" s="10" t="n">
        <v>44221</v>
      </c>
      <c r="L641" s="3" t="s">
        <v>14</v>
      </c>
      <c r="M641" s="7" t="n">
        <v>1000</v>
      </c>
      <c r="N641" s="8" t="n">
        <v>0.3572</v>
      </c>
      <c r="O641" s="4" t="n">
        <f aca="false">M641*N641</f>
        <v>357.2</v>
      </c>
    </row>
    <row r="642" customFormat="false" ht="15" hidden="false" customHeight="false" outlineLevel="0" collapsed="false">
      <c r="A642" s="0" t="s">
        <v>1168</v>
      </c>
      <c r="C642" s="0" t="s">
        <v>1169</v>
      </c>
      <c r="D642" s="7" t="n">
        <v>2871</v>
      </c>
      <c r="E642" s="8" t="n">
        <v>0.102598397770812</v>
      </c>
      <c r="F642" s="4" t="n">
        <f aca="false">D642*E642</f>
        <v>294.56</v>
      </c>
      <c r="G642" s="7" t="n">
        <v>44</v>
      </c>
      <c r="H642" s="9" t="n">
        <f aca="false">IF(G642&gt;0,D642/G642,"")</f>
        <v>65.25</v>
      </c>
      <c r="I642" s="10" t="n">
        <v>46133</v>
      </c>
      <c r="J642" s="3" t="s">
        <v>1170</v>
      </c>
      <c r="K642" s="10" t="n">
        <v>45398</v>
      </c>
      <c r="L642" s="3" t="s">
        <v>21</v>
      </c>
      <c r="M642" s="7" t="n">
        <v>2500</v>
      </c>
      <c r="N642" s="8" t="n">
        <v>0.072</v>
      </c>
      <c r="O642" s="4" t="n">
        <f aca="false">M642*N642</f>
        <v>180</v>
      </c>
    </row>
    <row r="643" customFormat="false" ht="15" hidden="false" customHeight="false" outlineLevel="0" collapsed="false">
      <c r="A643" s="0" t="s">
        <v>1171</v>
      </c>
      <c r="C643" s="0" t="s">
        <v>32</v>
      </c>
      <c r="D643" s="7" t="n">
        <v>2192</v>
      </c>
      <c r="E643" s="8" t="n">
        <v>0.134370437956204</v>
      </c>
      <c r="F643" s="4" t="n">
        <f aca="false">D643*E643</f>
        <v>294.54</v>
      </c>
      <c r="G643" s="7" t="n">
        <v>459</v>
      </c>
      <c r="H643" s="9" t="n">
        <f aca="false">IF(G643&gt;0,D643/G643,"")</f>
        <v>4.77559912854031</v>
      </c>
      <c r="I643" s="10" t="n">
        <v>46279</v>
      </c>
      <c r="J643" s="3" t="s">
        <v>1172</v>
      </c>
      <c r="K643" s="10" t="n">
        <v>46063</v>
      </c>
      <c r="L643" s="3" t="s">
        <v>18</v>
      </c>
      <c r="M643" s="7" t="n">
        <v>2046</v>
      </c>
      <c r="N643" s="8" t="n">
        <v>0.1347</v>
      </c>
      <c r="O643" s="4" t="n">
        <f aca="false">M643*N643</f>
        <v>275.5962</v>
      </c>
    </row>
    <row r="644" customFormat="false" ht="15" hidden="false" customHeight="false" outlineLevel="0" collapsed="false">
      <c r="A644" s="0" t="s">
        <v>1173</v>
      </c>
      <c r="C644" s="0" t="s">
        <v>609</v>
      </c>
      <c r="D644" s="7" t="n">
        <v>226</v>
      </c>
      <c r="E644" s="8" t="n">
        <v>1.30234513274336</v>
      </c>
      <c r="F644" s="4" t="n">
        <f aca="false">D644*E644</f>
        <v>294.33</v>
      </c>
      <c r="G644" s="7" t="n">
        <v>3</v>
      </c>
      <c r="H644" s="9" t="n">
        <f aca="false">IF(G644&gt;0,D644/G644,"")</f>
        <v>75.3333333333333</v>
      </c>
      <c r="I644" s="10" t="n">
        <v>46146</v>
      </c>
      <c r="J644" s="3" t="s">
        <v>1174</v>
      </c>
      <c r="K644" s="10" t="n">
        <v>44362</v>
      </c>
      <c r="L644" s="3" t="s">
        <v>1175</v>
      </c>
      <c r="M644" s="7" t="n">
        <v>20</v>
      </c>
      <c r="N644" s="8" t="n">
        <v>2.3405</v>
      </c>
      <c r="O644" s="4" t="n">
        <f aca="false">M644*N644</f>
        <v>46.81</v>
      </c>
    </row>
    <row r="645" customFormat="false" ht="15" hidden="false" customHeight="false" outlineLevel="0" collapsed="false">
      <c r="A645" s="0" t="s">
        <v>1176</v>
      </c>
      <c r="C645" s="0" t="s">
        <v>33</v>
      </c>
      <c r="D645" s="7" t="n">
        <v>2618</v>
      </c>
      <c r="E645" s="8" t="n">
        <v>0.112398777692895</v>
      </c>
      <c r="F645" s="4" t="n">
        <f aca="false">D645*E645</f>
        <v>294.26</v>
      </c>
      <c r="G645" s="7" t="n">
        <v>1656</v>
      </c>
      <c r="H645" s="9" t="n">
        <f aca="false">IF(G645&gt;0,D645/G645,"")</f>
        <v>1.58091787439614</v>
      </c>
      <c r="I645" s="10" t="n">
        <v>46259</v>
      </c>
      <c r="J645" s="3" t="s">
        <v>1177</v>
      </c>
      <c r="K645" s="10" t="n">
        <v>45719</v>
      </c>
      <c r="L645" s="3" t="s">
        <v>18</v>
      </c>
      <c r="M645" s="7" t="n">
        <v>5100</v>
      </c>
      <c r="N645" s="8" t="n">
        <v>0.1124</v>
      </c>
      <c r="O645" s="4" t="n">
        <f aca="false">M645*N645</f>
        <v>573.24</v>
      </c>
    </row>
    <row r="646" customFormat="false" ht="15" hidden="false" customHeight="false" outlineLevel="0" collapsed="false">
      <c r="A646" s="0" t="s">
        <v>1178</v>
      </c>
      <c r="C646" s="0" t="s">
        <v>35</v>
      </c>
      <c r="D646" s="7" t="n">
        <v>26</v>
      </c>
      <c r="E646" s="8" t="n">
        <v>11.3088461538462</v>
      </c>
      <c r="F646" s="4" t="n">
        <f aca="false">D646*E646</f>
        <v>294.03</v>
      </c>
      <c r="G646" s="7" t="n">
        <v>1</v>
      </c>
      <c r="H646" s="9" t="n">
        <f aca="false">IF(G646&gt;0,D646/G646,"")</f>
        <v>26</v>
      </c>
      <c r="I646" s="10" t="n">
        <v>45987</v>
      </c>
      <c r="J646" s="3" t="s">
        <v>1179</v>
      </c>
      <c r="K646" s="10" t="n">
        <v>45869</v>
      </c>
      <c r="L646" s="3" t="s">
        <v>26</v>
      </c>
      <c r="M646" s="7" t="n">
        <v>1</v>
      </c>
      <c r="N646" s="8" t="n">
        <v>35.4537</v>
      </c>
      <c r="O646" s="4" t="n">
        <f aca="false">M646*N646</f>
        <v>35.4537</v>
      </c>
    </row>
    <row r="647" customFormat="false" ht="15" hidden="false" customHeight="false" outlineLevel="0" collapsed="false">
      <c r="A647" s="0" t="s">
        <v>1180</v>
      </c>
      <c r="C647" s="0" t="s">
        <v>715</v>
      </c>
      <c r="D647" s="7" t="n">
        <v>35512</v>
      </c>
      <c r="E647" s="8" t="n">
        <v>0.00827973642712323</v>
      </c>
      <c r="F647" s="4" t="n">
        <f aca="false">D647*E647</f>
        <v>294.03</v>
      </c>
      <c r="G647" s="7" t="n">
        <v>345</v>
      </c>
      <c r="H647" s="9" t="n">
        <f aca="false">IF(G647&gt;0,D647/G647,"")</f>
        <v>102.933333333333</v>
      </c>
      <c r="I647" s="10" t="n">
        <v>46171</v>
      </c>
      <c r="J647" s="3" t="s">
        <v>219</v>
      </c>
      <c r="K647" s="10" t="n">
        <v>45642</v>
      </c>
      <c r="L647" s="3" t="s">
        <v>15</v>
      </c>
      <c r="M647" s="7" t="n">
        <v>37400</v>
      </c>
      <c r="N647" s="8" t="n">
        <v>0.00828</v>
      </c>
      <c r="O647" s="4" t="n">
        <f aca="false">M647*N647</f>
        <v>309.672</v>
      </c>
    </row>
    <row r="648" customFormat="false" ht="15" hidden="false" customHeight="false" outlineLevel="0" collapsed="false">
      <c r="A648" s="0" t="s">
        <v>1181</v>
      </c>
      <c r="C648" s="0" t="s">
        <v>438</v>
      </c>
      <c r="D648" s="7" t="n">
        <v>60</v>
      </c>
      <c r="E648" s="8" t="n">
        <v>4.9</v>
      </c>
      <c r="F648" s="4" t="n">
        <f aca="false">D648*E648</f>
        <v>294</v>
      </c>
      <c r="G648" s="7" t="n">
        <v>45</v>
      </c>
      <c r="H648" s="9" t="n">
        <f aca="false">IF(G648&gt;0,D648/G648,"")</f>
        <v>1.33333333333333</v>
      </c>
      <c r="I648" s="10" t="n">
        <v>46204</v>
      </c>
      <c r="J648" s="3" t="s">
        <v>160</v>
      </c>
      <c r="K648" s="10" t="n">
        <v>46219</v>
      </c>
      <c r="L648" s="3" t="s">
        <v>14</v>
      </c>
      <c r="M648" s="7" t="n">
        <v>60</v>
      </c>
      <c r="N648" s="8" t="n">
        <v>4.9</v>
      </c>
      <c r="O648" s="4" t="n">
        <f aca="false">M648*N648</f>
        <v>294</v>
      </c>
    </row>
    <row r="649" customFormat="false" ht="15" hidden="false" customHeight="false" outlineLevel="0" collapsed="false">
      <c r="A649" s="0" t="s">
        <v>1182</v>
      </c>
      <c r="C649" s="0" t="s">
        <v>40</v>
      </c>
      <c r="D649" s="7" t="n">
        <v>7634</v>
      </c>
      <c r="E649" s="8" t="n">
        <v>0.0385001309929264</v>
      </c>
      <c r="F649" s="4" t="n">
        <f aca="false">D649*E649</f>
        <v>293.91</v>
      </c>
      <c r="G649" s="7" t="n">
        <v>945</v>
      </c>
      <c r="H649" s="9" t="n">
        <f aca="false">IF(G649&gt;0,D649/G649,"")</f>
        <v>8.07830687830688</v>
      </c>
      <c r="I649" s="10" t="n">
        <v>46294</v>
      </c>
      <c r="J649" s="3" t="s">
        <v>1183</v>
      </c>
      <c r="K649" s="10" t="n">
        <v>44679</v>
      </c>
      <c r="L649" s="3" t="s">
        <v>18</v>
      </c>
      <c r="M649" s="7" t="n">
        <v>10024</v>
      </c>
      <c r="N649" s="8" t="n">
        <v>0.0385</v>
      </c>
      <c r="O649" s="4" t="n">
        <f aca="false">M649*N649</f>
        <v>385.924</v>
      </c>
    </row>
    <row r="650" customFormat="false" ht="15" hidden="false" customHeight="false" outlineLevel="0" collapsed="false">
      <c r="A650" s="0" t="s">
        <v>1184</v>
      </c>
      <c r="C650" s="0" t="s">
        <v>38</v>
      </c>
      <c r="D650" s="7" t="n">
        <v>2234</v>
      </c>
      <c r="E650" s="8" t="n">
        <v>0.131378692927484</v>
      </c>
      <c r="F650" s="4" t="n">
        <f aca="false">D650*E650</f>
        <v>293.5</v>
      </c>
      <c r="G650" s="7" t="n">
        <v>92</v>
      </c>
      <c r="H650" s="9" t="n">
        <f aca="false">IF(G650&gt;0,D650/G650,"")</f>
        <v>24.2826086956522</v>
      </c>
      <c r="I650" s="10" t="n">
        <v>46269</v>
      </c>
      <c r="J650" s="3" t="s">
        <v>1185</v>
      </c>
      <c r="K650" s="10" t="n">
        <v>44349</v>
      </c>
      <c r="L650" s="3" t="s">
        <v>465</v>
      </c>
      <c r="M650" s="7" t="n">
        <v>1825</v>
      </c>
      <c r="N650" s="8" t="n">
        <v>0.1431</v>
      </c>
      <c r="O650" s="4" t="n">
        <f aca="false">M650*N650</f>
        <v>261.1575</v>
      </c>
    </row>
    <row r="651" customFormat="false" ht="15" hidden="false" customHeight="false" outlineLevel="0" collapsed="false">
      <c r="A651" s="0" t="s">
        <v>1186</v>
      </c>
      <c r="C651" s="0" t="s">
        <v>285</v>
      </c>
      <c r="D651" s="7" t="n">
        <v>2957</v>
      </c>
      <c r="E651" s="8" t="n">
        <v>0.0990632397700372</v>
      </c>
      <c r="F651" s="4" t="n">
        <f aca="false">D651*E651</f>
        <v>292.93</v>
      </c>
      <c r="G651" s="7" t="n">
        <v>34</v>
      </c>
      <c r="H651" s="9" t="n">
        <f aca="false">IF(G651&gt;0,D651/G651,"")</f>
        <v>86.9705882352941</v>
      </c>
      <c r="I651" s="10" t="n">
        <v>46139</v>
      </c>
      <c r="J651" s="3" t="s">
        <v>1187</v>
      </c>
      <c r="K651" s="10" t="n">
        <v>45814</v>
      </c>
      <c r="L651" s="3" t="s">
        <v>20</v>
      </c>
      <c r="M651" s="7" t="n">
        <v>3030</v>
      </c>
      <c r="N651" s="8" t="n">
        <v>0.09907</v>
      </c>
      <c r="O651" s="4" t="n">
        <f aca="false">M651*N651</f>
        <v>300.1821</v>
      </c>
    </row>
    <row r="652" customFormat="false" ht="15" hidden="false" customHeight="false" outlineLevel="0" collapsed="false">
      <c r="A652" s="0" t="s">
        <v>1188</v>
      </c>
      <c r="C652" s="0" t="s">
        <v>44</v>
      </c>
      <c r="D652" s="7" t="n">
        <v>54</v>
      </c>
      <c r="E652" s="8" t="n">
        <v>5.40814814814815</v>
      </c>
      <c r="F652" s="4" t="n">
        <f aca="false">D652*E652</f>
        <v>292.04</v>
      </c>
      <c r="G652" s="7" t="n">
        <v>6</v>
      </c>
      <c r="H652" s="9" t="n">
        <f aca="false">IF(G652&gt;0,D652/G652,"")</f>
        <v>9</v>
      </c>
      <c r="I652" s="10" t="n">
        <v>46195</v>
      </c>
      <c r="J652" s="3" t="s">
        <v>1189</v>
      </c>
      <c r="K652" s="10" t="n">
        <v>44811</v>
      </c>
      <c r="L652" s="3" t="s">
        <v>14</v>
      </c>
      <c r="M652" s="7" t="n">
        <v>100</v>
      </c>
      <c r="N652" s="8" t="n">
        <v>5.4082</v>
      </c>
      <c r="O652" s="4" t="n">
        <f aca="false">M652*N652</f>
        <v>540.82</v>
      </c>
    </row>
    <row r="653" customFormat="false" ht="15" hidden="false" customHeight="false" outlineLevel="0" collapsed="false">
      <c r="A653" s="0" t="s">
        <v>1190</v>
      </c>
      <c r="C653" s="0" t="s">
        <v>32</v>
      </c>
      <c r="D653" s="7" t="n">
        <v>430597</v>
      </c>
      <c r="E653" s="8" t="n">
        <v>0.000677083212377234</v>
      </c>
      <c r="F653" s="4" t="n">
        <f aca="false">D653*E653</f>
        <v>291.55</v>
      </c>
      <c r="G653" s="7" t="n">
        <v>297011</v>
      </c>
      <c r="H653" s="9" t="n">
        <f aca="false">IF(G653&gt;0,D653/G653,"")</f>
        <v>1.44976785371586</v>
      </c>
      <c r="I653" s="10" t="n">
        <v>46316</v>
      </c>
      <c r="J653" s="3" t="s">
        <v>1177</v>
      </c>
      <c r="K653" s="10" t="n">
        <v>45719</v>
      </c>
      <c r="L653" s="3" t="s">
        <v>18</v>
      </c>
      <c r="M653" s="7" t="n">
        <v>375374</v>
      </c>
      <c r="N653" s="8" t="n">
        <v>0.0027</v>
      </c>
      <c r="O653" s="4" t="n">
        <f aca="false">M653*N653</f>
        <v>1013.5098</v>
      </c>
    </row>
    <row r="654" customFormat="false" ht="15" hidden="false" customHeight="false" outlineLevel="0" collapsed="false">
      <c r="A654" s="0" t="s">
        <v>1191</v>
      </c>
      <c r="C654" s="0" t="s">
        <v>360</v>
      </c>
      <c r="D654" s="7" t="n">
        <v>3577</v>
      </c>
      <c r="E654" s="8" t="n">
        <v>0.0814397539837853</v>
      </c>
      <c r="F654" s="4" t="n">
        <f aca="false">D654*E654</f>
        <v>291.31</v>
      </c>
      <c r="G654" s="7" t="n">
        <v>29</v>
      </c>
      <c r="H654" s="9" t="n">
        <f aca="false">IF(G654&gt;0,D654/G654,"")</f>
        <v>123.344827586207</v>
      </c>
      <c r="I654" s="10" t="n">
        <v>46302</v>
      </c>
      <c r="J654" s="3" t="s">
        <v>1192</v>
      </c>
      <c r="K654" s="10" t="n">
        <v>45736</v>
      </c>
      <c r="L654" s="3" t="s">
        <v>26</v>
      </c>
      <c r="M654" s="7" t="n">
        <v>400</v>
      </c>
      <c r="N654" s="8" t="n">
        <v>0.2075</v>
      </c>
      <c r="O654" s="4" t="n">
        <f aca="false">M654*N654</f>
        <v>83</v>
      </c>
    </row>
    <row r="655" customFormat="false" ht="15" hidden="false" customHeight="false" outlineLevel="0" collapsed="false">
      <c r="A655" s="0" t="s">
        <v>1193</v>
      </c>
      <c r="C655" s="0" t="s">
        <v>378</v>
      </c>
      <c r="D655" s="7" t="n">
        <v>1322</v>
      </c>
      <c r="E655" s="8" t="n">
        <v>0.220204236006051</v>
      </c>
      <c r="F655" s="4" t="n">
        <f aca="false">D655*E655</f>
        <v>291.11</v>
      </c>
      <c r="G655" s="7" t="n">
        <v>3</v>
      </c>
      <c r="H655" s="9" t="n">
        <f aca="false">IF(G655&gt;0,D655/G655,"")</f>
        <v>440.666666666667</v>
      </c>
      <c r="I655" s="10" t="n">
        <v>46294</v>
      </c>
      <c r="J655" s="3" t="s">
        <v>1194</v>
      </c>
      <c r="K655" s="10" t="n">
        <v>44250</v>
      </c>
      <c r="L655" s="3" t="s">
        <v>14</v>
      </c>
      <c r="M655" s="7" t="n">
        <v>1375</v>
      </c>
      <c r="N655" s="8" t="n">
        <v>0.2202</v>
      </c>
      <c r="O655" s="4" t="n">
        <f aca="false">M655*N655</f>
        <v>302.775</v>
      </c>
    </row>
    <row r="656" customFormat="false" ht="15" hidden="false" customHeight="false" outlineLevel="0" collapsed="false">
      <c r="A656" s="0" t="s">
        <v>1195</v>
      </c>
      <c r="C656" s="0" t="s">
        <v>45</v>
      </c>
      <c r="D656" s="7" t="n">
        <v>194</v>
      </c>
      <c r="E656" s="8" t="n">
        <v>1.49969072164949</v>
      </c>
      <c r="F656" s="4" t="n">
        <f aca="false">D656*E656</f>
        <v>290.94</v>
      </c>
      <c r="G656" s="7" t="n">
        <v>154</v>
      </c>
      <c r="H656" s="9" t="n">
        <f aca="false">IF(G656&gt;0,D656/G656,"")</f>
        <v>1.25974025974026</v>
      </c>
      <c r="I656" s="10" t="n">
        <v>46079</v>
      </c>
      <c r="J656" s="3" t="s">
        <v>1196</v>
      </c>
      <c r="K656" s="10" t="n">
        <v>45940</v>
      </c>
      <c r="L656" s="3" t="s">
        <v>14</v>
      </c>
      <c r="M656" s="7" t="n">
        <v>270</v>
      </c>
      <c r="N656" s="8" t="n">
        <v>1.4997</v>
      </c>
      <c r="O656" s="4" t="n">
        <f aca="false">M656*N656</f>
        <v>404.919</v>
      </c>
    </row>
    <row r="657" customFormat="false" ht="15" hidden="false" customHeight="false" outlineLevel="0" collapsed="false">
      <c r="A657" s="0" t="s">
        <v>1197</v>
      </c>
      <c r="C657" s="0" t="s">
        <v>79</v>
      </c>
      <c r="D657" s="7" t="n">
        <v>690</v>
      </c>
      <c r="E657" s="8" t="n">
        <v>0.421492753623188</v>
      </c>
      <c r="F657" s="4" t="n">
        <f aca="false">D657*E657</f>
        <v>290.83</v>
      </c>
      <c r="G657" s="7" t="n">
        <v>240</v>
      </c>
      <c r="H657" s="9" t="n">
        <f aca="false">IF(G657&gt;0,D657/G657,"")</f>
        <v>2.875</v>
      </c>
      <c r="I657" s="10" t="n">
        <v>46106</v>
      </c>
      <c r="J657" s="3" t="s">
        <v>1198</v>
      </c>
      <c r="K657" s="10" t="n">
        <v>45689</v>
      </c>
      <c r="L657" s="3" t="s">
        <v>16</v>
      </c>
      <c r="M657" s="7" t="n">
        <v>1311</v>
      </c>
      <c r="N657" s="8" t="n">
        <v>0.4215</v>
      </c>
      <c r="O657" s="4" t="n">
        <f aca="false">M657*N657</f>
        <v>552.5865</v>
      </c>
    </row>
    <row r="658" customFormat="false" ht="15" hidden="false" customHeight="false" outlineLevel="0" collapsed="false">
      <c r="A658" s="0" t="s">
        <v>1199</v>
      </c>
      <c r="C658" s="0" t="s">
        <v>31</v>
      </c>
      <c r="D658" s="7" t="n">
        <v>35874</v>
      </c>
      <c r="E658" s="8" t="n">
        <v>0.00810085298544907</v>
      </c>
      <c r="F658" s="4" t="n">
        <f aca="false">D658*E658</f>
        <v>290.61</v>
      </c>
      <c r="G658" s="7" t="n">
        <v>1084</v>
      </c>
      <c r="H658" s="9" t="n">
        <f aca="false">IF(G658&gt;0,D658/G658,"")</f>
        <v>33.0940959409594</v>
      </c>
      <c r="I658" s="10" t="n">
        <v>46261</v>
      </c>
      <c r="J658" s="3" t="s">
        <v>1200</v>
      </c>
      <c r="K658" s="10" t="n">
        <v>44805</v>
      </c>
      <c r="L658" s="3" t="s">
        <v>16</v>
      </c>
      <c r="M658" s="7" t="n">
        <v>47326</v>
      </c>
      <c r="N658" s="8" t="n">
        <v>0.0081</v>
      </c>
      <c r="O658" s="4" t="n">
        <f aca="false">M658*N658</f>
        <v>383.3406</v>
      </c>
    </row>
    <row r="659" customFormat="false" ht="15" hidden="false" customHeight="false" outlineLevel="0" collapsed="false">
      <c r="A659" s="0" t="s">
        <v>1201</v>
      </c>
      <c r="C659" s="0" t="s">
        <v>741</v>
      </c>
      <c r="D659" s="7" t="n">
        <v>267</v>
      </c>
      <c r="E659" s="8" t="n">
        <v>1.08831460674157</v>
      </c>
      <c r="F659" s="4" t="n">
        <f aca="false">D659*E659</f>
        <v>290.58</v>
      </c>
      <c r="G659" s="7" t="n">
        <v>3</v>
      </c>
      <c r="H659" s="9" t="n">
        <f aca="false">IF(G659&gt;0,D659/G659,"")</f>
        <v>89</v>
      </c>
      <c r="I659" s="10" t="n">
        <v>46294</v>
      </c>
      <c r="J659" s="3" t="s">
        <v>1202</v>
      </c>
      <c r="K659" s="10" t="n">
        <v>44316</v>
      </c>
      <c r="L659" s="3" t="s">
        <v>14</v>
      </c>
      <c r="M659" s="7" t="n">
        <v>276</v>
      </c>
      <c r="N659" s="8" t="n">
        <v>1.0883</v>
      </c>
      <c r="O659" s="4" t="n">
        <f aca="false">M659*N659</f>
        <v>300.3708</v>
      </c>
    </row>
    <row r="660" customFormat="false" ht="15" hidden="false" customHeight="false" outlineLevel="0" collapsed="false">
      <c r="A660" s="0" t="s">
        <v>1203</v>
      </c>
      <c r="C660" s="0" t="s">
        <v>497</v>
      </c>
      <c r="D660" s="7" t="n">
        <v>16295</v>
      </c>
      <c r="E660" s="8" t="n">
        <v>0.0178300092052777</v>
      </c>
      <c r="F660" s="4" t="n">
        <f aca="false">D660*E660</f>
        <v>290.54</v>
      </c>
      <c r="G660" s="7" t="n">
        <v>255</v>
      </c>
      <c r="H660" s="9" t="n">
        <f aca="false">IF(G660&gt;0,D660/G660,"")</f>
        <v>63.9019607843137</v>
      </c>
      <c r="I660" s="10" t="n">
        <v>46083</v>
      </c>
      <c r="J660" s="3" t="s">
        <v>1204</v>
      </c>
      <c r="K660" s="10" t="n">
        <v>45840</v>
      </c>
      <c r="L660" s="3" t="s">
        <v>15</v>
      </c>
      <c r="M660" s="7" t="n">
        <v>14000</v>
      </c>
      <c r="N660" s="8" t="n">
        <v>0.01783</v>
      </c>
      <c r="O660" s="4" t="n">
        <f aca="false">M660*N660</f>
        <v>249.62</v>
      </c>
    </row>
    <row r="661" customFormat="false" ht="15" hidden="false" customHeight="false" outlineLevel="0" collapsed="false">
      <c r="A661" s="0" t="s">
        <v>1205</v>
      </c>
      <c r="C661" s="0" t="s">
        <v>438</v>
      </c>
      <c r="D661" s="7" t="n">
        <v>489</v>
      </c>
      <c r="E661" s="8" t="n">
        <v>0.5940081799591</v>
      </c>
      <c r="F661" s="4" t="n">
        <f aca="false">D661*E661</f>
        <v>290.47</v>
      </c>
      <c r="G661" s="7" t="n">
        <v>25</v>
      </c>
      <c r="H661" s="9" t="n">
        <f aca="false">IF(G661&gt;0,D661/G661,"")</f>
        <v>19.56</v>
      </c>
      <c r="I661" s="10" t="n">
        <v>46202</v>
      </c>
      <c r="J661" s="3" t="s">
        <v>1206</v>
      </c>
      <c r="K661" s="10" t="n">
        <v>46064</v>
      </c>
      <c r="L661" s="3" t="s">
        <v>27</v>
      </c>
      <c r="M661" s="7" t="n">
        <v>500</v>
      </c>
      <c r="N661" s="8" t="n">
        <v>0.5962</v>
      </c>
      <c r="O661" s="4" t="n">
        <f aca="false">M661*N661</f>
        <v>298.1</v>
      </c>
    </row>
    <row r="662" customFormat="false" ht="15" hidden="false" customHeight="false" outlineLevel="0" collapsed="false">
      <c r="A662" s="0" t="s">
        <v>1207</v>
      </c>
      <c r="C662" s="0" t="s">
        <v>1169</v>
      </c>
      <c r="D662" s="7" t="n">
        <v>2785</v>
      </c>
      <c r="E662" s="8" t="n">
        <v>0.10427289048474</v>
      </c>
      <c r="F662" s="4" t="n">
        <f aca="false">D662*E662</f>
        <v>290.4</v>
      </c>
      <c r="G662" s="7" t="n">
        <v>40</v>
      </c>
      <c r="H662" s="9" t="n">
        <f aca="false">IF(G662&gt;0,D662/G662,"")</f>
        <v>69.625</v>
      </c>
      <c r="I662" s="10" t="n">
        <v>46133</v>
      </c>
      <c r="J662" s="3" t="s">
        <v>1170</v>
      </c>
      <c r="K662" s="10" t="n">
        <v>45398</v>
      </c>
      <c r="L662" s="3" t="s">
        <v>21</v>
      </c>
      <c r="M662" s="7" t="n">
        <v>2500</v>
      </c>
      <c r="N662" s="8" t="n">
        <v>0.075</v>
      </c>
      <c r="O662" s="4" t="n">
        <f aca="false">M662*N662</f>
        <v>187.5</v>
      </c>
    </row>
    <row r="663" customFormat="false" ht="15" hidden="false" customHeight="false" outlineLevel="0" collapsed="false">
      <c r="A663" s="0" t="s">
        <v>1208</v>
      </c>
      <c r="C663" s="0" t="s">
        <v>31</v>
      </c>
      <c r="D663" s="7" t="n">
        <v>139636</v>
      </c>
      <c r="E663" s="8" t="n">
        <v>0.00207861869431952</v>
      </c>
      <c r="F663" s="4" t="n">
        <f aca="false">D663*E663</f>
        <v>290.25</v>
      </c>
      <c r="G663" s="7" t="n">
        <v>13845</v>
      </c>
      <c r="H663" s="9" t="n">
        <f aca="false">IF(G663&gt;0,D663/G663,"")</f>
        <v>10.0856626941134</v>
      </c>
      <c r="I663" s="10" t="n">
        <v>46314</v>
      </c>
      <c r="J663" s="3" t="s">
        <v>1209</v>
      </c>
      <c r="K663" s="10" t="n">
        <v>45993</v>
      </c>
      <c r="L663" s="3" t="s">
        <v>16</v>
      </c>
      <c r="M663" s="7" t="n">
        <v>75000</v>
      </c>
      <c r="N663" s="8" t="n">
        <v>0.002</v>
      </c>
      <c r="O663" s="4" t="n">
        <f aca="false">M663*N663</f>
        <v>150</v>
      </c>
    </row>
    <row r="664" customFormat="false" ht="15" hidden="false" customHeight="false" outlineLevel="0" collapsed="false">
      <c r="A664" s="0" t="s">
        <v>1210</v>
      </c>
      <c r="C664" s="0" t="s">
        <v>31</v>
      </c>
      <c r="D664" s="7" t="n">
        <v>51820</v>
      </c>
      <c r="E664" s="8" t="n">
        <v>0.00559996140486299</v>
      </c>
      <c r="F664" s="4" t="n">
        <f aca="false">D664*E664</f>
        <v>290.19</v>
      </c>
      <c r="G664" s="7" t="n">
        <v>12186</v>
      </c>
      <c r="H664" s="9" t="n">
        <f aca="false">IF(G664&gt;0,D664/G664,"")</f>
        <v>4.25242081076645</v>
      </c>
      <c r="I664" s="10" t="n">
        <v>46309</v>
      </c>
      <c r="J664" s="3" t="s">
        <v>1211</v>
      </c>
      <c r="K664" s="10" t="n">
        <v>45750</v>
      </c>
      <c r="L664" s="3" t="s">
        <v>26</v>
      </c>
      <c r="M664" s="7" t="n">
        <v>1500</v>
      </c>
      <c r="N664" s="8" t="n">
        <v>0.0159</v>
      </c>
      <c r="O664" s="4" t="n">
        <f aca="false">M664*N664</f>
        <v>23.85</v>
      </c>
    </row>
    <row r="665" customFormat="false" ht="15" hidden="false" customHeight="false" outlineLevel="0" collapsed="false">
      <c r="A665" s="0" t="s">
        <v>1212</v>
      </c>
      <c r="C665" s="0" t="s">
        <v>360</v>
      </c>
      <c r="D665" s="7" t="n">
        <v>16683</v>
      </c>
      <c r="E665" s="8" t="n">
        <v>0.0173805670442966</v>
      </c>
      <c r="F665" s="4" t="n">
        <f aca="false">D665*E665</f>
        <v>289.96</v>
      </c>
      <c r="G665" s="7" t="n">
        <v>131</v>
      </c>
      <c r="H665" s="9" t="n">
        <f aca="false">IF(G665&gt;0,D665/G665,"")</f>
        <v>127.351145038168</v>
      </c>
      <c r="I665" s="10" t="n">
        <v>46170</v>
      </c>
      <c r="J665" s="3" t="s">
        <v>1213</v>
      </c>
      <c r="K665" s="10" t="n">
        <v>45554</v>
      </c>
      <c r="L665" s="3" t="s">
        <v>15</v>
      </c>
      <c r="M665" s="7" t="n">
        <v>16170</v>
      </c>
      <c r="N665" s="8" t="n">
        <v>0.01587</v>
      </c>
      <c r="O665" s="4" t="n">
        <f aca="false">M665*N665</f>
        <v>256.6179</v>
      </c>
    </row>
    <row r="666" customFormat="false" ht="15" hidden="false" customHeight="false" outlineLevel="0" collapsed="false">
      <c r="A666" s="0" t="s">
        <v>1214</v>
      </c>
      <c r="C666" s="0" t="s">
        <v>36</v>
      </c>
      <c r="D666" s="7" t="n">
        <v>5106</v>
      </c>
      <c r="E666" s="8" t="n">
        <v>0.0565726596161379</v>
      </c>
      <c r="F666" s="4" t="n">
        <f aca="false">D666*E666</f>
        <v>288.86</v>
      </c>
      <c r="G666" s="7" t="n">
        <v>2280</v>
      </c>
      <c r="H666" s="9" t="n">
        <f aca="false">IF(G666&gt;0,D666/G666,"")</f>
        <v>2.23947368421053</v>
      </c>
      <c r="I666" s="10" t="n">
        <v>46280</v>
      </c>
      <c r="J666" s="3" t="s">
        <v>572</v>
      </c>
      <c r="K666" s="10" t="n">
        <v>46164</v>
      </c>
      <c r="L666" s="3" t="s">
        <v>14</v>
      </c>
      <c r="M666" s="7" t="n">
        <v>5000</v>
      </c>
      <c r="N666" s="8" t="n">
        <v>0.0562</v>
      </c>
      <c r="O666" s="4" t="n">
        <f aca="false">M666*N666</f>
        <v>281</v>
      </c>
    </row>
    <row r="667" customFormat="false" ht="15" hidden="false" customHeight="false" outlineLevel="0" collapsed="false">
      <c r="A667" s="0" t="s">
        <v>1215</v>
      </c>
      <c r="C667" s="0" t="s">
        <v>934</v>
      </c>
      <c r="D667" s="7" t="n">
        <v>543</v>
      </c>
      <c r="E667" s="8" t="n">
        <v>0.531878453038674</v>
      </c>
      <c r="F667" s="4" t="n">
        <f aca="false">D667*E667</f>
        <v>288.81</v>
      </c>
      <c r="G667" s="7" t="n">
        <v>135</v>
      </c>
      <c r="H667" s="9" t="n">
        <f aca="false">IF(G667&gt;0,D667/G667,"")</f>
        <v>4.02222222222222</v>
      </c>
      <c r="I667" s="10" t="n">
        <v>46315</v>
      </c>
      <c r="J667" s="3" t="s">
        <v>1216</v>
      </c>
      <c r="K667" s="10" t="n">
        <v>46310</v>
      </c>
      <c r="L667" s="3" t="s">
        <v>936</v>
      </c>
      <c r="M667" s="7" t="n">
        <v>570</v>
      </c>
      <c r="N667" s="8" t="n">
        <v>0.5323</v>
      </c>
      <c r="O667" s="4" t="n">
        <f aca="false">M667*N667</f>
        <v>303.411</v>
      </c>
    </row>
    <row r="668" customFormat="false" ht="15" hidden="false" customHeight="false" outlineLevel="0" collapsed="false">
      <c r="A668" s="0" t="s">
        <v>1217</v>
      </c>
      <c r="C668" s="0" t="s">
        <v>31</v>
      </c>
      <c r="D668" s="7" t="n">
        <v>10680</v>
      </c>
      <c r="E668" s="8" t="n">
        <v>0.027</v>
      </c>
      <c r="F668" s="4" t="n">
        <f aca="false">D668*E668</f>
        <v>288.36</v>
      </c>
      <c r="G668" s="7" t="n">
        <v>402</v>
      </c>
      <c r="H668" s="9" t="n">
        <f aca="false">IF(G668&gt;0,D668/G668,"")</f>
        <v>26.5671641791045</v>
      </c>
      <c r="I668" s="10" t="n">
        <v>46231</v>
      </c>
      <c r="J668" s="3" t="s">
        <v>1192</v>
      </c>
      <c r="K668" s="10" t="n">
        <v>45736</v>
      </c>
      <c r="L668" s="3" t="s">
        <v>26</v>
      </c>
      <c r="M668" s="7" t="n">
        <v>100</v>
      </c>
      <c r="N668" s="8" t="n">
        <v>0.0612</v>
      </c>
      <c r="O668" s="4" t="n">
        <f aca="false">M668*N668</f>
        <v>6.12</v>
      </c>
    </row>
    <row r="669" customFormat="false" ht="15" hidden="false" customHeight="false" outlineLevel="0" collapsed="false">
      <c r="A669" s="0" t="s">
        <v>1218</v>
      </c>
      <c r="C669" s="0" t="s">
        <v>118</v>
      </c>
      <c r="D669" s="7" t="n">
        <v>4234</v>
      </c>
      <c r="E669" s="8" t="n">
        <v>0.0677987718469532</v>
      </c>
      <c r="F669" s="4" t="n">
        <f aca="false">D669*E669</f>
        <v>287.06</v>
      </c>
      <c r="G669" s="7" t="n">
        <v>26</v>
      </c>
      <c r="H669" s="9" t="n">
        <f aca="false">IF(G669&gt;0,D669/G669,"")</f>
        <v>162.846153846154</v>
      </c>
      <c r="I669" s="10" t="n">
        <v>46218</v>
      </c>
      <c r="J669" s="3" t="s">
        <v>1219</v>
      </c>
      <c r="K669" s="10" t="n">
        <v>45287</v>
      </c>
      <c r="L669" s="3" t="s">
        <v>16</v>
      </c>
      <c r="M669" s="7" t="n">
        <v>4328</v>
      </c>
      <c r="N669" s="8" t="n">
        <v>0.0678</v>
      </c>
      <c r="O669" s="4" t="n">
        <f aca="false">M669*N669</f>
        <v>293.4384</v>
      </c>
    </row>
    <row r="670" customFormat="false" ht="15" hidden="false" customHeight="false" outlineLevel="0" collapsed="false">
      <c r="A670" s="0" t="s">
        <v>1220</v>
      </c>
      <c r="C670" s="0" t="s">
        <v>741</v>
      </c>
      <c r="D670" s="7" t="n">
        <v>709</v>
      </c>
      <c r="E670" s="8" t="n">
        <v>0.404400564174894</v>
      </c>
      <c r="F670" s="4" t="n">
        <f aca="false">D670*E670</f>
        <v>286.72</v>
      </c>
      <c r="G670" s="7" t="n">
        <v>600</v>
      </c>
      <c r="H670" s="9" t="n">
        <f aca="false">IF(G670&gt;0,D670/G670,"")</f>
        <v>1.18166666666667</v>
      </c>
      <c r="I670" s="10" t="n">
        <v>46197</v>
      </c>
      <c r="J670" s="3" t="s">
        <v>1221</v>
      </c>
      <c r="K670" s="10" t="n">
        <v>46188</v>
      </c>
      <c r="L670" s="3" t="s">
        <v>14</v>
      </c>
      <c r="M670" s="7" t="n">
        <v>1000</v>
      </c>
      <c r="N670" s="8" t="n">
        <v>0.4044</v>
      </c>
      <c r="O670" s="4" t="n">
        <f aca="false">M670*N670</f>
        <v>404.4</v>
      </c>
    </row>
    <row r="671" customFormat="false" ht="15" hidden="false" customHeight="false" outlineLevel="0" collapsed="false">
      <c r="A671" s="0" t="s">
        <v>1222</v>
      </c>
      <c r="C671" s="0" t="s">
        <v>32</v>
      </c>
      <c r="D671" s="7" t="n">
        <v>36270</v>
      </c>
      <c r="E671" s="8" t="n">
        <v>0.007904052936311</v>
      </c>
      <c r="F671" s="4" t="n">
        <f aca="false">D671*E671</f>
        <v>286.68</v>
      </c>
      <c r="G671" s="7" t="n">
        <v>24296</v>
      </c>
      <c r="H671" s="9" t="n">
        <f aca="false">IF(G671&gt;0,D671/G671,"")</f>
        <v>1.49283832729667</v>
      </c>
      <c r="I671" s="10" t="n">
        <v>46280</v>
      </c>
      <c r="J671" s="3" t="s">
        <v>385</v>
      </c>
      <c r="K671" s="10" t="n">
        <v>44718</v>
      </c>
      <c r="L671" s="3" t="s">
        <v>20</v>
      </c>
      <c r="M671" s="7" t="n">
        <v>38000</v>
      </c>
      <c r="N671" s="8" t="n">
        <v>0.0102125</v>
      </c>
      <c r="O671" s="4" t="n">
        <f aca="false">M671*N671</f>
        <v>388.075</v>
      </c>
    </row>
    <row r="672" customFormat="false" ht="15" hidden="false" customHeight="false" outlineLevel="0" collapsed="false">
      <c r="A672" s="0" t="s">
        <v>1223</v>
      </c>
      <c r="C672" s="0" t="s">
        <v>378</v>
      </c>
      <c r="D672" s="7" t="n">
        <v>1086</v>
      </c>
      <c r="E672" s="8" t="n">
        <v>0.263204419889503</v>
      </c>
      <c r="F672" s="4" t="n">
        <f aca="false">D672*E672</f>
        <v>285.84</v>
      </c>
      <c r="G672" s="7" t="n">
        <v>417</v>
      </c>
      <c r="H672" s="9" t="n">
        <f aca="false">IF(G672&gt;0,D672/G672,"")</f>
        <v>2.60431654676259</v>
      </c>
      <c r="I672" s="10" t="n">
        <v>46293</v>
      </c>
      <c r="J672" s="3" t="s">
        <v>725</v>
      </c>
      <c r="K672" s="10" t="n">
        <v>45523</v>
      </c>
      <c r="L672" s="3" t="s">
        <v>14</v>
      </c>
      <c r="M672" s="7" t="n">
        <v>1520</v>
      </c>
      <c r="N672" s="8" t="n">
        <v>0.2632</v>
      </c>
      <c r="O672" s="4" t="n">
        <f aca="false">M672*N672</f>
        <v>400.064</v>
      </c>
    </row>
    <row r="673" customFormat="false" ht="15" hidden="false" customHeight="false" outlineLevel="0" collapsed="false">
      <c r="A673" s="0" t="s">
        <v>1224</v>
      </c>
      <c r="C673" s="0" t="s">
        <v>34</v>
      </c>
      <c r="D673" s="7" t="n">
        <v>14035</v>
      </c>
      <c r="E673" s="8" t="n">
        <v>0.0203598147488422</v>
      </c>
      <c r="F673" s="4" t="n">
        <f aca="false">D673*E673</f>
        <v>285.75</v>
      </c>
      <c r="G673" s="7" t="n">
        <v>261</v>
      </c>
      <c r="H673" s="9" t="n">
        <f aca="false">IF(G673&gt;0,D673/G673,"")</f>
        <v>53.7739463601533</v>
      </c>
      <c r="I673" s="10" t="n">
        <v>46310</v>
      </c>
      <c r="J673" s="3" t="s">
        <v>1225</v>
      </c>
      <c r="K673" s="10" t="n">
        <v>45153</v>
      </c>
      <c r="L673" s="3" t="s">
        <v>15</v>
      </c>
      <c r="M673" s="7" t="n">
        <v>15000</v>
      </c>
      <c r="N673" s="8" t="n">
        <v>0.02036</v>
      </c>
      <c r="O673" s="4" t="n">
        <f aca="false">M673*N673</f>
        <v>305.4</v>
      </c>
    </row>
    <row r="674" customFormat="false" ht="15" hidden="false" customHeight="false" outlineLevel="0" collapsed="false">
      <c r="A674" s="0" t="s">
        <v>1226</v>
      </c>
      <c r="C674" s="0" t="s">
        <v>44</v>
      </c>
      <c r="D674" s="7" t="n">
        <v>14</v>
      </c>
      <c r="E674" s="8" t="n">
        <v>20.38</v>
      </c>
      <c r="F674" s="4" t="n">
        <f aca="false">D674*E674</f>
        <v>285.32</v>
      </c>
      <c r="G674" s="7" t="n">
        <v>1</v>
      </c>
      <c r="H674" s="9" t="n">
        <f aca="false">IF(G674&gt;0,D674/G674,"")</f>
        <v>14</v>
      </c>
      <c r="I674" s="10" t="n">
        <v>45964</v>
      </c>
      <c r="K674" s="10"/>
      <c r="M674" s="7"/>
      <c r="N674" s="8"/>
      <c r="O674" s="4"/>
    </row>
    <row r="675" customFormat="false" ht="15" hidden="false" customHeight="false" outlineLevel="0" collapsed="false">
      <c r="A675" s="0" t="s">
        <v>1227</v>
      </c>
      <c r="C675" s="0" t="s">
        <v>497</v>
      </c>
      <c r="D675" s="7" t="n">
        <v>7751</v>
      </c>
      <c r="E675" s="8" t="n">
        <v>0.0367978325377371</v>
      </c>
      <c r="F675" s="4" t="n">
        <f aca="false">D675*E675</f>
        <v>285.22</v>
      </c>
      <c r="G675" s="7" t="n">
        <v>1689</v>
      </c>
      <c r="H675" s="9" t="n">
        <f aca="false">IF(G675&gt;0,D675/G675,"")</f>
        <v>4.58910597986975</v>
      </c>
      <c r="I675" s="10" t="n">
        <v>46293</v>
      </c>
      <c r="J675" s="3" t="s">
        <v>1228</v>
      </c>
      <c r="K675" s="10" t="n">
        <v>45852</v>
      </c>
      <c r="L675" s="3" t="s">
        <v>15</v>
      </c>
      <c r="M675" s="7" t="n">
        <v>9440</v>
      </c>
      <c r="N675" s="8" t="n">
        <v>0.0368</v>
      </c>
      <c r="O675" s="4" t="n">
        <f aca="false">M675*N675</f>
        <v>347.392</v>
      </c>
    </row>
    <row r="676" customFormat="false" ht="15" hidden="false" customHeight="false" outlineLevel="0" collapsed="false">
      <c r="A676" s="0" t="s">
        <v>1229</v>
      </c>
      <c r="C676" s="0" t="s">
        <v>32</v>
      </c>
      <c r="D676" s="7" t="n">
        <v>53034</v>
      </c>
      <c r="E676" s="8" t="n">
        <v>0.00537711656673078</v>
      </c>
      <c r="F676" s="4" t="n">
        <f aca="false">D676*E676</f>
        <v>285.17</v>
      </c>
      <c r="G676" s="7" t="n">
        <v>17060</v>
      </c>
      <c r="H676" s="9" t="n">
        <f aca="false">IF(G676&gt;0,D676/G676,"")</f>
        <v>3.10867526377491</v>
      </c>
      <c r="I676" s="10" t="n">
        <v>46314</v>
      </c>
      <c r="J676" s="3" t="s">
        <v>405</v>
      </c>
      <c r="K676" s="10" t="n">
        <v>46280</v>
      </c>
      <c r="L676" s="3" t="s">
        <v>14</v>
      </c>
      <c r="M676" s="7" t="n">
        <v>50000</v>
      </c>
      <c r="N676" s="8" t="n">
        <v>0.0054</v>
      </c>
      <c r="O676" s="4" t="n">
        <f aca="false">M676*N676</f>
        <v>270</v>
      </c>
    </row>
    <row r="677" customFormat="false" ht="15" hidden="false" customHeight="false" outlineLevel="0" collapsed="false">
      <c r="A677" s="0" t="s">
        <v>1230</v>
      </c>
      <c r="C677" s="0" t="s">
        <v>741</v>
      </c>
      <c r="D677" s="7" t="n">
        <v>2561</v>
      </c>
      <c r="E677" s="8" t="n">
        <v>0.111319796954315</v>
      </c>
      <c r="F677" s="4" t="n">
        <f aca="false">D677*E677</f>
        <v>285.09</v>
      </c>
      <c r="G677" s="7" t="n">
        <v>10</v>
      </c>
      <c r="H677" s="9" t="n">
        <f aca="false">IF(G677&gt;0,D677/G677,"")</f>
        <v>256.1</v>
      </c>
      <c r="I677" s="10" t="n">
        <v>46112</v>
      </c>
      <c r="J677" s="3" t="s">
        <v>1231</v>
      </c>
      <c r="K677" s="10" t="n">
        <v>44686</v>
      </c>
      <c r="L677" s="3" t="s">
        <v>14</v>
      </c>
      <c r="M677" s="7" t="n">
        <v>2711</v>
      </c>
      <c r="N677" s="8" t="n">
        <v>0.1118</v>
      </c>
      <c r="O677" s="4" t="n">
        <v>301.86</v>
      </c>
    </row>
    <row r="678" customFormat="false" ht="15" hidden="false" customHeight="false" outlineLevel="0" collapsed="false">
      <c r="A678" s="0" t="s">
        <v>1232</v>
      </c>
      <c r="C678" s="0" t="s">
        <v>44</v>
      </c>
      <c r="D678" s="7" t="n">
        <v>9</v>
      </c>
      <c r="E678" s="8" t="n">
        <v>31.6544444444444</v>
      </c>
      <c r="F678" s="4" t="n">
        <f aca="false">D678*E678</f>
        <v>284.89</v>
      </c>
      <c r="G678" s="7" t="n">
        <v>4</v>
      </c>
      <c r="H678" s="9" t="n">
        <f aca="false">IF(G678&gt;0,D678/G678,"")</f>
        <v>2.25</v>
      </c>
      <c r="I678" s="10" t="n">
        <v>46133</v>
      </c>
      <c r="J678" s="3" t="s">
        <v>1233</v>
      </c>
      <c r="K678" s="10" t="n">
        <v>46069</v>
      </c>
      <c r="L678" s="3" t="s">
        <v>14</v>
      </c>
      <c r="M678" s="7" t="n">
        <v>10</v>
      </c>
      <c r="N678" s="8" t="n">
        <v>31.655</v>
      </c>
      <c r="O678" s="4" t="n">
        <f aca="false">M678*N678</f>
        <v>316.55</v>
      </c>
    </row>
    <row r="679" customFormat="false" ht="15" hidden="false" customHeight="false" outlineLevel="0" collapsed="false">
      <c r="A679" s="0" t="s">
        <v>1234</v>
      </c>
      <c r="C679" s="0" t="s">
        <v>438</v>
      </c>
      <c r="D679" s="7" t="n">
        <v>1542</v>
      </c>
      <c r="E679" s="8" t="n">
        <v>0.184695201037614</v>
      </c>
      <c r="F679" s="4" t="n">
        <f aca="false">D679*E679</f>
        <v>284.8</v>
      </c>
      <c r="G679" s="7" t="n">
        <v>540</v>
      </c>
      <c r="H679" s="9" t="n">
        <f aca="false">IF(G679&gt;0,D679/G679,"")</f>
        <v>2.85555555555556</v>
      </c>
      <c r="I679" s="10" t="n">
        <v>46269</v>
      </c>
      <c r="J679" s="3" t="s">
        <v>725</v>
      </c>
      <c r="K679" s="10" t="n">
        <v>45523</v>
      </c>
      <c r="L679" s="3" t="s">
        <v>14</v>
      </c>
      <c r="M679" s="7" t="n">
        <v>2500</v>
      </c>
      <c r="N679" s="8" t="n">
        <v>0.1847</v>
      </c>
      <c r="O679" s="4" t="n">
        <f aca="false">M679*N679</f>
        <v>461.75</v>
      </c>
    </row>
    <row r="680" customFormat="false" ht="15" hidden="false" customHeight="false" outlineLevel="0" collapsed="false">
      <c r="A680" s="0" t="s">
        <v>1235</v>
      </c>
      <c r="C680" s="0" t="s">
        <v>41</v>
      </c>
      <c r="D680" s="7" t="n">
        <v>2222</v>
      </c>
      <c r="E680" s="8" t="n">
        <v>0.127997299729973</v>
      </c>
      <c r="F680" s="4" t="n">
        <f aca="false">D680*E680</f>
        <v>284.41</v>
      </c>
      <c r="G680" s="7" t="n">
        <v>12</v>
      </c>
      <c r="H680" s="9" t="n">
        <f aca="false">IF(G680&gt;0,D680/G680,"")</f>
        <v>185.166666666667</v>
      </c>
      <c r="I680" s="10" t="n">
        <v>46267</v>
      </c>
      <c r="J680" s="3" t="s">
        <v>343</v>
      </c>
      <c r="K680" s="10" t="n">
        <v>44328</v>
      </c>
      <c r="L680" s="3" t="s">
        <v>16</v>
      </c>
      <c r="M680" s="7" t="n">
        <v>2234</v>
      </c>
      <c r="N680" s="8" t="n">
        <v>0.128</v>
      </c>
      <c r="O680" s="4" t="n">
        <f aca="false">M680*N680</f>
        <v>285.952</v>
      </c>
    </row>
    <row r="681" customFormat="false" ht="15" hidden="false" customHeight="false" outlineLevel="0" collapsed="false">
      <c r="A681" s="0" t="s">
        <v>1236</v>
      </c>
      <c r="C681" s="0" t="s">
        <v>31</v>
      </c>
      <c r="D681" s="7" t="n">
        <v>29608</v>
      </c>
      <c r="E681" s="8" t="n">
        <v>0.00959943258578763</v>
      </c>
      <c r="F681" s="4" t="n">
        <f aca="false">D681*E681</f>
        <v>284.22</v>
      </c>
      <c r="G681" s="7" t="n">
        <v>145</v>
      </c>
      <c r="H681" s="9" t="n">
        <f aca="false">IF(G681&gt;0,D681/G681,"")</f>
        <v>204.193103448276</v>
      </c>
      <c r="I681" s="10" t="n">
        <v>46308</v>
      </c>
      <c r="K681" s="10"/>
      <c r="M681" s="7"/>
      <c r="N681" s="8"/>
      <c r="O681" s="4"/>
    </row>
    <row r="682" customFormat="false" ht="15" hidden="false" customHeight="false" outlineLevel="0" collapsed="false">
      <c r="A682" s="0" t="s">
        <v>1237</v>
      </c>
      <c r="C682" s="0" t="s">
        <v>69</v>
      </c>
      <c r="D682" s="7" t="n">
        <v>2786</v>
      </c>
      <c r="E682" s="8" t="n">
        <v>0.102002871500359</v>
      </c>
      <c r="F682" s="4" t="n">
        <f aca="false">D682*E682</f>
        <v>284.18</v>
      </c>
      <c r="G682" s="7" t="n">
        <v>286</v>
      </c>
      <c r="H682" s="9" t="n">
        <f aca="false">IF(G682&gt;0,D682/G682,"")</f>
        <v>9.74125874125874</v>
      </c>
      <c r="I682" s="10" t="n">
        <v>46211</v>
      </c>
      <c r="J682" s="3" t="s">
        <v>1238</v>
      </c>
      <c r="K682" s="10" t="n">
        <v>45167</v>
      </c>
      <c r="L682" s="3" t="s">
        <v>223</v>
      </c>
      <c r="M682" s="7" t="n">
        <v>5000</v>
      </c>
      <c r="N682" s="8" t="n">
        <v>0.102</v>
      </c>
      <c r="O682" s="4" t="n">
        <f aca="false">M682*N682</f>
        <v>510</v>
      </c>
    </row>
    <row r="683" customFormat="false" ht="15" hidden="false" customHeight="false" outlineLevel="0" collapsed="false">
      <c r="A683" s="0" t="s">
        <v>1239</v>
      </c>
      <c r="D683" s="7" t="n">
        <v>7104</v>
      </c>
      <c r="E683" s="8" t="n">
        <v>0.04</v>
      </c>
      <c r="F683" s="4" t="n">
        <f aca="false">D683*E683</f>
        <v>284.16</v>
      </c>
      <c r="G683" s="7" t="n">
        <v>16</v>
      </c>
      <c r="H683" s="9" t="n">
        <f aca="false">IF(G683&gt;0,D683/G683,"")</f>
        <v>444</v>
      </c>
      <c r="I683" s="10" t="n">
        <v>46071</v>
      </c>
      <c r="J683" s="3" t="s">
        <v>1240</v>
      </c>
      <c r="K683" s="10" t="n">
        <v>44622</v>
      </c>
      <c r="L683" s="3" t="s">
        <v>15</v>
      </c>
      <c r="M683" s="7" t="n">
        <v>7420</v>
      </c>
      <c r="N683" s="8" t="n">
        <v>0.04</v>
      </c>
      <c r="O683" s="4" t="n">
        <f aca="false">M683*N683</f>
        <v>296.8</v>
      </c>
    </row>
    <row r="684" customFormat="false" ht="15" hidden="false" customHeight="false" outlineLevel="0" collapsed="false">
      <c r="A684" s="0" t="s">
        <v>1241</v>
      </c>
      <c r="C684" s="0" t="s">
        <v>741</v>
      </c>
      <c r="D684" s="7" t="n">
        <v>215</v>
      </c>
      <c r="E684" s="8" t="n">
        <v>1.32079069767442</v>
      </c>
      <c r="F684" s="4" t="n">
        <f aca="false">D684*E684</f>
        <v>283.97</v>
      </c>
      <c r="G684" s="7" t="n">
        <v>2</v>
      </c>
      <c r="H684" s="9" t="n">
        <f aca="false">IF(G684&gt;0,D684/G684,"")</f>
        <v>107.5</v>
      </c>
      <c r="I684" s="10" t="n">
        <v>46311</v>
      </c>
      <c r="J684" s="3" t="s">
        <v>1202</v>
      </c>
      <c r="K684" s="10" t="n">
        <v>44316</v>
      </c>
      <c r="L684" s="3" t="s">
        <v>14</v>
      </c>
      <c r="M684" s="7" t="n">
        <v>228</v>
      </c>
      <c r="N684" s="8" t="n">
        <v>1.3208</v>
      </c>
      <c r="O684" s="4" t="n">
        <f aca="false">M684*N684</f>
        <v>301.1424</v>
      </c>
    </row>
    <row r="685" customFormat="false" ht="15" hidden="false" customHeight="false" outlineLevel="0" collapsed="false">
      <c r="A685" s="0" t="s">
        <v>1242</v>
      </c>
      <c r="C685" s="0" t="s">
        <v>285</v>
      </c>
      <c r="D685" s="7" t="n">
        <v>10949</v>
      </c>
      <c r="E685" s="8" t="n">
        <v>0.0259000821992876</v>
      </c>
      <c r="F685" s="4" t="n">
        <f aca="false">D685*E685</f>
        <v>283.58</v>
      </c>
      <c r="G685" s="7" t="n">
        <v>172</v>
      </c>
      <c r="H685" s="9" t="n">
        <f aca="false">IF(G685&gt;0,D685/G685,"")</f>
        <v>63.656976744186</v>
      </c>
      <c r="I685" s="10" t="n">
        <v>46160</v>
      </c>
      <c r="J685" s="3" t="s">
        <v>1087</v>
      </c>
      <c r="K685" s="10" t="n">
        <v>45490</v>
      </c>
      <c r="L685" s="3" t="s">
        <v>15</v>
      </c>
      <c r="M685" s="7" t="n">
        <v>14200</v>
      </c>
      <c r="N685" s="8" t="n">
        <v>0.0259</v>
      </c>
      <c r="O685" s="4" t="n">
        <f aca="false">M685*N685</f>
        <v>367.78</v>
      </c>
    </row>
    <row r="686" customFormat="false" ht="15" hidden="false" customHeight="false" outlineLevel="0" collapsed="false">
      <c r="A686" s="0" t="s">
        <v>1243</v>
      </c>
      <c r="C686" s="0" t="s">
        <v>40</v>
      </c>
      <c r="D686" s="7" t="n">
        <v>1188</v>
      </c>
      <c r="E686" s="8" t="n">
        <v>0.238367003367003</v>
      </c>
      <c r="F686" s="4" t="n">
        <f aca="false">D686*E686</f>
        <v>283.18</v>
      </c>
      <c r="G686" s="7" t="n">
        <v>42</v>
      </c>
      <c r="H686" s="9" t="n">
        <f aca="false">IF(G686&gt;0,D686/G686,"")</f>
        <v>28.2857142857143</v>
      </c>
      <c r="I686" s="10" t="n">
        <v>46308</v>
      </c>
      <c r="J686" s="3" t="s">
        <v>1244</v>
      </c>
      <c r="K686" s="10" t="n">
        <v>44399</v>
      </c>
      <c r="L686" s="3" t="s">
        <v>18</v>
      </c>
      <c r="M686" s="7" t="n">
        <v>1190</v>
      </c>
      <c r="N686" s="8" t="n">
        <v>0.2383</v>
      </c>
      <c r="O686" s="4" t="n">
        <f aca="false">M686*N686</f>
        <v>283.577</v>
      </c>
    </row>
    <row r="687" customFormat="false" ht="15" hidden="false" customHeight="false" outlineLevel="0" collapsed="false">
      <c r="A687" s="0" t="s">
        <v>1245</v>
      </c>
      <c r="C687" s="0" t="s">
        <v>225</v>
      </c>
      <c r="D687" s="7" t="n">
        <v>20</v>
      </c>
      <c r="E687" s="8" t="n">
        <v>14.148</v>
      </c>
      <c r="F687" s="4" t="n">
        <f aca="false">D687*E687</f>
        <v>282.96</v>
      </c>
      <c r="G687" s="7" t="n">
        <v>12</v>
      </c>
      <c r="H687" s="9" t="n">
        <f aca="false">IF(G687&gt;0,D687/G687,"")</f>
        <v>1.66666666666667</v>
      </c>
      <c r="I687" s="10" t="n">
        <v>46168</v>
      </c>
      <c r="J687" s="3" t="s">
        <v>572</v>
      </c>
      <c r="K687" s="10" t="n">
        <v>46164</v>
      </c>
      <c r="L687" s="3" t="s">
        <v>14</v>
      </c>
      <c r="M687" s="7" t="n">
        <v>20</v>
      </c>
      <c r="N687" s="8" t="n">
        <v>14.148</v>
      </c>
      <c r="O687" s="4" t="n">
        <f aca="false">M687*N687</f>
        <v>282.96</v>
      </c>
    </row>
    <row r="688" customFormat="false" ht="15" hidden="false" customHeight="false" outlineLevel="0" collapsed="false">
      <c r="A688" s="0" t="s">
        <v>1246</v>
      </c>
      <c r="C688" s="0" t="s">
        <v>34</v>
      </c>
      <c r="D688" s="7" t="n">
        <v>39261</v>
      </c>
      <c r="E688" s="8" t="n">
        <v>0.00720027508214258</v>
      </c>
      <c r="F688" s="4" t="n">
        <f aca="false">D688*E688</f>
        <v>282.69</v>
      </c>
      <c r="G688" s="7" t="n">
        <v>225</v>
      </c>
      <c r="H688" s="9" t="n">
        <f aca="false">IF(G688&gt;0,D688/G688,"")</f>
        <v>174.493333333333</v>
      </c>
      <c r="I688" s="10" t="n">
        <v>46297</v>
      </c>
      <c r="J688" s="3" t="s">
        <v>511</v>
      </c>
      <c r="K688" s="10" t="n">
        <v>44214</v>
      </c>
      <c r="L688" s="3" t="s">
        <v>16</v>
      </c>
      <c r="M688" s="7" t="n">
        <v>40376</v>
      </c>
      <c r="N688" s="8" t="n">
        <v>0.0072</v>
      </c>
      <c r="O688" s="4" t="n">
        <f aca="false">M688*N688</f>
        <v>290.7072</v>
      </c>
    </row>
    <row r="689" customFormat="false" ht="15" hidden="false" customHeight="false" outlineLevel="0" collapsed="false">
      <c r="A689" s="0" t="s">
        <v>1247</v>
      </c>
      <c r="C689" s="0" t="s">
        <v>31</v>
      </c>
      <c r="D689" s="7" t="n">
        <v>31008</v>
      </c>
      <c r="E689" s="8" t="n">
        <v>0.00911119711042312</v>
      </c>
      <c r="F689" s="4" t="n">
        <f aca="false">D689*E689</f>
        <v>282.52</v>
      </c>
      <c r="G689" s="7" t="n">
        <v>1175</v>
      </c>
      <c r="H689" s="9" t="n">
        <f aca="false">IF(G689&gt;0,D689/G689,"")</f>
        <v>26.3897872340426</v>
      </c>
      <c r="I689" s="10" t="n">
        <v>46281</v>
      </c>
      <c r="K689" s="10"/>
      <c r="M689" s="7"/>
      <c r="N689" s="8"/>
      <c r="O689" s="4"/>
    </row>
    <row r="690" customFormat="false" ht="15" hidden="false" customHeight="false" outlineLevel="0" collapsed="false">
      <c r="A690" s="0" t="s">
        <v>1248</v>
      </c>
      <c r="C690" s="0" t="s">
        <v>298</v>
      </c>
      <c r="D690" s="7" t="n">
        <v>1395</v>
      </c>
      <c r="E690" s="8" t="n">
        <v>0.202458781362007</v>
      </c>
      <c r="F690" s="4" t="n">
        <f aca="false">D690*E690</f>
        <v>282.43</v>
      </c>
      <c r="G690" s="7" t="n">
        <v>690</v>
      </c>
      <c r="H690" s="9" t="n">
        <f aca="false">IF(G690&gt;0,D690/G690,"")</f>
        <v>2.02173913043478</v>
      </c>
      <c r="I690" s="10" t="n">
        <v>46293</v>
      </c>
      <c r="J690" s="3" t="s">
        <v>1054</v>
      </c>
      <c r="K690" s="10" t="n">
        <v>46224</v>
      </c>
      <c r="L690" s="3" t="s">
        <v>16</v>
      </c>
      <c r="M690" s="7" t="n">
        <v>1000</v>
      </c>
      <c r="N690" s="8" t="n">
        <v>0.1517</v>
      </c>
      <c r="O690" s="4" t="n">
        <f aca="false">M690*N690</f>
        <v>151.7</v>
      </c>
    </row>
    <row r="691" customFormat="false" ht="15" hidden="false" customHeight="false" outlineLevel="0" collapsed="false">
      <c r="A691" s="0" t="s">
        <v>1249</v>
      </c>
      <c r="C691" s="0" t="s">
        <v>61</v>
      </c>
      <c r="D691" s="7" t="n">
        <v>1507</v>
      </c>
      <c r="E691" s="8" t="n">
        <v>0.187305905773059</v>
      </c>
      <c r="F691" s="4" t="n">
        <f aca="false">D691*E691</f>
        <v>282.27</v>
      </c>
      <c r="G691" s="7" t="n">
        <v>11</v>
      </c>
      <c r="H691" s="9" t="n">
        <f aca="false">IF(G691&gt;0,D691/G691,"")</f>
        <v>137</v>
      </c>
      <c r="I691" s="10" t="n">
        <v>46021</v>
      </c>
      <c r="J691" s="3" t="s">
        <v>1250</v>
      </c>
      <c r="K691" s="10" t="n">
        <v>44906</v>
      </c>
      <c r="L691" s="3" t="s">
        <v>23</v>
      </c>
      <c r="M691" s="7" t="n">
        <v>1200</v>
      </c>
      <c r="N691" s="8" t="n">
        <v>0.1873</v>
      </c>
      <c r="O691" s="4" t="n">
        <f aca="false">M691*N691</f>
        <v>224.76</v>
      </c>
    </row>
    <row r="692" customFormat="false" ht="15" hidden="false" customHeight="false" outlineLevel="0" collapsed="false">
      <c r="A692" s="0" t="s">
        <v>1251</v>
      </c>
      <c r="C692" s="0" t="s">
        <v>45</v>
      </c>
      <c r="D692" s="7" t="n">
        <v>8854</v>
      </c>
      <c r="E692" s="8" t="n">
        <v>0.0317980573751977</v>
      </c>
      <c r="F692" s="4" t="n">
        <f aca="false">D692*E692</f>
        <v>281.54</v>
      </c>
      <c r="G692" s="7" t="n">
        <v>591</v>
      </c>
      <c r="H692" s="9" t="n">
        <f aca="false">IF(G692&gt;0,D692/G692,"")</f>
        <v>14.9813874788494</v>
      </c>
      <c r="I692" s="10" t="n">
        <v>46301</v>
      </c>
      <c r="J692" s="3" t="s">
        <v>1252</v>
      </c>
      <c r="K692" s="10" t="n">
        <v>45754</v>
      </c>
      <c r="L692" s="3" t="s">
        <v>23</v>
      </c>
      <c r="M692" s="7" t="n">
        <v>10000</v>
      </c>
      <c r="N692" s="8" t="n">
        <v>0.0318</v>
      </c>
      <c r="O692" s="4" t="n">
        <f aca="false">M692*N692</f>
        <v>318</v>
      </c>
    </row>
    <row r="693" customFormat="false" ht="15" hidden="false" customHeight="false" outlineLevel="0" collapsed="false">
      <c r="A693" s="0" t="s">
        <v>1253</v>
      </c>
      <c r="C693" s="0" t="s">
        <v>32</v>
      </c>
      <c r="D693" s="7" t="n">
        <v>894</v>
      </c>
      <c r="E693" s="8" t="n">
        <v>0.314865771812081</v>
      </c>
      <c r="F693" s="4" t="n">
        <f aca="false">D693*E693</f>
        <v>281.49</v>
      </c>
      <c r="G693" s="7" t="n">
        <v>131</v>
      </c>
      <c r="H693" s="9" t="n">
        <f aca="false">IF(G693&gt;0,D693/G693,"")</f>
        <v>6.82442748091603</v>
      </c>
      <c r="I693" s="10" t="n">
        <v>46161</v>
      </c>
      <c r="J693" s="3" t="s">
        <v>306</v>
      </c>
      <c r="K693" s="10" t="n">
        <v>45820</v>
      </c>
      <c r="L693" s="3" t="s">
        <v>28</v>
      </c>
      <c r="M693" s="7" t="n">
        <v>1090</v>
      </c>
      <c r="N693" s="8" t="n">
        <v>0.3156</v>
      </c>
      <c r="O693" s="4" t="n">
        <f aca="false">M693*N693</f>
        <v>344.004</v>
      </c>
    </row>
    <row r="694" customFormat="false" ht="15" hidden="false" customHeight="false" outlineLevel="0" collapsed="false">
      <c r="A694" s="0" t="s">
        <v>1254</v>
      </c>
      <c r="C694" s="0" t="s">
        <v>45</v>
      </c>
      <c r="D694" s="7" t="n">
        <v>2092</v>
      </c>
      <c r="E694" s="8" t="n">
        <v>0.134306883365201</v>
      </c>
      <c r="F694" s="4" t="n">
        <f aca="false">D694*E694</f>
        <v>280.97</v>
      </c>
      <c r="G694" s="7" t="n">
        <v>126</v>
      </c>
      <c r="H694" s="9" t="n">
        <f aca="false">IF(G694&gt;0,D694/G694,"")</f>
        <v>16.6031746031746</v>
      </c>
      <c r="I694" s="10" t="n">
        <v>46036</v>
      </c>
      <c r="J694" s="3" t="s">
        <v>1255</v>
      </c>
      <c r="K694" s="10" t="n">
        <v>44824</v>
      </c>
      <c r="L694" s="3" t="s">
        <v>23</v>
      </c>
      <c r="M694" s="7" t="n">
        <v>2250</v>
      </c>
      <c r="N694" s="8" t="n">
        <v>0.1343</v>
      </c>
      <c r="O694" s="4" t="n">
        <f aca="false">M694*N694</f>
        <v>302.175</v>
      </c>
    </row>
    <row r="695" customFormat="false" ht="15" hidden="false" customHeight="false" outlineLevel="0" collapsed="false">
      <c r="A695" s="0" t="s">
        <v>1256</v>
      </c>
      <c r="C695" s="0" t="s">
        <v>38</v>
      </c>
      <c r="D695" s="7" t="n">
        <v>14762</v>
      </c>
      <c r="E695" s="8" t="n">
        <v>0.0190001354829969</v>
      </c>
      <c r="F695" s="4" t="n">
        <f aca="false">D695*E695</f>
        <v>280.48</v>
      </c>
      <c r="G695" s="7" t="n">
        <v>2421</v>
      </c>
      <c r="H695" s="9" t="n">
        <f aca="false">IF(G695&gt;0,D695/G695,"")</f>
        <v>6.09748038000826</v>
      </c>
      <c r="I695" s="10" t="n">
        <v>46265</v>
      </c>
      <c r="J695" s="3" t="s">
        <v>1257</v>
      </c>
      <c r="K695" s="10" t="n">
        <v>44648</v>
      </c>
      <c r="L695" s="3" t="s">
        <v>25</v>
      </c>
      <c r="M695" s="7" t="n">
        <v>25000</v>
      </c>
      <c r="N695" s="8" t="n">
        <v>0.019</v>
      </c>
      <c r="O695" s="4" t="n">
        <f aca="false">M695*N695</f>
        <v>475</v>
      </c>
    </row>
    <row r="696" customFormat="false" ht="15" hidden="false" customHeight="false" outlineLevel="0" collapsed="false">
      <c r="A696" s="0" t="s">
        <v>1258</v>
      </c>
      <c r="C696" s="0" t="s">
        <v>31</v>
      </c>
      <c r="D696" s="7" t="n">
        <v>116452</v>
      </c>
      <c r="E696" s="8" t="n">
        <v>0.0024065709476866</v>
      </c>
      <c r="F696" s="4" t="n">
        <f aca="false">D696*E696</f>
        <v>280.25</v>
      </c>
      <c r="G696" s="7" t="n">
        <v>14509</v>
      </c>
      <c r="H696" s="9" t="n">
        <f aca="false">IF(G696&gt;0,D696/G696,"")</f>
        <v>8.02619064029223</v>
      </c>
      <c r="I696" s="10" t="n">
        <v>46308</v>
      </c>
      <c r="J696" s="3" t="s">
        <v>1209</v>
      </c>
      <c r="K696" s="10" t="n">
        <v>45993</v>
      </c>
      <c r="L696" s="3" t="s">
        <v>16</v>
      </c>
      <c r="M696" s="7" t="n">
        <v>65500</v>
      </c>
      <c r="N696" s="8" t="n">
        <v>0.0023</v>
      </c>
      <c r="O696" s="4" t="n">
        <f aca="false">M696*N696</f>
        <v>150.65</v>
      </c>
    </row>
    <row r="697" customFormat="false" ht="15" hidden="false" customHeight="false" outlineLevel="0" collapsed="false">
      <c r="A697" s="0" t="s">
        <v>1259</v>
      </c>
      <c r="C697" s="0" t="s">
        <v>360</v>
      </c>
      <c r="D697" s="7" t="n">
        <v>10493</v>
      </c>
      <c r="E697" s="8" t="n">
        <v>0.0267016105975412</v>
      </c>
      <c r="F697" s="4" t="n">
        <f aca="false">D697*E697</f>
        <v>280.18</v>
      </c>
      <c r="G697" s="7" t="n">
        <v>50</v>
      </c>
      <c r="H697" s="9" t="n">
        <f aca="false">IF(G697&gt;0,D697/G697,"")</f>
        <v>209.86</v>
      </c>
      <c r="I697" s="10" t="n">
        <v>46244</v>
      </c>
      <c r="J697" s="3" t="s">
        <v>1213</v>
      </c>
      <c r="K697" s="10" t="n">
        <v>45554</v>
      </c>
      <c r="L697" s="3" t="s">
        <v>15</v>
      </c>
      <c r="M697" s="7" t="n">
        <v>10150</v>
      </c>
      <c r="N697" s="8" t="n">
        <v>0.02567</v>
      </c>
      <c r="O697" s="4" t="n">
        <f aca="false">M697*N697</f>
        <v>260.5505</v>
      </c>
    </row>
    <row r="698" customFormat="false" ht="15" hidden="false" customHeight="false" outlineLevel="0" collapsed="false">
      <c r="A698" s="0" t="s">
        <v>1260</v>
      </c>
      <c r="C698" s="0" t="s">
        <v>43</v>
      </c>
      <c r="D698" s="7" t="n">
        <v>214</v>
      </c>
      <c r="E698" s="8" t="n">
        <v>1.30836448598131</v>
      </c>
      <c r="F698" s="4" t="n">
        <f aca="false">D698*E698</f>
        <v>279.99</v>
      </c>
      <c r="G698" s="7" t="n">
        <v>16</v>
      </c>
      <c r="H698" s="9" t="n">
        <f aca="false">IF(G698&gt;0,D698/G698,"")</f>
        <v>13.375</v>
      </c>
      <c r="I698" s="10" t="n">
        <v>46120</v>
      </c>
      <c r="J698" s="3" t="s">
        <v>1261</v>
      </c>
      <c r="K698" s="10" t="n">
        <v>44277</v>
      </c>
      <c r="L698" s="3" t="s">
        <v>14</v>
      </c>
      <c r="M698" s="7" t="n">
        <v>230</v>
      </c>
      <c r="N698" s="8" t="n">
        <v>1.3084</v>
      </c>
      <c r="O698" s="4" t="n">
        <f aca="false">M698*N698</f>
        <v>300.932</v>
      </c>
    </row>
    <row r="699" customFormat="false" ht="15" hidden="false" customHeight="false" outlineLevel="0" collapsed="false">
      <c r="A699" s="0" t="s">
        <v>1262</v>
      </c>
      <c r="C699" s="0" t="s">
        <v>741</v>
      </c>
      <c r="D699" s="7" t="n">
        <v>3299</v>
      </c>
      <c r="E699" s="8" t="n">
        <v>0.0847984237647772</v>
      </c>
      <c r="F699" s="4" t="n">
        <f aca="false">D699*E699</f>
        <v>279.75</v>
      </c>
      <c r="G699" s="7" t="n">
        <v>50</v>
      </c>
      <c r="H699" s="9" t="n">
        <f aca="false">IF(G699&gt;0,D699/G699,"")</f>
        <v>65.98</v>
      </c>
      <c r="I699" s="10" t="n">
        <v>46244</v>
      </c>
      <c r="K699" s="10"/>
      <c r="M699" s="7"/>
      <c r="N699" s="8"/>
      <c r="O699" s="4"/>
    </row>
    <row r="700" customFormat="false" ht="15" hidden="false" customHeight="false" outlineLevel="0" collapsed="false">
      <c r="A700" s="0" t="s">
        <v>1263</v>
      </c>
      <c r="C700" s="0" t="s">
        <v>295</v>
      </c>
      <c r="D700" s="7" t="n">
        <v>22678</v>
      </c>
      <c r="E700" s="8" t="n">
        <v>0.0123300114648558</v>
      </c>
      <c r="F700" s="4" t="n">
        <f aca="false">D700*E700</f>
        <v>279.62</v>
      </c>
      <c r="G700" s="7" t="n">
        <v>422</v>
      </c>
      <c r="H700" s="9" t="n">
        <f aca="false">IF(G700&gt;0,D700/G700,"")</f>
        <v>53.739336492891</v>
      </c>
      <c r="I700" s="10" t="n">
        <v>46304</v>
      </c>
      <c r="J700" s="3" t="s">
        <v>594</v>
      </c>
      <c r="K700" s="10" t="n">
        <v>45897</v>
      </c>
      <c r="L700" s="3" t="s">
        <v>20</v>
      </c>
      <c r="M700" s="7" t="n">
        <v>25000</v>
      </c>
      <c r="N700" s="8" t="n">
        <v>0.01233</v>
      </c>
      <c r="O700" s="4" t="n">
        <f aca="false">M700*N700</f>
        <v>308.25</v>
      </c>
    </row>
    <row r="701" customFormat="false" ht="15" hidden="false" customHeight="false" outlineLevel="0" collapsed="false">
      <c r="A701" s="0" t="s">
        <v>1264</v>
      </c>
      <c r="D701" s="7" t="n">
        <v>4739</v>
      </c>
      <c r="E701" s="8" t="n">
        <v>0.0589997889850179</v>
      </c>
      <c r="F701" s="4" t="n">
        <f aca="false">D701*E701</f>
        <v>279.6</v>
      </c>
      <c r="G701" s="7" t="n">
        <v>200</v>
      </c>
      <c r="H701" s="9" t="n">
        <f aca="false">IF(G701&gt;0,D701/G701,"")</f>
        <v>23.695</v>
      </c>
      <c r="I701" s="10" t="n">
        <v>46315</v>
      </c>
      <c r="J701" s="3" t="s">
        <v>1265</v>
      </c>
      <c r="K701" s="10" t="n">
        <v>44221</v>
      </c>
      <c r="L701" s="3" t="s">
        <v>25</v>
      </c>
      <c r="M701" s="7" t="n">
        <v>5000</v>
      </c>
      <c r="N701" s="8" t="n">
        <v>0.059</v>
      </c>
      <c r="O701" s="4" t="n">
        <f aca="false">M701*N701</f>
        <v>295</v>
      </c>
    </row>
    <row r="702" customFormat="false" ht="15" hidden="false" customHeight="false" outlineLevel="0" collapsed="false">
      <c r="A702" s="0" t="s">
        <v>1266</v>
      </c>
      <c r="C702" s="0" t="s">
        <v>285</v>
      </c>
      <c r="D702" s="7" t="n">
        <v>9700</v>
      </c>
      <c r="E702" s="8" t="n">
        <v>0.028819587628866</v>
      </c>
      <c r="F702" s="4" t="n">
        <f aca="false">D702*E702</f>
        <v>279.55</v>
      </c>
      <c r="G702" s="7" t="n">
        <v>800</v>
      </c>
      <c r="H702" s="9" t="n">
        <f aca="false">IF(G702&gt;0,D702/G702,"")</f>
        <v>12.125</v>
      </c>
      <c r="I702" s="10" t="n">
        <v>46176</v>
      </c>
      <c r="J702" s="3" t="s">
        <v>1267</v>
      </c>
      <c r="K702" s="10" t="n">
        <v>45770</v>
      </c>
      <c r="L702" s="3" t="s">
        <v>20</v>
      </c>
      <c r="M702" s="7" t="n">
        <v>10500</v>
      </c>
      <c r="N702" s="8" t="n">
        <v>0.02882</v>
      </c>
      <c r="O702" s="4" t="n">
        <f aca="false">M702*N702</f>
        <v>302.61</v>
      </c>
    </row>
    <row r="703" customFormat="false" ht="15" hidden="false" customHeight="false" outlineLevel="0" collapsed="false">
      <c r="A703" s="0" t="s">
        <v>1268</v>
      </c>
      <c r="C703" s="0" t="s">
        <v>370</v>
      </c>
      <c r="D703" s="7" t="n">
        <v>2389</v>
      </c>
      <c r="E703" s="8" t="n">
        <v>0.116998744244454</v>
      </c>
      <c r="F703" s="4" t="n">
        <f aca="false">D703*E703</f>
        <v>279.51</v>
      </c>
      <c r="G703" s="7" t="n">
        <v>365</v>
      </c>
      <c r="H703" s="9" t="n">
        <f aca="false">IF(G703&gt;0,D703/G703,"")</f>
        <v>6.54520547945206</v>
      </c>
      <c r="I703" s="10" t="n">
        <v>46273</v>
      </c>
      <c r="J703" s="3" t="s">
        <v>895</v>
      </c>
      <c r="K703" s="10" t="n">
        <v>45516</v>
      </c>
      <c r="L703" s="3" t="s">
        <v>21</v>
      </c>
      <c r="M703" s="7" t="n">
        <v>1000</v>
      </c>
      <c r="N703" s="8" t="n">
        <v>0.117</v>
      </c>
      <c r="O703" s="4" t="n">
        <f aca="false">M703*N703</f>
        <v>117</v>
      </c>
    </row>
    <row r="704" customFormat="false" ht="15" hidden="false" customHeight="false" outlineLevel="0" collapsed="false">
      <c r="A704" s="0" t="s">
        <v>1269</v>
      </c>
      <c r="C704" s="0" t="s">
        <v>43</v>
      </c>
      <c r="D704" s="7" t="n">
        <v>333</v>
      </c>
      <c r="E704" s="8" t="n">
        <v>0.837567567567568</v>
      </c>
      <c r="F704" s="4" t="n">
        <f aca="false">D704*E704</f>
        <v>278.91</v>
      </c>
      <c r="G704" s="7" t="n">
        <v>70</v>
      </c>
      <c r="H704" s="9" t="n">
        <f aca="false">IF(G704&gt;0,D704/G704,"")</f>
        <v>4.75714285714286</v>
      </c>
      <c r="I704" s="10" t="n">
        <v>46224</v>
      </c>
      <c r="J704" s="3" t="s">
        <v>800</v>
      </c>
      <c r="K704" s="10" t="n">
        <v>45370</v>
      </c>
      <c r="L704" s="3" t="s">
        <v>14</v>
      </c>
      <c r="M704" s="7" t="n">
        <v>500</v>
      </c>
      <c r="N704" s="8" t="n">
        <v>0.8376</v>
      </c>
      <c r="O704" s="4" t="n">
        <f aca="false">M704*N704</f>
        <v>418.8</v>
      </c>
    </row>
    <row r="705" customFormat="false" ht="15" hidden="false" customHeight="false" outlineLevel="0" collapsed="false">
      <c r="A705" s="0" t="s">
        <v>1270</v>
      </c>
      <c r="C705" s="0" t="s">
        <v>32</v>
      </c>
      <c r="D705" s="7" t="n">
        <v>4512</v>
      </c>
      <c r="E705" s="8" t="n">
        <v>0.0617952127659575</v>
      </c>
      <c r="F705" s="4" t="n">
        <f aca="false">D705*E705</f>
        <v>278.82</v>
      </c>
      <c r="G705" s="7" t="n">
        <v>3518</v>
      </c>
      <c r="H705" s="9" t="n">
        <f aca="false">IF(G705&gt;0,D705/G705,"")</f>
        <v>1.28254690164866</v>
      </c>
      <c r="I705" s="10" t="n">
        <v>46309</v>
      </c>
      <c r="J705" s="3" t="s">
        <v>626</v>
      </c>
      <c r="K705" s="10" t="n">
        <v>46246</v>
      </c>
      <c r="L705" s="3" t="s">
        <v>14</v>
      </c>
      <c r="M705" s="7" t="n">
        <v>5000</v>
      </c>
      <c r="N705" s="8" t="n">
        <v>0.0618</v>
      </c>
      <c r="O705" s="4" t="n">
        <f aca="false">M705*N705</f>
        <v>309</v>
      </c>
    </row>
    <row r="706" customFormat="false" ht="15" hidden="false" customHeight="false" outlineLevel="0" collapsed="false">
      <c r="A706" s="0" t="s">
        <v>1271</v>
      </c>
      <c r="C706" s="0" t="s">
        <v>340</v>
      </c>
      <c r="D706" s="7" t="n">
        <v>3774</v>
      </c>
      <c r="E706" s="8" t="n">
        <v>0.073834128245893</v>
      </c>
      <c r="F706" s="4" t="n">
        <f aca="false">D706*E706</f>
        <v>278.65</v>
      </c>
      <c r="G706" s="7" t="n">
        <v>252</v>
      </c>
      <c r="H706" s="9" t="n">
        <f aca="false">IF(G706&gt;0,D706/G706,"")</f>
        <v>14.9761904761905</v>
      </c>
      <c r="I706" s="10" t="n">
        <v>46308</v>
      </c>
      <c r="J706" s="3" t="s">
        <v>341</v>
      </c>
      <c r="K706" s="10" t="n">
        <v>46078</v>
      </c>
      <c r="L706" s="3" t="s">
        <v>15</v>
      </c>
      <c r="M706" s="7" t="n">
        <v>490</v>
      </c>
      <c r="N706" s="8" t="n">
        <v>0.05763</v>
      </c>
      <c r="O706" s="4" t="n">
        <f aca="false">M706*N706</f>
        <v>28.2387</v>
      </c>
    </row>
    <row r="707" customFormat="false" ht="15" hidden="false" customHeight="false" outlineLevel="0" collapsed="false">
      <c r="A707" s="0" t="s">
        <v>1272</v>
      </c>
      <c r="C707" s="0" t="s">
        <v>43</v>
      </c>
      <c r="D707" s="7" t="n">
        <v>222</v>
      </c>
      <c r="E707" s="8" t="n">
        <v>1.2545045045045</v>
      </c>
      <c r="F707" s="4" t="n">
        <f aca="false">D707*E707</f>
        <v>278.5</v>
      </c>
      <c r="G707" s="7" t="n">
        <v>2</v>
      </c>
      <c r="H707" s="9" t="n">
        <f aca="false">IF(G707&gt;0,D707/G707,"")</f>
        <v>111</v>
      </c>
      <c r="I707" s="10" t="n">
        <v>46181</v>
      </c>
      <c r="K707" s="10"/>
      <c r="M707" s="7"/>
      <c r="N707" s="8"/>
      <c r="O707" s="4"/>
    </row>
    <row r="708" customFormat="false" ht="15" hidden="false" customHeight="false" outlineLevel="0" collapsed="false">
      <c r="A708" s="0" t="s">
        <v>1273</v>
      </c>
      <c r="C708" s="0" t="s">
        <v>32</v>
      </c>
      <c r="D708" s="7" t="n">
        <v>9279</v>
      </c>
      <c r="E708" s="8" t="n">
        <v>0.03</v>
      </c>
      <c r="F708" s="4" t="n">
        <f aca="false">D708*E708</f>
        <v>278.37</v>
      </c>
      <c r="G708" s="7" t="n">
        <v>767</v>
      </c>
      <c r="H708" s="9" t="n">
        <f aca="false">IF(G708&gt;0,D708/G708,"")</f>
        <v>12.0977835723598</v>
      </c>
      <c r="I708" s="10" t="n">
        <v>46273</v>
      </c>
      <c r="J708" s="3" t="s">
        <v>1274</v>
      </c>
      <c r="K708" s="10" t="n">
        <v>45468</v>
      </c>
      <c r="L708" s="3" t="s">
        <v>14</v>
      </c>
      <c r="M708" s="7" t="n">
        <v>10000</v>
      </c>
      <c r="N708" s="8" t="n">
        <v>0.0304</v>
      </c>
      <c r="O708" s="4" t="n">
        <f aca="false">M708*N708</f>
        <v>304</v>
      </c>
    </row>
    <row r="709" customFormat="false" ht="15" hidden="false" customHeight="false" outlineLevel="0" collapsed="false">
      <c r="A709" s="0" t="s">
        <v>1275</v>
      </c>
      <c r="C709" s="0" t="s">
        <v>285</v>
      </c>
      <c r="D709" s="7" t="n">
        <v>14668</v>
      </c>
      <c r="E709" s="8" t="n">
        <v>0.0189596400327243</v>
      </c>
      <c r="F709" s="4" t="n">
        <f aca="false">D709*E709</f>
        <v>278.1</v>
      </c>
      <c r="G709" s="7" t="n">
        <v>102</v>
      </c>
      <c r="H709" s="9" t="n">
        <f aca="false">IF(G709&gt;0,D709/G709,"")</f>
        <v>143.803921568627</v>
      </c>
      <c r="I709" s="10" t="n">
        <v>46129</v>
      </c>
      <c r="J709" s="3" t="s">
        <v>1276</v>
      </c>
      <c r="K709" s="10" t="n">
        <v>45855</v>
      </c>
      <c r="L709" s="3" t="s">
        <v>20</v>
      </c>
      <c r="M709" s="7" t="n">
        <v>16250</v>
      </c>
      <c r="N709" s="8" t="n">
        <v>0.01896</v>
      </c>
      <c r="O709" s="4" t="n">
        <f aca="false">M709*N709</f>
        <v>308.1</v>
      </c>
    </row>
    <row r="710" customFormat="false" ht="15" hidden="false" customHeight="false" outlineLevel="0" collapsed="false">
      <c r="A710" s="0" t="s">
        <v>1277</v>
      </c>
      <c r="C710" s="0" t="s">
        <v>35</v>
      </c>
      <c r="D710" s="7" t="n">
        <v>18</v>
      </c>
      <c r="E710" s="8" t="n">
        <v>15.4044444444444</v>
      </c>
      <c r="F710" s="4" t="n">
        <f aca="false">D710*E710</f>
        <v>277.28</v>
      </c>
      <c r="G710" s="7" t="n">
        <v>6</v>
      </c>
      <c r="H710" s="9" t="n">
        <f aca="false">IF(G710&gt;0,D710/G710,"")</f>
        <v>3</v>
      </c>
      <c r="I710" s="10" t="n">
        <v>46111</v>
      </c>
      <c r="J710" s="3" t="s">
        <v>1278</v>
      </c>
      <c r="K710" s="10" t="n">
        <v>45322</v>
      </c>
      <c r="L710" s="3" t="s">
        <v>20</v>
      </c>
      <c r="M710" s="7" t="n">
        <v>22</v>
      </c>
      <c r="N710" s="8" t="n">
        <v>14.236</v>
      </c>
      <c r="O710" s="4" t="n">
        <f aca="false">M710*N710</f>
        <v>313.192</v>
      </c>
    </row>
    <row r="711" customFormat="false" ht="15" hidden="false" customHeight="false" outlineLevel="0" collapsed="false">
      <c r="A711" s="0" t="s">
        <v>1279</v>
      </c>
      <c r="C711" s="0" t="s">
        <v>979</v>
      </c>
      <c r="D711" s="7" t="n">
        <v>3581</v>
      </c>
      <c r="E711" s="8" t="n">
        <v>0.0774057525830774</v>
      </c>
      <c r="F711" s="4" t="n">
        <f aca="false">D711*E711</f>
        <v>277.19</v>
      </c>
      <c r="G711" s="7" t="n">
        <v>14</v>
      </c>
      <c r="H711" s="9" t="n">
        <f aca="false">IF(G711&gt;0,D711/G711,"")</f>
        <v>255.785714285714</v>
      </c>
      <c r="I711" s="10" t="n">
        <v>46078</v>
      </c>
      <c r="J711" s="3" t="s">
        <v>162</v>
      </c>
      <c r="K711" s="10" t="n">
        <v>45967</v>
      </c>
      <c r="L711" s="3" t="s">
        <v>15</v>
      </c>
      <c r="M711" s="7" t="n">
        <v>3490</v>
      </c>
      <c r="N711" s="8" t="n">
        <v>0.0733</v>
      </c>
      <c r="O711" s="4" t="n">
        <f aca="false">M711*N711</f>
        <v>255.817</v>
      </c>
    </row>
    <row r="712" customFormat="false" ht="15" hidden="false" customHeight="false" outlineLevel="0" collapsed="false">
      <c r="A712" s="0" t="s">
        <v>1280</v>
      </c>
      <c r="C712" s="0" t="s">
        <v>285</v>
      </c>
      <c r="D712" s="7" t="n">
        <v>933</v>
      </c>
      <c r="E712" s="8" t="n">
        <v>0.296623794212219</v>
      </c>
      <c r="F712" s="4" t="n">
        <f aca="false">D712*E712</f>
        <v>276.75</v>
      </c>
      <c r="G712" s="7" t="n">
        <v>20</v>
      </c>
      <c r="H712" s="9" t="n">
        <f aca="false">IF(G712&gt;0,D712/G712,"")</f>
        <v>46.65</v>
      </c>
      <c r="I712" s="10" t="n">
        <v>46191</v>
      </c>
      <c r="K712" s="10"/>
      <c r="M712" s="7"/>
      <c r="N712" s="8"/>
      <c r="O712" s="4"/>
    </row>
    <row r="713" customFormat="false" ht="15" hidden="false" customHeight="false" outlineLevel="0" collapsed="false">
      <c r="A713" s="0" t="s">
        <v>1281</v>
      </c>
      <c r="C713" s="0" t="s">
        <v>255</v>
      </c>
      <c r="D713" s="7" t="n">
        <v>96</v>
      </c>
      <c r="E713" s="8" t="n">
        <v>2.88166666666667</v>
      </c>
      <c r="F713" s="4" t="n">
        <f aca="false">D713*E713</f>
        <v>276.64</v>
      </c>
      <c r="G713" s="7" t="n">
        <v>48</v>
      </c>
      <c r="H713" s="9" t="n">
        <f aca="false">IF(G713&gt;0,D713/G713,"")</f>
        <v>2</v>
      </c>
      <c r="I713" s="10" t="n">
        <v>45980</v>
      </c>
      <c r="J713" s="3" t="s">
        <v>1282</v>
      </c>
      <c r="K713" s="10" t="n">
        <v>45125</v>
      </c>
      <c r="L713" s="3" t="s">
        <v>257</v>
      </c>
      <c r="M713" s="7" t="n">
        <v>186</v>
      </c>
      <c r="N713" s="8" t="n">
        <v>2.81</v>
      </c>
      <c r="O713" s="4" t="n">
        <f aca="false">M713*N713</f>
        <v>522.66</v>
      </c>
    </row>
    <row r="714" customFormat="false" ht="15" hidden="false" customHeight="false" outlineLevel="0" collapsed="false">
      <c r="A714" s="0" t="s">
        <v>1283</v>
      </c>
      <c r="C714" s="0" t="s">
        <v>35</v>
      </c>
      <c r="D714" s="7" t="n">
        <v>100</v>
      </c>
      <c r="E714" s="8" t="n">
        <v>2.7657</v>
      </c>
      <c r="F714" s="4" t="n">
        <f aca="false">D714*E714</f>
        <v>276.57</v>
      </c>
      <c r="G714" s="7" t="n">
        <v>57</v>
      </c>
      <c r="H714" s="9" t="n">
        <f aca="false">IF(G714&gt;0,D714/G714,"")</f>
        <v>1.75438596491228</v>
      </c>
      <c r="I714" s="10" t="n">
        <v>46302</v>
      </c>
      <c r="J714" s="3" t="s">
        <v>1284</v>
      </c>
      <c r="K714" s="10" t="n">
        <v>46295</v>
      </c>
      <c r="L714" s="3" t="s">
        <v>14</v>
      </c>
      <c r="M714" s="7" t="n">
        <v>138</v>
      </c>
      <c r="N714" s="8" t="n">
        <v>2.7657</v>
      </c>
      <c r="O714" s="4" t="n">
        <f aca="false">M714*N714</f>
        <v>381.6666</v>
      </c>
    </row>
    <row r="715" customFormat="false" ht="15" hidden="false" customHeight="false" outlineLevel="0" collapsed="false">
      <c r="A715" s="0" t="s">
        <v>1285</v>
      </c>
      <c r="C715" s="0" t="s">
        <v>44</v>
      </c>
      <c r="D715" s="7" t="n">
        <v>5</v>
      </c>
      <c r="E715" s="8" t="n">
        <v>55.294</v>
      </c>
      <c r="F715" s="4" t="n">
        <f aca="false">D715*E715</f>
        <v>276.47</v>
      </c>
      <c r="G715" s="7" t="n">
        <v>3</v>
      </c>
      <c r="H715" s="9" t="n">
        <f aca="false">IF(G715&gt;0,D715/G715,"")</f>
        <v>1.66666666666667</v>
      </c>
      <c r="I715" s="10" t="n">
        <v>46203</v>
      </c>
      <c r="J715" s="3" t="s">
        <v>572</v>
      </c>
      <c r="K715" s="10" t="n">
        <v>46164</v>
      </c>
      <c r="L715" s="3" t="s">
        <v>14</v>
      </c>
      <c r="M715" s="7" t="n">
        <v>8</v>
      </c>
      <c r="N715" s="8" t="n">
        <v>55.2938</v>
      </c>
      <c r="O715" s="4" t="n">
        <f aca="false">M715*N715</f>
        <v>442.3504</v>
      </c>
    </row>
    <row r="716" customFormat="false" ht="15" hidden="false" customHeight="false" outlineLevel="0" collapsed="false">
      <c r="A716" s="0" t="s">
        <v>1286</v>
      </c>
      <c r="C716" s="0" t="s">
        <v>31</v>
      </c>
      <c r="D716" s="7" t="n">
        <v>62520</v>
      </c>
      <c r="E716" s="8" t="n">
        <v>0.00442066538707614</v>
      </c>
      <c r="F716" s="4" t="n">
        <f aca="false">D716*E716</f>
        <v>276.38</v>
      </c>
      <c r="G716" s="7" t="n">
        <v>50870</v>
      </c>
      <c r="H716" s="9" t="n">
        <f aca="false">IF(G716&gt;0,D716/G716,"")</f>
        <v>1.22901513662276</v>
      </c>
      <c r="I716" s="10" t="n">
        <v>46310</v>
      </c>
      <c r="J716" s="3" t="s">
        <v>444</v>
      </c>
      <c r="K716" s="10" t="n">
        <v>46240</v>
      </c>
      <c r="L716" s="3" t="s">
        <v>16</v>
      </c>
      <c r="M716" s="7" t="n">
        <v>34000</v>
      </c>
      <c r="N716" s="8" t="n">
        <v>0.0045</v>
      </c>
      <c r="O716" s="4" t="n">
        <f aca="false">M716*N716</f>
        <v>153</v>
      </c>
    </row>
    <row r="717" customFormat="false" ht="15" hidden="false" customHeight="false" outlineLevel="0" collapsed="false">
      <c r="A717" s="0" t="s">
        <v>1287</v>
      </c>
      <c r="C717" s="0" t="s">
        <v>541</v>
      </c>
      <c r="D717" s="7" t="n">
        <v>175</v>
      </c>
      <c r="E717" s="8" t="n">
        <v>1.57771428571429</v>
      </c>
      <c r="F717" s="4" t="n">
        <f aca="false">D717*E717</f>
        <v>276.1</v>
      </c>
      <c r="G717" s="7" t="n">
        <v>145</v>
      </c>
      <c r="H717" s="9" t="n">
        <f aca="false">IF(G717&gt;0,D717/G717,"")</f>
        <v>1.20689655172414</v>
      </c>
      <c r="I717" s="10" t="n">
        <v>46273</v>
      </c>
      <c r="J717" s="3" t="s">
        <v>1288</v>
      </c>
      <c r="K717" s="10" t="n">
        <v>46122</v>
      </c>
      <c r="L717" s="3" t="s">
        <v>313</v>
      </c>
      <c r="M717" s="7" t="n">
        <v>200</v>
      </c>
      <c r="N717" s="8" t="n">
        <v>1.5855</v>
      </c>
      <c r="O717" s="4" t="n">
        <f aca="false">M717*N717</f>
        <v>317.1</v>
      </c>
    </row>
    <row r="718" customFormat="false" ht="15" hidden="false" customHeight="false" outlineLevel="0" collapsed="false">
      <c r="A718" s="0" t="s">
        <v>1289</v>
      </c>
      <c r="C718" s="0" t="s">
        <v>741</v>
      </c>
      <c r="D718" s="7" t="n">
        <v>1138</v>
      </c>
      <c r="E718" s="8" t="n">
        <v>0.242407732864675</v>
      </c>
      <c r="F718" s="4" t="n">
        <f aca="false">D718*E718</f>
        <v>275.86</v>
      </c>
      <c r="G718" s="7" t="n">
        <v>164</v>
      </c>
      <c r="H718" s="9" t="n">
        <f aca="false">IF(G718&gt;0,D718/G718,"")</f>
        <v>6.9390243902439</v>
      </c>
      <c r="I718" s="10" t="n">
        <v>46297</v>
      </c>
      <c r="J718" s="3" t="s">
        <v>1290</v>
      </c>
      <c r="K718" s="10" t="n">
        <v>45169</v>
      </c>
      <c r="L718" s="3" t="s">
        <v>14</v>
      </c>
      <c r="M718" s="7" t="n">
        <v>1649</v>
      </c>
      <c r="N718" s="8" t="n">
        <v>0.2424</v>
      </c>
      <c r="O718" s="4" t="n">
        <f aca="false">M718*N718</f>
        <v>399.7176</v>
      </c>
    </row>
    <row r="719" customFormat="false" ht="15" hidden="false" customHeight="false" outlineLevel="0" collapsed="false">
      <c r="A719" s="0" t="s">
        <v>1291</v>
      </c>
      <c r="C719" s="0" t="s">
        <v>42</v>
      </c>
      <c r="D719" s="7" t="n">
        <v>1846</v>
      </c>
      <c r="E719" s="8" t="n">
        <v>0.149192849404117</v>
      </c>
      <c r="F719" s="4" t="n">
        <f aca="false">D719*E719</f>
        <v>275.41</v>
      </c>
      <c r="G719" s="7" t="n">
        <v>810</v>
      </c>
      <c r="H719" s="9" t="n">
        <f aca="false">IF(G719&gt;0,D719/G719,"")</f>
        <v>2.27901234567901</v>
      </c>
      <c r="I719" s="10" t="n">
        <v>46308</v>
      </c>
      <c r="J719" s="3" t="s">
        <v>460</v>
      </c>
      <c r="K719" s="10" t="n">
        <v>45768</v>
      </c>
      <c r="L719" s="3" t="s">
        <v>14</v>
      </c>
      <c r="M719" s="7" t="n">
        <v>2700</v>
      </c>
      <c r="N719" s="8" t="n">
        <v>0.1492</v>
      </c>
      <c r="O719" s="4" t="n">
        <f aca="false">M719*N719</f>
        <v>402.84</v>
      </c>
    </row>
    <row r="720" customFormat="false" ht="15" hidden="false" customHeight="false" outlineLevel="0" collapsed="false">
      <c r="A720" s="0" t="s">
        <v>1292</v>
      </c>
      <c r="C720" s="0" t="s">
        <v>225</v>
      </c>
      <c r="D720" s="7" t="n">
        <v>25</v>
      </c>
      <c r="E720" s="8" t="n">
        <v>11.0152</v>
      </c>
      <c r="F720" s="4" t="n">
        <f aca="false">D720*E720</f>
        <v>275.38</v>
      </c>
      <c r="G720" s="7" t="n">
        <v>7</v>
      </c>
      <c r="H720" s="9" t="n">
        <f aca="false">IF(G720&gt;0,D720/G720,"")</f>
        <v>3.57142857142857</v>
      </c>
      <c r="I720" s="10" t="n">
        <v>46279</v>
      </c>
      <c r="J720" s="3" t="s">
        <v>658</v>
      </c>
      <c r="K720" s="10" t="n">
        <v>45552</v>
      </c>
      <c r="L720" s="3" t="s">
        <v>14</v>
      </c>
      <c r="M720" s="7" t="n">
        <v>50</v>
      </c>
      <c r="N720" s="8" t="n">
        <v>11.0154</v>
      </c>
      <c r="O720" s="4" t="n">
        <f aca="false">M720*N720</f>
        <v>550.77</v>
      </c>
    </row>
    <row r="721" customFormat="false" ht="15" hidden="false" customHeight="false" outlineLevel="0" collapsed="false">
      <c r="A721" s="0" t="s">
        <v>1293</v>
      </c>
      <c r="C721" s="0" t="s">
        <v>285</v>
      </c>
      <c r="D721" s="7" t="n">
        <v>6007</v>
      </c>
      <c r="E721" s="8" t="n">
        <v>0.0457999001165307</v>
      </c>
      <c r="F721" s="4" t="n">
        <f aca="false">D721*E721</f>
        <v>275.12</v>
      </c>
      <c r="G721" s="7" t="n">
        <v>2235</v>
      </c>
      <c r="H721" s="9" t="n">
        <f aca="false">IF(G721&gt;0,D721/G721,"")</f>
        <v>2.68769574944072</v>
      </c>
      <c r="I721" s="10" t="n">
        <v>46241</v>
      </c>
      <c r="J721" s="3" t="s">
        <v>1294</v>
      </c>
      <c r="K721" s="10" t="n">
        <v>46191</v>
      </c>
      <c r="L721" s="3" t="s">
        <v>1295</v>
      </c>
      <c r="M721" s="7" t="n">
        <v>7000</v>
      </c>
      <c r="N721" s="8" t="n">
        <v>0.0458</v>
      </c>
      <c r="O721" s="4" t="n">
        <f aca="false">M721*N721</f>
        <v>320.6</v>
      </c>
    </row>
    <row r="722" customFormat="false" ht="15" hidden="false" customHeight="false" outlineLevel="0" collapsed="false">
      <c r="A722" s="0" t="s">
        <v>1296</v>
      </c>
      <c r="C722" s="0" t="s">
        <v>43</v>
      </c>
      <c r="D722" s="7" t="n">
        <v>520</v>
      </c>
      <c r="E722" s="8" t="n">
        <v>0.528903846153846</v>
      </c>
      <c r="F722" s="4" t="n">
        <f aca="false">D722*E722</f>
        <v>275.03</v>
      </c>
      <c r="G722" s="7" t="n">
        <v>20</v>
      </c>
      <c r="H722" s="9" t="n">
        <f aca="false">IF(G722&gt;0,D722/G722,"")</f>
        <v>26</v>
      </c>
      <c r="I722" s="10" t="n">
        <v>46224</v>
      </c>
      <c r="J722" s="3" t="s">
        <v>271</v>
      </c>
      <c r="K722" s="10" t="n">
        <v>44326</v>
      </c>
      <c r="L722" s="3" t="s">
        <v>14</v>
      </c>
      <c r="M722" s="7" t="n">
        <v>570</v>
      </c>
      <c r="N722" s="8" t="n">
        <v>0.5289</v>
      </c>
      <c r="O722" s="4" t="n">
        <f aca="false">M722*N722</f>
        <v>301.473</v>
      </c>
    </row>
    <row r="723" customFormat="false" ht="15" hidden="false" customHeight="false" outlineLevel="0" collapsed="false">
      <c r="A723" s="0" t="s">
        <v>1297</v>
      </c>
      <c r="C723" s="0" t="s">
        <v>225</v>
      </c>
      <c r="D723" s="7" t="n">
        <v>61</v>
      </c>
      <c r="E723" s="8" t="n">
        <v>4.50770491803279</v>
      </c>
      <c r="F723" s="4" t="n">
        <f aca="false">D723*E723</f>
        <v>274.97</v>
      </c>
      <c r="G723" s="7" t="n">
        <v>7</v>
      </c>
      <c r="H723" s="9" t="n">
        <f aca="false">IF(G723&gt;0,D723/G723,"")</f>
        <v>8.71428571428571</v>
      </c>
      <c r="I723" s="10" t="n">
        <v>46084</v>
      </c>
      <c r="J723" s="3" t="s">
        <v>1298</v>
      </c>
      <c r="K723" s="10" t="n">
        <v>44910</v>
      </c>
      <c r="L723" s="3" t="s">
        <v>14</v>
      </c>
      <c r="M723" s="7" t="n">
        <v>200</v>
      </c>
      <c r="N723" s="8" t="n">
        <v>4.5077</v>
      </c>
      <c r="O723" s="4" t="n">
        <f aca="false">M723*N723</f>
        <v>901.54</v>
      </c>
    </row>
    <row r="724" customFormat="false" ht="15" hidden="false" customHeight="false" outlineLevel="0" collapsed="false">
      <c r="A724" s="0" t="s">
        <v>1299</v>
      </c>
      <c r="C724" s="0" t="s">
        <v>31</v>
      </c>
      <c r="D724" s="7" t="n">
        <v>26691</v>
      </c>
      <c r="E724" s="8" t="n">
        <v>0.0103008504739425</v>
      </c>
      <c r="F724" s="4" t="n">
        <f aca="false">D724*E724</f>
        <v>274.94</v>
      </c>
      <c r="G724" s="7" t="n">
        <v>708</v>
      </c>
      <c r="H724" s="9" t="n">
        <f aca="false">IF(G724&gt;0,D724/G724,"")</f>
        <v>37.6991525423729</v>
      </c>
      <c r="I724" s="10" t="n">
        <v>46273</v>
      </c>
      <c r="K724" s="10"/>
      <c r="M724" s="7"/>
      <c r="N724" s="8"/>
      <c r="O724" s="4"/>
    </row>
    <row r="725" customFormat="false" ht="15" hidden="false" customHeight="false" outlineLevel="0" collapsed="false">
      <c r="A725" s="0" t="s">
        <v>1300</v>
      </c>
      <c r="C725" s="0" t="s">
        <v>61</v>
      </c>
      <c r="D725" s="7" t="n">
        <v>2275</v>
      </c>
      <c r="E725" s="8" t="n">
        <v>0.120813186813187</v>
      </c>
      <c r="F725" s="4" t="n">
        <f aca="false">D725*E725</f>
        <v>274.85</v>
      </c>
      <c r="G725" s="7" t="n">
        <v>500</v>
      </c>
      <c r="H725" s="9" t="n">
        <f aca="false">IF(G725&gt;0,D725/G725,"")</f>
        <v>4.55</v>
      </c>
      <c r="I725" s="10" t="n">
        <v>46310</v>
      </c>
      <c r="J725" s="3" t="s">
        <v>1301</v>
      </c>
      <c r="K725" s="10" t="n">
        <v>46106</v>
      </c>
      <c r="L725" s="3" t="s">
        <v>23</v>
      </c>
      <c r="M725" s="7" t="n">
        <v>2400</v>
      </c>
      <c r="N725" s="8" t="n">
        <v>0.1209</v>
      </c>
      <c r="O725" s="4" t="n">
        <f aca="false">M725*N725</f>
        <v>290.16</v>
      </c>
    </row>
    <row r="726" customFormat="false" ht="15" hidden="false" customHeight="false" outlineLevel="0" collapsed="false">
      <c r="A726" s="0" t="s">
        <v>1302</v>
      </c>
      <c r="C726" s="0" t="s">
        <v>1169</v>
      </c>
      <c r="D726" s="7" t="n">
        <v>1632</v>
      </c>
      <c r="E726" s="8" t="n">
        <v>0.168394607843137</v>
      </c>
      <c r="F726" s="4" t="n">
        <f aca="false">D726*E726</f>
        <v>274.82</v>
      </c>
      <c r="G726" s="7" t="n">
        <v>209</v>
      </c>
      <c r="H726" s="9" t="n">
        <f aca="false">IF(G726&gt;0,D726/G726,"")</f>
        <v>7.80861244019139</v>
      </c>
      <c r="I726" s="10" t="n">
        <v>46216</v>
      </c>
      <c r="J726" s="3" t="s">
        <v>1303</v>
      </c>
      <c r="K726" s="10" t="n">
        <v>44721</v>
      </c>
      <c r="L726" s="3" t="s">
        <v>14</v>
      </c>
      <c r="M726" s="7" t="n">
        <v>2558</v>
      </c>
      <c r="N726" s="8" t="n">
        <v>0.1686</v>
      </c>
      <c r="O726" s="4" t="n">
        <v>430.9416</v>
      </c>
    </row>
    <row r="727" customFormat="false" ht="15" hidden="false" customHeight="false" outlineLevel="0" collapsed="false">
      <c r="A727" s="0" t="s">
        <v>1304</v>
      </c>
      <c r="C727" s="0" t="s">
        <v>34</v>
      </c>
      <c r="D727" s="7" t="n">
        <v>35824</v>
      </c>
      <c r="E727" s="8" t="n">
        <v>0.00766999776686021</v>
      </c>
      <c r="F727" s="4" t="n">
        <f aca="false">D727*E727</f>
        <v>274.77</v>
      </c>
      <c r="G727" s="7" t="n">
        <v>1617</v>
      </c>
      <c r="H727" s="9" t="n">
        <f aca="false">IF(G727&gt;0,D727/G727,"")</f>
        <v>22.1546072974644</v>
      </c>
      <c r="I727" s="10" t="n">
        <v>46308</v>
      </c>
      <c r="J727" s="3" t="s">
        <v>1305</v>
      </c>
      <c r="K727" s="10" t="n">
        <v>45266</v>
      </c>
      <c r="L727" s="3" t="s">
        <v>19</v>
      </c>
      <c r="M727" s="7" t="n">
        <v>500</v>
      </c>
      <c r="N727" s="8" t="n">
        <v>0.0334</v>
      </c>
      <c r="O727" s="4" t="n">
        <f aca="false">M727*N727</f>
        <v>16.7</v>
      </c>
    </row>
    <row r="728" customFormat="false" ht="15" hidden="false" customHeight="false" outlineLevel="0" collapsed="false">
      <c r="A728" s="0" t="s">
        <v>1306</v>
      </c>
      <c r="C728" s="0" t="s">
        <v>32</v>
      </c>
      <c r="D728" s="7" t="n">
        <v>22132</v>
      </c>
      <c r="E728" s="8" t="n">
        <v>0.0124028555937105</v>
      </c>
      <c r="F728" s="4" t="n">
        <f aca="false">D728*E728</f>
        <v>274.5</v>
      </c>
      <c r="G728" s="7" t="n">
        <v>13994</v>
      </c>
      <c r="H728" s="9" t="n">
        <f aca="false">IF(G728&gt;0,D728/G728,"")</f>
        <v>1.58153494354723</v>
      </c>
      <c r="I728" s="10" t="n">
        <v>46310</v>
      </c>
      <c r="J728" s="3" t="s">
        <v>347</v>
      </c>
      <c r="K728" s="10" t="n">
        <v>46210</v>
      </c>
      <c r="L728" s="3" t="s">
        <v>14</v>
      </c>
      <c r="M728" s="7" t="n">
        <v>23000</v>
      </c>
      <c r="N728" s="8" t="n">
        <v>0.0124</v>
      </c>
      <c r="O728" s="4" t="n">
        <f aca="false">M728*N728</f>
        <v>285.2</v>
      </c>
    </row>
    <row r="729" customFormat="false" ht="15" hidden="false" customHeight="false" outlineLevel="0" collapsed="false">
      <c r="A729" s="0" t="s">
        <v>1307</v>
      </c>
      <c r="C729" s="0" t="s">
        <v>32</v>
      </c>
      <c r="D729" s="7" t="n">
        <v>10409</v>
      </c>
      <c r="E729" s="8" t="n">
        <v>0.0263704486502066</v>
      </c>
      <c r="F729" s="4" t="n">
        <f aca="false">D729*E729</f>
        <v>274.49</v>
      </c>
      <c r="G729" s="7" t="n">
        <v>4922</v>
      </c>
      <c r="H729" s="9" t="n">
        <f aca="false">IF(G729&gt;0,D729/G729,"")</f>
        <v>2.11479073547338</v>
      </c>
      <c r="I729" s="10" t="n">
        <v>46294</v>
      </c>
      <c r="J729" s="3" t="s">
        <v>273</v>
      </c>
      <c r="K729" s="10" t="n">
        <v>46251</v>
      </c>
      <c r="L729" s="3" t="s">
        <v>14</v>
      </c>
      <c r="M729" s="7" t="n">
        <v>10000</v>
      </c>
      <c r="N729" s="8" t="n">
        <v>0.026</v>
      </c>
      <c r="O729" s="4" t="n">
        <f aca="false">M729*N729</f>
        <v>260</v>
      </c>
    </row>
    <row r="730" customFormat="false" ht="15" hidden="false" customHeight="false" outlineLevel="0" collapsed="false">
      <c r="A730" s="0" t="s">
        <v>1308</v>
      </c>
      <c r="C730" s="0" t="s">
        <v>39</v>
      </c>
      <c r="D730" s="7" t="n">
        <v>9241</v>
      </c>
      <c r="E730" s="8" t="n">
        <v>0.0297013310247809</v>
      </c>
      <c r="F730" s="4" t="n">
        <f aca="false">D730*E730</f>
        <v>274.47</v>
      </c>
      <c r="G730" s="7" t="n">
        <v>7580</v>
      </c>
      <c r="H730" s="9" t="n">
        <f aca="false">IF(G730&gt;0,D730/G730,"")</f>
        <v>1.21912928759894</v>
      </c>
      <c r="I730" s="10" t="n">
        <v>46297</v>
      </c>
      <c r="J730" s="3" t="s">
        <v>1309</v>
      </c>
      <c r="K730" s="10" t="n">
        <v>46246</v>
      </c>
      <c r="L730" s="3" t="s">
        <v>18</v>
      </c>
      <c r="M730" s="7" t="n">
        <v>9000</v>
      </c>
      <c r="N730" s="8" t="n">
        <v>0.0297</v>
      </c>
      <c r="O730" s="4" t="n">
        <f aca="false">M730*N730</f>
        <v>267.3</v>
      </c>
    </row>
    <row r="731" customFormat="false" ht="15" hidden="false" customHeight="false" outlineLevel="0" collapsed="false">
      <c r="A731" s="0" t="s">
        <v>1310</v>
      </c>
      <c r="C731" s="0" t="s">
        <v>35</v>
      </c>
      <c r="D731" s="7" t="n">
        <v>14</v>
      </c>
      <c r="E731" s="8" t="n">
        <v>19.6</v>
      </c>
      <c r="F731" s="4" t="n">
        <f aca="false">D731*E731</f>
        <v>274.4</v>
      </c>
      <c r="G731" s="7" t="n">
        <v>2</v>
      </c>
      <c r="H731" s="9" t="n">
        <f aca="false">IF(G731&gt;0,D731/G731,"")</f>
        <v>7</v>
      </c>
      <c r="I731" s="10" t="n">
        <v>45965</v>
      </c>
      <c r="J731" s="3" t="s">
        <v>1311</v>
      </c>
      <c r="K731" s="10" t="n">
        <v>45940</v>
      </c>
      <c r="L731" s="3" t="s">
        <v>154</v>
      </c>
      <c r="M731" s="7" t="n">
        <v>16</v>
      </c>
      <c r="N731" s="8" t="n">
        <v>19.6</v>
      </c>
      <c r="O731" s="4" t="n">
        <f aca="false">M731*N731</f>
        <v>313.6</v>
      </c>
    </row>
    <row r="732" customFormat="false" ht="15" hidden="false" customHeight="false" outlineLevel="0" collapsed="false">
      <c r="A732" s="0" t="s">
        <v>1312</v>
      </c>
      <c r="C732" s="0" t="s">
        <v>383</v>
      </c>
      <c r="D732" s="7" t="n">
        <v>15470</v>
      </c>
      <c r="E732" s="8" t="n">
        <v>0.0177349709114415</v>
      </c>
      <c r="F732" s="4" t="n">
        <f aca="false">D732*E732</f>
        <v>274.36</v>
      </c>
      <c r="G732" s="7" t="n">
        <v>76</v>
      </c>
      <c r="H732" s="9" t="n">
        <f aca="false">IF(G732&gt;0,D732/G732,"")</f>
        <v>203.552631578947</v>
      </c>
      <c r="I732" s="10" t="n">
        <v>46174</v>
      </c>
      <c r="J732" s="3" t="s">
        <v>1313</v>
      </c>
      <c r="K732" s="10" t="n">
        <v>46086</v>
      </c>
      <c r="L732" s="3" t="s">
        <v>16</v>
      </c>
      <c r="M732" s="7" t="n">
        <v>15488</v>
      </c>
      <c r="N732" s="8" t="n">
        <v>0.0177</v>
      </c>
      <c r="O732" s="4" t="n">
        <f aca="false">M732*N732</f>
        <v>274.1376</v>
      </c>
    </row>
    <row r="733" customFormat="false" ht="15" hidden="false" customHeight="false" outlineLevel="0" collapsed="false">
      <c r="A733" s="0" t="s">
        <v>1314</v>
      </c>
      <c r="C733" s="0" t="s">
        <v>118</v>
      </c>
      <c r="D733" s="7" t="n">
        <v>4490</v>
      </c>
      <c r="E733" s="8" t="n">
        <v>0.061</v>
      </c>
      <c r="F733" s="4" t="n">
        <f aca="false">D733*E733</f>
        <v>273.89</v>
      </c>
      <c r="G733" s="7" t="n">
        <v>2010</v>
      </c>
      <c r="H733" s="9" t="n">
        <f aca="false">IF(G733&gt;0,D733/G733,"")</f>
        <v>2.23383084577114</v>
      </c>
      <c r="I733" s="10" t="n">
        <v>46091</v>
      </c>
      <c r="J733" s="3" t="s">
        <v>1315</v>
      </c>
      <c r="K733" s="10" t="n">
        <v>45904</v>
      </c>
      <c r="L733" s="3" t="s">
        <v>16</v>
      </c>
      <c r="M733" s="7" t="n">
        <v>5000</v>
      </c>
      <c r="N733" s="8" t="n">
        <v>0.061</v>
      </c>
      <c r="O733" s="4" t="n">
        <f aca="false">M733*N733</f>
        <v>305</v>
      </c>
    </row>
    <row r="734" customFormat="false" ht="15" hidden="false" customHeight="false" outlineLevel="0" collapsed="false">
      <c r="A734" s="0" t="s">
        <v>1316</v>
      </c>
      <c r="C734" s="0" t="s">
        <v>35</v>
      </c>
      <c r="D734" s="7" t="n">
        <v>2943</v>
      </c>
      <c r="E734" s="8" t="n">
        <v>0.0930003397893306</v>
      </c>
      <c r="F734" s="4" t="n">
        <f aca="false">D734*E734</f>
        <v>273.7</v>
      </c>
      <c r="G734" s="7" t="n">
        <v>865</v>
      </c>
      <c r="H734" s="9" t="n">
        <f aca="false">IF(G734&gt;0,D734/G734,"")</f>
        <v>3.40231213872832</v>
      </c>
      <c r="I734" s="10" t="n">
        <v>46288</v>
      </c>
      <c r="J734" s="3" t="s">
        <v>184</v>
      </c>
      <c r="K734" s="10" t="n">
        <v>45468</v>
      </c>
      <c r="L734" s="3" t="s">
        <v>20</v>
      </c>
      <c r="M734" s="7" t="n">
        <v>4000</v>
      </c>
      <c r="N734" s="8" t="n">
        <v>0.093</v>
      </c>
      <c r="O734" s="4" t="n">
        <f aca="false">M734*N734</f>
        <v>372</v>
      </c>
    </row>
    <row r="735" customFormat="false" ht="15" hidden="false" customHeight="false" outlineLevel="0" collapsed="false">
      <c r="A735" s="0" t="s">
        <v>1317</v>
      </c>
      <c r="D735" s="7" t="n">
        <v>17400</v>
      </c>
      <c r="E735" s="8" t="n">
        <v>0.0157</v>
      </c>
      <c r="F735" s="4" t="n">
        <f aca="false">D735*E735</f>
        <v>273.18</v>
      </c>
      <c r="G735" s="7" t="n">
        <v>2600</v>
      </c>
      <c r="H735" s="9" t="n">
        <f aca="false">IF(G735&gt;0,D735/G735,"")</f>
        <v>6.69230769230769</v>
      </c>
      <c r="I735" s="10" t="n">
        <v>46282</v>
      </c>
      <c r="J735" s="3" t="s">
        <v>1318</v>
      </c>
      <c r="K735" s="10" t="n">
        <v>46213</v>
      </c>
      <c r="L735" s="3" t="s">
        <v>16</v>
      </c>
      <c r="M735" s="7" t="n">
        <v>20000</v>
      </c>
      <c r="N735" s="8" t="n">
        <v>0.0157</v>
      </c>
      <c r="O735" s="4" t="n">
        <f aca="false">M735*N735</f>
        <v>314</v>
      </c>
    </row>
    <row r="736" customFormat="false" ht="15" hidden="false" customHeight="false" outlineLevel="0" collapsed="false">
      <c r="A736" s="0" t="s">
        <v>1319</v>
      </c>
      <c r="C736" s="0" t="s">
        <v>807</v>
      </c>
      <c r="D736" s="7" t="n">
        <v>90</v>
      </c>
      <c r="E736" s="8" t="n">
        <v>3.03</v>
      </c>
      <c r="F736" s="4" t="n">
        <f aca="false">D736*E736</f>
        <v>272.7</v>
      </c>
      <c r="G736" s="7" t="n">
        <v>60</v>
      </c>
      <c r="H736" s="9" t="n">
        <f aca="false">IF(G736&gt;0,D736/G736,"")</f>
        <v>1.5</v>
      </c>
      <c r="I736" s="10" t="n">
        <v>46259</v>
      </c>
      <c r="J736" s="3" t="s">
        <v>1320</v>
      </c>
      <c r="K736" s="10" t="n">
        <v>46146</v>
      </c>
      <c r="L736" s="3" t="s">
        <v>145</v>
      </c>
      <c r="M736" s="7" t="n">
        <v>105</v>
      </c>
      <c r="N736" s="8" t="n">
        <v>3.03</v>
      </c>
      <c r="O736" s="4" t="n">
        <f aca="false">M736*N736</f>
        <v>318.15</v>
      </c>
    </row>
    <row r="737" customFormat="false" ht="15" hidden="false" customHeight="false" outlineLevel="0" collapsed="false">
      <c r="A737" s="0" t="s">
        <v>1321</v>
      </c>
      <c r="C737" s="0" t="s">
        <v>35</v>
      </c>
      <c r="D737" s="7" t="n">
        <v>19</v>
      </c>
      <c r="E737" s="8" t="n">
        <v>14.3352631578947</v>
      </c>
      <c r="F737" s="4" t="n">
        <f aca="false">D737*E737</f>
        <v>272.37</v>
      </c>
      <c r="G737" s="7" t="n">
        <v>12</v>
      </c>
      <c r="H737" s="9" t="n">
        <f aca="false">IF(G737&gt;0,D737/G737,"")</f>
        <v>1.58333333333333</v>
      </c>
      <c r="I737" s="10" t="n">
        <v>46105</v>
      </c>
      <c r="J737" s="3" t="s">
        <v>1278</v>
      </c>
      <c r="K737" s="10" t="n">
        <v>45322</v>
      </c>
      <c r="L737" s="3" t="s">
        <v>20</v>
      </c>
      <c r="M737" s="7" t="n">
        <v>61</v>
      </c>
      <c r="N737" s="8" t="n">
        <v>14.335</v>
      </c>
      <c r="O737" s="4" t="n">
        <f aca="false">M737*N737</f>
        <v>874.435</v>
      </c>
    </row>
    <row r="738" customFormat="false" ht="15" hidden="false" customHeight="false" outlineLevel="0" collapsed="false">
      <c r="A738" s="0" t="s">
        <v>1322</v>
      </c>
      <c r="C738" s="0" t="s">
        <v>41</v>
      </c>
      <c r="D738" s="7" t="n">
        <v>4021</v>
      </c>
      <c r="E738" s="8" t="n">
        <v>0.0677144988808754</v>
      </c>
      <c r="F738" s="4" t="n">
        <f aca="false">D738*E738</f>
        <v>272.28</v>
      </c>
      <c r="G738" s="7" t="n">
        <v>98</v>
      </c>
      <c r="H738" s="9" t="n">
        <f aca="false">IF(G738&gt;0,D738/G738,"")</f>
        <v>41.030612244898</v>
      </c>
      <c r="I738" s="10" t="n">
        <v>46232</v>
      </c>
      <c r="J738" s="3" t="s">
        <v>147</v>
      </c>
      <c r="K738" s="10" t="n">
        <v>44777</v>
      </c>
      <c r="L738" s="3" t="s">
        <v>20</v>
      </c>
      <c r="M738" s="7" t="n">
        <v>4150</v>
      </c>
      <c r="N738" s="8" t="n">
        <v>0.0677133</v>
      </c>
      <c r="O738" s="4" t="n">
        <f aca="false">M738*N738</f>
        <v>281.010195</v>
      </c>
    </row>
    <row r="739" customFormat="false" ht="15" hidden="false" customHeight="false" outlineLevel="0" collapsed="false">
      <c r="A739" s="0" t="s">
        <v>1323</v>
      </c>
      <c r="C739" s="0" t="s">
        <v>45</v>
      </c>
      <c r="D739" s="7" t="n">
        <v>94</v>
      </c>
      <c r="E739" s="8" t="n">
        <v>2.89521276595745</v>
      </c>
      <c r="F739" s="4" t="n">
        <f aca="false">D739*E739</f>
        <v>272.15</v>
      </c>
      <c r="G739" s="7" t="n">
        <v>5</v>
      </c>
      <c r="H739" s="9" t="n">
        <f aca="false">IF(G739&gt;0,D739/G739,"")</f>
        <v>18.8</v>
      </c>
      <c r="I739" s="10" t="n">
        <v>46202</v>
      </c>
      <c r="J739" s="3" t="s">
        <v>800</v>
      </c>
      <c r="K739" s="10" t="n">
        <v>45370</v>
      </c>
      <c r="L739" s="3" t="s">
        <v>14</v>
      </c>
      <c r="M739" s="7" t="n">
        <v>139</v>
      </c>
      <c r="N739" s="8" t="n">
        <v>2.8952</v>
      </c>
      <c r="O739" s="4" t="n">
        <f aca="false">M739*N739</f>
        <v>402.4328</v>
      </c>
    </row>
    <row r="740" customFormat="false" ht="15" hidden="false" customHeight="false" outlineLevel="0" collapsed="false">
      <c r="A740" s="0" t="s">
        <v>1324</v>
      </c>
      <c r="C740" s="0" t="s">
        <v>34</v>
      </c>
      <c r="D740" s="7" t="n">
        <v>9216</v>
      </c>
      <c r="E740" s="8" t="n">
        <v>0.0294997829861111</v>
      </c>
      <c r="F740" s="4" t="n">
        <f aca="false">D740*E740</f>
        <v>271.87</v>
      </c>
      <c r="G740" s="7" t="n">
        <v>1086</v>
      </c>
      <c r="H740" s="9" t="n">
        <f aca="false">IF(G740&gt;0,D740/G740,"")</f>
        <v>8.48618784530387</v>
      </c>
      <c r="I740" s="10" t="n">
        <v>46317</v>
      </c>
      <c r="K740" s="10"/>
      <c r="M740" s="7"/>
      <c r="N740" s="8"/>
      <c r="O740" s="4"/>
    </row>
    <row r="741" customFormat="false" ht="15" hidden="false" customHeight="false" outlineLevel="0" collapsed="false">
      <c r="A741" s="0" t="s">
        <v>1325</v>
      </c>
      <c r="C741" s="0" t="s">
        <v>39</v>
      </c>
      <c r="D741" s="7" t="n">
        <v>6117</v>
      </c>
      <c r="E741" s="8" t="n">
        <v>0.0444008500899134</v>
      </c>
      <c r="F741" s="4" t="n">
        <f aca="false">D741*E741</f>
        <v>271.6</v>
      </c>
      <c r="G741" s="7" t="n">
        <v>1059</v>
      </c>
      <c r="H741" s="9" t="n">
        <f aca="false">IF(G741&gt;0,D741/G741,"")</f>
        <v>5.77620396600567</v>
      </c>
      <c r="I741" s="10" t="n">
        <v>46283</v>
      </c>
      <c r="J741" s="3" t="s">
        <v>1326</v>
      </c>
      <c r="K741" s="10" t="n">
        <v>46177</v>
      </c>
      <c r="L741" s="3" t="s">
        <v>18</v>
      </c>
      <c r="M741" s="7" t="n">
        <v>6000</v>
      </c>
      <c r="N741" s="8" t="n">
        <v>0.0444</v>
      </c>
      <c r="O741" s="4" t="n">
        <f aca="false">M741*N741</f>
        <v>266.4</v>
      </c>
    </row>
    <row r="742" customFormat="false" ht="15" hidden="false" customHeight="false" outlineLevel="0" collapsed="false">
      <c r="A742" s="0" t="s">
        <v>1327</v>
      </c>
      <c r="C742" s="0" t="s">
        <v>42</v>
      </c>
      <c r="D742" s="7" t="n">
        <v>1820</v>
      </c>
      <c r="E742" s="8" t="n">
        <v>0.149197802197802</v>
      </c>
      <c r="F742" s="4" t="n">
        <f aca="false">D742*E742</f>
        <v>271.54</v>
      </c>
      <c r="G742" s="7" t="n">
        <v>1146</v>
      </c>
      <c r="H742" s="9" t="n">
        <f aca="false">IF(G742&gt;0,D742/G742,"")</f>
        <v>1.58813263525305</v>
      </c>
      <c r="I742" s="10" t="n">
        <v>46283</v>
      </c>
      <c r="J742" s="3" t="s">
        <v>467</v>
      </c>
      <c r="K742" s="10" t="n">
        <v>45967</v>
      </c>
      <c r="L742" s="3" t="s">
        <v>14</v>
      </c>
      <c r="M742" s="7" t="n">
        <v>2700</v>
      </c>
      <c r="N742" s="8" t="n">
        <v>0.1492</v>
      </c>
      <c r="O742" s="4" t="n">
        <f aca="false">M742*N742</f>
        <v>402.84</v>
      </c>
    </row>
    <row r="743" customFormat="false" ht="15" hidden="false" customHeight="false" outlineLevel="0" collapsed="false">
      <c r="A743" s="0" t="s">
        <v>1328</v>
      </c>
      <c r="C743" s="0" t="s">
        <v>34</v>
      </c>
      <c r="D743" s="7" t="n">
        <v>15783</v>
      </c>
      <c r="E743" s="8" t="n">
        <v>0.0171988848761326</v>
      </c>
      <c r="F743" s="4" t="n">
        <f aca="false">D743*E743</f>
        <v>271.45</v>
      </c>
      <c r="G743" s="7" t="n">
        <v>11558</v>
      </c>
      <c r="H743" s="9" t="n">
        <f aca="false">IF(G743&gt;0,D743/G743,"")</f>
        <v>1.36554767260772</v>
      </c>
      <c r="I743" s="10" t="n">
        <v>46261</v>
      </c>
      <c r="J743" s="3" t="s">
        <v>1329</v>
      </c>
      <c r="K743" s="10" t="n">
        <v>44727</v>
      </c>
      <c r="L743" s="3" t="s">
        <v>19</v>
      </c>
      <c r="M743" s="7" t="n">
        <v>50772</v>
      </c>
      <c r="N743" s="8" t="n">
        <v>0.0172</v>
      </c>
      <c r="O743" s="4" t="n">
        <f aca="false">M743*N743</f>
        <v>873.2784</v>
      </c>
    </row>
    <row r="744" customFormat="false" ht="15" hidden="false" customHeight="false" outlineLevel="0" collapsed="false">
      <c r="A744" s="0" t="s">
        <v>1330</v>
      </c>
      <c r="C744" s="0" t="s">
        <v>285</v>
      </c>
      <c r="D744" s="7" t="n">
        <v>18712</v>
      </c>
      <c r="E744" s="8" t="n">
        <v>0.0144997862334331</v>
      </c>
      <c r="F744" s="4" t="n">
        <f aca="false">D744*E744</f>
        <v>271.32</v>
      </c>
      <c r="G744" s="7" t="n">
        <v>3612</v>
      </c>
      <c r="H744" s="9" t="n">
        <f aca="false">IF(G744&gt;0,D744/G744,"")</f>
        <v>5.18050941306755</v>
      </c>
      <c r="I744" s="10" t="n">
        <v>46315</v>
      </c>
      <c r="J744" s="3" t="s">
        <v>1294</v>
      </c>
      <c r="K744" s="10" t="n">
        <v>46191</v>
      </c>
      <c r="L744" s="3" t="s">
        <v>1295</v>
      </c>
      <c r="M744" s="7" t="n">
        <v>20000</v>
      </c>
      <c r="N744" s="8" t="n">
        <v>0.0145</v>
      </c>
      <c r="O744" s="4" t="n">
        <f aca="false">M744*N744</f>
        <v>290</v>
      </c>
    </row>
    <row r="745" customFormat="false" ht="15" hidden="false" customHeight="false" outlineLevel="0" collapsed="false">
      <c r="A745" s="0" t="s">
        <v>1331</v>
      </c>
      <c r="C745" s="0" t="s">
        <v>609</v>
      </c>
      <c r="D745" s="7" t="n">
        <v>39</v>
      </c>
      <c r="E745" s="8" t="n">
        <v>6.95358974358974</v>
      </c>
      <c r="F745" s="4" t="n">
        <f aca="false">D745*E745</f>
        <v>271.19</v>
      </c>
      <c r="G745" s="7" t="n">
        <v>5</v>
      </c>
      <c r="H745" s="9" t="n">
        <f aca="false">IF(G745&gt;0,D745/G745,"")</f>
        <v>7.8</v>
      </c>
      <c r="I745" s="10" t="n">
        <v>46210</v>
      </c>
      <c r="J745" s="3" t="s">
        <v>329</v>
      </c>
      <c r="K745" s="10" t="n">
        <v>45310</v>
      </c>
      <c r="L745" s="3" t="s">
        <v>14</v>
      </c>
      <c r="M745" s="7" t="n">
        <v>58</v>
      </c>
      <c r="N745" s="8" t="n">
        <v>6.9536</v>
      </c>
      <c r="O745" s="4" t="n">
        <f aca="false">M745*N745</f>
        <v>403.3088</v>
      </c>
    </row>
    <row r="746" customFormat="false" ht="15" hidden="false" customHeight="false" outlineLevel="0" collapsed="false">
      <c r="A746" s="0" t="s">
        <v>1332</v>
      </c>
      <c r="C746" s="0" t="s">
        <v>43</v>
      </c>
      <c r="D746" s="7" t="n">
        <v>1019</v>
      </c>
      <c r="E746" s="8" t="n">
        <v>0.266104023552503</v>
      </c>
      <c r="F746" s="4" t="n">
        <f aca="false">D746*E746</f>
        <v>271.16</v>
      </c>
      <c r="G746" s="7" t="n">
        <v>30</v>
      </c>
      <c r="H746" s="9" t="n">
        <f aca="false">IF(G746&gt;0,D746/G746,"")</f>
        <v>33.9666666666667</v>
      </c>
      <c r="I746" s="10" t="n">
        <v>46163</v>
      </c>
      <c r="K746" s="10"/>
      <c r="M746" s="7"/>
      <c r="N746" s="8"/>
      <c r="O746" s="4"/>
    </row>
    <row r="747" customFormat="false" ht="15" hidden="false" customHeight="false" outlineLevel="0" collapsed="false">
      <c r="A747" s="0" t="s">
        <v>1333</v>
      </c>
      <c r="C747" s="0" t="s">
        <v>45</v>
      </c>
      <c r="D747" s="7" t="n">
        <v>2279</v>
      </c>
      <c r="E747" s="8" t="n">
        <v>0.118701184730145</v>
      </c>
      <c r="F747" s="4" t="n">
        <f aca="false">D747*E747</f>
        <v>270.52</v>
      </c>
      <c r="G747" s="7" t="n">
        <v>1721</v>
      </c>
      <c r="H747" s="9" t="n">
        <f aca="false">IF(G747&gt;0,D747/G747,"")</f>
        <v>1.32423009877978</v>
      </c>
      <c r="I747" s="10" t="n">
        <v>46155</v>
      </c>
      <c r="J747" s="3" t="s">
        <v>1334</v>
      </c>
      <c r="K747" s="10" t="n">
        <v>46142</v>
      </c>
      <c r="L747" s="3" t="s">
        <v>23</v>
      </c>
      <c r="M747" s="7" t="n">
        <v>4000</v>
      </c>
      <c r="N747" s="8" t="n">
        <v>0.1187</v>
      </c>
      <c r="O747" s="4" t="n">
        <f aca="false">M747*N747</f>
        <v>474.8</v>
      </c>
    </row>
    <row r="748" customFormat="false" ht="15" hidden="false" customHeight="false" outlineLevel="0" collapsed="false">
      <c r="A748" s="0" t="s">
        <v>1335</v>
      </c>
      <c r="C748" s="0" t="s">
        <v>285</v>
      </c>
      <c r="D748" s="7" t="n">
        <v>28037</v>
      </c>
      <c r="E748" s="8" t="n">
        <v>0.00964475514498698</v>
      </c>
      <c r="F748" s="4" t="n">
        <f aca="false">D748*E748</f>
        <v>270.41</v>
      </c>
      <c r="G748" s="7" t="n">
        <v>349</v>
      </c>
      <c r="H748" s="9" t="n">
        <f aca="false">IF(G748&gt;0,D748/G748,"")</f>
        <v>80.3352435530086</v>
      </c>
      <c r="I748" s="10" t="n">
        <v>46275</v>
      </c>
      <c r="J748" s="3" t="s">
        <v>364</v>
      </c>
      <c r="K748" s="10" t="n">
        <v>45441</v>
      </c>
      <c r="L748" s="3" t="s">
        <v>20</v>
      </c>
      <c r="M748" s="7" t="n">
        <v>33000</v>
      </c>
      <c r="N748" s="8" t="n">
        <v>0.00953</v>
      </c>
      <c r="O748" s="4" t="n">
        <f aca="false">M748*N748</f>
        <v>314.49</v>
      </c>
    </row>
    <row r="749" customFormat="false" ht="15" hidden="false" customHeight="false" outlineLevel="0" collapsed="false">
      <c r="A749" s="0" t="s">
        <v>1336</v>
      </c>
      <c r="C749" s="0" t="s">
        <v>31</v>
      </c>
      <c r="D749" s="7" t="n">
        <v>3863</v>
      </c>
      <c r="E749" s="8" t="n">
        <v>0.07</v>
      </c>
      <c r="F749" s="4" t="n">
        <f aca="false">D749*E749</f>
        <v>270.41</v>
      </c>
      <c r="G749" s="7" t="n">
        <v>12</v>
      </c>
      <c r="H749" s="9" t="n">
        <f aca="false">IF(G749&gt;0,D749/G749,"")</f>
        <v>321.916666666667</v>
      </c>
      <c r="I749" s="10" t="n">
        <v>46268</v>
      </c>
      <c r="J749" s="3" t="s">
        <v>1337</v>
      </c>
      <c r="K749" s="10" t="n">
        <v>45946</v>
      </c>
      <c r="L749" s="3" t="s">
        <v>15</v>
      </c>
      <c r="M749" s="7" t="n">
        <v>3875</v>
      </c>
      <c r="N749" s="8" t="n">
        <v>0.07522</v>
      </c>
      <c r="O749" s="4" t="n">
        <f aca="false">M749*N749</f>
        <v>291.4775</v>
      </c>
    </row>
    <row r="750" customFormat="false" ht="15" hidden="false" customHeight="false" outlineLevel="0" collapsed="false">
      <c r="A750" s="0" t="s">
        <v>1338</v>
      </c>
      <c r="C750" s="0" t="s">
        <v>32</v>
      </c>
      <c r="D750" s="7" t="n">
        <v>10613</v>
      </c>
      <c r="E750" s="8" t="n">
        <v>0.025475360407048</v>
      </c>
      <c r="F750" s="4" t="n">
        <f aca="false">D750*E750</f>
        <v>270.37</v>
      </c>
      <c r="G750" s="7" t="n">
        <v>6166</v>
      </c>
      <c r="H750" s="9" t="n">
        <f aca="false">IF(G750&gt;0,D750/G750,"")</f>
        <v>1.72121310411936</v>
      </c>
      <c r="I750" s="10" t="n">
        <v>46265</v>
      </c>
      <c r="J750" s="3" t="s">
        <v>548</v>
      </c>
      <c r="K750" s="10" t="n">
        <v>46217</v>
      </c>
      <c r="L750" s="3" t="s">
        <v>14</v>
      </c>
      <c r="M750" s="7" t="n">
        <v>10000</v>
      </c>
      <c r="N750" s="8" t="n">
        <v>0.0252</v>
      </c>
      <c r="O750" s="4" t="n">
        <f aca="false">M750*N750</f>
        <v>252</v>
      </c>
    </row>
    <row r="751" customFormat="false" ht="15" hidden="false" customHeight="false" outlineLevel="0" collapsed="false">
      <c r="A751" s="0" t="s">
        <v>1339</v>
      </c>
      <c r="C751" s="0" t="s">
        <v>979</v>
      </c>
      <c r="D751" s="7" t="n">
        <v>5626</v>
      </c>
      <c r="E751" s="8" t="n">
        <v>0.0480305723426946</v>
      </c>
      <c r="F751" s="4" t="n">
        <f aca="false">D751*E751</f>
        <v>270.22</v>
      </c>
      <c r="G751" s="7" t="n">
        <v>434</v>
      </c>
      <c r="H751" s="9" t="n">
        <f aca="false">IF(G751&gt;0,D751/G751,"")</f>
        <v>12.963133640553</v>
      </c>
      <c r="I751" s="10" t="n">
        <v>46287</v>
      </c>
      <c r="J751" s="3" t="s">
        <v>162</v>
      </c>
      <c r="K751" s="10" t="n">
        <v>45967</v>
      </c>
      <c r="L751" s="3" t="s">
        <v>15</v>
      </c>
      <c r="M751" s="7" t="n">
        <v>5700</v>
      </c>
      <c r="N751" s="8" t="n">
        <v>0.04459</v>
      </c>
      <c r="O751" s="4" t="n">
        <f aca="false">M751*N751</f>
        <v>254.163</v>
      </c>
    </row>
    <row r="752" customFormat="false" ht="15" hidden="false" customHeight="false" outlineLevel="0" collapsed="false">
      <c r="A752" s="0" t="s">
        <v>1340</v>
      </c>
      <c r="C752" s="0" t="s">
        <v>934</v>
      </c>
      <c r="D752" s="7" t="n">
        <v>949</v>
      </c>
      <c r="E752" s="8" t="n">
        <v>0.284625922023182</v>
      </c>
      <c r="F752" s="4" t="n">
        <f aca="false">D752*E752</f>
        <v>270.11</v>
      </c>
      <c r="G752" s="7" t="n">
        <v>18</v>
      </c>
      <c r="H752" s="9" t="n">
        <f aca="false">IF(G752&gt;0,D752/G752,"")</f>
        <v>52.7222222222222</v>
      </c>
      <c r="I752" s="10" t="n">
        <v>46062</v>
      </c>
      <c r="K752" s="10"/>
      <c r="M752" s="7"/>
      <c r="N752" s="8"/>
      <c r="O752" s="4"/>
    </row>
    <row r="753" customFormat="false" ht="15" hidden="false" customHeight="false" outlineLevel="0" collapsed="false">
      <c r="A753" s="0" t="s">
        <v>1341</v>
      </c>
      <c r="C753" s="0" t="s">
        <v>541</v>
      </c>
      <c r="D753" s="7" t="n">
        <v>206</v>
      </c>
      <c r="E753" s="8" t="n">
        <v>1.30985436893204</v>
      </c>
      <c r="F753" s="4" t="n">
        <f aca="false">D753*E753</f>
        <v>269.83</v>
      </c>
      <c r="G753" s="7" t="n">
        <v>120</v>
      </c>
      <c r="H753" s="9" t="n">
        <f aca="false">IF(G753&gt;0,D753/G753,"")</f>
        <v>1.71666666666667</v>
      </c>
      <c r="I753" s="10" t="n">
        <v>46273</v>
      </c>
      <c r="J753" s="3" t="s">
        <v>542</v>
      </c>
      <c r="K753" s="10" t="n">
        <v>46129</v>
      </c>
      <c r="L753" s="3" t="s">
        <v>313</v>
      </c>
      <c r="M753" s="7" t="n">
        <v>200</v>
      </c>
      <c r="N753" s="8" t="n">
        <v>1.3335</v>
      </c>
      <c r="O753" s="4" t="n">
        <f aca="false">M753*N753</f>
        <v>266.7</v>
      </c>
    </row>
    <row r="754" customFormat="false" ht="15" hidden="false" customHeight="false" outlineLevel="0" collapsed="false">
      <c r="A754" s="0" t="s">
        <v>1342</v>
      </c>
      <c r="C754" s="0" t="s">
        <v>855</v>
      </c>
      <c r="D754" s="7" t="n">
        <v>14046</v>
      </c>
      <c r="E754" s="8" t="n">
        <v>0.0191997721771323</v>
      </c>
      <c r="F754" s="4" t="n">
        <f aca="false">D754*E754</f>
        <v>269.68</v>
      </c>
      <c r="G754" s="7" t="n">
        <v>415</v>
      </c>
      <c r="H754" s="9" t="n">
        <f aca="false">IF(G754&gt;0,D754/G754,"")</f>
        <v>33.8457831325301</v>
      </c>
      <c r="I754" s="10" t="n">
        <v>46238</v>
      </c>
      <c r="J754" s="3" t="s">
        <v>1343</v>
      </c>
      <c r="K754" s="10" t="n">
        <v>45583</v>
      </c>
      <c r="L754" s="3" t="s">
        <v>16</v>
      </c>
      <c r="M754" s="7" t="n">
        <v>15000</v>
      </c>
      <c r="N754" s="8" t="n">
        <v>0.0192</v>
      </c>
      <c r="O754" s="4" t="n">
        <f aca="false">M754*N754</f>
        <v>288</v>
      </c>
    </row>
    <row r="755" customFormat="false" ht="15" hidden="false" customHeight="false" outlineLevel="0" collapsed="false">
      <c r="A755" s="0" t="s">
        <v>1344</v>
      </c>
      <c r="C755" s="0" t="s">
        <v>378</v>
      </c>
      <c r="D755" s="7" t="n">
        <v>1293</v>
      </c>
      <c r="E755" s="8" t="n">
        <v>0.208507347254447</v>
      </c>
      <c r="F755" s="4" t="n">
        <f aca="false">D755*E755</f>
        <v>269.6</v>
      </c>
      <c r="G755" s="7" t="n">
        <v>13</v>
      </c>
      <c r="H755" s="9" t="n">
        <f aca="false">IF(G755&gt;0,D755/G755,"")</f>
        <v>99.4615384615385</v>
      </c>
      <c r="I755" s="10" t="n">
        <v>46258</v>
      </c>
      <c r="J755" s="3" t="s">
        <v>1167</v>
      </c>
      <c r="K755" s="10" t="n">
        <v>44221</v>
      </c>
      <c r="L755" s="3" t="s">
        <v>14</v>
      </c>
      <c r="M755" s="7" t="n">
        <v>1500</v>
      </c>
      <c r="N755" s="8" t="n">
        <v>0.2085</v>
      </c>
      <c r="O755" s="4" t="n">
        <f aca="false">M755*N755</f>
        <v>312.75</v>
      </c>
    </row>
    <row r="756" customFormat="false" ht="15" hidden="false" customHeight="false" outlineLevel="0" collapsed="false">
      <c r="A756" s="0" t="s">
        <v>1345</v>
      </c>
      <c r="C756" s="0" t="s">
        <v>340</v>
      </c>
      <c r="D756" s="7" t="n">
        <v>2996</v>
      </c>
      <c r="E756" s="8" t="n">
        <v>0.0899866488651535</v>
      </c>
      <c r="F756" s="4" t="n">
        <f aca="false">D756*E756</f>
        <v>269.6</v>
      </c>
      <c r="G756" s="7" t="n">
        <v>24</v>
      </c>
      <c r="H756" s="9" t="n">
        <f aca="false">IF(G756&gt;0,D756/G756,"")</f>
        <v>124.833333333333</v>
      </c>
      <c r="I756" s="10" t="n">
        <v>46260</v>
      </c>
      <c r="J756" s="3" t="s">
        <v>341</v>
      </c>
      <c r="K756" s="10" t="n">
        <v>46078</v>
      </c>
      <c r="L756" s="3" t="s">
        <v>15</v>
      </c>
      <c r="M756" s="7" t="n">
        <v>220</v>
      </c>
      <c r="N756" s="8" t="n">
        <v>0.09814</v>
      </c>
      <c r="O756" s="4" t="n">
        <f aca="false">M756*N756</f>
        <v>21.5908</v>
      </c>
    </row>
    <row r="757" customFormat="false" ht="15" hidden="false" customHeight="false" outlineLevel="0" collapsed="false">
      <c r="A757" s="0" t="s">
        <v>1346</v>
      </c>
      <c r="C757" s="0" t="s">
        <v>979</v>
      </c>
      <c r="D757" s="7" t="n">
        <v>4394</v>
      </c>
      <c r="E757" s="8" t="n">
        <v>0.0613313609467456</v>
      </c>
      <c r="F757" s="4" t="n">
        <f aca="false">D757*E757</f>
        <v>269.49</v>
      </c>
      <c r="G757" s="7" t="n">
        <v>190</v>
      </c>
      <c r="H757" s="9" t="n">
        <f aca="false">IF(G757&gt;0,D757/G757,"")</f>
        <v>23.1263157894737</v>
      </c>
      <c r="I757" s="10" t="n">
        <v>46231</v>
      </c>
      <c r="J757" s="3" t="s">
        <v>1347</v>
      </c>
      <c r="K757" s="10" t="n">
        <v>46129</v>
      </c>
      <c r="L757" s="3" t="s">
        <v>18</v>
      </c>
      <c r="M757" s="7" t="n">
        <v>220</v>
      </c>
      <c r="N757" s="8" t="n">
        <v>0.1298</v>
      </c>
      <c r="O757" s="4" t="n">
        <f aca="false">M757*N757</f>
        <v>28.556</v>
      </c>
    </row>
    <row r="758" customFormat="false" ht="15" hidden="false" customHeight="false" outlineLevel="0" collapsed="false">
      <c r="A758" s="0" t="s">
        <v>1348</v>
      </c>
      <c r="C758" s="0" t="s">
        <v>35</v>
      </c>
      <c r="D758" s="7" t="n">
        <v>368</v>
      </c>
      <c r="E758" s="8" t="n">
        <v>0.73195652173913</v>
      </c>
      <c r="F758" s="4" t="n">
        <f aca="false">D758*E758</f>
        <v>269.36</v>
      </c>
      <c r="G758" s="7" t="n">
        <v>8</v>
      </c>
      <c r="H758" s="9" t="n">
        <f aca="false">IF(G758&gt;0,D758/G758,"")</f>
        <v>46</v>
      </c>
      <c r="I758" s="10" t="n">
        <v>46265</v>
      </c>
      <c r="J758" s="3" t="s">
        <v>1349</v>
      </c>
      <c r="K758" s="10" t="n">
        <v>44215</v>
      </c>
      <c r="L758" s="3" t="s">
        <v>20</v>
      </c>
      <c r="M758" s="7" t="n">
        <v>392</v>
      </c>
      <c r="N758" s="8" t="n">
        <v>0.732</v>
      </c>
      <c r="O758" s="4" t="n">
        <f aca="false">M758*N758</f>
        <v>286.944</v>
      </c>
    </row>
    <row r="759" customFormat="false" ht="15" hidden="false" customHeight="false" outlineLevel="0" collapsed="false">
      <c r="A759" s="0" t="s">
        <v>1350</v>
      </c>
      <c r="C759" s="0" t="s">
        <v>33</v>
      </c>
      <c r="D759" s="7" t="n">
        <v>7176</v>
      </c>
      <c r="E759" s="8" t="n">
        <v>0.0375</v>
      </c>
      <c r="F759" s="4" t="n">
        <f aca="false">D759*E759</f>
        <v>269.1</v>
      </c>
      <c r="G759" s="7" t="n">
        <v>295</v>
      </c>
      <c r="H759" s="9" t="n">
        <f aca="false">IF(G759&gt;0,D759/G759,"")</f>
        <v>24.3254237288136</v>
      </c>
      <c r="I759" s="10" t="n">
        <v>46202</v>
      </c>
      <c r="J759" s="3" t="s">
        <v>1351</v>
      </c>
      <c r="K759" s="10" t="n">
        <v>45341</v>
      </c>
      <c r="L759" s="3" t="s">
        <v>18</v>
      </c>
      <c r="M759" s="7" t="n">
        <v>8334</v>
      </c>
      <c r="N759" s="8" t="n">
        <v>0.0375</v>
      </c>
      <c r="O759" s="4" t="n">
        <f aca="false">M759*N759</f>
        <v>312.525</v>
      </c>
    </row>
    <row r="760" customFormat="false" ht="15" hidden="false" customHeight="false" outlineLevel="0" collapsed="false">
      <c r="A760" s="0" t="s">
        <v>1352</v>
      </c>
      <c r="C760" s="0" t="s">
        <v>32</v>
      </c>
      <c r="D760" s="7" t="n">
        <v>11014</v>
      </c>
      <c r="E760" s="8" t="n">
        <v>0.0244152896313782</v>
      </c>
      <c r="F760" s="4" t="n">
        <f aca="false">D760*E760</f>
        <v>268.91</v>
      </c>
      <c r="G760" s="7" t="n">
        <v>3347</v>
      </c>
      <c r="H760" s="9" t="n">
        <f aca="false">IF(G760&gt;0,D760/G760,"")</f>
        <v>3.29070809680311</v>
      </c>
      <c r="I760" s="10" t="n">
        <v>46247</v>
      </c>
      <c r="J760" s="3" t="s">
        <v>273</v>
      </c>
      <c r="K760" s="10" t="n">
        <v>46251</v>
      </c>
      <c r="L760" s="3" t="s">
        <v>14</v>
      </c>
      <c r="M760" s="7" t="n">
        <v>10000</v>
      </c>
      <c r="N760" s="8" t="n">
        <v>0.024</v>
      </c>
      <c r="O760" s="4" t="n">
        <f aca="false">M760*N760</f>
        <v>240</v>
      </c>
    </row>
    <row r="761" customFormat="false" ht="15" hidden="false" customHeight="false" outlineLevel="0" collapsed="false">
      <c r="A761" s="0" t="s">
        <v>1353</v>
      </c>
      <c r="C761" s="0" t="s">
        <v>31</v>
      </c>
      <c r="D761" s="7" t="n">
        <v>51712</v>
      </c>
      <c r="E761" s="8" t="n">
        <v>0.0051993734529703</v>
      </c>
      <c r="F761" s="4" t="n">
        <f aca="false">D761*E761</f>
        <v>268.87</v>
      </c>
      <c r="G761" s="7" t="n">
        <v>5757</v>
      </c>
      <c r="H761" s="9" t="n">
        <f aca="false">IF(G761&gt;0,D761/G761,"")</f>
        <v>8.98245614035088</v>
      </c>
      <c r="I761" s="10" t="n">
        <v>46310</v>
      </c>
      <c r="J761" s="3" t="s">
        <v>1354</v>
      </c>
      <c r="K761" s="10" t="n">
        <v>44690</v>
      </c>
      <c r="L761" s="3" t="s">
        <v>15</v>
      </c>
      <c r="M761" s="7" t="n">
        <v>96079</v>
      </c>
      <c r="N761" s="8" t="n">
        <v>0.0052</v>
      </c>
      <c r="O761" s="4" t="n">
        <f aca="false">M761*N761</f>
        <v>499.6108</v>
      </c>
    </row>
    <row r="762" customFormat="false" ht="15" hidden="false" customHeight="false" outlineLevel="0" collapsed="false">
      <c r="A762" s="0" t="s">
        <v>1355</v>
      </c>
      <c r="C762" s="0" t="s">
        <v>979</v>
      </c>
      <c r="D762" s="7" t="n">
        <v>11270</v>
      </c>
      <c r="E762" s="8" t="n">
        <v>0.0238447204968944</v>
      </c>
      <c r="F762" s="4" t="n">
        <f aca="false">D762*E762</f>
        <v>268.73</v>
      </c>
      <c r="G762" s="7" t="n">
        <v>345</v>
      </c>
      <c r="H762" s="9" t="n">
        <f aca="false">IF(G762&gt;0,D762/G762,"")</f>
        <v>32.6666666666667</v>
      </c>
      <c r="I762" s="10" t="n">
        <v>46308</v>
      </c>
      <c r="J762" s="3" t="s">
        <v>162</v>
      </c>
      <c r="K762" s="10" t="n">
        <v>45967</v>
      </c>
      <c r="L762" s="3" t="s">
        <v>15</v>
      </c>
      <c r="M762" s="7" t="n">
        <v>10850</v>
      </c>
      <c r="N762" s="8" t="n">
        <v>0.02245</v>
      </c>
      <c r="O762" s="4" t="n">
        <f aca="false">M762*N762</f>
        <v>243.5825</v>
      </c>
    </row>
    <row r="763" customFormat="false" ht="15" hidden="false" customHeight="false" outlineLevel="0" collapsed="false">
      <c r="A763" s="0" t="s">
        <v>1356</v>
      </c>
      <c r="C763" s="0" t="s">
        <v>32</v>
      </c>
      <c r="D763" s="7" t="n">
        <v>2979</v>
      </c>
      <c r="E763" s="8" t="n">
        <v>0.09</v>
      </c>
      <c r="F763" s="4" t="n">
        <f aca="false">D763*E763</f>
        <v>268.11</v>
      </c>
      <c r="G763" s="7" t="n">
        <v>1092</v>
      </c>
      <c r="H763" s="9" t="n">
        <f aca="false">IF(G763&gt;0,D763/G763,"")</f>
        <v>2.72802197802198</v>
      </c>
      <c r="I763" s="10" t="n">
        <v>46295</v>
      </c>
      <c r="J763" s="3" t="s">
        <v>1357</v>
      </c>
      <c r="K763" s="10" t="n">
        <v>44320</v>
      </c>
      <c r="L763" s="3" t="s">
        <v>18</v>
      </c>
      <c r="M763" s="7" t="n">
        <v>12760</v>
      </c>
      <c r="N763" s="8" t="n">
        <v>0.09</v>
      </c>
      <c r="O763" s="4" t="n">
        <f aca="false">M763*N763</f>
        <v>1148.4</v>
      </c>
    </row>
    <row r="764" customFormat="false" ht="15" hidden="false" customHeight="false" outlineLevel="0" collapsed="false">
      <c r="A764" s="0" t="s">
        <v>1358</v>
      </c>
      <c r="C764" s="0" t="s">
        <v>581</v>
      </c>
      <c r="D764" s="7" t="n">
        <v>2</v>
      </c>
      <c r="E764" s="8" t="n">
        <v>134.035</v>
      </c>
      <c r="F764" s="4" t="n">
        <f aca="false">D764*E764</f>
        <v>268.07</v>
      </c>
      <c r="G764" s="7" t="n">
        <v>1</v>
      </c>
      <c r="H764" s="9" t="n">
        <f aca="false">IF(G764&gt;0,D764/G764,"")</f>
        <v>2</v>
      </c>
      <c r="I764" s="10" t="n">
        <v>46108</v>
      </c>
      <c r="J764" s="3" t="s">
        <v>1359</v>
      </c>
      <c r="K764" s="10" t="n">
        <v>46079</v>
      </c>
      <c r="L764" s="3" t="s">
        <v>14</v>
      </c>
      <c r="M764" s="7" t="n">
        <v>3</v>
      </c>
      <c r="N764" s="8" t="n">
        <v>134.0367</v>
      </c>
      <c r="O764" s="4" t="n">
        <f aca="false">M764*N764</f>
        <v>402.1101</v>
      </c>
    </row>
    <row r="765" customFormat="false" ht="15" hidden="false" customHeight="false" outlineLevel="0" collapsed="false">
      <c r="A765" s="0" t="s">
        <v>1360</v>
      </c>
      <c r="C765" s="0" t="s">
        <v>35</v>
      </c>
      <c r="D765" s="7" t="n">
        <v>164</v>
      </c>
      <c r="E765" s="8" t="n">
        <v>1.6340243902439</v>
      </c>
      <c r="F765" s="4" t="n">
        <f aca="false">D765*E765</f>
        <v>267.98</v>
      </c>
      <c r="G765" s="7" t="n">
        <v>1</v>
      </c>
      <c r="H765" s="9" t="n">
        <f aca="false">IF(G765&gt;0,D765/G765,"")</f>
        <v>164</v>
      </c>
      <c r="I765" s="10" t="n">
        <v>45987</v>
      </c>
      <c r="K765" s="10"/>
      <c r="M765" s="7"/>
      <c r="N765" s="8"/>
      <c r="O765" s="4"/>
    </row>
    <row r="766" customFormat="false" ht="15" hidden="false" customHeight="false" outlineLevel="0" collapsed="false">
      <c r="A766" s="0" t="s">
        <v>1361</v>
      </c>
      <c r="C766" s="0" t="s">
        <v>35</v>
      </c>
      <c r="D766" s="7" t="n">
        <v>3422</v>
      </c>
      <c r="E766" s="8" t="n">
        <v>0.0779982466393922</v>
      </c>
      <c r="F766" s="4" t="n">
        <f aca="false">D766*E766</f>
        <v>266.91</v>
      </c>
      <c r="G766" s="7" t="n">
        <v>278</v>
      </c>
      <c r="H766" s="9" t="n">
        <f aca="false">IF(G766&gt;0,D766/G766,"")</f>
        <v>12.3093525179856</v>
      </c>
      <c r="I766" s="10" t="n">
        <v>46276</v>
      </c>
      <c r="J766" s="3" t="s">
        <v>364</v>
      </c>
      <c r="K766" s="10" t="n">
        <v>45441</v>
      </c>
      <c r="L766" s="3" t="s">
        <v>20</v>
      </c>
      <c r="M766" s="7" t="n">
        <v>4000</v>
      </c>
      <c r="N766" s="8" t="n">
        <v>0.078</v>
      </c>
      <c r="O766" s="4" t="n">
        <f aca="false">M766*N766</f>
        <v>312</v>
      </c>
    </row>
    <row r="767" customFormat="false" ht="15" hidden="false" customHeight="false" outlineLevel="0" collapsed="false">
      <c r="A767" s="0" t="s">
        <v>1362</v>
      </c>
      <c r="C767" s="0" t="s">
        <v>118</v>
      </c>
      <c r="D767" s="7" t="n">
        <v>12530</v>
      </c>
      <c r="E767" s="8" t="n">
        <v>0.0213000798084597</v>
      </c>
      <c r="F767" s="4" t="n">
        <f aca="false">D767*E767</f>
        <v>266.89</v>
      </c>
      <c r="G767" s="7" t="n">
        <v>265</v>
      </c>
      <c r="H767" s="9" t="n">
        <f aca="false">IF(G767&gt;0,D767/G767,"")</f>
        <v>47.2830188679245</v>
      </c>
      <c r="I767" s="10" t="n">
        <v>46140</v>
      </c>
      <c r="J767" s="3" t="s">
        <v>1363</v>
      </c>
      <c r="K767" s="10" t="n">
        <v>45385</v>
      </c>
      <c r="L767" s="3" t="s">
        <v>16</v>
      </c>
      <c r="M767" s="7" t="n">
        <v>13153</v>
      </c>
      <c r="N767" s="8" t="n">
        <v>0.0213</v>
      </c>
      <c r="O767" s="4" t="n">
        <f aca="false">M767*N767</f>
        <v>280.1589</v>
      </c>
    </row>
    <row r="768" customFormat="false" ht="15" hidden="false" customHeight="false" outlineLevel="0" collapsed="false">
      <c r="A768" s="0" t="s">
        <v>1364</v>
      </c>
      <c r="C768" s="0" t="s">
        <v>615</v>
      </c>
      <c r="D768" s="7" t="n">
        <v>1614</v>
      </c>
      <c r="E768" s="8" t="n">
        <v>0.165185873605948</v>
      </c>
      <c r="F768" s="4" t="n">
        <f aca="false">D768*E768</f>
        <v>266.61</v>
      </c>
      <c r="G768" s="7" t="n">
        <v>3</v>
      </c>
      <c r="H768" s="9" t="n">
        <f aca="false">IF(G768&gt;0,D768/G768,"")</f>
        <v>538</v>
      </c>
      <c r="I768" s="10" t="n">
        <v>46139</v>
      </c>
      <c r="J768" s="3" t="s">
        <v>147</v>
      </c>
      <c r="K768" s="10" t="n">
        <v>44777</v>
      </c>
      <c r="L768" s="3" t="s">
        <v>20</v>
      </c>
      <c r="M768" s="7" t="n">
        <v>1700</v>
      </c>
      <c r="N768" s="8" t="n">
        <v>0.1651959</v>
      </c>
      <c r="O768" s="4" t="n">
        <f aca="false">M768*N768</f>
        <v>280.83303</v>
      </c>
    </row>
    <row r="769" customFormat="false" ht="15" hidden="false" customHeight="false" outlineLevel="0" collapsed="false">
      <c r="A769" s="0" t="s">
        <v>1365</v>
      </c>
      <c r="C769" s="0" t="s">
        <v>31</v>
      </c>
      <c r="D769" s="7" t="n">
        <v>84752</v>
      </c>
      <c r="E769" s="8" t="n">
        <v>0.00314258070606003</v>
      </c>
      <c r="F769" s="4" t="n">
        <f aca="false">D769*E769</f>
        <v>266.34</v>
      </c>
      <c r="G769" s="7" t="n">
        <v>21614</v>
      </c>
      <c r="H769" s="9" t="n">
        <f aca="false">IF(G769&gt;0,D769/G769,"")</f>
        <v>3.92116220967891</v>
      </c>
      <c r="I769" s="10" t="n">
        <v>46308</v>
      </c>
      <c r="J769" s="3" t="s">
        <v>1366</v>
      </c>
      <c r="K769" s="10" t="n">
        <v>45996</v>
      </c>
      <c r="L769" s="3" t="s">
        <v>14</v>
      </c>
      <c r="M769" s="7" t="n">
        <v>17911</v>
      </c>
      <c r="N769" s="8" t="n">
        <v>0.0059</v>
      </c>
      <c r="O769" s="4" t="n">
        <f aca="false">M769*N769</f>
        <v>105.6749</v>
      </c>
    </row>
    <row r="770" customFormat="false" ht="15" hidden="false" customHeight="false" outlineLevel="0" collapsed="false">
      <c r="A770" s="0" t="s">
        <v>1367</v>
      </c>
      <c r="C770" s="0" t="s">
        <v>45</v>
      </c>
      <c r="D770" s="7" t="n">
        <v>626</v>
      </c>
      <c r="E770" s="8" t="n">
        <v>0.425095846645367</v>
      </c>
      <c r="F770" s="4" t="n">
        <f aca="false">D770*E770</f>
        <v>266.11</v>
      </c>
      <c r="G770" s="7" t="n">
        <v>319</v>
      </c>
      <c r="H770" s="9" t="n">
        <f aca="false">IF(G770&gt;0,D770/G770,"")</f>
        <v>1.96238244514107</v>
      </c>
      <c r="I770" s="10" t="n">
        <v>46118</v>
      </c>
      <c r="J770" s="3" t="s">
        <v>1196</v>
      </c>
      <c r="K770" s="10" t="n">
        <v>45940</v>
      </c>
      <c r="L770" s="3" t="s">
        <v>14</v>
      </c>
      <c r="M770" s="7" t="n">
        <v>945</v>
      </c>
      <c r="N770" s="8" t="n">
        <v>0.4251</v>
      </c>
      <c r="O770" s="4" t="n">
        <f aca="false">M770*N770</f>
        <v>401.7195</v>
      </c>
    </row>
    <row r="771" customFormat="false" ht="15" hidden="false" customHeight="false" outlineLevel="0" collapsed="false">
      <c r="A771" s="0" t="s">
        <v>1368</v>
      </c>
      <c r="C771" s="0" t="s">
        <v>36</v>
      </c>
      <c r="D771" s="7" t="n">
        <v>41184</v>
      </c>
      <c r="E771" s="8" t="n">
        <v>0.00645493395493396</v>
      </c>
      <c r="F771" s="4" t="n">
        <f aca="false">D771*E771</f>
        <v>265.84</v>
      </c>
      <c r="G771" s="7" t="n">
        <v>4178</v>
      </c>
      <c r="H771" s="9" t="n">
        <f aca="false">IF(G771&gt;0,D771/G771,"")</f>
        <v>9.85734801340354</v>
      </c>
      <c r="I771" s="10" t="n">
        <v>46310</v>
      </c>
      <c r="J771" s="3" t="s">
        <v>1369</v>
      </c>
      <c r="K771" s="10" t="n">
        <v>44299</v>
      </c>
      <c r="L771" s="3" t="s">
        <v>15</v>
      </c>
      <c r="M771" s="7" t="n">
        <v>34960</v>
      </c>
      <c r="N771" s="8" t="n">
        <v>0.00661</v>
      </c>
      <c r="O771" s="4" t="n">
        <f aca="false">M771*N771</f>
        <v>231.0856</v>
      </c>
    </row>
    <row r="772" customFormat="false" ht="15" hidden="false" customHeight="false" outlineLevel="0" collapsed="false">
      <c r="A772" s="0" t="s">
        <v>1370</v>
      </c>
      <c r="C772" s="0" t="s">
        <v>100</v>
      </c>
      <c r="D772" s="7" t="n">
        <v>85</v>
      </c>
      <c r="E772" s="8" t="n">
        <v>3.12223529411765</v>
      </c>
      <c r="F772" s="4" t="n">
        <f aca="false">D772*E772</f>
        <v>265.39</v>
      </c>
      <c r="G772" s="7" t="n">
        <v>2</v>
      </c>
      <c r="H772" s="9" t="n">
        <f aca="false">IF(G772&gt;0,D772/G772,"")</f>
        <v>42.5</v>
      </c>
      <c r="I772" s="10" t="n">
        <v>46234</v>
      </c>
      <c r="J772" s="3" t="s">
        <v>1371</v>
      </c>
      <c r="K772" s="10" t="n">
        <v>45509</v>
      </c>
      <c r="L772" s="3" t="s">
        <v>16</v>
      </c>
      <c r="M772" s="7" t="n">
        <v>87</v>
      </c>
      <c r="N772" s="8" t="n">
        <v>3.1222</v>
      </c>
      <c r="O772" s="4" t="n">
        <f aca="false">M772*N772</f>
        <v>271.6314</v>
      </c>
    </row>
    <row r="773" customFormat="false" ht="15" hidden="false" customHeight="false" outlineLevel="0" collapsed="false">
      <c r="A773" s="0" t="s">
        <v>1372</v>
      </c>
      <c r="C773" s="0" t="s">
        <v>35</v>
      </c>
      <c r="D773" s="7" t="n">
        <v>51</v>
      </c>
      <c r="E773" s="8" t="n">
        <v>5.20274509803922</v>
      </c>
      <c r="F773" s="4" t="n">
        <f aca="false">D773*E773</f>
        <v>265.34</v>
      </c>
      <c r="G773" s="7" t="n">
        <v>18</v>
      </c>
      <c r="H773" s="9" t="n">
        <f aca="false">IF(G773&gt;0,D773/G773,"")</f>
        <v>2.83333333333333</v>
      </c>
      <c r="I773" s="10" t="n">
        <v>46283</v>
      </c>
      <c r="J773" s="3" t="s">
        <v>1373</v>
      </c>
      <c r="K773" s="10" t="n">
        <v>44839</v>
      </c>
      <c r="L773" s="3" t="s">
        <v>25</v>
      </c>
      <c r="M773" s="7" t="n">
        <v>100</v>
      </c>
      <c r="N773" s="8" t="n">
        <v>5.203</v>
      </c>
      <c r="O773" s="4" t="n">
        <f aca="false">M773*N773</f>
        <v>520.3</v>
      </c>
    </row>
    <row r="774" customFormat="false" ht="15" hidden="false" customHeight="false" outlineLevel="0" collapsed="false">
      <c r="A774" s="0" t="s">
        <v>1374</v>
      </c>
      <c r="C774" s="0" t="s">
        <v>38</v>
      </c>
      <c r="D774" s="7" t="n">
        <v>400</v>
      </c>
      <c r="E774" s="8" t="n">
        <v>0.6633</v>
      </c>
      <c r="F774" s="4" t="n">
        <f aca="false">D774*E774</f>
        <v>265.32</v>
      </c>
      <c r="G774" s="7" t="n">
        <v>300</v>
      </c>
      <c r="H774" s="9" t="n">
        <f aca="false">IF(G774&gt;0,D774/G774,"")</f>
        <v>1.33333333333333</v>
      </c>
      <c r="I774" s="10" t="n">
        <v>46253</v>
      </c>
      <c r="J774" s="3" t="s">
        <v>680</v>
      </c>
      <c r="K774" s="10" t="n">
        <v>46240</v>
      </c>
      <c r="L774" s="3" t="s">
        <v>14</v>
      </c>
      <c r="M774" s="7" t="n">
        <v>500</v>
      </c>
      <c r="N774" s="8" t="n">
        <v>0.6633</v>
      </c>
      <c r="O774" s="4" t="n">
        <f aca="false">M774*N774</f>
        <v>331.65</v>
      </c>
    </row>
    <row r="775" customFormat="false" ht="15" hidden="false" customHeight="false" outlineLevel="0" collapsed="false">
      <c r="A775" s="0" t="s">
        <v>1375</v>
      </c>
      <c r="C775" s="0" t="s">
        <v>45</v>
      </c>
      <c r="D775" s="7" t="n">
        <v>163</v>
      </c>
      <c r="E775" s="8" t="n">
        <v>1.62331288343558</v>
      </c>
      <c r="F775" s="4" t="n">
        <f aca="false">D775*E775</f>
        <v>264.6</v>
      </c>
      <c r="G775" s="7" t="n">
        <v>4</v>
      </c>
      <c r="H775" s="9" t="n">
        <f aca="false">IF(G775&gt;0,D775/G775,"")</f>
        <v>40.75</v>
      </c>
      <c r="I775" s="10" t="n">
        <v>46163</v>
      </c>
      <c r="J775" s="3" t="s">
        <v>1376</v>
      </c>
      <c r="K775" s="10" t="n">
        <v>45365</v>
      </c>
      <c r="L775" s="3" t="s">
        <v>23</v>
      </c>
      <c r="M775" s="7" t="n">
        <v>200</v>
      </c>
      <c r="N775" s="8" t="n">
        <v>1.6233</v>
      </c>
      <c r="O775" s="4" t="n">
        <f aca="false">M775*N775</f>
        <v>324.66</v>
      </c>
    </row>
    <row r="776" customFormat="false" ht="15" hidden="false" customHeight="false" outlineLevel="0" collapsed="false">
      <c r="A776" s="0" t="s">
        <v>1377</v>
      </c>
      <c r="C776" s="0" t="s">
        <v>31</v>
      </c>
      <c r="D776" s="7" t="n">
        <v>37078</v>
      </c>
      <c r="E776" s="8" t="n">
        <v>0.00712983440315012</v>
      </c>
      <c r="F776" s="4" t="n">
        <f aca="false">D776*E776</f>
        <v>264.36</v>
      </c>
      <c r="G776" s="7" t="n">
        <v>424</v>
      </c>
      <c r="H776" s="9" t="n">
        <f aca="false">IF(G776&gt;0,D776/G776,"")</f>
        <v>87.4481132075472</v>
      </c>
      <c r="I776" s="10" t="n">
        <v>46259</v>
      </c>
      <c r="J776" s="3" t="s">
        <v>924</v>
      </c>
      <c r="K776" s="10" t="n">
        <v>45127</v>
      </c>
      <c r="L776" s="3" t="s">
        <v>15</v>
      </c>
      <c r="M776" s="7" t="n">
        <v>38260</v>
      </c>
      <c r="N776" s="8" t="n">
        <v>0.00713</v>
      </c>
      <c r="O776" s="4" t="n">
        <f aca="false">M776*N776</f>
        <v>272.7938</v>
      </c>
    </row>
    <row r="777" customFormat="false" ht="15" hidden="false" customHeight="false" outlineLevel="0" collapsed="false">
      <c r="A777" s="0" t="s">
        <v>1378</v>
      </c>
      <c r="D777" s="7" t="n">
        <v>53150</v>
      </c>
      <c r="E777" s="8" t="n">
        <v>0.00497008466603951</v>
      </c>
      <c r="F777" s="4" t="n">
        <f aca="false">D777*E777</f>
        <v>264.16</v>
      </c>
      <c r="G777" s="7" t="n">
        <v>5450</v>
      </c>
      <c r="H777" s="9" t="n">
        <f aca="false">IF(G777&gt;0,D777/G777,"")</f>
        <v>9.75229357798165</v>
      </c>
      <c r="I777" s="10" t="n">
        <v>46308</v>
      </c>
      <c r="J777" s="3" t="s">
        <v>1267</v>
      </c>
      <c r="K777" s="10" t="n">
        <v>45770</v>
      </c>
      <c r="L777" s="3" t="s">
        <v>20</v>
      </c>
      <c r="M777" s="7" t="n">
        <v>60500</v>
      </c>
      <c r="N777" s="8" t="n">
        <v>0.00497</v>
      </c>
      <c r="O777" s="4" t="n">
        <f aca="false">M777*N777</f>
        <v>300.685</v>
      </c>
    </row>
    <row r="778" customFormat="false" ht="15" hidden="false" customHeight="false" outlineLevel="0" collapsed="false">
      <c r="A778" s="0" t="s">
        <v>1379</v>
      </c>
      <c r="C778" s="0" t="s">
        <v>33</v>
      </c>
      <c r="D778" s="7" t="n">
        <v>963</v>
      </c>
      <c r="E778" s="8" t="n">
        <v>0.274257528556594</v>
      </c>
      <c r="F778" s="4" t="n">
        <f aca="false">D778*E778</f>
        <v>264.11</v>
      </c>
      <c r="G778" s="7" t="n">
        <v>50</v>
      </c>
      <c r="H778" s="9" t="n">
        <f aca="false">IF(G778&gt;0,D778/G778,"")</f>
        <v>19.26</v>
      </c>
      <c r="I778" s="10" t="n">
        <v>46301</v>
      </c>
      <c r="J778" s="3" t="s">
        <v>1078</v>
      </c>
      <c r="K778" s="10" t="n">
        <v>46199</v>
      </c>
      <c r="L778" s="3" t="s">
        <v>18</v>
      </c>
      <c r="M778" s="7" t="n">
        <v>700</v>
      </c>
      <c r="N778" s="8" t="n">
        <v>0.2783</v>
      </c>
      <c r="O778" s="4" t="n">
        <f aca="false">M778*N778</f>
        <v>194.81</v>
      </c>
    </row>
    <row r="779" customFormat="false" ht="15" hidden="false" customHeight="false" outlineLevel="0" collapsed="false">
      <c r="A779" s="0" t="s">
        <v>1380</v>
      </c>
      <c r="C779" s="0" t="s">
        <v>100</v>
      </c>
      <c r="D779" s="7" t="n">
        <v>9</v>
      </c>
      <c r="E779" s="8" t="n">
        <v>29.3255555555556</v>
      </c>
      <c r="F779" s="4" t="n">
        <f aca="false">D779*E779</f>
        <v>263.93</v>
      </c>
      <c r="G779" s="7" t="n">
        <v>5</v>
      </c>
      <c r="H779" s="9" t="n">
        <f aca="false">IF(G779&gt;0,D779/G779,"")</f>
        <v>1.8</v>
      </c>
      <c r="I779" s="10" t="n">
        <v>46217</v>
      </c>
      <c r="J779" s="3" t="s">
        <v>478</v>
      </c>
      <c r="K779" s="10" t="n">
        <v>46185</v>
      </c>
      <c r="L779" s="3" t="s">
        <v>16</v>
      </c>
      <c r="M779" s="7" t="n">
        <v>14</v>
      </c>
      <c r="N779" s="8" t="n">
        <v>29.3257</v>
      </c>
      <c r="O779" s="4" t="n">
        <f aca="false">M779*N779</f>
        <v>410.5598</v>
      </c>
    </row>
    <row r="780" customFormat="false" ht="15" hidden="false" customHeight="false" outlineLevel="0" collapsed="false">
      <c r="A780" s="0" t="s">
        <v>1381</v>
      </c>
      <c r="C780" s="0" t="s">
        <v>581</v>
      </c>
      <c r="D780" s="7" t="n">
        <v>10</v>
      </c>
      <c r="E780" s="8" t="n">
        <v>26.355</v>
      </c>
      <c r="F780" s="4" t="n">
        <f aca="false">D780*E780</f>
        <v>263.55</v>
      </c>
      <c r="G780" s="7" t="n">
        <v>8</v>
      </c>
      <c r="H780" s="9" t="n">
        <f aca="false">IF(G780&gt;0,D780/G780,"")</f>
        <v>1.25</v>
      </c>
      <c r="I780" s="10" t="n">
        <v>46171</v>
      </c>
      <c r="J780" s="3" t="s">
        <v>110</v>
      </c>
      <c r="K780" s="10" t="n">
        <v>46134</v>
      </c>
      <c r="L780" s="3" t="s">
        <v>14</v>
      </c>
      <c r="M780" s="7" t="n">
        <v>18</v>
      </c>
      <c r="N780" s="8" t="n">
        <v>26.3556</v>
      </c>
      <c r="O780" s="4" t="n">
        <f aca="false">M780*N780</f>
        <v>474.4008</v>
      </c>
    </row>
    <row r="781" customFormat="false" ht="15" hidden="false" customHeight="false" outlineLevel="0" collapsed="false">
      <c r="A781" s="0" t="s">
        <v>1382</v>
      </c>
      <c r="C781" s="0" t="s">
        <v>581</v>
      </c>
      <c r="D781" s="7" t="n">
        <v>28</v>
      </c>
      <c r="E781" s="8" t="n">
        <v>9.40357142857143</v>
      </c>
      <c r="F781" s="4" t="n">
        <f aca="false">D781*E781</f>
        <v>263.3</v>
      </c>
      <c r="G781" s="7" t="n">
        <v>20</v>
      </c>
      <c r="H781" s="9" t="n">
        <f aca="false">IF(G781&gt;0,D781/G781,"")</f>
        <v>1.4</v>
      </c>
      <c r="I781" s="10" t="n">
        <v>46113</v>
      </c>
      <c r="J781" s="3" t="s">
        <v>261</v>
      </c>
      <c r="K781" s="10" t="n">
        <v>46055</v>
      </c>
      <c r="L781" s="3" t="s">
        <v>14</v>
      </c>
      <c r="M781" s="7" t="n">
        <v>48</v>
      </c>
      <c r="N781" s="8" t="n">
        <v>9.4038</v>
      </c>
      <c r="O781" s="4" t="n">
        <f aca="false">M781*N781</f>
        <v>451.3824</v>
      </c>
    </row>
    <row r="782" customFormat="false" ht="15" hidden="false" customHeight="false" outlineLevel="0" collapsed="false">
      <c r="A782" s="0" t="s">
        <v>1383</v>
      </c>
      <c r="C782" s="0" t="s">
        <v>31</v>
      </c>
      <c r="D782" s="7" t="n">
        <v>4044</v>
      </c>
      <c r="E782" s="8" t="n">
        <v>0.0651013847675569</v>
      </c>
      <c r="F782" s="4" t="n">
        <f aca="false">D782*E782</f>
        <v>263.27</v>
      </c>
      <c r="G782" s="7" t="n">
        <v>2195</v>
      </c>
      <c r="H782" s="9" t="n">
        <f aca="false">IF(G782&gt;0,D782/G782,"")</f>
        <v>1.84236902050114</v>
      </c>
      <c r="I782" s="10" t="n">
        <v>46310</v>
      </c>
      <c r="J782" s="3" t="s">
        <v>1384</v>
      </c>
      <c r="K782" s="10" t="n">
        <v>45672</v>
      </c>
      <c r="L782" s="3" t="s">
        <v>16</v>
      </c>
      <c r="M782" s="7" t="n">
        <v>7000</v>
      </c>
      <c r="N782" s="8" t="n">
        <v>0.0651</v>
      </c>
      <c r="O782" s="4" t="n">
        <f aca="false">M782*N782</f>
        <v>455.7</v>
      </c>
    </row>
    <row r="783" customFormat="false" ht="15" hidden="false" customHeight="false" outlineLevel="0" collapsed="false">
      <c r="A783" s="0" t="s">
        <v>1385</v>
      </c>
      <c r="C783" s="0" t="s">
        <v>979</v>
      </c>
      <c r="D783" s="7" t="n">
        <v>15569</v>
      </c>
      <c r="E783" s="8" t="n">
        <v>0.0169098850279401</v>
      </c>
      <c r="F783" s="4" t="n">
        <f aca="false">D783*E783</f>
        <v>263.27</v>
      </c>
      <c r="G783" s="7" t="n">
        <v>138</v>
      </c>
      <c r="H783" s="9" t="n">
        <f aca="false">IF(G783&gt;0,D783/G783,"")</f>
        <v>112.81884057971</v>
      </c>
      <c r="I783" s="10" t="n">
        <v>46233</v>
      </c>
      <c r="J783" s="3" t="s">
        <v>162</v>
      </c>
      <c r="K783" s="10" t="n">
        <v>45967</v>
      </c>
      <c r="L783" s="3" t="s">
        <v>15</v>
      </c>
      <c r="M783" s="7" t="n">
        <v>15600</v>
      </c>
      <c r="N783" s="8" t="n">
        <v>0.01684</v>
      </c>
      <c r="O783" s="4" t="n">
        <f aca="false">M783*N783</f>
        <v>262.704</v>
      </c>
    </row>
    <row r="784" customFormat="false" ht="15" hidden="false" customHeight="false" outlineLevel="0" collapsed="false">
      <c r="A784" s="0" t="s">
        <v>1386</v>
      </c>
      <c r="C784" s="0" t="s">
        <v>38</v>
      </c>
      <c r="D784" s="7" t="n">
        <v>439</v>
      </c>
      <c r="E784" s="8" t="n">
        <v>0.598906605922551</v>
      </c>
      <c r="F784" s="4" t="n">
        <f aca="false">D784*E784</f>
        <v>262.92</v>
      </c>
      <c r="G784" s="7" t="n">
        <v>114</v>
      </c>
      <c r="H784" s="9" t="n">
        <f aca="false">IF(G784&gt;0,D784/G784,"")</f>
        <v>3.85087719298246</v>
      </c>
      <c r="I784" s="10" t="n">
        <v>46253</v>
      </c>
      <c r="J784" s="3" t="s">
        <v>680</v>
      </c>
      <c r="K784" s="10" t="n">
        <v>46240</v>
      </c>
      <c r="L784" s="3" t="s">
        <v>14</v>
      </c>
      <c r="M784" s="7" t="n">
        <v>500</v>
      </c>
      <c r="N784" s="8" t="n">
        <v>0.5989</v>
      </c>
      <c r="O784" s="4" t="n">
        <f aca="false">M784*N784</f>
        <v>299.45</v>
      </c>
    </row>
    <row r="785" customFormat="false" ht="15" hidden="false" customHeight="false" outlineLevel="0" collapsed="false">
      <c r="A785" s="0" t="s">
        <v>1387</v>
      </c>
      <c r="C785" s="0" t="s">
        <v>979</v>
      </c>
      <c r="D785" s="7" t="n">
        <v>11924</v>
      </c>
      <c r="E785" s="8" t="n">
        <v>0.022030358939953</v>
      </c>
      <c r="F785" s="4" t="n">
        <f aca="false">D785*E785</f>
        <v>262.69</v>
      </c>
      <c r="G785" s="7" t="n">
        <v>150</v>
      </c>
      <c r="H785" s="9" t="n">
        <f aca="false">IF(G785&gt;0,D785/G785,"")</f>
        <v>79.4933333333333</v>
      </c>
      <c r="I785" s="10" t="n">
        <v>46231</v>
      </c>
      <c r="J785" s="3" t="s">
        <v>162</v>
      </c>
      <c r="K785" s="10" t="n">
        <v>45967</v>
      </c>
      <c r="L785" s="3" t="s">
        <v>15</v>
      </c>
      <c r="M785" s="7" t="n">
        <v>11500</v>
      </c>
      <c r="N785" s="8" t="n">
        <v>0.02096</v>
      </c>
      <c r="O785" s="4" t="n">
        <f aca="false">M785*N785</f>
        <v>241.04</v>
      </c>
    </row>
    <row r="786" customFormat="false" ht="15" hidden="false" customHeight="false" outlineLevel="0" collapsed="false">
      <c r="A786" s="0" t="s">
        <v>1388</v>
      </c>
      <c r="C786" s="0" t="s">
        <v>32</v>
      </c>
      <c r="D786" s="7" t="n">
        <v>12347</v>
      </c>
      <c r="E786" s="8" t="n">
        <v>0.0212723738559974</v>
      </c>
      <c r="F786" s="4" t="n">
        <f aca="false">D786*E786</f>
        <v>262.65</v>
      </c>
      <c r="G786" s="7" t="n">
        <v>4383</v>
      </c>
      <c r="H786" s="9" t="n">
        <f aca="false">IF(G786&gt;0,D786/G786,"")</f>
        <v>2.81702030572667</v>
      </c>
      <c r="I786" s="10" t="n">
        <v>46304</v>
      </c>
      <c r="J786" s="3" t="s">
        <v>1389</v>
      </c>
      <c r="K786" s="10" t="n">
        <v>45720</v>
      </c>
      <c r="L786" s="3" t="s">
        <v>18</v>
      </c>
      <c r="M786" s="7" t="n">
        <v>24351</v>
      </c>
      <c r="N786" s="8" t="n">
        <v>0.025</v>
      </c>
      <c r="O786" s="4" t="n">
        <f aca="false">M786*N786</f>
        <v>608.775</v>
      </c>
    </row>
    <row r="787" customFormat="false" ht="15" hidden="false" customHeight="false" outlineLevel="0" collapsed="false">
      <c r="A787" s="0" t="s">
        <v>1390</v>
      </c>
      <c r="C787" s="0" t="s">
        <v>45</v>
      </c>
      <c r="D787" s="7" t="n">
        <v>345</v>
      </c>
      <c r="E787" s="8" t="n">
        <v>0.760608695652174</v>
      </c>
      <c r="F787" s="4" t="n">
        <f aca="false">D787*E787</f>
        <v>262.41</v>
      </c>
      <c r="G787" s="7" t="n">
        <v>26</v>
      </c>
      <c r="H787" s="9" t="n">
        <f aca="false">IF(G787&gt;0,D787/G787,"")</f>
        <v>13.2692307692308</v>
      </c>
      <c r="I787" s="10" t="n">
        <v>46108</v>
      </c>
      <c r="J787" s="3" t="s">
        <v>611</v>
      </c>
      <c r="K787" s="10" t="n">
        <v>45141</v>
      </c>
      <c r="L787" s="3" t="s">
        <v>14</v>
      </c>
      <c r="M787" s="7" t="n">
        <v>526</v>
      </c>
      <c r="N787" s="8" t="n">
        <v>0.7606</v>
      </c>
      <c r="O787" s="4" t="n">
        <f aca="false">M787*N787</f>
        <v>400.0756</v>
      </c>
    </row>
    <row r="788" customFormat="false" ht="15" hidden="false" customHeight="false" outlineLevel="0" collapsed="false">
      <c r="A788" s="0" t="s">
        <v>1391</v>
      </c>
      <c r="C788" s="0" t="s">
        <v>32</v>
      </c>
      <c r="D788" s="7" t="n">
        <v>276</v>
      </c>
      <c r="E788" s="8" t="n">
        <v>0.948514492753623</v>
      </c>
      <c r="F788" s="4" t="n">
        <f aca="false">D788*E788</f>
        <v>261.79</v>
      </c>
      <c r="G788" s="7" t="n">
        <v>10</v>
      </c>
      <c r="H788" s="9" t="n">
        <f aca="false">IF(G788&gt;0,D788/G788,"")</f>
        <v>27.6</v>
      </c>
      <c r="I788" s="10" t="n">
        <v>46290</v>
      </c>
      <c r="J788" s="3" t="s">
        <v>1392</v>
      </c>
      <c r="K788" s="10" t="n">
        <v>44308</v>
      </c>
      <c r="L788" s="3" t="s">
        <v>18</v>
      </c>
      <c r="M788" s="7" t="n">
        <v>401</v>
      </c>
      <c r="N788" s="8" t="n">
        <v>0.9486</v>
      </c>
      <c r="O788" s="4" t="n">
        <f aca="false">M788*N788</f>
        <v>380.3886</v>
      </c>
    </row>
    <row r="789" customFormat="false" ht="15" hidden="false" customHeight="false" outlineLevel="0" collapsed="false">
      <c r="A789" s="0" t="s">
        <v>1393</v>
      </c>
      <c r="C789" s="0" t="s">
        <v>43</v>
      </c>
      <c r="D789" s="7" t="n">
        <v>152</v>
      </c>
      <c r="E789" s="8" t="n">
        <v>1.72157894736842</v>
      </c>
      <c r="F789" s="4" t="n">
        <f aca="false">D789*E789</f>
        <v>261.68</v>
      </c>
      <c r="G789" s="7" t="n">
        <v>6</v>
      </c>
      <c r="H789" s="9" t="n">
        <f aca="false">IF(G789&gt;0,D789/G789,"")</f>
        <v>25.3333333333333</v>
      </c>
      <c r="I789" s="10" t="n">
        <v>46133</v>
      </c>
      <c r="J789" s="3" t="s">
        <v>1394</v>
      </c>
      <c r="K789" s="10" t="n">
        <v>45180</v>
      </c>
      <c r="L789" s="3" t="s">
        <v>14</v>
      </c>
      <c r="M789" s="7" t="n">
        <v>235</v>
      </c>
      <c r="N789" s="8" t="n">
        <v>1.7216</v>
      </c>
      <c r="O789" s="4" t="n">
        <f aca="false">M789*N789</f>
        <v>404.576</v>
      </c>
    </row>
    <row r="790" customFormat="false" ht="15" hidden="false" customHeight="false" outlineLevel="0" collapsed="false">
      <c r="A790" s="0" t="s">
        <v>1395</v>
      </c>
      <c r="C790" s="0" t="s">
        <v>31</v>
      </c>
      <c r="D790" s="7" t="n">
        <v>25435</v>
      </c>
      <c r="E790" s="8" t="n">
        <v>0.0102701002555534</v>
      </c>
      <c r="F790" s="4" t="n">
        <f aca="false">D790*E790</f>
        <v>261.22</v>
      </c>
      <c r="G790" s="7" t="n">
        <v>1464</v>
      </c>
      <c r="H790" s="9" t="n">
        <f aca="false">IF(G790&gt;0,D790/G790,"")</f>
        <v>17.3736338797814</v>
      </c>
      <c r="I790" s="10" t="n">
        <v>46314</v>
      </c>
      <c r="J790" s="3" t="s">
        <v>1396</v>
      </c>
      <c r="K790" s="10" t="n">
        <v>45398</v>
      </c>
      <c r="L790" s="3" t="s">
        <v>15</v>
      </c>
      <c r="M790" s="7" t="n">
        <v>28050</v>
      </c>
      <c r="N790" s="8" t="n">
        <v>0.01027</v>
      </c>
      <c r="O790" s="4" t="n">
        <f aca="false">M790*N790</f>
        <v>288.0735</v>
      </c>
    </row>
    <row r="791" customFormat="false" ht="15" hidden="false" customHeight="false" outlineLevel="0" collapsed="false">
      <c r="A791" s="0" t="s">
        <v>1397</v>
      </c>
      <c r="C791" s="0" t="s">
        <v>39</v>
      </c>
      <c r="D791" s="7" t="n">
        <v>33923</v>
      </c>
      <c r="E791" s="8" t="n">
        <v>0.00770008548772219</v>
      </c>
      <c r="F791" s="4" t="n">
        <f aca="false">D791*E791</f>
        <v>261.21</v>
      </c>
      <c r="G791" s="7" t="n">
        <v>14545</v>
      </c>
      <c r="H791" s="9" t="n">
        <f aca="false">IF(G791&gt;0,D791/G791,"")</f>
        <v>2.33227913372293</v>
      </c>
      <c r="I791" s="10" t="n">
        <v>46310</v>
      </c>
      <c r="J791" s="3" t="s">
        <v>654</v>
      </c>
      <c r="K791" s="10" t="n">
        <v>46204</v>
      </c>
      <c r="L791" s="3" t="s">
        <v>18</v>
      </c>
      <c r="M791" s="7" t="n">
        <v>33500</v>
      </c>
      <c r="N791" s="8" t="n">
        <v>0.0077</v>
      </c>
      <c r="O791" s="4" t="n">
        <f aca="false">M791*N791</f>
        <v>257.95</v>
      </c>
    </row>
    <row r="792" customFormat="false" ht="15" hidden="false" customHeight="false" outlineLevel="0" collapsed="false">
      <c r="A792" s="0" t="s">
        <v>1398</v>
      </c>
      <c r="C792" s="0" t="s">
        <v>118</v>
      </c>
      <c r="D792" s="7" t="n">
        <v>1815</v>
      </c>
      <c r="E792" s="8" t="n">
        <v>0.143884297520661</v>
      </c>
      <c r="F792" s="4" t="n">
        <f aca="false">D792*E792</f>
        <v>261.15</v>
      </c>
      <c r="G792" s="7" t="n">
        <v>47</v>
      </c>
      <c r="H792" s="9" t="n">
        <f aca="false">IF(G792&gt;0,D792/G792,"")</f>
        <v>38.6170212765957</v>
      </c>
      <c r="I792" s="10" t="n">
        <v>46157</v>
      </c>
      <c r="J792" s="3" t="s">
        <v>1080</v>
      </c>
      <c r="K792" s="10" t="n">
        <v>44313</v>
      </c>
      <c r="L792" s="3" t="s">
        <v>16</v>
      </c>
      <c r="M792" s="7" t="n">
        <v>2800</v>
      </c>
      <c r="N792" s="8" t="n">
        <v>0.1439</v>
      </c>
      <c r="O792" s="4" t="n">
        <f aca="false">M792*N792</f>
        <v>402.92</v>
      </c>
    </row>
    <row r="793" customFormat="false" ht="15" hidden="false" customHeight="false" outlineLevel="0" collapsed="false">
      <c r="A793" s="0" t="s">
        <v>1399</v>
      </c>
      <c r="C793" s="0" t="s">
        <v>35</v>
      </c>
      <c r="D793" s="7" t="n">
        <v>361</v>
      </c>
      <c r="E793" s="8" t="n">
        <v>0.723240997229917</v>
      </c>
      <c r="F793" s="4" t="n">
        <f aca="false">D793*E793</f>
        <v>261.09</v>
      </c>
      <c r="G793" s="7" t="n">
        <v>5</v>
      </c>
      <c r="H793" s="9" t="n">
        <f aca="false">IF(G793&gt;0,D793/G793,"")</f>
        <v>72.2</v>
      </c>
      <c r="I793" s="10" t="n">
        <v>46316</v>
      </c>
      <c r="J793" s="3" t="s">
        <v>633</v>
      </c>
      <c r="K793" s="10" t="n">
        <v>45758</v>
      </c>
      <c r="L793" s="3" t="s">
        <v>20</v>
      </c>
      <c r="M793" s="7" t="n">
        <v>360</v>
      </c>
      <c r="N793" s="8" t="n">
        <v>0.7</v>
      </c>
      <c r="O793" s="4" t="n">
        <f aca="false">M793*N793</f>
        <v>252</v>
      </c>
    </row>
    <row r="794" customFormat="false" ht="15" hidden="false" customHeight="false" outlineLevel="0" collapsed="false">
      <c r="A794" s="0" t="s">
        <v>1400</v>
      </c>
      <c r="C794" s="0" t="s">
        <v>31</v>
      </c>
      <c r="D794" s="7" t="n">
        <v>14049</v>
      </c>
      <c r="E794" s="8" t="n">
        <v>0.0185401096163428</v>
      </c>
      <c r="F794" s="4" t="n">
        <f aca="false">D794*E794</f>
        <v>260.47</v>
      </c>
      <c r="G794" s="7" t="n">
        <v>75</v>
      </c>
      <c r="H794" s="9" t="n">
        <f aca="false">IF(G794&gt;0,D794/G794,"")</f>
        <v>187.32</v>
      </c>
      <c r="I794" s="10" t="n">
        <v>46297</v>
      </c>
      <c r="J794" s="3" t="s">
        <v>1401</v>
      </c>
      <c r="K794" s="10" t="n">
        <v>44753</v>
      </c>
      <c r="L794" s="3" t="s">
        <v>19</v>
      </c>
      <c r="M794" s="7" t="n">
        <v>19042</v>
      </c>
      <c r="N794" s="8" t="n">
        <v>0.0183</v>
      </c>
      <c r="O794" s="4" t="n">
        <v>348.3954</v>
      </c>
    </row>
    <row r="795" customFormat="false" ht="15" hidden="false" customHeight="false" outlineLevel="0" collapsed="false">
      <c r="A795" s="0" t="s">
        <v>1402</v>
      </c>
      <c r="C795" s="0" t="s">
        <v>31</v>
      </c>
      <c r="D795" s="7" t="n">
        <v>3044</v>
      </c>
      <c r="E795" s="8" t="n">
        <v>0.0854664914586071</v>
      </c>
      <c r="F795" s="4" t="n">
        <f aca="false">D795*E795</f>
        <v>260.16</v>
      </c>
      <c r="G795" s="7" t="n">
        <v>140</v>
      </c>
      <c r="H795" s="9" t="n">
        <f aca="false">IF(G795&gt;0,D795/G795,"")</f>
        <v>21.7428571428571</v>
      </c>
      <c r="I795" s="10" t="n">
        <v>46197</v>
      </c>
      <c r="J795" s="3" t="s">
        <v>1080</v>
      </c>
      <c r="K795" s="10" t="n">
        <v>44313</v>
      </c>
      <c r="L795" s="3" t="s">
        <v>16</v>
      </c>
      <c r="M795" s="7" t="n">
        <v>3112</v>
      </c>
      <c r="N795" s="8" t="n">
        <v>0.0832</v>
      </c>
      <c r="O795" s="4" t="n">
        <f aca="false">M795*N795</f>
        <v>258.9184</v>
      </c>
    </row>
    <row r="796" customFormat="false" ht="15" hidden="false" customHeight="false" outlineLevel="0" collapsed="false">
      <c r="A796" s="0" t="s">
        <v>1403</v>
      </c>
      <c r="C796" s="0" t="s">
        <v>100</v>
      </c>
      <c r="D796" s="7" t="n">
        <v>13</v>
      </c>
      <c r="E796" s="8" t="n">
        <v>20.0076923076923</v>
      </c>
      <c r="F796" s="4" t="n">
        <f aca="false">D796*E796</f>
        <v>260.1</v>
      </c>
      <c r="G796" s="7" t="n">
        <v>7</v>
      </c>
      <c r="H796" s="9" t="n">
        <f aca="false">IF(G796&gt;0,D796/G796,"")</f>
        <v>1.85714285714286</v>
      </c>
      <c r="I796" s="10" t="n">
        <v>46036</v>
      </c>
      <c r="J796" s="3" t="s">
        <v>296</v>
      </c>
      <c r="K796" s="10" t="n">
        <v>45975</v>
      </c>
      <c r="L796" s="3" t="s">
        <v>16</v>
      </c>
      <c r="M796" s="7" t="n">
        <v>20</v>
      </c>
      <c r="N796" s="8" t="n">
        <v>20.0076</v>
      </c>
      <c r="O796" s="4" t="n">
        <f aca="false">M796*N796</f>
        <v>400.152</v>
      </c>
    </row>
    <row r="797" customFormat="false" ht="15" hidden="false" customHeight="false" outlineLevel="0" collapsed="false">
      <c r="A797" s="0" t="s">
        <v>1404</v>
      </c>
      <c r="C797" s="0" t="s">
        <v>715</v>
      </c>
      <c r="D797" s="7" t="n">
        <v>7611</v>
      </c>
      <c r="E797" s="8" t="n">
        <v>0.0341637104191302</v>
      </c>
      <c r="F797" s="4" t="n">
        <f aca="false">D797*E797</f>
        <v>260.02</v>
      </c>
      <c r="G797" s="7" t="n">
        <v>20</v>
      </c>
      <c r="H797" s="9" t="n">
        <f aca="false">IF(G797&gt;0,D797/G797,"")</f>
        <v>380.55</v>
      </c>
      <c r="I797" s="10" t="n">
        <v>46160</v>
      </c>
      <c r="J797" s="3" t="s">
        <v>1405</v>
      </c>
      <c r="K797" s="10" t="n">
        <v>44872</v>
      </c>
      <c r="L797" s="3" t="s">
        <v>14</v>
      </c>
      <c r="M797" s="7" t="n">
        <v>10370</v>
      </c>
      <c r="N797" s="8" t="n">
        <v>0.0341</v>
      </c>
      <c r="O797" s="4" t="n">
        <f aca="false">M797*N797</f>
        <v>353.617</v>
      </c>
    </row>
    <row r="798" customFormat="false" ht="15" hidden="false" customHeight="false" outlineLevel="0" collapsed="false">
      <c r="A798" s="0" t="s">
        <v>1406</v>
      </c>
      <c r="C798" s="0" t="s">
        <v>609</v>
      </c>
      <c r="D798" s="7" t="n">
        <v>85</v>
      </c>
      <c r="E798" s="8" t="n">
        <v>3.05764705882353</v>
      </c>
      <c r="F798" s="4" t="n">
        <f aca="false">D798*E798</f>
        <v>259.9</v>
      </c>
      <c r="G798" s="7" t="n">
        <v>15</v>
      </c>
      <c r="H798" s="9" t="n">
        <f aca="false">IF(G798&gt;0,D798/G798,"")</f>
        <v>5.66666666666667</v>
      </c>
      <c r="I798" s="10" t="n">
        <v>46302</v>
      </c>
      <c r="J798" s="3" t="s">
        <v>1407</v>
      </c>
      <c r="K798" s="10" t="n">
        <v>44656</v>
      </c>
      <c r="L798" s="3" t="s">
        <v>14</v>
      </c>
      <c r="M798" s="7" t="n">
        <v>200</v>
      </c>
      <c r="N798" s="8" t="n">
        <v>3.0579</v>
      </c>
      <c r="O798" s="4" t="n">
        <f aca="false">M798*N798</f>
        <v>611.58</v>
      </c>
    </row>
    <row r="799" customFormat="false" ht="15" hidden="false" customHeight="false" outlineLevel="0" collapsed="false">
      <c r="A799" s="0" t="s">
        <v>1408</v>
      </c>
      <c r="C799" s="0" t="s">
        <v>45</v>
      </c>
      <c r="D799" s="7" t="n">
        <v>807</v>
      </c>
      <c r="E799" s="8" t="n">
        <v>0.32180916976456</v>
      </c>
      <c r="F799" s="4" t="n">
        <f aca="false">D799*E799</f>
        <v>259.7</v>
      </c>
      <c r="G799" s="7" t="n">
        <v>8</v>
      </c>
      <c r="H799" s="9" t="n">
        <f aca="false">IF(G799&gt;0,D799/G799,"")</f>
        <v>100.875</v>
      </c>
      <c r="I799" s="10" t="n">
        <v>46118</v>
      </c>
      <c r="J799" s="3" t="s">
        <v>1252</v>
      </c>
      <c r="K799" s="10" t="n">
        <v>45754</v>
      </c>
      <c r="L799" s="3" t="s">
        <v>23</v>
      </c>
      <c r="M799" s="7" t="n">
        <v>1000</v>
      </c>
      <c r="N799" s="8" t="n">
        <v>0.3218</v>
      </c>
      <c r="O799" s="4" t="n">
        <f aca="false">M799*N799</f>
        <v>321.8</v>
      </c>
    </row>
    <row r="800" customFormat="false" ht="15" hidden="false" customHeight="false" outlineLevel="0" collapsed="false">
      <c r="A800" s="0" t="s">
        <v>1409</v>
      </c>
      <c r="C800" s="0" t="s">
        <v>36</v>
      </c>
      <c r="D800" s="7" t="n">
        <v>1840</v>
      </c>
      <c r="E800" s="8" t="n">
        <v>0.14108152173913</v>
      </c>
      <c r="F800" s="4" t="n">
        <f aca="false">D800*E800</f>
        <v>259.59</v>
      </c>
      <c r="G800" s="7" t="n">
        <v>1150</v>
      </c>
      <c r="H800" s="9" t="n">
        <f aca="false">IF(G800&gt;0,D800/G800,"")</f>
        <v>1.6</v>
      </c>
      <c r="I800" s="10" t="n">
        <v>46210</v>
      </c>
      <c r="J800" s="3" t="s">
        <v>826</v>
      </c>
      <c r="K800" s="10" t="n">
        <v>46199</v>
      </c>
      <c r="L800" s="3" t="s">
        <v>14</v>
      </c>
      <c r="M800" s="7" t="n">
        <v>2500</v>
      </c>
      <c r="N800" s="8" t="n">
        <v>0.139</v>
      </c>
      <c r="O800" s="4" t="n">
        <f aca="false">M800*N800</f>
        <v>347.5</v>
      </c>
    </row>
    <row r="801" customFormat="false" ht="15" hidden="false" customHeight="false" outlineLevel="0" collapsed="false">
      <c r="A801" s="0" t="s">
        <v>1410</v>
      </c>
      <c r="C801" s="0" t="s">
        <v>340</v>
      </c>
      <c r="D801" s="7" t="n">
        <v>9695</v>
      </c>
      <c r="E801" s="8" t="n">
        <v>0.0267539969056215</v>
      </c>
      <c r="F801" s="4" t="n">
        <f aca="false">D801*E801</f>
        <v>259.38</v>
      </c>
      <c r="G801" s="7" t="n">
        <v>180</v>
      </c>
      <c r="H801" s="9" t="n">
        <f aca="false">IF(G801&gt;0,D801/G801,"")</f>
        <v>53.8611111111111</v>
      </c>
      <c r="I801" s="10" t="n">
        <v>46304</v>
      </c>
      <c r="J801" s="3" t="s">
        <v>1411</v>
      </c>
      <c r="K801" s="10" t="n">
        <v>46176</v>
      </c>
      <c r="L801" s="3" t="s">
        <v>19</v>
      </c>
      <c r="M801" s="7" t="n">
        <v>2000</v>
      </c>
      <c r="N801" s="8" t="n">
        <v>0.0369</v>
      </c>
      <c r="O801" s="4" t="n">
        <f aca="false">M801*N801</f>
        <v>73.8</v>
      </c>
    </row>
    <row r="802" customFormat="false" ht="15" hidden="false" customHeight="false" outlineLevel="0" collapsed="false">
      <c r="A802" s="0" t="s">
        <v>1412</v>
      </c>
      <c r="C802" s="0" t="s">
        <v>34</v>
      </c>
      <c r="D802" s="7" t="n">
        <v>32753</v>
      </c>
      <c r="E802" s="8" t="n">
        <v>0.00791896925472476</v>
      </c>
      <c r="F802" s="4" t="n">
        <f aca="false">D802*E802</f>
        <v>259.37</v>
      </c>
      <c r="G802" s="7" t="n">
        <v>2650</v>
      </c>
      <c r="H802" s="9" t="n">
        <f aca="false">IF(G802&gt;0,D802/G802,"")</f>
        <v>12.3596226415094</v>
      </c>
      <c r="I802" s="10" t="n">
        <v>46291</v>
      </c>
      <c r="K802" s="10"/>
      <c r="M802" s="7"/>
      <c r="N802" s="8"/>
      <c r="O802" s="4"/>
    </row>
    <row r="803" customFormat="false" ht="15" hidden="false" customHeight="false" outlineLevel="0" collapsed="false">
      <c r="A803" s="0" t="s">
        <v>1413</v>
      </c>
      <c r="C803" s="0" t="s">
        <v>979</v>
      </c>
      <c r="D803" s="7" t="n">
        <v>1556</v>
      </c>
      <c r="E803" s="8" t="n">
        <v>0.166233933161954</v>
      </c>
      <c r="F803" s="4" t="n">
        <f aca="false">D803*E803</f>
        <v>258.66</v>
      </c>
      <c r="G803" s="7" t="n">
        <v>740</v>
      </c>
      <c r="H803" s="9" t="n">
        <f aca="false">IF(G803&gt;0,D803/G803,"")</f>
        <v>2.1027027027027</v>
      </c>
      <c r="I803" s="10" t="n">
        <v>46260</v>
      </c>
      <c r="J803" s="3" t="s">
        <v>1414</v>
      </c>
      <c r="K803" s="10" t="n">
        <v>46247</v>
      </c>
      <c r="L803" s="3" t="s">
        <v>18</v>
      </c>
      <c r="M803" s="7" t="n">
        <v>300</v>
      </c>
      <c r="N803" s="8" t="n">
        <v>0.3136</v>
      </c>
      <c r="O803" s="4" t="n">
        <f aca="false">M803*N803</f>
        <v>94.08</v>
      </c>
    </row>
    <row r="804" customFormat="false" ht="15" hidden="false" customHeight="false" outlineLevel="0" collapsed="false">
      <c r="A804" s="0" t="s">
        <v>1415</v>
      </c>
      <c r="C804" s="0" t="s">
        <v>31</v>
      </c>
      <c r="D804" s="7" t="n">
        <v>1611</v>
      </c>
      <c r="E804" s="8" t="n">
        <v>0.160558659217877</v>
      </c>
      <c r="F804" s="4" t="n">
        <f aca="false">D804*E804</f>
        <v>258.66</v>
      </c>
      <c r="G804" s="7" t="n">
        <v>40</v>
      </c>
      <c r="H804" s="9" t="n">
        <f aca="false">IF(G804&gt;0,D804/G804,"")</f>
        <v>40.275</v>
      </c>
      <c r="I804" s="10" t="n">
        <v>46311</v>
      </c>
      <c r="J804" s="3" t="s">
        <v>1416</v>
      </c>
      <c r="K804" s="10" t="n">
        <v>44484</v>
      </c>
      <c r="L804" s="3" t="s">
        <v>19</v>
      </c>
      <c r="M804" s="7" t="n">
        <v>2328</v>
      </c>
      <c r="N804" s="8" t="n">
        <v>0.1634</v>
      </c>
      <c r="O804" s="4" t="n">
        <v>375.82</v>
      </c>
    </row>
    <row r="805" customFormat="false" ht="15" hidden="false" customHeight="false" outlineLevel="0" collapsed="false">
      <c r="A805" s="0" t="s">
        <v>1417</v>
      </c>
      <c r="C805" s="0" t="s">
        <v>438</v>
      </c>
      <c r="D805" s="7" t="n">
        <v>831</v>
      </c>
      <c r="E805" s="8" t="n">
        <v>0.310950661853189</v>
      </c>
      <c r="F805" s="4" t="n">
        <f aca="false">D805*E805</f>
        <v>258.4</v>
      </c>
      <c r="G805" s="7" t="n">
        <v>52</v>
      </c>
      <c r="H805" s="9" t="n">
        <f aca="false">IF(G805&gt;0,D805/G805,"")</f>
        <v>15.9807692307692</v>
      </c>
      <c r="I805" s="10" t="n">
        <v>46293</v>
      </c>
      <c r="J805" s="3" t="s">
        <v>962</v>
      </c>
      <c r="K805" s="10" t="n">
        <v>45448</v>
      </c>
      <c r="L805" s="3" t="s">
        <v>14</v>
      </c>
      <c r="M805" s="7" t="n">
        <v>1300</v>
      </c>
      <c r="N805" s="8" t="n">
        <v>0.3109</v>
      </c>
      <c r="O805" s="4" t="n">
        <f aca="false">M805*N805</f>
        <v>404.17</v>
      </c>
    </row>
    <row r="806" customFormat="false" ht="15" hidden="false" customHeight="false" outlineLevel="0" collapsed="false">
      <c r="A806" s="0" t="s">
        <v>1418</v>
      </c>
      <c r="C806" s="0" t="s">
        <v>799</v>
      </c>
      <c r="D806" s="7" t="n">
        <v>216</v>
      </c>
      <c r="E806" s="8" t="n">
        <v>1.19402777777778</v>
      </c>
      <c r="F806" s="4" t="n">
        <f aca="false">D806*E806</f>
        <v>257.91</v>
      </c>
      <c r="G806" s="7" t="n">
        <v>125</v>
      </c>
      <c r="H806" s="9" t="n">
        <f aca="false">IF(G806&gt;0,D806/G806,"")</f>
        <v>1.728</v>
      </c>
      <c r="I806" s="10" t="n">
        <v>46155</v>
      </c>
      <c r="J806" s="3" t="s">
        <v>957</v>
      </c>
      <c r="K806" s="10" t="n">
        <v>45334</v>
      </c>
      <c r="L806" s="3" t="s">
        <v>14</v>
      </c>
      <c r="M806" s="7" t="n">
        <v>338</v>
      </c>
      <c r="N806" s="8" t="n">
        <v>1.1865</v>
      </c>
      <c r="O806" s="4" t="n">
        <f aca="false">M806*N806</f>
        <v>401.037</v>
      </c>
    </row>
    <row r="807" customFormat="false" ht="15" hidden="false" customHeight="false" outlineLevel="0" collapsed="false">
      <c r="A807" s="0" t="s">
        <v>1419</v>
      </c>
      <c r="C807" s="0" t="s">
        <v>43</v>
      </c>
      <c r="D807" s="7" t="n">
        <v>636</v>
      </c>
      <c r="E807" s="8" t="n">
        <v>0.405298742138365</v>
      </c>
      <c r="F807" s="4" t="n">
        <f aca="false">D807*E807</f>
        <v>257.77</v>
      </c>
      <c r="G807" s="7" t="n">
        <v>397</v>
      </c>
      <c r="H807" s="9" t="n">
        <f aca="false">IF(G807&gt;0,D807/G807,"")</f>
        <v>1.60201511335013</v>
      </c>
      <c r="I807" s="10" t="n">
        <v>46282</v>
      </c>
      <c r="J807" s="3" t="s">
        <v>149</v>
      </c>
      <c r="K807" s="10" t="n">
        <v>46259</v>
      </c>
      <c r="L807" s="3" t="s">
        <v>14</v>
      </c>
      <c r="M807" s="7" t="n">
        <v>1000</v>
      </c>
      <c r="N807" s="8" t="n">
        <v>0.4053</v>
      </c>
      <c r="O807" s="4" t="n">
        <f aca="false">M807*N807</f>
        <v>405.3</v>
      </c>
    </row>
    <row r="808" customFormat="false" ht="15" hidden="false" customHeight="false" outlineLevel="0" collapsed="false">
      <c r="A808" s="0" t="s">
        <v>1420</v>
      </c>
      <c r="C808" s="0" t="s">
        <v>340</v>
      </c>
      <c r="D808" s="7" t="n">
        <v>46464</v>
      </c>
      <c r="E808" s="8" t="n">
        <v>0.00554644455922865</v>
      </c>
      <c r="F808" s="4" t="n">
        <f aca="false">D808*E808</f>
        <v>257.71</v>
      </c>
      <c r="G808" s="7" t="n">
        <v>365</v>
      </c>
      <c r="H808" s="9" t="n">
        <f aca="false">IF(G808&gt;0,D808/G808,"")</f>
        <v>127.298630136986</v>
      </c>
      <c r="I808" s="10" t="n">
        <v>46290</v>
      </c>
      <c r="J808" s="3" t="s">
        <v>162</v>
      </c>
      <c r="K808" s="10" t="n">
        <v>45967</v>
      </c>
      <c r="L808" s="3" t="s">
        <v>15</v>
      </c>
      <c r="M808" s="7" t="n">
        <v>42150</v>
      </c>
      <c r="N808" s="8" t="n">
        <v>0.0055</v>
      </c>
      <c r="O808" s="4" t="n">
        <f aca="false">M808*N808</f>
        <v>231.825</v>
      </c>
    </row>
    <row r="809" customFormat="false" ht="15" hidden="false" customHeight="false" outlineLevel="0" collapsed="false">
      <c r="A809" s="0" t="s">
        <v>1421</v>
      </c>
      <c r="C809" s="0" t="s">
        <v>370</v>
      </c>
      <c r="D809" s="7" t="n">
        <v>1718</v>
      </c>
      <c r="E809" s="8" t="n">
        <v>0.15</v>
      </c>
      <c r="F809" s="4" t="n">
        <f aca="false">D809*E809</f>
        <v>257.7</v>
      </c>
      <c r="G809" s="7" t="n">
        <v>205</v>
      </c>
      <c r="H809" s="9" t="n">
        <f aca="false">IF(G809&gt;0,D809/G809,"")</f>
        <v>8.38048780487805</v>
      </c>
      <c r="I809" s="10" t="n">
        <v>46217</v>
      </c>
      <c r="J809" s="3" t="s">
        <v>895</v>
      </c>
      <c r="K809" s="10" t="n">
        <v>45516</v>
      </c>
      <c r="L809" s="3" t="s">
        <v>21</v>
      </c>
      <c r="M809" s="7" t="n">
        <v>700</v>
      </c>
      <c r="N809" s="8" t="n">
        <v>0.15</v>
      </c>
      <c r="O809" s="4" t="n">
        <f aca="false">M809*N809</f>
        <v>105</v>
      </c>
    </row>
    <row r="810" customFormat="false" ht="15" hidden="false" customHeight="false" outlineLevel="0" collapsed="false">
      <c r="A810" s="0" t="s">
        <v>1422</v>
      </c>
      <c r="C810" s="0" t="s">
        <v>45</v>
      </c>
      <c r="D810" s="7" t="n">
        <v>3681</v>
      </c>
      <c r="E810" s="8" t="n">
        <v>0.07</v>
      </c>
      <c r="F810" s="4" t="n">
        <f aca="false">D810*E810</f>
        <v>257.67</v>
      </c>
      <c r="G810" s="7" t="n">
        <v>136</v>
      </c>
      <c r="H810" s="9" t="n">
        <f aca="false">IF(G810&gt;0,D810/G810,"")</f>
        <v>27.0661764705882</v>
      </c>
      <c r="I810" s="10" t="n">
        <v>46234</v>
      </c>
      <c r="J810" s="3" t="s">
        <v>1423</v>
      </c>
      <c r="K810" s="10" t="n">
        <v>45786</v>
      </c>
      <c r="L810" s="3" t="s">
        <v>23</v>
      </c>
      <c r="M810" s="7" t="n">
        <v>4000</v>
      </c>
      <c r="N810" s="8" t="n">
        <v>0.0651</v>
      </c>
      <c r="O810" s="4" t="n">
        <f aca="false">M810*N810</f>
        <v>260.4</v>
      </c>
    </row>
    <row r="811" customFormat="false" ht="15" hidden="false" customHeight="false" outlineLevel="0" collapsed="false">
      <c r="A811" s="0" t="s">
        <v>1424</v>
      </c>
      <c r="C811" s="0" t="s">
        <v>41</v>
      </c>
      <c r="D811" s="7" t="n">
        <v>1340</v>
      </c>
      <c r="E811" s="8" t="n">
        <v>0.192201492537313</v>
      </c>
      <c r="F811" s="4" t="n">
        <f aca="false">D811*E811</f>
        <v>257.55</v>
      </c>
      <c r="G811" s="7" t="n">
        <v>400</v>
      </c>
      <c r="H811" s="9" t="n">
        <f aca="false">IF(G811&gt;0,D811/G811,"")</f>
        <v>3.35</v>
      </c>
      <c r="I811" s="10" t="n">
        <v>46197</v>
      </c>
      <c r="J811" s="3" t="s">
        <v>1425</v>
      </c>
      <c r="K811" s="10" t="n">
        <v>45890</v>
      </c>
      <c r="L811" s="3" t="s">
        <v>15</v>
      </c>
      <c r="M811" s="7" t="n">
        <v>1440</v>
      </c>
      <c r="N811" s="8" t="n">
        <v>0.1922</v>
      </c>
      <c r="O811" s="4" t="n">
        <f aca="false">M811*N811</f>
        <v>276.768</v>
      </c>
    </row>
    <row r="812" customFormat="false" ht="15" hidden="false" customHeight="false" outlineLevel="0" collapsed="false">
      <c r="A812" s="0" t="s">
        <v>1426</v>
      </c>
      <c r="C812" s="0" t="s">
        <v>979</v>
      </c>
      <c r="D812" s="7" t="n">
        <v>10696</v>
      </c>
      <c r="E812" s="8" t="n">
        <v>0.0240622662677637</v>
      </c>
      <c r="F812" s="4" t="n">
        <f aca="false">D812*E812</f>
        <v>257.37</v>
      </c>
      <c r="G812" s="7" t="n">
        <v>410</v>
      </c>
      <c r="H812" s="9" t="n">
        <f aca="false">IF(G812&gt;0,D812/G812,"")</f>
        <v>26.0878048780488</v>
      </c>
      <c r="I812" s="10" t="n">
        <v>46308</v>
      </c>
      <c r="J812" s="3" t="s">
        <v>162</v>
      </c>
      <c r="K812" s="10" t="n">
        <v>45967</v>
      </c>
      <c r="L812" s="3" t="s">
        <v>15</v>
      </c>
      <c r="M812" s="7" t="n">
        <v>10850</v>
      </c>
      <c r="N812" s="8" t="n">
        <v>0.02389</v>
      </c>
      <c r="O812" s="4" t="n">
        <f aca="false">M812*N812</f>
        <v>259.2065</v>
      </c>
    </row>
    <row r="813" customFormat="false" ht="15" hidden="false" customHeight="false" outlineLevel="0" collapsed="false">
      <c r="A813" s="0" t="s">
        <v>1427</v>
      </c>
      <c r="C813" s="0" t="s">
        <v>31</v>
      </c>
      <c r="D813" s="7" t="n">
        <v>88389</v>
      </c>
      <c r="E813" s="8" t="n">
        <v>0.00290941180463632</v>
      </c>
      <c r="F813" s="4" t="n">
        <f aca="false">D813*E813</f>
        <v>257.16</v>
      </c>
      <c r="G813" s="7" t="n">
        <v>1695</v>
      </c>
      <c r="H813" s="9" t="n">
        <f aca="false">IF(G813&gt;0,D813/G813,"")</f>
        <v>52.1469026548673</v>
      </c>
      <c r="I813" s="10" t="n">
        <v>46265</v>
      </c>
      <c r="K813" s="10"/>
      <c r="M813" s="7"/>
      <c r="N813" s="8"/>
      <c r="O813" s="4"/>
    </row>
    <row r="814" customFormat="false" ht="15" hidden="false" customHeight="false" outlineLevel="0" collapsed="false">
      <c r="A814" s="0" t="s">
        <v>1428</v>
      </c>
      <c r="C814" s="0" t="s">
        <v>360</v>
      </c>
      <c r="D814" s="7" t="n">
        <v>16757</v>
      </c>
      <c r="E814" s="8" t="n">
        <v>0.0153428417974578</v>
      </c>
      <c r="F814" s="4" t="n">
        <f aca="false">D814*E814</f>
        <v>257.1</v>
      </c>
      <c r="G814" s="7" t="n">
        <v>5</v>
      </c>
      <c r="H814" s="9" t="n">
        <f aca="false">IF(G814&gt;0,D814/G814,"")</f>
        <v>3351.4</v>
      </c>
      <c r="I814" s="10" t="n">
        <v>46029</v>
      </c>
      <c r="J814" s="3" t="s">
        <v>1213</v>
      </c>
      <c r="K814" s="10" t="n">
        <v>45554</v>
      </c>
      <c r="L814" s="3" t="s">
        <v>15</v>
      </c>
      <c r="M814" s="7" t="n">
        <v>16180</v>
      </c>
      <c r="N814" s="8" t="n">
        <v>0.01589</v>
      </c>
      <c r="O814" s="4" t="n">
        <f aca="false">M814*N814</f>
        <v>257.1002</v>
      </c>
    </row>
    <row r="815" customFormat="false" ht="15" hidden="false" customHeight="false" outlineLevel="0" collapsed="false">
      <c r="A815" s="0" t="s">
        <v>1429</v>
      </c>
      <c r="C815" s="0" t="s">
        <v>37</v>
      </c>
      <c r="D815" s="7" t="n">
        <v>12815</v>
      </c>
      <c r="E815" s="8" t="n">
        <v>0.0200382364416699</v>
      </c>
      <c r="F815" s="4" t="n">
        <f aca="false">D815*E815</f>
        <v>256.79</v>
      </c>
      <c r="G815" s="7" t="n">
        <v>265</v>
      </c>
      <c r="H815" s="9" t="n">
        <f aca="false">IF(G815&gt;0,D815/G815,"")</f>
        <v>48.3584905660377</v>
      </c>
      <c r="I815" s="10" t="n">
        <v>46300</v>
      </c>
      <c r="J815" s="3" t="s">
        <v>924</v>
      </c>
      <c r="K815" s="10" t="n">
        <v>45127</v>
      </c>
      <c r="L815" s="3" t="s">
        <v>15</v>
      </c>
      <c r="M815" s="7" t="n">
        <v>12200</v>
      </c>
      <c r="N815" s="8" t="n">
        <v>0.01652</v>
      </c>
      <c r="O815" s="4" t="n">
        <f aca="false">M815*N815</f>
        <v>201.544</v>
      </c>
    </row>
    <row r="816" customFormat="false" ht="15" hidden="false" customHeight="false" outlineLevel="0" collapsed="false">
      <c r="A816" s="0" t="s">
        <v>1430</v>
      </c>
      <c r="C816" s="0" t="s">
        <v>438</v>
      </c>
      <c r="D816" s="7" t="n">
        <v>1330</v>
      </c>
      <c r="E816" s="8" t="n">
        <v>0.19290977443609</v>
      </c>
      <c r="F816" s="4" t="n">
        <f aca="false">D816*E816</f>
        <v>256.57</v>
      </c>
      <c r="G816" s="7" t="n">
        <v>68</v>
      </c>
      <c r="H816" s="9" t="n">
        <f aca="false">IF(G816&gt;0,D816/G816,"")</f>
        <v>19.5588235294118</v>
      </c>
      <c r="I816" s="10" t="n">
        <v>46302</v>
      </c>
      <c r="J816" s="3" t="s">
        <v>1431</v>
      </c>
      <c r="K816" s="10" t="n">
        <v>44380</v>
      </c>
      <c r="L816" s="3" t="s">
        <v>1175</v>
      </c>
      <c r="M816" s="7" t="n">
        <v>25</v>
      </c>
      <c r="N816" s="8" t="n">
        <v>1.1433</v>
      </c>
      <c r="O816" s="4" t="n">
        <f aca="false">M816*N816</f>
        <v>28.5825</v>
      </c>
    </row>
    <row r="817" customFormat="false" ht="15" hidden="false" customHeight="false" outlineLevel="0" collapsed="false">
      <c r="A817" s="0" t="s">
        <v>1432</v>
      </c>
      <c r="C817" s="0" t="s">
        <v>402</v>
      </c>
      <c r="D817" s="7" t="n">
        <v>89</v>
      </c>
      <c r="E817" s="8" t="n">
        <v>2.88</v>
      </c>
      <c r="F817" s="4" t="n">
        <f aca="false">D817*E817</f>
        <v>256.32</v>
      </c>
      <c r="G817" s="7" t="n">
        <v>4</v>
      </c>
      <c r="H817" s="9" t="n">
        <f aca="false">IF(G817&gt;0,D817/G817,"")</f>
        <v>22.25</v>
      </c>
      <c r="I817" s="10" t="n">
        <v>46196</v>
      </c>
      <c r="J817" s="3" t="s">
        <v>1433</v>
      </c>
      <c r="K817" s="10" t="n">
        <v>44293</v>
      </c>
      <c r="L817" s="3" t="s">
        <v>1103</v>
      </c>
      <c r="M817" s="7" t="n">
        <v>100</v>
      </c>
      <c r="N817" s="8" t="n">
        <v>2.88</v>
      </c>
      <c r="O817" s="4" t="n">
        <f aca="false">M817*N817</f>
        <v>288</v>
      </c>
    </row>
    <row r="818" customFormat="false" ht="15" hidden="false" customHeight="false" outlineLevel="0" collapsed="false">
      <c r="A818" s="0" t="s">
        <v>1434</v>
      </c>
      <c r="C818" s="0" t="s">
        <v>42</v>
      </c>
      <c r="D818" s="7" t="n">
        <v>657</v>
      </c>
      <c r="E818" s="8" t="n">
        <v>0.390106544901065</v>
      </c>
      <c r="F818" s="4" t="n">
        <f aca="false">D818*E818</f>
        <v>256.3</v>
      </c>
      <c r="G818" s="7" t="n">
        <v>283</v>
      </c>
      <c r="H818" s="9" t="n">
        <f aca="false">IF(G818&gt;0,D818/G818,"")</f>
        <v>2.32155477031802</v>
      </c>
      <c r="I818" s="10" t="n">
        <v>46212</v>
      </c>
      <c r="J818" s="3" t="s">
        <v>1435</v>
      </c>
      <c r="K818" s="10" t="n">
        <v>45810</v>
      </c>
      <c r="L818" s="3" t="s">
        <v>14</v>
      </c>
      <c r="M818" s="7" t="n">
        <v>1000</v>
      </c>
      <c r="N818" s="8" t="n">
        <v>0.3901</v>
      </c>
      <c r="O818" s="4" t="n">
        <f aca="false">M818*N818</f>
        <v>390.1</v>
      </c>
    </row>
    <row r="819" customFormat="false" ht="15" hidden="false" customHeight="false" outlineLevel="0" collapsed="false">
      <c r="A819" s="0" t="s">
        <v>1436</v>
      </c>
      <c r="C819" s="0" t="s">
        <v>340</v>
      </c>
      <c r="D819" s="7" t="n">
        <v>12320</v>
      </c>
      <c r="E819" s="8" t="n">
        <v>0.0207792207792208</v>
      </c>
      <c r="F819" s="4" t="n">
        <f aca="false">D819*E819</f>
        <v>256</v>
      </c>
      <c r="G819" s="7" t="n">
        <v>671</v>
      </c>
      <c r="H819" s="9" t="n">
        <f aca="false">IF(G819&gt;0,D819/G819,"")</f>
        <v>18.3606557377049</v>
      </c>
      <c r="I819" s="10" t="n">
        <v>46265</v>
      </c>
      <c r="J819" s="3" t="s">
        <v>1437</v>
      </c>
      <c r="K819" s="10" t="n">
        <v>44919</v>
      </c>
      <c r="L819" s="3" t="s">
        <v>19</v>
      </c>
      <c r="M819" s="7" t="n">
        <v>2500</v>
      </c>
      <c r="N819" s="8" t="n">
        <v>0.0302</v>
      </c>
      <c r="O819" s="4" t="n">
        <f aca="false">M819*N819</f>
        <v>75.5</v>
      </c>
    </row>
    <row r="820" customFormat="false" ht="15" hidden="false" customHeight="false" outlineLevel="0" collapsed="false">
      <c r="A820" s="0" t="s">
        <v>1438</v>
      </c>
      <c r="C820" s="0" t="s">
        <v>35</v>
      </c>
      <c r="D820" s="7" t="n">
        <v>392</v>
      </c>
      <c r="E820" s="8" t="n">
        <v>0.652959183673469</v>
      </c>
      <c r="F820" s="4" t="n">
        <f aca="false">D820*E820</f>
        <v>255.96</v>
      </c>
      <c r="G820" s="7" t="n">
        <v>14</v>
      </c>
      <c r="H820" s="9" t="n">
        <f aca="false">IF(G820&gt;0,D820/G820,"")</f>
        <v>28</v>
      </c>
      <c r="I820" s="10" t="n">
        <v>46139</v>
      </c>
      <c r="J820" s="3" t="s">
        <v>633</v>
      </c>
      <c r="K820" s="10" t="n">
        <v>45758</v>
      </c>
      <c r="L820" s="3" t="s">
        <v>20</v>
      </c>
      <c r="M820" s="7" t="n">
        <v>400</v>
      </c>
      <c r="N820" s="8" t="n">
        <v>0.625</v>
      </c>
      <c r="O820" s="4" t="n">
        <f aca="false">M820*N820</f>
        <v>250</v>
      </c>
    </row>
    <row r="821" customFormat="false" ht="15" hidden="false" customHeight="false" outlineLevel="0" collapsed="false">
      <c r="A821" s="0" t="s">
        <v>1439</v>
      </c>
      <c r="C821" s="0" t="s">
        <v>979</v>
      </c>
      <c r="D821" s="7" t="n">
        <v>652</v>
      </c>
      <c r="E821" s="8" t="n">
        <v>0.392300613496933</v>
      </c>
      <c r="F821" s="4" t="n">
        <f aca="false">D821*E821</f>
        <v>255.78</v>
      </c>
      <c r="G821" s="7" t="n">
        <v>104</v>
      </c>
      <c r="H821" s="9" t="n">
        <f aca="false">IF(G821&gt;0,D821/G821,"")</f>
        <v>6.26923076923077</v>
      </c>
      <c r="I821" s="10" t="n">
        <v>46308</v>
      </c>
      <c r="J821" s="3" t="s">
        <v>1440</v>
      </c>
      <c r="K821" s="10" t="n">
        <v>46280</v>
      </c>
      <c r="L821" s="3" t="s">
        <v>18</v>
      </c>
      <c r="M821" s="7" t="n">
        <v>746</v>
      </c>
      <c r="N821" s="8" t="n">
        <v>0.3923</v>
      </c>
      <c r="O821" s="4" t="n">
        <f aca="false">M821*N821</f>
        <v>292.6558</v>
      </c>
    </row>
    <row r="822" customFormat="false" ht="15" hidden="false" customHeight="false" outlineLevel="0" collapsed="false">
      <c r="A822" s="0" t="s">
        <v>1441</v>
      </c>
      <c r="C822" s="0" t="s">
        <v>370</v>
      </c>
      <c r="D822" s="7" t="n">
        <v>3451</v>
      </c>
      <c r="E822" s="8" t="n">
        <v>0.0739988409156766</v>
      </c>
      <c r="F822" s="4" t="n">
        <f aca="false">D822*E822</f>
        <v>255.37</v>
      </c>
      <c r="G822" s="7" t="n">
        <v>4</v>
      </c>
      <c r="H822" s="9" t="n">
        <f aca="false">IF(G822&gt;0,D822/G822,"")</f>
        <v>862.75</v>
      </c>
      <c r="I822" s="10" t="n">
        <v>46126</v>
      </c>
      <c r="J822" s="3" t="s">
        <v>1442</v>
      </c>
      <c r="K822" s="10" t="n">
        <v>44361</v>
      </c>
      <c r="L822" s="3" t="s">
        <v>21</v>
      </c>
      <c r="M822" s="7" t="n">
        <v>5000</v>
      </c>
      <c r="N822" s="8" t="n">
        <v>0.074</v>
      </c>
      <c r="O822" s="4" t="n">
        <f aca="false">M822*N822</f>
        <v>370</v>
      </c>
    </row>
    <row r="823" customFormat="false" ht="15" hidden="false" customHeight="false" outlineLevel="0" collapsed="false">
      <c r="A823" s="0" t="s">
        <v>1443</v>
      </c>
      <c r="C823" s="0" t="s">
        <v>741</v>
      </c>
      <c r="D823" s="7" t="n">
        <v>1000</v>
      </c>
      <c r="E823" s="8" t="n">
        <v>0.25515</v>
      </c>
      <c r="F823" s="4" t="n">
        <f aca="false">D823*E823</f>
        <v>255.15</v>
      </c>
      <c r="G823" s="7" t="n">
        <v>750</v>
      </c>
      <c r="H823" s="9" t="n">
        <f aca="false">IF(G823&gt;0,D823/G823,"")</f>
        <v>1.33333333333333</v>
      </c>
      <c r="I823" s="10" t="n">
        <v>46118</v>
      </c>
      <c r="J823" s="3" t="s">
        <v>1444</v>
      </c>
      <c r="K823" s="10" t="n">
        <v>46111</v>
      </c>
      <c r="L823" s="3" t="s">
        <v>27</v>
      </c>
      <c r="M823" s="7" t="n">
        <v>1250</v>
      </c>
      <c r="N823" s="8" t="n">
        <v>0.2539</v>
      </c>
      <c r="O823" s="4" t="n">
        <f aca="false">M823*N823</f>
        <v>317.375</v>
      </c>
    </row>
    <row r="824" customFormat="false" ht="15" hidden="false" customHeight="false" outlineLevel="0" collapsed="false">
      <c r="A824" s="0" t="s">
        <v>1445</v>
      </c>
      <c r="C824" s="0" t="s">
        <v>37</v>
      </c>
      <c r="D824" s="7" t="n">
        <v>6126</v>
      </c>
      <c r="E824" s="8" t="n">
        <v>0.0415964740450539</v>
      </c>
      <c r="F824" s="4" t="n">
        <f aca="false">D824*E824</f>
        <v>254.82</v>
      </c>
      <c r="G824" s="7" t="n">
        <v>456</v>
      </c>
      <c r="H824" s="9" t="n">
        <f aca="false">IF(G824&gt;0,D824/G824,"")</f>
        <v>13.4342105263158</v>
      </c>
      <c r="I824" s="10" t="n">
        <v>46293</v>
      </c>
      <c r="J824" s="3" t="s">
        <v>772</v>
      </c>
      <c r="K824" s="10" t="n">
        <v>44947</v>
      </c>
      <c r="L824" s="3" t="s">
        <v>465</v>
      </c>
      <c r="M824" s="7" t="n">
        <v>2500</v>
      </c>
      <c r="N824" s="8" t="n">
        <v>0.0431</v>
      </c>
      <c r="O824" s="4" t="n">
        <f aca="false">M824*N824</f>
        <v>107.75</v>
      </c>
    </row>
    <row r="825" customFormat="false" ht="15" hidden="false" customHeight="false" outlineLevel="0" collapsed="false">
      <c r="A825" s="0" t="s">
        <v>1446</v>
      </c>
      <c r="C825" s="0" t="s">
        <v>34</v>
      </c>
      <c r="D825" s="7" t="n">
        <v>3443</v>
      </c>
      <c r="E825" s="8" t="n">
        <v>0.0739180946848679</v>
      </c>
      <c r="F825" s="4" t="n">
        <f aca="false">D825*E825</f>
        <v>254.5</v>
      </c>
      <c r="G825" s="7" t="n">
        <v>40</v>
      </c>
      <c r="H825" s="9" t="n">
        <f aca="false">IF(G825&gt;0,D825/G825,"")</f>
        <v>86.075</v>
      </c>
      <c r="I825" s="10" t="n">
        <v>46097</v>
      </c>
      <c r="K825" s="10"/>
      <c r="M825" s="7"/>
      <c r="N825" s="8"/>
      <c r="O825" s="4"/>
    </row>
    <row r="826" customFormat="false" ht="15" hidden="false" customHeight="false" outlineLevel="0" collapsed="false">
      <c r="A826" s="0" t="s">
        <v>1447</v>
      </c>
      <c r="C826" s="0" t="s">
        <v>31</v>
      </c>
      <c r="D826" s="7" t="n">
        <v>83853</v>
      </c>
      <c r="E826" s="8" t="n">
        <v>0.00303244964401989</v>
      </c>
      <c r="F826" s="4" t="n">
        <f aca="false">D826*E826</f>
        <v>254.28</v>
      </c>
      <c r="G826" s="7" t="n">
        <v>550</v>
      </c>
      <c r="H826" s="9" t="n">
        <f aca="false">IF(G826&gt;0,D826/G826,"")</f>
        <v>152.46</v>
      </c>
      <c r="I826" s="10" t="n">
        <v>46171</v>
      </c>
      <c r="J826" s="3" t="s">
        <v>1448</v>
      </c>
      <c r="K826" s="10" t="n">
        <v>45531</v>
      </c>
      <c r="L826" s="3" t="s">
        <v>19</v>
      </c>
      <c r="M826" s="7" t="n">
        <v>5000</v>
      </c>
      <c r="N826" s="8" t="n">
        <v>0.0086</v>
      </c>
      <c r="O826" s="4" t="n">
        <f aca="false">M826*N826</f>
        <v>43</v>
      </c>
    </row>
    <row r="827" customFormat="false" ht="15" hidden="false" customHeight="false" outlineLevel="0" collapsed="false">
      <c r="A827" s="0" t="s">
        <v>1449</v>
      </c>
      <c r="C827" s="0" t="s">
        <v>285</v>
      </c>
      <c r="D827" s="7" t="n">
        <v>335</v>
      </c>
      <c r="E827" s="8" t="n">
        <v>0.758119402985075</v>
      </c>
      <c r="F827" s="4" t="n">
        <f aca="false">D827*E827</f>
        <v>253.97</v>
      </c>
      <c r="G827" s="7" t="n">
        <v>21</v>
      </c>
      <c r="H827" s="9" t="n">
        <f aca="false">IF(G827&gt;0,D827/G827,"")</f>
        <v>15.952380952381</v>
      </c>
      <c r="I827" s="10" t="n">
        <v>46197</v>
      </c>
      <c r="J827" s="3" t="s">
        <v>1450</v>
      </c>
      <c r="K827" s="10" t="n">
        <v>45341</v>
      </c>
      <c r="L827" s="3" t="s">
        <v>20</v>
      </c>
      <c r="M827" s="7" t="n">
        <v>400</v>
      </c>
      <c r="N827" s="8" t="n">
        <v>0.75812</v>
      </c>
      <c r="O827" s="4" t="n">
        <f aca="false">M827*N827</f>
        <v>303.248</v>
      </c>
    </row>
    <row r="828" customFormat="false" ht="15" hidden="false" customHeight="false" outlineLevel="0" collapsed="false">
      <c r="A828" s="0" t="s">
        <v>1451</v>
      </c>
      <c r="C828" s="0" t="s">
        <v>31</v>
      </c>
      <c r="D828" s="7" t="n">
        <v>5051</v>
      </c>
      <c r="E828" s="8" t="n">
        <v>0.0501999604038804</v>
      </c>
      <c r="F828" s="4" t="n">
        <f aca="false">D828*E828</f>
        <v>253.56</v>
      </c>
      <c r="G828" s="7" t="n">
        <v>562</v>
      </c>
      <c r="H828" s="9" t="n">
        <f aca="false">IF(G828&gt;0,D828/G828,"")</f>
        <v>8.98754448398577</v>
      </c>
      <c r="I828" s="10" t="n">
        <v>46251</v>
      </c>
      <c r="J828" s="3" t="s">
        <v>1192</v>
      </c>
      <c r="K828" s="10" t="n">
        <v>45736</v>
      </c>
      <c r="L828" s="3" t="s">
        <v>26</v>
      </c>
      <c r="M828" s="7" t="n">
        <v>50</v>
      </c>
      <c r="N828" s="8" t="n">
        <v>0.1213</v>
      </c>
      <c r="O828" s="4" t="n">
        <f aca="false">M828*N828</f>
        <v>6.065</v>
      </c>
    </row>
    <row r="829" customFormat="false" ht="15" hidden="false" customHeight="false" outlineLevel="0" collapsed="false">
      <c r="A829" s="0" t="s">
        <v>1452</v>
      </c>
      <c r="C829" s="0" t="s">
        <v>360</v>
      </c>
      <c r="D829" s="7" t="n">
        <v>8984</v>
      </c>
      <c r="E829" s="8" t="n">
        <v>0.0281979073909172</v>
      </c>
      <c r="F829" s="4" t="n">
        <f aca="false">D829*E829</f>
        <v>253.33</v>
      </c>
      <c r="G829" s="7" t="n">
        <v>159</v>
      </c>
      <c r="H829" s="9" t="n">
        <f aca="false">IF(G829&gt;0,D829/G829,"")</f>
        <v>56.5031446540881</v>
      </c>
      <c r="I829" s="10" t="n">
        <v>46203</v>
      </c>
      <c r="J829" s="3" t="s">
        <v>1192</v>
      </c>
      <c r="K829" s="10" t="n">
        <v>45736</v>
      </c>
      <c r="L829" s="3" t="s">
        <v>26</v>
      </c>
      <c r="M829" s="7" t="n">
        <v>500</v>
      </c>
      <c r="N829" s="8" t="n">
        <v>0.0772</v>
      </c>
      <c r="O829" s="4" t="n">
        <f aca="false">M829*N829</f>
        <v>38.6</v>
      </c>
    </row>
    <row r="830" customFormat="false" ht="15" hidden="false" customHeight="false" outlineLevel="0" collapsed="false">
      <c r="A830" s="0" t="s">
        <v>1453</v>
      </c>
      <c r="C830" s="0" t="s">
        <v>35</v>
      </c>
      <c r="D830" s="7" t="n">
        <v>850</v>
      </c>
      <c r="E830" s="8" t="n">
        <v>0.298</v>
      </c>
      <c r="F830" s="4" t="n">
        <f aca="false">D830*E830</f>
        <v>253.3</v>
      </c>
      <c r="G830" s="7" t="n">
        <v>15</v>
      </c>
      <c r="H830" s="9" t="n">
        <f aca="false">IF(G830&gt;0,D830/G830,"")</f>
        <v>56.6666666666667</v>
      </c>
      <c r="I830" s="10" t="n">
        <v>46283</v>
      </c>
      <c r="J830" s="3" t="s">
        <v>1454</v>
      </c>
      <c r="K830" s="10" t="n">
        <v>45011</v>
      </c>
      <c r="L830" s="3" t="s">
        <v>20</v>
      </c>
      <c r="M830" s="7" t="n">
        <v>1000</v>
      </c>
      <c r="N830" s="8" t="n">
        <v>0.298</v>
      </c>
      <c r="O830" s="4" t="n">
        <f aca="false">M830*N830</f>
        <v>298</v>
      </c>
    </row>
    <row r="831" customFormat="false" ht="15" hidden="false" customHeight="false" outlineLevel="0" collapsed="false">
      <c r="A831" s="0" t="s">
        <v>1455</v>
      </c>
      <c r="C831" s="0" t="s">
        <v>42</v>
      </c>
      <c r="D831" s="7" t="n">
        <v>858</v>
      </c>
      <c r="E831" s="8" t="n">
        <v>0.29455710955711</v>
      </c>
      <c r="F831" s="4" t="n">
        <f aca="false">D831*E831</f>
        <v>252.73</v>
      </c>
      <c r="G831" s="7" t="n">
        <v>150</v>
      </c>
      <c r="H831" s="9" t="n">
        <f aca="false">IF(G831&gt;0,D831/G831,"")</f>
        <v>5.72</v>
      </c>
      <c r="I831" s="10" t="n">
        <v>46121</v>
      </c>
      <c r="J831" s="3" t="s">
        <v>1456</v>
      </c>
      <c r="K831" s="10" t="n">
        <v>44832</v>
      </c>
      <c r="L831" s="3" t="s">
        <v>14</v>
      </c>
      <c r="M831" s="7" t="n">
        <v>200</v>
      </c>
      <c r="N831" s="8" t="n">
        <v>0.4021</v>
      </c>
      <c r="O831" s="4" t="n">
        <f aca="false">M831*N831</f>
        <v>80.42</v>
      </c>
    </row>
    <row r="832" customFormat="false" ht="15" hidden="false" customHeight="false" outlineLevel="0" collapsed="false">
      <c r="A832" s="0" t="s">
        <v>1457</v>
      </c>
      <c r="C832" s="0" t="s">
        <v>43</v>
      </c>
      <c r="D832" s="7" t="n">
        <v>603</v>
      </c>
      <c r="E832" s="8" t="n">
        <v>0.418308457711443</v>
      </c>
      <c r="F832" s="4" t="n">
        <f aca="false">D832*E832</f>
        <v>252.24</v>
      </c>
      <c r="G832" s="7" t="n">
        <v>200</v>
      </c>
      <c r="H832" s="9" t="n">
        <f aca="false">IF(G832&gt;0,D832/G832,"")</f>
        <v>3.015</v>
      </c>
      <c r="I832" s="10" t="n">
        <v>46104</v>
      </c>
      <c r="J832" s="3" t="s">
        <v>682</v>
      </c>
      <c r="K832" s="10" t="n">
        <v>45539</v>
      </c>
      <c r="L832" s="3" t="s">
        <v>14</v>
      </c>
      <c r="M832" s="7" t="n">
        <v>900</v>
      </c>
      <c r="N832" s="8" t="n">
        <v>0.4183</v>
      </c>
      <c r="O832" s="4" t="n">
        <f aca="false">M832*N832</f>
        <v>376.47</v>
      </c>
    </row>
    <row r="833" customFormat="false" ht="15" hidden="false" customHeight="false" outlineLevel="0" collapsed="false">
      <c r="A833" s="0" t="s">
        <v>1458</v>
      </c>
      <c r="C833" s="0" t="s">
        <v>438</v>
      </c>
      <c r="D833" s="7" t="n">
        <v>550</v>
      </c>
      <c r="E833" s="8" t="n">
        <v>0.458509090909091</v>
      </c>
      <c r="F833" s="4" t="n">
        <f aca="false">D833*E833</f>
        <v>252.18</v>
      </c>
      <c r="G833" s="7" t="n">
        <v>10</v>
      </c>
      <c r="H833" s="9" t="n">
        <f aca="false">IF(G833&gt;0,D833/G833,"")</f>
        <v>55</v>
      </c>
      <c r="I833" s="10" t="n">
        <v>46275</v>
      </c>
      <c r="J833" s="3" t="s">
        <v>1459</v>
      </c>
      <c r="K833" s="10" t="n">
        <v>45883</v>
      </c>
      <c r="L833" s="3" t="s">
        <v>27</v>
      </c>
      <c r="M833" s="7" t="n">
        <v>500</v>
      </c>
      <c r="N833" s="8" t="n">
        <v>0.4384</v>
      </c>
      <c r="O833" s="4" t="n">
        <f aca="false">M833*N833</f>
        <v>219.2</v>
      </c>
    </row>
    <row r="834" customFormat="false" ht="15" hidden="false" customHeight="false" outlineLevel="0" collapsed="false">
      <c r="A834" s="0" t="s">
        <v>1460</v>
      </c>
      <c r="C834" s="0" t="s">
        <v>31</v>
      </c>
      <c r="D834" s="7" t="n">
        <v>16475</v>
      </c>
      <c r="E834" s="8" t="n">
        <v>0.0153001517450683</v>
      </c>
      <c r="F834" s="4" t="n">
        <f aca="false">D834*E834</f>
        <v>252.07</v>
      </c>
      <c r="G834" s="7" t="n">
        <v>3350</v>
      </c>
      <c r="H834" s="9" t="n">
        <f aca="false">IF(G834&gt;0,D834/G834,"")</f>
        <v>4.91791044776119</v>
      </c>
      <c r="I834" s="10" t="n">
        <v>46202</v>
      </c>
      <c r="J834" s="3" t="s">
        <v>1461</v>
      </c>
      <c r="K834" s="10" t="n">
        <v>45296</v>
      </c>
      <c r="L834" s="3" t="s">
        <v>19</v>
      </c>
      <c r="M834" s="7" t="n">
        <v>23364</v>
      </c>
      <c r="N834" s="8" t="n">
        <v>0.0153</v>
      </c>
      <c r="O834" s="4" t="n">
        <f aca="false">M834*N834</f>
        <v>357.4692</v>
      </c>
    </row>
    <row r="835" customFormat="false" ht="15" hidden="false" customHeight="false" outlineLevel="0" collapsed="false">
      <c r="A835" s="0" t="s">
        <v>1462</v>
      </c>
      <c r="C835" s="0" t="s">
        <v>541</v>
      </c>
      <c r="D835" s="7" t="n">
        <v>242</v>
      </c>
      <c r="E835" s="8" t="n">
        <v>1.04095041322314</v>
      </c>
      <c r="F835" s="4" t="n">
        <f aca="false">D835*E835</f>
        <v>251.91</v>
      </c>
      <c r="G835" s="7" t="n">
        <v>88</v>
      </c>
      <c r="H835" s="9" t="n">
        <f aca="false">IF(G835&gt;0,D835/G835,"")</f>
        <v>2.75</v>
      </c>
      <c r="I835" s="10" t="n">
        <v>46273</v>
      </c>
      <c r="J835" s="3" t="s">
        <v>542</v>
      </c>
      <c r="K835" s="10" t="n">
        <v>46129</v>
      </c>
      <c r="L835" s="3" t="s">
        <v>313</v>
      </c>
      <c r="M835" s="7" t="n">
        <v>200</v>
      </c>
      <c r="N835" s="8" t="n">
        <v>1.2705</v>
      </c>
      <c r="O835" s="4" t="n">
        <f aca="false">M835*N835</f>
        <v>254.1</v>
      </c>
    </row>
    <row r="836" customFormat="false" ht="15" hidden="false" customHeight="false" outlineLevel="0" collapsed="false">
      <c r="A836" s="0" t="s">
        <v>1463</v>
      </c>
      <c r="C836" s="0" t="s">
        <v>744</v>
      </c>
      <c r="D836" s="7" t="n">
        <v>119</v>
      </c>
      <c r="E836" s="8" t="n">
        <v>2.11521008403361</v>
      </c>
      <c r="F836" s="4" t="n">
        <f aca="false">D836*E836</f>
        <v>251.71</v>
      </c>
      <c r="G836" s="7" t="n">
        <v>4</v>
      </c>
      <c r="H836" s="9" t="n">
        <f aca="false">IF(G836&gt;0,D836/G836,"")</f>
        <v>29.75</v>
      </c>
      <c r="I836" s="10" t="n">
        <v>46190</v>
      </c>
      <c r="J836" s="3" t="s">
        <v>1464</v>
      </c>
      <c r="K836" s="10" t="n">
        <v>44623</v>
      </c>
      <c r="L836" s="3" t="s">
        <v>14</v>
      </c>
      <c r="M836" s="7" t="n">
        <v>604</v>
      </c>
      <c r="N836" s="8" t="n">
        <v>1.6452</v>
      </c>
      <c r="O836" s="4" t="n">
        <v>987.12</v>
      </c>
    </row>
    <row r="837" customFormat="false" ht="15" hidden="false" customHeight="false" outlineLevel="0" collapsed="false">
      <c r="A837" s="0" t="s">
        <v>1465</v>
      </c>
      <c r="C837" s="0" t="s">
        <v>31</v>
      </c>
      <c r="D837" s="7" t="n">
        <v>23957</v>
      </c>
      <c r="E837" s="8" t="n">
        <v>0.0104992277831114</v>
      </c>
      <c r="F837" s="4" t="n">
        <f aca="false">D837*E837</f>
        <v>251.53</v>
      </c>
      <c r="G837" s="7" t="n">
        <v>1813</v>
      </c>
      <c r="H837" s="9" t="n">
        <f aca="false">IF(G837&gt;0,D837/G837,"")</f>
        <v>13.2140099282956</v>
      </c>
      <c r="I837" s="10" t="n">
        <v>46300</v>
      </c>
      <c r="J837" s="3" t="s">
        <v>1466</v>
      </c>
      <c r="K837" s="10" t="n">
        <v>44456</v>
      </c>
      <c r="L837" s="3" t="s">
        <v>16</v>
      </c>
      <c r="M837" s="7" t="n">
        <v>35451</v>
      </c>
      <c r="N837" s="8" t="n">
        <v>0.0107</v>
      </c>
      <c r="O837" s="4" t="n">
        <v>374.5</v>
      </c>
    </row>
    <row r="838" customFormat="false" ht="15" hidden="false" customHeight="false" outlineLevel="0" collapsed="false">
      <c r="A838" s="0" t="s">
        <v>1467</v>
      </c>
      <c r="C838" s="0" t="s">
        <v>285</v>
      </c>
      <c r="D838" s="7" t="n">
        <v>20441</v>
      </c>
      <c r="E838" s="8" t="n">
        <v>0.0122895161684849</v>
      </c>
      <c r="F838" s="4" t="n">
        <f aca="false">D838*E838</f>
        <v>251.21</v>
      </c>
      <c r="G838" s="7" t="n">
        <v>11516</v>
      </c>
      <c r="H838" s="9" t="n">
        <f aca="false">IF(G838&gt;0,D838/G838,"")</f>
        <v>1.77500868357068</v>
      </c>
      <c r="I838" s="10" t="n">
        <v>46211</v>
      </c>
      <c r="J838" s="3" t="s">
        <v>560</v>
      </c>
      <c r="K838" s="10" t="n">
        <v>44692</v>
      </c>
      <c r="L838" s="3" t="s">
        <v>20</v>
      </c>
      <c r="M838" s="7" t="n">
        <v>32250</v>
      </c>
      <c r="N838" s="8" t="n">
        <v>0.01229</v>
      </c>
      <c r="O838" s="4" t="n">
        <f aca="false">M838*N838</f>
        <v>396.3525</v>
      </c>
    </row>
    <row r="839" customFormat="false" ht="15" hidden="false" customHeight="false" outlineLevel="0" collapsed="false">
      <c r="A839" s="0" t="s">
        <v>1468</v>
      </c>
      <c r="C839" s="0" t="s">
        <v>1039</v>
      </c>
      <c r="D839" s="7" t="n">
        <v>19775</v>
      </c>
      <c r="E839" s="8" t="n">
        <v>0.012700379266751</v>
      </c>
      <c r="F839" s="4" t="n">
        <f aca="false">D839*E839</f>
        <v>251.15</v>
      </c>
      <c r="G839" s="7" t="n">
        <v>101</v>
      </c>
      <c r="H839" s="9" t="n">
        <f aca="false">IF(G839&gt;0,D839/G839,"")</f>
        <v>195.792079207921</v>
      </c>
      <c r="I839" s="10" t="n">
        <v>46192</v>
      </c>
      <c r="K839" s="10"/>
      <c r="M839" s="7"/>
      <c r="N839" s="8"/>
      <c r="O839" s="4"/>
    </row>
    <row r="840" customFormat="false" ht="15" hidden="false" customHeight="false" outlineLevel="0" collapsed="false">
      <c r="A840" s="0" t="s">
        <v>1469</v>
      </c>
      <c r="C840" s="0" t="s">
        <v>360</v>
      </c>
      <c r="D840" s="7" t="n">
        <v>25092</v>
      </c>
      <c r="E840" s="8" t="n">
        <v>0.01</v>
      </c>
      <c r="F840" s="4" t="n">
        <f aca="false">D840*E840</f>
        <v>250.92</v>
      </c>
      <c r="G840" s="7" t="n">
        <v>2310</v>
      </c>
      <c r="H840" s="9" t="n">
        <f aca="false">IF(G840&gt;0,D840/G840,"")</f>
        <v>10.8623376623377</v>
      </c>
      <c r="I840" s="10" t="n">
        <v>46248</v>
      </c>
      <c r="J840" s="3" t="s">
        <v>1369</v>
      </c>
      <c r="K840" s="10" t="n">
        <v>44299</v>
      </c>
      <c r="L840" s="3" t="s">
        <v>15</v>
      </c>
      <c r="M840" s="7" t="n">
        <v>2170</v>
      </c>
      <c r="N840" s="8" t="n">
        <v>0.00477</v>
      </c>
      <c r="O840" s="4" t="n">
        <f aca="false">M840*N840</f>
        <v>10.3509</v>
      </c>
    </row>
    <row r="841" customFormat="false" ht="15" hidden="false" customHeight="false" outlineLevel="0" collapsed="false">
      <c r="A841" s="0" t="s">
        <v>1470</v>
      </c>
      <c r="C841" s="0" t="s">
        <v>615</v>
      </c>
      <c r="D841" s="7" t="n">
        <v>4688</v>
      </c>
      <c r="E841" s="8" t="n">
        <v>0.0534897610921502</v>
      </c>
      <c r="F841" s="4" t="n">
        <f aca="false">D841*E841</f>
        <v>250.76</v>
      </c>
      <c r="G841" s="7" t="n">
        <v>12</v>
      </c>
      <c r="H841" s="9" t="n">
        <f aca="false">IF(G841&gt;0,D841/G841,"")</f>
        <v>390.666666666667</v>
      </c>
      <c r="I841" s="10" t="n">
        <v>46251</v>
      </c>
      <c r="J841" s="3" t="s">
        <v>1267</v>
      </c>
      <c r="K841" s="10" t="n">
        <v>45770</v>
      </c>
      <c r="L841" s="3" t="s">
        <v>20</v>
      </c>
      <c r="M841" s="7" t="n">
        <v>5700</v>
      </c>
      <c r="N841" s="8" t="n">
        <v>0.05349</v>
      </c>
      <c r="O841" s="4" t="n">
        <f aca="false">M841*N841</f>
        <v>304.893</v>
      </c>
    </row>
    <row r="842" customFormat="false" ht="15" hidden="false" customHeight="false" outlineLevel="0" collapsed="false">
      <c r="A842" s="0" t="s">
        <v>1471</v>
      </c>
      <c r="C842" s="0" t="s">
        <v>255</v>
      </c>
      <c r="D842" s="7" t="n">
        <v>299</v>
      </c>
      <c r="E842" s="8" t="n">
        <v>0.838394648829432</v>
      </c>
      <c r="F842" s="4" t="n">
        <f aca="false">D842*E842</f>
        <v>250.68</v>
      </c>
      <c r="G842" s="7" t="n">
        <v>81</v>
      </c>
      <c r="H842" s="9" t="n">
        <f aca="false">IF(G842&gt;0,D842/G842,"")</f>
        <v>3.69135802469136</v>
      </c>
      <c r="I842" s="10" t="n">
        <v>46176</v>
      </c>
      <c r="J842" s="3" t="s">
        <v>696</v>
      </c>
      <c r="K842" s="10" t="n">
        <v>45476</v>
      </c>
      <c r="L842" s="3" t="s">
        <v>257</v>
      </c>
      <c r="M842" s="7" t="n">
        <v>600</v>
      </c>
      <c r="N842" s="8" t="n">
        <v>0.84</v>
      </c>
      <c r="O842" s="4" t="n">
        <f aca="false">M842*N842</f>
        <v>504</v>
      </c>
    </row>
    <row r="843" customFormat="false" ht="15" hidden="false" customHeight="false" outlineLevel="0" collapsed="false">
      <c r="A843" s="0" t="s">
        <v>1472</v>
      </c>
      <c r="C843" s="0" t="s">
        <v>979</v>
      </c>
      <c r="D843" s="7" t="n">
        <v>22326</v>
      </c>
      <c r="E843" s="8" t="n">
        <v>0.0112142793155962</v>
      </c>
      <c r="F843" s="4" t="n">
        <f aca="false">D843*E843</f>
        <v>250.37</v>
      </c>
      <c r="G843" s="7" t="n">
        <v>4430</v>
      </c>
      <c r="H843" s="9" t="n">
        <f aca="false">IF(G843&gt;0,D843/G843,"")</f>
        <v>5.03972911963883</v>
      </c>
      <c r="I843" s="10" t="n">
        <v>46308</v>
      </c>
      <c r="J843" s="3" t="s">
        <v>1473</v>
      </c>
      <c r="K843" s="10" t="n">
        <v>46003</v>
      </c>
      <c r="L843" s="3" t="s">
        <v>18</v>
      </c>
      <c r="M843" s="7" t="n">
        <v>4300</v>
      </c>
      <c r="N843" s="8" t="n">
        <v>0.0234</v>
      </c>
      <c r="O843" s="4" t="n">
        <f aca="false">M843*N843</f>
        <v>100.62</v>
      </c>
    </row>
    <row r="844" customFormat="false" ht="15" hidden="false" customHeight="false" outlineLevel="0" collapsed="false">
      <c r="A844" s="0" t="s">
        <v>1474</v>
      </c>
      <c r="C844" s="0" t="s">
        <v>45</v>
      </c>
      <c r="D844" s="7" t="n">
        <v>4287</v>
      </c>
      <c r="E844" s="8" t="n">
        <v>0.0583998133893165</v>
      </c>
      <c r="F844" s="4" t="n">
        <f aca="false">D844*E844</f>
        <v>250.36</v>
      </c>
      <c r="G844" s="7" t="n">
        <v>25</v>
      </c>
      <c r="H844" s="9" t="n">
        <f aca="false">IF(G844&gt;0,D844/G844,"")</f>
        <v>171.48</v>
      </c>
      <c r="I844" s="10" t="n">
        <v>46287</v>
      </c>
      <c r="J844" s="3" t="s">
        <v>1255</v>
      </c>
      <c r="K844" s="10" t="n">
        <v>44824</v>
      </c>
      <c r="L844" s="3" t="s">
        <v>23</v>
      </c>
      <c r="M844" s="7" t="n">
        <v>4500</v>
      </c>
      <c r="N844" s="8" t="n">
        <v>0.0584</v>
      </c>
      <c r="O844" s="4" t="n">
        <f aca="false">M844*N844</f>
        <v>262.8</v>
      </c>
    </row>
    <row r="845" customFormat="false" ht="15" hidden="false" customHeight="false" outlineLevel="0" collapsed="false">
      <c r="A845" s="0" t="s">
        <v>1475</v>
      </c>
      <c r="C845" s="0" t="s">
        <v>33</v>
      </c>
      <c r="D845" s="7" t="n">
        <v>3064</v>
      </c>
      <c r="E845" s="8" t="n">
        <v>0.0816383812010444</v>
      </c>
      <c r="F845" s="4" t="n">
        <f aca="false">D845*E845</f>
        <v>250.14</v>
      </c>
      <c r="G845" s="7" t="n">
        <v>1985</v>
      </c>
      <c r="H845" s="9" t="n">
        <f aca="false">IF(G845&gt;0,D845/G845,"")</f>
        <v>1.54357682619647</v>
      </c>
      <c r="I845" s="10" t="n">
        <v>46314</v>
      </c>
      <c r="J845" s="3" t="s">
        <v>1326</v>
      </c>
      <c r="K845" s="10" t="n">
        <v>46177</v>
      </c>
      <c r="L845" s="3" t="s">
        <v>18</v>
      </c>
      <c r="M845" s="7" t="n">
        <v>2500</v>
      </c>
      <c r="N845" s="8" t="n">
        <v>0.0818</v>
      </c>
      <c r="O845" s="4" t="n">
        <f aca="false">M845*N845</f>
        <v>204.5</v>
      </c>
    </row>
    <row r="846" customFormat="false" ht="15" hidden="false" customHeight="false" outlineLevel="0" collapsed="false">
      <c r="A846" s="0" t="s">
        <v>1476</v>
      </c>
      <c r="C846" s="0" t="s">
        <v>360</v>
      </c>
      <c r="D846" s="7" t="n">
        <v>11350</v>
      </c>
      <c r="E846" s="8" t="n">
        <v>0.0220299559471366</v>
      </c>
      <c r="F846" s="4" t="n">
        <f aca="false">D846*E846</f>
        <v>250.04</v>
      </c>
      <c r="G846" s="7" t="n">
        <v>550</v>
      </c>
      <c r="H846" s="9" t="n">
        <f aca="false">IF(G846&gt;0,D846/G846,"")</f>
        <v>20.6363636363636</v>
      </c>
      <c r="I846" s="10" t="n">
        <v>46268</v>
      </c>
      <c r="J846" s="3" t="s">
        <v>1213</v>
      </c>
      <c r="K846" s="10" t="n">
        <v>45554</v>
      </c>
      <c r="L846" s="3" t="s">
        <v>15</v>
      </c>
      <c r="M846" s="7" t="n">
        <v>11900</v>
      </c>
      <c r="N846" s="8" t="n">
        <v>0.02203</v>
      </c>
      <c r="O846" s="4" t="n">
        <f aca="false">M846*N846</f>
        <v>262.157</v>
      </c>
    </row>
    <row r="847" customFormat="false" ht="15" hidden="false" customHeight="false" outlineLevel="0" collapsed="false">
      <c r="A847" s="0" t="s">
        <v>1477</v>
      </c>
      <c r="C847" s="0" t="s">
        <v>45</v>
      </c>
      <c r="D847" s="7" t="n">
        <v>683</v>
      </c>
      <c r="E847" s="8" t="n">
        <v>0.365900439238653</v>
      </c>
      <c r="F847" s="4" t="n">
        <f aca="false">D847*E847</f>
        <v>249.91</v>
      </c>
      <c r="G847" s="7" t="n">
        <v>12</v>
      </c>
      <c r="H847" s="9" t="n">
        <f aca="false">IF(G847&gt;0,D847/G847,"")</f>
        <v>56.9166666666667</v>
      </c>
      <c r="I847" s="10" t="n">
        <v>46178</v>
      </c>
      <c r="J847" s="3" t="s">
        <v>1478</v>
      </c>
      <c r="K847" s="10" t="n">
        <v>44441</v>
      </c>
      <c r="L847" s="3" t="s">
        <v>465</v>
      </c>
      <c r="M847" s="7" t="n">
        <v>305</v>
      </c>
      <c r="N847" s="8" t="n">
        <v>0.8964</v>
      </c>
      <c r="O847" s="4" t="n">
        <f aca="false">M847*N847</f>
        <v>273.402</v>
      </c>
    </row>
    <row r="848" customFormat="false" ht="15" hidden="false" customHeight="false" outlineLevel="0" collapsed="false">
      <c r="A848" s="0" t="s">
        <v>1479</v>
      </c>
      <c r="C848" s="0" t="s">
        <v>715</v>
      </c>
      <c r="D848" s="7" t="n">
        <v>603</v>
      </c>
      <c r="E848" s="8" t="n">
        <v>0.413598673300166</v>
      </c>
      <c r="F848" s="4" t="n">
        <f aca="false">D848*E848</f>
        <v>249.4</v>
      </c>
      <c r="G848" s="7" t="n">
        <v>173</v>
      </c>
      <c r="H848" s="9" t="n">
        <f aca="false">IF(G848&gt;0,D848/G848,"")</f>
        <v>3.48554913294798</v>
      </c>
      <c r="I848" s="10" t="n">
        <v>46226</v>
      </c>
      <c r="J848" s="3" t="s">
        <v>1480</v>
      </c>
      <c r="K848" s="10" t="n">
        <v>46121</v>
      </c>
      <c r="L848" s="3" t="s">
        <v>16</v>
      </c>
      <c r="M848" s="7" t="n">
        <v>753</v>
      </c>
      <c r="N848" s="8" t="n">
        <v>0.4136</v>
      </c>
      <c r="O848" s="4" t="n">
        <f aca="false">M848*N848</f>
        <v>311.4408</v>
      </c>
    </row>
    <row r="849" customFormat="false" ht="15" hidden="false" customHeight="false" outlineLevel="0" collapsed="false">
      <c r="A849" s="0" t="s">
        <v>1481</v>
      </c>
      <c r="C849" s="0" t="s">
        <v>225</v>
      </c>
      <c r="D849" s="7" t="n">
        <v>18</v>
      </c>
      <c r="E849" s="8" t="n">
        <v>13.8472222222222</v>
      </c>
      <c r="F849" s="4" t="n">
        <f aca="false">D849*E849</f>
        <v>249.25</v>
      </c>
      <c r="G849" s="7" t="n">
        <v>2</v>
      </c>
      <c r="H849" s="9" t="n">
        <f aca="false">IF(G849&gt;0,D849/G849,"")</f>
        <v>9</v>
      </c>
      <c r="I849" s="10" t="n">
        <v>46154</v>
      </c>
      <c r="J849" s="3" t="s">
        <v>658</v>
      </c>
      <c r="K849" s="10" t="n">
        <v>45552</v>
      </c>
      <c r="L849" s="3" t="s">
        <v>14</v>
      </c>
      <c r="M849" s="7" t="n">
        <v>50</v>
      </c>
      <c r="N849" s="8" t="n">
        <v>13.847</v>
      </c>
      <c r="O849" s="4" t="n">
        <f aca="false">M849*N849</f>
        <v>692.35</v>
      </c>
    </row>
    <row r="850" customFormat="false" ht="15" hidden="false" customHeight="false" outlineLevel="0" collapsed="false">
      <c r="A850" s="0" t="s">
        <v>1482</v>
      </c>
      <c r="C850" s="0" t="s">
        <v>979</v>
      </c>
      <c r="D850" s="7" t="n">
        <v>4226</v>
      </c>
      <c r="E850" s="8" t="n">
        <v>0.0589777567439659</v>
      </c>
      <c r="F850" s="4" t="n">
        <f aca="false">D850*E850</f>
        <v>249.24</v>
      </c>
      <c r="G850" s="7" t="n">
        <v>80</v>
      </c>
      <c r="H850" s="9" t="n">
        <f aca="false">IF(G850&gt;0,D850/G850,"")</f>
        <v>52.825</v>
      </c>
      <c r="I850" s="10" t="n">
        <v>46237</v>
      </c>
      <c r="J850" s="3" t="s">
        <v>162</v>
      </c>
      <c r="K850" s="10" t="n">
        <v>45967</v>
      </c>
      <c r="L850" s="3" t="s">
        <v>15</v>
      </c>
      <c r="M850" s="7" t="n">
        <v>4240</v>
      </c>
      <c r="N850" s="8" t="n">
        <v>0.05815</v>
      </c>
      <c r="O850" s="4" t="n">
        <f aca="false">M850*N850</f>
        <v>246.556</v>
      </c>
    </row>
    <row r="851" customFormat="false" ht="15" hidden="false" customHeight="false" outlineLevel="0" collapsed="false">
      <c r="A851" s="0" t="s">
        <v>1483</v>
      </c>
      <c r="C851" s="0" t="s">
        <v>360</v>
      </c>
      <c r="D851" s="7" t="n">
        <v>9320</v>
      </c>
      <c r="E851" s="8" t="n">
        <v>0.026730686695279</v>
      </c>
      <c r="F851" s="4" t="n">
        <f aca="false">D851*E851</f>
        <v>249.13</v>
      </c>
      <c r="G851" s="7" t="n">
        <v>130</v>
      </c>
      <c r="H851" s="9" t="n">
        <f aca="false">IF(G851&gt;0,D851/G851,"")</f>
        <v>71.6923076923077</v>
      </c>
      <c r="I851" s="10" t="n">
        <v>46237</v>
      </c>
      <c r="J851" s="3" t="s">
        <v>1213</v>
      </c>
      <c r="K851" s="10" t="n">
        <v>45554</v>
      </c>
      <c r="L851" s="3" t="s">
        <v>15</v>
      </c>
      <c r="M851" s="7" t="n">
        <v>9420</v>
      </c>
      <c r="N851" s="8" t="n">
        <v>0.02673</v>
      </c>
      <c r="O851" s="4" t="n">
        <f aca="false">M851*N851</f>
        <v>251.7966</v>
      </c>
    </row>
    <row r="852" customFormat="false" ht="15" hidden="false" customHeight="false" outlineLevel="0" collapsed="false">
      <c r="A852" s="0" t="s">
        <v>1484</v>
      </c>
      <c r="C852" s="0" t="s">
        <v>45</v>
      </c>
      <c r="D852" s="7" t="n">
        <v>480</v>
      </c>
      <c r="E852" s="8" t="n">
        <v>0.517708333333333</v>
      </c>
      <c r="F852" s="4" t="n">
        <f aca="false">D852*E852</f>
        <v>248.5</v>
      </c>
      <c r="G852" s="7" t="n">
        <v>20</v>
      </c>
      <c r="H852" s="9" t="n">
        <f aca="false">IF(G852&gt;0,D852/G852,"")</f>
        <v>24</v>
      </c>
      <c r="I852" s="10" t="n">
        <v>46293</v>
      </c>
      <c r="J852" s="3" t="s">
        <v>405</v>
      </c>
      <c r="K852" s="10" t="n">
        <v>46280</v>
      </c>
      <c r="L852" s="3" t="s">
        <v>14</v>
      </c>
      <c r="M852" s="7" t="n">
        <v>500</v>
      </c>
      <c r="N852" s="8" t="n">
        <v>0.5177</v>
      </c>
      <c r="O852" s="4" t="n">
        <f aca="false">M852*N852</f>
        <v>258.85</v>
      </c>
    </row>
    <row r="853" customFormat="false" ht="15" hidden="false" customHeight="false" outlineLevel="0" collapsed="false">
      <c r="A853" s="0" t="s">
        <v>1485</v>
      </c>
      <c r="C853" s="0" t="s">
        <v>360</v>
      </c>
      <c r="D853" s="7" t="n">
        <v>25018</v>
      </c>
      <c r="E853" s="8" t="n">
        <v>0.00992685266608042</v>
      </c>
      <c r="F853" s="4" t="n">
        <f aca="false">D853*E853</f>
        <v>248.35</v>
      </c>
      <c r="G853" s="7" t="n">
        <v>1375</v>
      </c>
      <c r="H853" s="9" t="n">
        <f aca="false">IF(G853&gt;0,D853/G853,"")</f>
        <v>18.1949090909091</v>
      </c>
      <c r="I853" s="10" t="n">
        <v>46196</v>
      </c>
      <c r="J853" s="3" t="s">
        <v>1213</v>
      </c>
      <c r="K853" s="10" t="n">
        <v>45554</v>
      </c>
      <c r="L853" s="3" t="s">
        <v>15</v>
      </c>
      <c r="M853" s="7" t="n">
        <v>25970</v>
      </c>
      <c r="N853" s="8" t="n">
        <v>0.00888</v>
      </c>
      <c r="O853" s="4" t="n">
        <f aca="false">M853*N853</f>
        <v>230.6136</v>
      </c>
    </row>
    <row r="854" customFormat="false" ht="15" hidden="false" customHeight="false" outlineLevel="0" collapsed="false">
      <c r="A854" s="0" t="s">
        <v>1486</v>
      </c>
      <c r="C854" s="0" t="s">
        <v>31</v>
      </c>
      <c r="D854" s="7" t="n">
        <v>149</v>
      </c>
      <c r="E854" s="8" t="n">
        <v>1.66671140939597</v>
      </c>
      <c r="F854" s="4" t="n">
        <f aca="false">D854*E854</f>
        <v>248.34</v>
      </c>
      <c r="G854" s="7" t="n">
        <v>14</v>
      </c>
      <c r="H854" s="9" t="n">
        <f aca="false">IF(G854&gt;0,D854/G854,"")</f>
        <v>10.6428571428571</v>
      </c>
      <c r="I854" s="10" t="n">
        <v>46231</v>
      </c>
      <c r="K854" s="10"/>
      <c r="M854" s="7"/>
      <c r="N854" s="8"/>
      <c r="O854" s="4"/>
    </row>
    <row r="855" customFormat="false" ht="15" hidden="false" customHeight="false" outlineLevel="0" collapsed="false">
      <c r="A855" s="0" t="s">
        <v>1487</v>
      </c>
      <c r="C855" s="0" t="s">
        <v>340</v>
      </c>
      <c r="D855" s="7" t="n">
        <v>6226</v>
      </c>
      <c r="E855" s="8" t="n">
        <v>0.0398827497590749</v>
      </c>
      <c r="F855" s="4" t="n">
        <f aca="false">D855*E855</f>
        <v>248.31</v>
      </c>
      <c r="G855" s="7" t="n">
        <v>595</v>
      </c>
      <c r="H855" s="9" t="n">
        <f aca="false">IF(G855&gt;0,D855/G855,"")</f>
        <v>10.4638655462185</v>
      </c>
      <c r="I855" s="10" t="n">
        <v>46289</v>
      </c>
      <c r="J855" s="3" t="s">
        <v>162</v>
      </c>
      <c r="K855" s="10" t="n">
        <v>45967</v>
      </c>
      <c r="L855" s="3" t="s">
        <v>15</v>
      </c>
      <c r="M855" s="7" t="n">
        <v>5470</v>
      </c>
      <c r="N855" s="8" t="n">
        <v>0.03991</v>
      </c>
      <c r="O855" s="4" t="n">
        <f aca="false">M855*N855</f>
        <v>218.3077</v>
      </c>
    </row>
    <row r="856" customFormat="false" ht="15" hidden="false" customHeight="false" outlineLevel="0" collapsed="false">
      <c r="A856" s="0" t="s">
        <v>1488</v>
      </c>
      <c r="C856" s="0" t="s">
        <v>370</v>
      </c>
      <c r="D856" s="7" t="n">
        <v>4965</v>
      </c>
      <c r="E856" s="8" t="n">
        <v>0.05</v>
      </c>
      <c r="F856" s="4" t="n">
        <f aca="false">D856*E856</f>
        <v>248.25</v>
      </c>
      <c r="G856" s="7" t="n">
        <v>15</v>
      </c>
      <c r="H856" s="9" t="n">
        <f aca="false">IF(G856&gt;0,D856/G856,"")</f>
        <v>331</v>
      </c>
      <c r="I856" s="10" t="n">
        <v>46050</v>
      </c>
      <c r="J856" s="3" t="s">
        <v>1489</v>
      </c>
      <c r="K856" s="10" t="n">
        <v>45371</v>
      </c>
      <c r="L856" s="3" t="s">
        <v>21</v>
      </c>
      <c r="M856" s="7" t="n">
        <v>5000</v>
      </c>
      <c r="N856" s="8" t="n">
        <v>0.05</v>
      </c>
      <c r="O856" s="4" t="n">
        <f aca="false">M856*N856</f>
        <v>250</v>
      </c>
    </row>
    <row r="857" customFormat="false" ht="15" hidden="false" customHeight="false" outlineLevel="0" collapsed="false">
      <c r="A857" s="0" t="s">
        <v>1490</v>
      </c>
      <c r="C857" s="0" t="s">
        <v>35</v>
      </c>
      <c r="D857" s="7" t="n">
        <v>274</v>
      </c>
      <c r="E857" s="8" t="n">
        <v>0.905985401459854</v>
      </c>
      <c r="F857" s="4" t="n">
        <f aca="false">D857*E857</f>
        <v>248.24</v>
      </c>
      <c r="G857" s="7" t="n">
        <v>3</v>
      </c>
      <c r="H857" s="9" t="n">
        <f aca="false">IF(G857&gt;0,D857/G857,"")</f>
        <v>91.3333333333333</v>
      </c>
      <c r="I857" s="10" t="n">
        <v>46163</v>
      </c>
      <c r="J857" s="3" t="s">
        <v>633</v>
      </c>
      <c r="K857" s="10" t="n">
        <v>45758</v>
      </c>
      <c r="L857" s="3" t="s">
        <v>20</v>
      </c>
      <c r="M857" s="7" t="n">
        <v>280</v>
      </c>
      <c r="N857" s="8" t="n">
        <v>0.906</v>
      </c>
      <c r="O857" s="4" t="n">
        <f aca="false">M857*N857</f>
        <v>253.68</v>
      </c>
    </row>
    <row r="858" customFormat="false" ht="15" hidden="false" customHeight="false" outlineLevel="0" collapsed="false">
      <c r="A858" s="0" t="s">
        <v>1491</v>
      </c>
      <c r="C858" s="0" t="s">
        <v>61</v>
      </c>
      <c r="D858" s="7" t="n">
        <v>1266</v>
      </c>
      <c r="E858" s="8" t="n">
        <v>0.195876777251185</v>
      </c>
      <c r="F858" s="4" t="n">
        <f aca="false">D858*E858</f>
        <v>247.98</v>
      </c>
      <c r="G858" s="7" t="n">
        <v>170</v>
      </c>
      <c r="H858" s="9" t="n">
        <f aca="false">IF(G858&gt;0,D858/G858,"")</f>
        <v>7.44705882352941</v>
      </c>
      <c r="I858" s="10" t="n">
        <v>46310</v>
      </c>
      <c r="K858" s="10"/>
      <c r="M858" s="7"/>
      <c r="N858" s="8"/>
      <c r="O858" s="4"/>
    </row>
    <row r="859" customFormat="false" ht="15" hidden="false" customHeight="false" outlineLevel="0" collapsed="false">
      <c r="A859" s="0" t="s">
        <v>1492</v>
      </c>
      <c r="C859" s="0" t="s">
        <v>979</v>
      </c>
      <c r="D859" s="7" t="n">
        <v>12560</v>
      </c>
      <c r="E859" s="8" t="n">
        <v>0.0196998407643312</v>
      </c>
      <c r="F859" s="4" t="n">
        <f aca="false">D859*E859</f>
        <v>247.43</v>
      </c>
      <c r="G859" s="7" t="n">
        <v>212</v>
      </c>
      <c r="H859" s="9" t="n">
        <f aca="false">IF(G859&gt;0,D859/G859,"")</f>
        <v>59.2452830188679</v>
      </c>
      <c r="I859" s="10" t="n">
        <v>46308</v>
      </c>
      <c r="J859" s="3" t="s">
        <v>162</v>
      </c>
      <c r="K859" s="10" t="n">
        <v>45967</v>
      </c>
      <c r="L859" s="3" t="s">
        <v>15</v>
      </c>
      <c r="M859" s="7" t="n">
        <v>12650</v>
      </c>
      <c r="N859" s="8" t="n">
        <v>0.0197</v>
      </c>
      <c r="O859" s="4" t="n">
        <f aca="false">M859*N859</f>
        <v>249.205</v>
      </c>
    </row>
    <row r="860" customFormat="false" ht="15" hidden="false" customHeight="false" outlineLevel="0" collapsed="false">
      <c r="A860" s="0" t="s">
        <v>1493</v>
      </c>
      <c r="C860" s="0" t="s">
        <v>85</v>
      </c>
      <c r="D860" s="7" t="n">
        <v>1134</v>
      </c>
      <c r="E860" s="8" t="n">
        <v>0.218174603174603</v>
      </c>
      <c r="F860" s="4" t="n">
        <f aca="false">D860*E860</f>
        <v>247.41</v>
      </c>
      <c r="G860" s="7" t="n">
        <v>510</v>
      </c>
      <c r="H860" s="9" t="n">
        <f aca="false">IF(G860&gt;0,D860/G860,"")</f>
        <v>2.22352941176471</v>
      </c>
      <c r="I860" s="10" t="n">
        <v>46210</v>
      </c>
      <c r="J860" s="3" t="s">
        <v>1359</v>
      </c>
      <c r="K860" s="10" t="n">
        <v>46079</v>
      </c>
      <c r="L860" s="3" t="s">
        <v>14</v>
      </c>
      <c r="M860" s="7" t="n">
        <v>1640</v>
      </c>
      <c r="N860" s="8" t="n">
        <v>0.2219512</v>
      </c>
      <c r="O860" s="4" t="n">
        <f aca="false">M860*N860</f>
        <v>363.999968</v>
      </c>
    </row>
    <row r="861" customFormat="false" ht="15" hidden="false" customHeight="false" outlineLevel="0" collapsed="false">
      <c r="A861" s="0" t="s">
        <v>1494</v>
      </c>
      <c r="C861" s="0" t="s">
        <v>34</v>
      </c>
      <c r="D861" s="7" t="n">
        <v>10656</v>
      </c>
      <c r="E861" s="8" t="n">
        <v>0.023201951951952</v>
      </c>
      <c r="F861" s="4" t="n">
        <f aca="false">D861*E861</f>
        <v>247.24</v>
      </c>
      <c r="G861" s="7" t="n">
        <v>590</v>
      </c>
      <c r="H861" s="9" t="n">
        <f aca="false">IF(G861&gt;0,D861/G861,"")</f>
        <v>18.0610169491525</v>
      </c>
      <c r="I861" s="10" t="n">
        <v>46304</v>
      </c>
      <c r="J861" s="3" t="s">
        <v>1192</v>
      </c>
      <c r="K861" s="10" t="n">
        <v>45736</v>
      </c>
      <c r="L861" s="3" t="s">
        <v>26</v>
      </c>
      <c r="M861" s="7" t="n">
        <v>200</v>
      </c>
      <c r="N861" s="8" t="n">
        <v>0.0536</v>
      </c>
      <c r="O861" s="4" t="n">
        <f aca="false">M861*N861</f>
        <v>10.72</v>
      </c>
    </row>
    <row r="862" customFormat="false" ht="15" hidden="false" customHeight="false" outlineLevel="0" collapsed="false">
      <c r="A862" s="0" t="s">
        <v>1495</v>
      </c>
      <c r="C862" s="0" t="s">
        <v>35</v>
      </c>
      <c r="D862" s="7" t="n">
        <v>805</v>
      </c>
      <c r="E862" s="8" t="n">
        <v>0.306993788819876</v>
      </c>
      <c r="F862" s="4" t="n">
        <f aca="false">D862*E862</f>
        <v>247.13</v>
      </c>
      <c r="G862" s="7" t="n">
        <v>215</v>
      </c>
      <c r="H862" s="9" t="n">
        <f aca="false">IF(G862&gt;0,D862/G862,"")</f>
        <v>3.74418604651163</v>
      </c>
      <c r="I862" s="10" t="n">
        <v>46287</v>
      </c>
      <c r="J862" s="3" t="s">
        <v>364</v>
      </c>
      <c r="K862" s="10" t="n">
        <v>45441</v>
      </c>
      <c r="L862" s="3" t="s">
        <v>20</v>
      </c>
      <c r="M862" s="7" t="n">
        <v>1000</v>
      </c>
      <c r="N862" s="8" t="n">
        <v>0.307</v>
      </c>
      <c r="O862" s="4" t="n">
        <f aca="false">M862*N862</f>
        <v>307</v>
      </c>
    </row>
    <row r="863" customFormat="false" ht="15" hidden="false" customHeight="false" outlineLevel="0" collapsed="false">
      <c r="A863" s="0" t="s">
        <v>1496</v>
      </c>
      <c r="C863" s="0" t="s">
        <v>40</v>
      </c>
      <c r="D863" s="7" t="n">
        <v>6178</v>
      </c>
      <c r="E863" s="8" t="n">
        <v>0.04</v>
      </c>
      <c r="F863" s="4" t="n">
        <f aca="false">D863*E863</f>
        <v>247.12</v>
      </c>
      <c r="G863" s="7" t="n">
        <v>1519</v>
      </c>
      <c r="H863" s="9" t="n">
        <f aca="false">IF(G863&gt;0,D863/G863,"")</f>
        <v>4.06714944042133</v>
      </c>
      <c r="I863" s="10" t="n">
        <v>46273</v>
      </c>
      <c r="J863" s="3" t="s">
        <v>1497</v>
      </c>
      <c r="K863" s="10" t="n">
        <v>45888</v>
      </c>
      <c r="L863" s="3" t="s">
        <v>18</v>
      </c>
      <c r="M863" s="7" t="n">
        <v>8495</v>
      </c>
      <c r="N863" s="8" t="n">
        <v>0.04</v>
      </c>
      <c r="O863" s="4" t="n">
        <f aca="false">M863*N863</f>
        <v>339.8</v>
      </c>
    </row>
    <row r="864" customFormat="false" ht="15" hidden="false" customHeight="false" outlineLevel="0" collapsed="false">
      <c r="A864" s="0" t="s">
        <v>1498</v>
      </c>
      <c r="C864" s="0" t="s">
        <v>34</v>
      </c>
      <c r="D864" s="7" t="n">
        <v>19602</v>
      </c>
      <c r="E864" s="8" t="n">
        <v>0.0125997347209468</v>
      </c>
      <c r="F864" s="4" t="n">
        <f aca="false">D864*E864</f>
        <v>246.98</v>
      </c>
      <c r="G864" s="7" t="n">
        <v>465</v>
      </c>
      <c r="H864" s="9" t="n">
        <f aca="false">IF(G864&gt;0,D864/G864,"")</f>
        <v>42.1548387096774</v>
      </c>
      <c r="I864" s="10" t="n">
        <v>46281</v>
      </c>
      <c r="J864" s="3" t="s">
        <v>677</v>
      </c>
      <c r="K864" s="10" t="n">
        <v>45642</v>
      </c>
      <c r="L864" s="3" t="s">
        <v>16</v>
      </c>
      <c r="M864" s="7" t="n">
        <v>20570</v>
      </c>
      <c r="N864" s="8" t="n">
        <v>0.0126</v>
      </c>
      <c r="O864" s="4" t="n">
        <f aca="false">M864*N864</f>
        <v>259.182</v>
      </c>
    </row>
    <row r="865" customFormat="false" ht="15" hidden="false" customHeight="false" outlineLevel="0" collapsed="false">
      <c r="A865" s="0" t="s">
        <v>1499</v>
      </c>
      <c r="C865" s="0" t="s">
        <v>34</v>
      </c>
      <c r="D865" s="7" t="n">
        <v>3800</v>
      </c>
      <c r="E865" s="8" t="n">
        <v>0.0649315789473684</v>
      </c>
      <c r="F865" s="4" t="n">
        <f aca="false">D865*E865</f>
        <v>246.74</v>
      </c>
      <c r="G865" s="7" t="n">
        <v>410</v>
      </c>
      <c r="H865" s="9" t="n">
        <f aca="false">IF(G865&gt;0,D865/G865,"")</f>
        <v>9.26829268292683</v>
      </c>
      <c r="I865" s="10" t="n">
        <v>46268</v>
      </c>
      <c r="K865" s="10"/>
      <c r="M865" s="7"/>
      <c r="N865" s="8"/>
      <c r="O865" s="4"/>
    </row>
    <row r="866" customFormat="false" ht="15" hidden="false" customHeight="false" outlineLevel="0" collapsed="false">
      <c r="A866" s="0" t="s">
        <v>1500</v>
      </c>
      <c r="C866" s="0" t="s">
        <v>34</v>
      </c>
      <c r="D866" s="7" t="n">
        <v>11526</v>
      </c>
      <c r="E866" s="8" t="n">
        <v>0.0213994447336457</v>
      </c>
      <c r="F866" s="4" t="n">
        <f aca="false">D866*E866</f>
        <v>246.65</v>
      </c>
      <c r="G866" s="7" t="n">
        <v>363</v>
      </c>
      <c r="H866" s="9" t="n">
        <f aca="false">IF(G866&gt;0,D866/G866,"")</f>
        <v>31.7520661157025</v>
      </c>
      <c r="I866" s="10" t="n">
        <v>46170</v>
      </c>
      <c r="K866" s="10"/>
      <c r="M866" s="7"/>
      <c r="N866" s="8"/>
      <c r="O866" s="4"/>
    </row>
    <row r="867" customFormat="false" ht="15" hidden="false" customHeight="false" outlineLevel="0" collapsed="false">
      <c r="A867" s="0" t="s">
        <v>1501</v>
      </c>
      <c r="C867" s="0" t="s">
        <v>61</v>
      </c>
      <c r="D867" s="7" t="n">
        <v>96</v>
      </c>
      <c r="E867" s="8" t="n">
        <v>2.5675</v>
      </c>
      <c r="F867" s="4" t="n">
        <f aca="false">D867*E867</f>
        <v>246.48</v>
      </c>
      <c r="G867" s="7" t="n">
        <v>5</v>
      </c>
      <c r="H867" s="9" t="n">
        <f aca="false">IF(G867&gt;0,D867/G867,"")</f>
        <v>19.2</v>
      </c>
      <c r="I867" s="10" t="n">
        <v>46056</v>
      </c>
      <c r="J867" s="3" t="s">
        <v>1072</v>
      </c>
      <c r="K867" s="10" t="n">
        <v>45335</v>
      </c>
      <c r="L867" s="3" t="s">
        <v>14</v>
      </c>
      <c r="M867" s="7" t="n">
        <v>156</v>
      </c>
      <c r="N867" s="8" t="n">
        <v>2.5674</v>
      </c>
      <c r="O867" s="4" t="n">
        <f aca="false">M867*N867</f>
        <v>400.5144</v>
      </c>
    </row>
    <row r="868" customFormat="false" ht="15" hidden="false" customHeight="false" outlineLevel="0" collapsed="false">
      <c r="A868" s="0" t="s">
        <v>1502</v>
      </c>
      <c r="C868" s="0" t="s">
        <v>360</v>
      </c>
      <c r="D868" s="7" t="n">
        <v>9090</v>
      </c>
      <c r="E868" s="8" t="n">
        <v>0.0270847084708471</v>
      </c>
      <c r="F868" s="4" t="n">
        <f aca="false">D868*E868</f>
        <v>246.2</v>
      </c>
      <c r="G868" s="7" t="n">
        <v>35</v>
      </c>
      <c r="H868" s="9" t="n">
        <f aca="false">IF(G868&gt;0,D868/G868,"")</f>
        <v>259.714285714286</v>
      </c>
      <c r="I868" s="10" t="n">
        <v>46097</v>
      </c>
      <c r="J868" s="3" t="s">
        <v>1213</v>
      </c>
      <c r="K868" s="10" t="n">
        <v>45554</v>
      </c>
      <c r="L868" s="3" t="s">
        <v>15</v>
      </c>
      <c r="M868" s="7" t="n">
        <v>9120</v>
      </c>
      <c r="N868" s="8" t="n">
        <v>0.02701</v>
      </c>
      <c r="O868" s="4" t="n">
        <f aca="false">M868*N868</f>
        <v>246.3312</v>
      </c>
    </row>
    <row r="869" customFormat="false" ht="15" hidden="false" customHeight="false" outlineLevel="0" collapsed="false">
      <c r="A869" s="0" t="s">
        <v>1503</v>
      </c>
      <c r="C869" s="0" t="s">
        <v>298</v>
      </c>
      <c r="D869" s="7" t="n">
        <v>2268</v>
      </c>
      <c r="E869" s="8" t="n">
        <v>0.108500881834215</v>
      </c>
      <c r="F869" s="4" t="n">
        <f aca="false">D869*E869</f>
        <v>246.08</v>
      </c>
      <c r="G869" s="7" t="n">
        <v>1112</v>
      </c>
      <c r="H869" s="9" t="n">
        <f aca="false">IF(G869&gt;0,D869/G869,"")</f>
        <v>2.03956834532374</v>
      </c>
      <c r="I869" s="10" t="n">
        <v>46290</v>
      </c>
      <c r="J869" s="3" t="s">
        <v>240</v>
      </c>
      <c r="K869" s="10" t="n">
        <v>46265</v>
      </c>
      <c r="L869" s="3" t="s">
        <v>14</v>
      </c>
      <c r="M869" s="7" t="n">
        <v>2500</v>
      </c>
      <c r="N869" s="8" t="n">
        <v>0.1407</v>
      </c>
      <c r="O869" s="4" t="n">
        <f aca="false">M869*N869</f>
        <v>351.75</v>
      </c>
    </row>
    <row r="870" customFormat="false" ht="15" hidden="false" customHeight="false" outlineLevel="0" collapsed="false">
      <c r="A870" s="0" t="s">
        <v>1504</v>
      </c>
      <c r="C870" s="0" t="s">
        <v>79</v>
      </c>
      <c r="D870" s="7" t="n">
        <v>1181</v>
      </c>
      <c r="E870" s="8" t="n">
        <v>0.208111769686706</v>
      </c>
      <c r="F870" s="4" t="n">
        <f aca="false">D870*E870</f>
        <v>245.78</v>
      </c>
      <c r="G870" s="7" t="n">
        <v>28</v>
      </c>
      <c r="H870" s="9" t="n">
        <f aca="false">IF(G870&gt;0,D870/G870,"")</f>
        <v>42.1785714285714</v>
      </c>
      <c r="I870" s="10" t="n">
        <v>46122</v>
      </c>
      <c r="K870" s="10"/>
      <c r="M870" s="7"/>
      <c r="N870" s="8"/>
      <c r="O870" s="4"/>
    </row>
    <row r="871" customFormat="false" ht="15" hidden="false" customHeight="false" outlineLevel="0" collapsed="false">
      <c r="A871" s="0" t="s">
        <v>1505</v>
      </c>
      <c r="C871" s="0" t="s">
        <v>45</v>
      </c>
      <c r="D871" s="7" t="n">
        <v>820</v>
      </c>
      <c r="E871" s="8" t="n">
        <v>0.29969512195122</v>
      </c>
      <c r="F871" s="4" t="n">
        <f aca="false">D871*E871</f>
        <v>245.75</v>
      </c>
      <c r="G871" s="7" t="n">
        <v>70</v>
      </c>
      <c r="H871" s="9" t="n">
        <f aca="false">IF(G871&gt;0,D871/G871,"")</f>
        <v>11.7142857142857</v>
      </c>
      <c r="I871" s="10" t="n">
        <v>46293</v>
      </c>
      <c r="J871" s="3" t="s">
        <v>1252</v>
      </c>
      <c r="K871" s="10" t="n">
        <v>45754</v>
      </c>
      <c r="L871" s="3" t="s">
        <v>23</v>
      </c>
      <c r="M871" s="7" t="n">
        <v>900</v>
      </c>
      <c r="N871" s="8" t="n">
        <v>0.2997</v>
      </c>
      <c r="O871" s="4" t="n">
        <f aca="false">M871*N871</f>
        <v>269.73</v>
      </c>
    </row>
    <row r="872" customFormat="false" ht="15" hidden="false" customHeight="false" outlineLevel="0" collapsed="false">
      <c r="A872" s="0" t="s">
        <v>1506</v>
      </c>
      <c r="C872" s="0" t="s">
        <v>360</v>
      </c>
      <c r="D872" s="7" t="n">
        <v>12360</v>
      </c>
      <c r="E872" s="8" t="n">
        <v>0.0198802588996764</v>
      </c>
      <c r="F872" s="4" t="n">
        <f aca="false">D872*E872</f>
        <v>245.72</v>
      </c>
      <c r="G872" s="7" t="n">
        <v>200</v>
      </c>
      <c r="H872" s="9" t="n">
        <f aca="false">IF(G872&gt;0,D872/G872,"")</f>
        <v>61.8</v>
      </c>
      <c r="I872" s="10" t="n">
        <v>45996</v>
      </c>
      <c r="J872" s="3" t="s">
        <v>1213</v>
      </c>
      <c r="K872" s="10" t="n">
        <v>45554</v>
      </c>
      <c r="L872" s="3" t="s">
        <v>15</v>
      </c>
      <c r="M872" s="7" t="n">
        <v>12260</v>
      </c>
      <c r="N872" s="8" t="n">
        <v>0.01988</v>
      </c>
      <c r="O872" s="4" t="n">
        <f aca="false">M872*N872</f>
        <v>243.7288</v>
      </c>
    </row>
    <row r="873" customFormat="false" ht="15" hidden="false" customHeight="false" outlineLevel="0" collapsed="false">
      <c r="A873" s="0" t="s">
        <v>1507</v>
      </c>
      <c r="C873" s="0" t="s">
        <v>37</v>
      </c>
      <c r="D873" s="7" t="n">
        <v>8209</v>
      </c>
      <c r="E873" s="8" t="n">
        <v>0.0299293458399318</v>
      </c>
      <c r="F873" s="4" t="n">
        <f aca="false">D873*E873</f>
        <v>245.69</v>
      </c>
      <c r="G873" s="7" t="n">
        <v>36</v>
      </c>
      <c r="H873" s="9" t="n">
        <f aca="false">IF(G873&gt;0,D873/G873,"")</f>
        <v>228.027777777778</v>
      </c>
      <c r="I873" s="10" t="n">
        <v>45986</v>
      </c>
      <c r="J873" s="3" t="s">
        <v>840</v>
      </c>
      <c r="K873" s="10" t="n">
        <v>45232</v>
      </c>
      <c r="L873" s="3" t="s">
        <v>15</v>
      </c>
      <c r="M873" s="7" t="n">
        <v>7080</v>
      </c>
      <c r="N873" s="8" t="n">
        <v>0.02993</v>
      </c>
      <c r="O873" s="4" t="n">
        <f aca="false">M873*N873</f>
        <v>211.9044</v>
      </c>
    </row>
    <row r="874" customFormat="false" ht="15" hidden="false" customHeight="false" outlineLevel="0" collapsed="false">
      <c r="A874" s="0" t="s">
        <v>1508</v>
      </c>
      <c r="C874" s="0" t="s">
        <v>100</v>
      </c>
      <c r="D874" s="7" t="n">
        <v>187</v>
      </c>
      <c r="E874" s="8" t="n">
        <v>1.31358288770054</v>
      </c>
      <c r="F874" s="4" t="n">
        <f aca="false">D874*E874</f>
        <v>245.64</v>
      </c>
      <c r="G874" s="7" t="n">
        <v>154</v>
      </c>
      <c r="H874" s="9" t="n">
        <f aca="false">IF(G874&gt;0,D874/G874,"")</f>
        <v>1.21428571428571</v>
      </c>
      <c r="I874" s="10" t="n">
        <v>46161</v>
      </c>
      <c r="K874" s="10"/>
      <c r="M874" s="7"/>
      <c r="N874" s="8"/>
      <c r="O874" s="4"/>
    </row>
    <row r="875" customFormat="false" ht="15" hidden="false" customHeight="false" outlineLevel="0" collapsed="false">
      <c r="A875" s="0" t="s">
        <v>1509</v>
      </c>
      <c r="C875" s="0" t="s">
        <v>979</v>
      </c>
      <c r="D875" s="7" t="n">
        <v>1117</v>
      </c>
      <c r="E875" s="8" t="n">
        <v>0.219901521933751</v>
      </c>
      <c r="F875" s="4" t="n">
        <f aca="false">D875*E875</f>
        <v>245.63</v>
      </c>
      <c r="G875" s="7" t="n">
        <v>460</v>
      </c>
      <c r="H875" s="9" t="n">
        <f aca="false">IF(G875&gt;0,D875/G875,"")</f>
        <v>2.42826086956522</v>
      </c>
      <c r="I875" s="10" t="n">
        <v>46310</v>
      </c>
      <c r="J875" s="3" t="s">
        <v>1510</v>
      </c>
      <c r="K875" s="10" t="n">
        <v>46282</v>
      </c>
      <c r="L875" s="3" t="s">
        <v>18</v>
      </c>
      <c r="M875" s="7" t="n">
        <v>1200</v>
      </c>
      <c r="N875" s="8" t="n">
        <v>0.2199</v>
      </c>
      <c r="O875" s="4" t="n">
        <f aca="false">M875*N875</f>
        <v>263.88</v>
      </c>
    </row>
    <row r="876" customFormat="false" ht="15" hidden="false" customHeight="false" outlineLevel="0" collapsed="false">
      <c r="A876" s="0" t="s">
        <v>1511</v>
      </c>
      <c r="C876" s="0" t="s">
        <v>35</v>
      </c>
      <c r="D876" s="7" t="n">
        <v>1497</v>
      </c>
      <c r="E876" s="8" t="n">
        <v>0.164001336005344</v>
      </c>
      <c r="F876" s="4" t="n">
        <f aca="false">D876*E876</f>
        <v>245.51</v>
      </c>
      <c r="G876" s="7" t="n">
        <v>12</v>
      </c>
      <c r="H876" s="9" t="n">
        <f aca="false">IF(G876&gt;0,D876/G876,"")</f>
        <v>124.75</v>
      </c>
      <c r="I876" s="10" t="n">
        <v>46279</v>
      </c>
      <c r="J876" s="3" t="s">
        <v>633</v>
      </c>
      <c r="K876" s="10" t="n">
        <v>45758</v>
      </c>
      <c r="L876" s="3" t="s">
        <v>20</v>
      </c>
      <c r="M876" s="7" t="n">
        <v>1525</v>
      </c>
      <c r="N876" s="8" t="n">
        <v>0.164</v>
      </c>
      <c r="O876" s="4" t="n">
        <f aca="false">M876*N876</f>
        <v>250.1</v>
      </c>
    </row>
    <row r="877" customFormat="false" ht="15" hidden="false" customHeight="false" outlineLevel="0" collapsed="false">
      <c r="A877" s="0" t="s">
        <v>1512</v>
      </c>
      <c r="C877" s="0" t="s">
        <v>34</v>
      </c>
      <c r="D877" s="7" t="n">
        <v>16823</v>
      </c>
      <c r="E877" s="8" t="n">
        <v>0.0145830113535041</v>
      </c>
      <c r="F877" s="4" t="n">
        <f aca="false">D877*E877</f>
        <v>245.33</v>
      </c>
      <c r="G877" s="7" t="n">
        <v>2998</v>
      </c>
      <c r="H877" s="9" t="n">
        <f aca="false">IF(G877&gt;0,D877/G877,"")</f>
        <v>5.61140760507005</v>
      </c>
      <c r="I877" s="10" t="n">
        <v>46317</v>
      </c>
      <c r="J877" s="3" t="s">
        <v>1513</v>
      </c>
      <c r="K877" s="10" t="n">
        <v>44878</v>
      </c>
      <c r="L877" s="3" t="s">
        <v>19</v>
      </c>
      <c r="M877" s="7" t="n">
        <v>1000</v>
      </c>
      <c r="N877" s="8" t="n">
        <v>0.0274</v>
      </c>
      <c r="O877" s="4" t="n">
        <f aca="false">M877*N877</f>
        <v>27.4</v>
      </c>
    </row>
    <row r="878" customFormat="false" ht="15" hidden="false" customHeight="false" outlineLevel="0" collapsed="false">
      <c r="A878" s="0" t="s">
        <v>1514</v>
      </c>
      <c r="C878" s="0" t="s">
        <v>340</v>
      </c>
      <c r="D878" s="7" t="n">
        <v>22768</v>
      </c>
      <c r="E878" s="8" t="n">
        <v>0.010754128601546</v>
      </c>
      <c r="F878" s="4" t="n">
        <f aca="false">D878*E878</f>
        <v>244.85</v>
      </c>
      <c r="G878" s="7" t="n">
        <v>6189</v>
      </c>
      <c r="H878" s="9" t="n">
        <f aca="false">IF(G878&gt;0,D878/G878,"")</f>
        <v>3.6787849410244</v>
      </c>
      <c r="I878" s="10" t="n">
        <v>46252</v>
      </c>
      <c r="J878" s="3" t="s">
        <v>1054</v>
      </c>
      <c r="K878" s="10" t="n">
        <v>46224</v>
      </c>
      <c r="L878" s="3" t="s">
        <v>16</v>
      </c>
      <c r="M878" s="7" t="n">
        <v>20000</v>
      </c>
      <c r="N878" s="8" t="n">
        <v>0.0109</v>
      </c>
      <c r="O878" s="4" t="n">
        <f aca="false">M878*N878</f>
        <v>218</v>
      </c>
    </row>
    <row r="879" customFormat="false" ht="15" hidden="false" customHeight="false" outlineLevel="0" collapsed="false">
      <c r="A879" s="0" t="s">
        <v>1515</v>
      </c>
      <c r="C879" s="0" t="s">
        <v>360</v>
      </c>
      <c r="D879" s="7" t="n">
        <v>23506</v>
      </c>
      <c r="E879" s="8" t="n">
        <v>0.0104109589041096</v>
      </c>
      <c r="F879" s="4" t="n">
        <f aca="false">D879*E879</f>
        <v>244.72</v>
      </c>
      <c r="G879" s="7" t="n">
        <v>160</v>
      </c>
      <c r="H879" s="9" t="n">
        <f aca="false">IF(G879&gt;0,D879/G879,"")</f>
        <v>146.9125</v>
      </c>
      <c r="I879" s="10" t="n">
        <v>46146</v>
      </c>
      <c r="J879" s="3" t="s">
        <v>1192</v>
      </c>
      <c r="K879" s="10" t="n">
        <v>45736</v>
      </c>
      <c r="L879" s="3" t="s">
        <v>26</v>
      </c>
      <c r="M879" s="7" t="n">
        <v>300</v>
      </c>
      <c r="N879" s="8" t="n">
        <v>0.027</v>
      </c>
      <c r="O879" s="4" t="n">
        <f aca="false">M879*N879</f>
        <v>8.1</v>
      </c>
    </row>
    <row r="880" customFormat="false" ht="15" hidden="false" customHeight="false" outlineLevel="0" collapsed="false">
      <c r="A880" s="0" t="s">
        <v>1516</v>
      </c>
      <c r="C880" s="0" t="s">
        <v>61</v>
      </c>
      <c r="D880" s="7" t="n">
        <v>3734</v>
      </c>
      <c r="E880" s="8" t="n">
        <v>0.0655008034279593</v>
      </c>
      <c r="F880" s="4" t="n">
        <f aca="false">D880*E880</f>
        <v>244.58</v>
      </c>
      <c r="G880" s="7" t="n">
        <v>1856</v>
      </c>
      <c r="H880" s="9" t="n">
        <f aca="false">IF(G880&gt;0,D880/G880,"")</f>
        <v>2.01185344827586</v>
      </c>
      <c r="I880" s="10" t="n">
        <v>46248</v>
      </c>
      <c r="J880" s="3" t="s">
        <v>1334</v>
      </c>
      <c r="K880" s="10" t="n">
        <v>46142</v>
      </c>
      <c r="L880" s="3" t="s">
        <v>23</v>
      </c>
      <c r="M880" s="7" t="n">
        <v>3600</v>
      </c>
      <c r="N880" s="8" t="n">
        <v>0.0655</v>
      </c>
      <c r="O880" s="4" t="n">
        <f aca="false">M880*N880</f>
        <v>235.8</v>
      </c>
    </row>
    <row r="881" customFormat="false" ht="15" hidden="false" customHeight="false" outlineLevel="0" collapsed="false">
      <c r="A881" s="0" t="s">
        <v>1517</v>
      </c>
      <c r="C881" s="0" t="s">
        <v>360</v>
      </c>
      <c r="D881" s="7" t="n">
        <v>24886</v>
      </c>
      <c r="E881" s="8" t="n">
        <v>0.00980993329582898</v>
      </c>
      <c r="F881" s="4" t="n">
        <f aca="false">D881*E881</f>
        <v>244.13</v>
      </c>
      <c r="G881" s="7" t="n">
        <v>75</v>
      </c>
      <c r="H881" s="9" t="n">
        <f aca="false">IF(G881&gt;0,D881/G881,"")</f>
        <v>331.813333333333</v>
      </c>
      <c r="I881" s="10" t="n">
        <v>46076</v>
      </c>
      <c r="J881" s="3" t="s">
        <v>1518</v>
      </c>
      <c r="K881" s="10" t="n">
        <v>45448</v>
      </c>
      <c r="L881" s="3" t="s">
        <v>15</v>
      </c>
      <c r="M881" s="7" t="n">
        <v>26970</v>
      </c>
      <c r="N881" s="8" t="n">
        <v>0.00981</v>
      </c>
      <c r="O881" s="4" t="n">
        <f aca="false">M881*N881</f>
        <v>264.5757</v>
      </c>
    </row>
    <row r="882" customFormat="false" ht="15" hidden="false" customHeight="false" outlineLevel="0" collapsed="false">
      <c r="A882" s="0" t="s">
        <v>1519</v>
      </c>
      <c r="C882" s="0" t="s">
        <v>285</v>
      </c>
      <c r="D882" s="7" t="n">
        <v>33494</v>
      </c>
      <c r="E882" s="8" t="n">
        <v>0.00728219979697856</v>
      </c>
      <c r="F882" s="4" t="n">
        <f aca="false">D882*E882</f>
        <v>243.91</v>
      </c>
      <c r="G882" s="7" t="n">
        <v>20595</v>
      </c>
      <c r="H882" s="9" t="n">
        <f aca="false">IF(G882&gt;0,D882/G882,"")</f>
        <v>1.62631706724933</v>
      </c>
      <c r="I882" s="10" t="n">
        <v>46308</v>
      </c>
      <c r="J882" s="3" t="s">
        <v>1520</v>
      </c>
      <c r="K882" s="10" t="n">
        <v>46245</v>
      </c>
      <c r="L882" s="3" t="s">
        <v>1295</v>
      </c>
      <c r="M882" s="7" t="n">
        <v>30000</v>
      </c>
      <c r="N882" s="8" t="n">
        <v>0.0073</v>
      </c>
      <c r="O882" s="4" t="n">
        <f aca="false">M882*N882</f>
        <v>219</v>
      </c>
    </row>
    <row r="883" customFormat="false" ht="15" hidden="false" customHeight="false" outlineLevel="0" collapsed="false">
      <c r="A883" s="0" t="s">
        <v>1521</v>
      </c>
      <c r="C883" s="0" t="s">
        <v>581</v>
      </c>
      <c r="D883" s="7" t="n">
        <v>28</v>
      </c>
      <c r="E883" s="8" t="n">
        <v>8.68</v>
      </c>
      <c r="F883" s="4" t="n">
        <f aca="false">D883*E883</f>
        <v>243.04</v>
      </c>
      <c r="G883" s="7" t="n">
        <v>22</v>
      </c>
      <c r="H883" s="9" t="n">
        <f aca="false">IF(G883&gt;0,D883/G883,"")</f>
        <v>1.27272727272727</v>
      </c>
      <c r="I883" s="10" t="n">
        <v>46113</v>
      </c>
      <c r="J883" s="3" t="s">
        <v>261</v>
      </c>
      <c r="K883" s="10" t="n">
        <v>46055</v>
      </c>
      <c r="L883" s="3" t="s">
        <v>14</v>
      </c>
      <c r="M883" s="7" t="n">
        <v>50</v>
      </c>
      <c r="N883" s="8" t="n">
        <v>8.6806</v>
      </c>
      <c r="O883" s="4" t="n">
        <f aca="false">M883*N883</f>
        <v>434.03</v>
      </c>
    </row>
    <row r="884" customFormat="false" ht="15" hidden="false" customHeight="false" outlineLevel="0" collapsed="false">
      <c r="A884" s="0" t="s">
        <v>1522</v>
      </c>
      <c r="C884" s="0" t="s">
        <v>35</v>
      </c>
      <c r="D884" s="7" t="n">
        <v>505</v>
      </c>
      <c r="E884" s="8" t="n">
        <v>0.481227722772277</v>
      </c>
      <c r="F884" s="4" t="n">
        <f aca="false">D884*E884</f>
        <v>243.02</v>
      </c>
      <c r="G884" s="7" t="n">
        <v>4</v>
      </c>
      <c r="H884" s="9" t="n">
        <f aca="false">IF(G884&gt;0,D884/G884,"")</f>
        <v>126.25</v>
      </c>
      <c r="I884" s="10" t="n">
        <v>46069</v>
      </c>
      <c r="J884" s="3" t="s">
        <v>633</v>
      </c>
      <c r="K884" s="10" t="n">
        <v>45758</v>
      </c>
      <c r="L884" s="3" t="s">
        <v>20</v>
      </c>
      <c r="M884" s="7" t="n">
        <v>530</v>
      </c>
      <c r="N884" s="8" t="n">
        <v>0.476</v>
      </c>
      <c r="O884" s="4" t="n">
        <f aca="false">M884*N884</f>
        <v>252.28</v>
      </c>
    </row>
    <row r="885" customFormat="false" ht="15" hidden="false" customHeight="false" outlineLevel="0" collapsed="false">
      <c r="A885" s="0" t="s">
        <v>1523</v>
      </c>
      <c r="C885" s="0" t="s">
        <v>40</v>
      </c>
      <c r="D885" s="7" t="n">
        <v>4291</v>
      </c>
      <c r="E885" s="8" t="n">
        <v>0.0566091820088557</v>
      </c>
      <c r="F885" s="4" t="n">
        <f aca="false">D885*E885</f>
        <v>242.91</v>
      </c>
      <c r="G885" s="7" t="n">
        <v>114</v>
      </c>
      <c r="H885" s="9" t="n">
        <f aca="false">IF(G885&gt;0,D885/G885,"")</f>
        <v>37.640350877193</v>
      </c>
      <c r="I885" s="10" t="n">
        <v>46255</v>
      </c>
      <c r="J885" s="3" t="s">
        <v>1524</v>
      </c>
      <c r="K885" s="10" t="n">
        <v>44872</v>
      </c>
      <c r="L885" s="3" t="s">
        <v>19</v>
      </c>
      <c r="M885" s="7" t="n">
        <v>12</v>
      </c>
      <c r="N885" s="8" t="n">
        <v>1.25</v>
      </c>
      <c r="O885" s="4" t="n">
        <f aca="false">M885*N885</f>
        <v>15</v>
      </c>
    </row>
    <row r="886" customFormat="false" ht="15" hidden="false" customHeight="false" outlineLevel="0" collapsed="false">
      <c r="A886" s="0" t="s">
        <v>1525</v>
      </c>
      <c r="C886" s="0" t="s">
        <v>32</v>
      </c>
      <c r="D886" s="7" t="n">
        <v>11469</v>
      </c>
      <c r="E886" s="8" t="n">
        <v>0.0211744703112739</v>
      </c>
      <c r="F886" s="4" t="n">
        <f aca="false">D886*E886</f>
        <v>242.85</v>
      </c>
      <c r="G886" s="7" t="n">
        <v>970</v>
      </c>
      <c r="H886" s="9" t="n">
        <f aca="false">IF(G886&gt;0,D886/G886,"")</f>
        <v>11.8237113402062</v>
      </c>
      <c r="I886" s="10" t="n">
        <v>46310</v>
      </c>
      <c r="J886" s="3" t="s">
        <v>421</v>
      </c>
      <c r="K886" s="10" t="n">
        <v>46240</v>
      </c>
      <c r="L886" s="3" t="s">
        <v>18</v>
      </c>
      <c r="M886" s="7" t="n">
        <v>11043</v>
      </c>
      <c r="N886" s="8" t="n">
        <v>0.0213</v>
      </c>
      <c r="O886" s="4" t="n">
        <f aca="false">M886*N886</f>
        <v>235.2159</v>
      </c>
    </row>
    <row r="887" customFormat="false" ht="15" hidden="false" customHeight="false" outlineLevel="0" collapsed="false">
      <c r="A887" s="0" t="s">
        <v>1526</v>
      </c>
      <c r="C887" s="0" t="s">
        <v>285</v>
      </c>
      <c r="D887" s="7" t="n">
        <v>4988</v>
      </c>
      <c r="E887" s="8" t="n">
        <v>0.0486006415396953</v>
      </c>
      <c r="F887" s="4" t="n">
        <f aca="false">D887*E887</f>
        <v>242.42</v>
      </c>
      <c r="G887" s="7" t="n">
        <v>6</v>
      </c>
      <c r="H887" s="9" t="n">
        <f aca="false">IF(G887&gt;0,D887/G887,"")</f>
        <v>831.333333333333</v>
      </c>
      <c r="I887" s="10" t="n">
        <v>46029</v>
      </c>
      <c r="J887" s="3" t="s">
        <v>455</v>
      </c>
      <c r="K887" s="10" t="n">
        <v>45689</v>
      </c>
      <c r="L887" s="3" t="s">
        <v>20</v>
      </c>
      <c r="M887" s="7" t="n">
        <v>5000</v>
      </c>
      <c r="N887" s="8" t="n">
        <v>0.0486</v>
      </c>
      <c r="O887" s="4" t="n">
        <f aca="false">M887*N887</f>
        <v>243</v>
      </c>
    </row>
    <row r="888" customFormat="false" ht="15" hidden="false" customHeight="false" outlineLevel="0" collapsed="false">
      <c r="A888" s="0" t="s">
        <v>1527</v>
      </c>
      <c r="C888" s="0" t="s">
        <v>285</v>
      </c>
      <c r="D888" s="7" t="n">
        <v>2081</v>
      </c>
      <c r="E888" s="8" t="n">
        <v>0.116367131186929</v>
      </c>
      <c r="F888" s="4" t="n">
        <f aca="false">D888*E888</f>
        <v>242.16</v>
      </c>
      <c r="G888" s="7" t="n">
        <v>200</v>
      </c>
      <c r="H888" s="9" t="n">
        <f aca="false">IF(G888&gt;0,D888/G888,"")</f>
        <v>10.405</v>
      </c>
      <c r="I888" s="10" t="n">
        <v>46041</v>
      </c>
      <c r="J888" s="3" t="s">
        <v>147</v>
      </c>
      <c r="K888" s="10" t="n">
        <v>44777</v>
      </c>
      <c r="L888" s="3" t="s">
        <v>20</v>
      </c>
      <c r="M888" s="7" t="n">
        <v>2400</v>
      </c>
      <c r="N888" s="8" t="n">
        <v>0.1163616</v>
      </c>
      <c r="O888" s="4" t="n">
        <f aca="false">M888*N888</f>
        <v>279.26784</v>
      </c>
    </row>
    <row r="889" customFormat="false" ht="15" hidden="false" customHeight="false" outlineLevel="0" collapsed="false">
      <c r="A889" s="0" t="s">
        <v>1528</v>
      </c>
      <c r="C889" s="0" t="s">
        <v>1529</v>
      </c>
      <c r="D889" s="7" t="n">
        <v>1395</v>
      </c>
      <c r="E889" s="8" t="n">
        <v>0.173491039426523</v>
      </c>
      <c r="F889" s="4" t="n">
        <f aca="false">D889*E889</f>
        <v>242.02</v>
      </c>
      <c r="G889" s="7" t="n">
        <v>204</v>
      </c>
      <c r="H889" s="9" t="n">
        <f aca="false">IF(G889&gt;0,D889/G889,"")</f>
        <v>6.83823529411765</v>
      </c>
      <c r="I889" s="10" t="n">
        <v>46274</v>
      </c>
      <c r="J889" s="3" t="s">
        <v>1530</v>
      </c>
      <c r="K889" s="10" t="n">
        <v>44199</v>
      </c>
      <c r="L889" s="3" t="s">
        <v>14</v>
      </c>
      <c r="M889" s="7" t="n">
        <v>1730</v>
      </c>
      <c r="N889" s="8" t="n">
        <v>0.1735</v>
      </c>
      <c r="O889" s="4" t="n">
        <f aca="false">M889*N889</f>
        <v>300.155</v>
      </c>
    </row>
    <row r="890" customFormat="false" ht="15" hidden="false" customHeight="false" outlineLevel="0" collapsed="false">
      <c r="A890" s="0" t="s">
        <v>1531</v>
      </c>
      <c r="C890" s="0" t="s">
        <v>889</v>
      </c>
      <c r="D890" s="7" t="n">
        <v>1920</v>
      </c>
      <c r="E890" s="8" t="n">
        <v>0.126</v>
      </c>
      <c r="F890" s="4" t="n">
        <f aca="false">D890*E890</f>
        <v>241.92</v>
      </c>
      <c r="G890" s="7" t="n">
        <v>4</v>
      </c>
      <c r="H890" s="9" t="n">
        <f aca="false">IF(G890&gt;0,D890/G890,"")</f>
        <v>480</v>
      </c>
      <c r="I890" s="10" t="n">
        <v>46098</v>
      </c>
      <c r="J890" s="3" t="s">
        <v>1532</v>
      </c>
      <c r="K890" s="10" t="n">
        <v>45305</v>
      </c>
      <c r="L890" s="3" t="s">
        <v>15</v>
      </c>
      <c r="M890" s="7" t="n">
        <v>2425</v>
      </c>
      <c r="N890" s="8" t="n">
        <v>0.12598</v>
      </c>
      <c r="O890" s="4" t="n">
        <f aca="false">M890*N890</f>
        <v>305.5015</v>
      </c>
    </row>
    <row r="891" customFormat="false" ht="15" hidden="false" customHeight="false" outlineLevel="0" collapsed="false">
      <c r="A891" s="0" t="s">
        <v>1533</v>
      </c>
      <c r="C891" s="0" t="s">
        <v>42</v>
      </c>
      <c r="D891" s="7" t="n">
        <v>340</v>
      </c>
      <c r="E891" s="8" t="n">
        <v>0.710911764705882</v>
      </c>
      <c r="F891" s="4" t="n">
        <f aca="false">D891*E891</f>
        <v>241.71</v>
      </c>
      <c r="G891" s="7" t="n">
        <v>263</v>
      </c>
      <c r="H891" s="9" t="n">
        <f aca="false">IF(G891&gt;0,D891/G891,"")</f>
        <v>1.29277566539924</v>
      </c>
      <c r="I891" s="10" t="n">
        <v>46260</v>
      </c>
      <c r="J891" s="3" t="s">
        <v>917</v>
      </c>
      <c r="K891" s="10" t="n">
        <v>46129</v>
      </c>
      <c r="L891" s="3" t="s">
        <v>14</v>
      </c>
      <c r="M891" s="7" t="n">
        <v>563</v>
      </c>
      <c r="N891" s="8" t="n">
        <v>0.7109</v>
      </c>
      <c r="O891" s="4" t="n">
        <f aca="false">M891*N891</f>
        <v>400.2367</v>
      </c>
    </row>
    <row r="892" customFormat="false" ht="15" hidden="false" customHeight="false" outlineLevel="0" collapsed="false">
      <c r="A892" s="0" t="s">
        <v>1534</v>
      </c>
      <c r="C892" s="0" t="s">
        <v>61</v>
      </c>
      <c r="D892" s="7" t="n">
        <v>294</v>
      </c>
      <c r="E892" s="8" t="n">
        <v>0.82108843537415</v>
      </c>
      <c r="F892" s="4" t="n">
        <f aca="false">D892*E892</f>
        <v>241.4</v>
      </c>
      <c r="G892" s="7" t="n">
        <v>50</v>
      </c>
      <c r="H892" s="9" t="n">
        <f aca="false">IF(G892&gt;0,D892/G892,"")</f>
        <v>5.88</v>
      </c>
      <c r="I892" s="10" t="n">
        <v>46034</v>
      </c>
      <c r="J892" s="3" t="s">
        <v>661</v>
      </c>
      <c r="K892" s="10" t="n">
        <v>44531</v>
      </c>
      <c r="L892" s="3" t="s">
        <v>23</v>
      </c>
      <c r="M892" s="7" t="n">
        <v>435</v>
      </c>
      <c r="N892" s="8" t="n">
        <v>0.8211</v>
      </c>
      <c r="O892" s="4" t="n">
        <f aca="false">M892*N892</f>
        <v>357.1785</v>
      </c>
    </row>
    <row r="893" customFormat="false" ht="15" hidden="false" customHeight="false" outlineLevel="0" collapsed="false">
      <c r="A893" s="0" t="s">
        <v>1535</v>
      </c>
      <c r="C893" s="0" t="s">
        <v>615</v>
      </c>
      <c r="D893" s="7" t="n">
        <v>547</v>
      </c>
      <c r="E893" s="8" t="n">
        <v>0.441005484460695</v>
      </c>
      <c r="F893" s="4" t="n">
        <f aca="false">D893*E893</f>
        <v>241.23</v>
      </c>
      <c r="G893" s="7" t="n">
        <v>32</v>
      </c>
      <c r="H893" s="9" t="n">
        <f aca="false">IF(G893&gt;0,D893/G893,"")</f>
        <v>17.09375</v>
      </c>
      <c r="I893" s="10" t="n">
        <v>46059</v>
      </c>
      <c r="J893" s="3" t="s">
        <v>1354</v>
      </c>
      <c r="K893" s="10" t="n">
        <v>44690</v>
      </c>
      <c r="L893" s="3" t="s">
        <v>15</v>
      </c>
      <c r="M893" s="7" t="n">
        <v>660</v>
      </c>
      <c r="N893" s="8" t="n">
        <v>0.441</v>
      </c>
      <c r="O893" s="4" t="n">
        <f aca="false">M893*N893</f>
        <v>291.06</v>
      </c>
    </row>
    <row r="894" customFormat="false" ht="15" hidden="false" customHeight="false" outlineLevel="0" collapsed="false">
      <c r="A894" s="0" t="s">
        <v>1536</v>
      </c>
      <c r="C894" s="0" t="s">
        <v>1529</v>
      </c>
      <c r="D894" s="7" t="n">
        <v>5384</v>
      </c>
      <c r="E894" s="8" t="n">
        <v>0.0447994056463596</v>
      </c>
      <c r="F894" s="4" t="n">
        <f aca="false">D894*E894</f>
        <v>241.2</v>
      </c>
      <c r="G894" s="7" t="n">
        <v>182</v>
      </c>
      <c r="H894" s="9" t="n">
        <f aca="false">IF(G894&gt;0,D894/G894,"")</f>
        <v>29.5824175824176</v>
      </c>
      <c r="I894" s="10" t="n">
        <v>46317</v>
      </c>
      <c r="K894" s="10"/>
      <c r="M894" s="7"/>
      <c r="N894" s="8"/>
      <c r="O894" s="4"/>
    </row>
    <row r="895" customFormat="false" ht="15" hidden="false" customHeight="false" outlineLevel="0" collapsed="false">
      <c r="A895" s="0" t="s">
        <v>1537</v>
      </c>
      <c r="C895" s="0" t="s">
        <v>340</v>
      </c>
      <c r="D895" s="7" t="n">
        <v>10003</v>
      </c>
      <c r="E895" s="8" t="n">
        <v>0.0241067679696091</v>
      </c>
      <c r="F895" s="4" t="n">
        <f aca="false">D895*E895</f>
        <v>241.14</v>
      </c>
      <c r="G895" s="7" t="n">
        <v>1028</v>
      </c>
      <c r="H895" s="9" t="n">
        <f aca="false">IF(G895&gt;0,D895/G895,"")</f>
        <v>9.73054474708171</v>
      </c>
      <c r="I895" s="10" t="n">
        <v>46244</v>
      </c>
      <c r="J895" s="3" t="s">
        <v>1538</v>
      </c>
      <c r="K895" s="10" t="n">
        <v>46196</v>
      </c>
      <c r="L895" s="3" t="s">
        <v>19</v>
      </c>
      <c r="M895" s="7" t="n">
        <v>750</v>
      </c>
      <c r="N895" s="8" t="n">
        <v>0.0425</v>
      </c>
      <c r="O895" s="4" t="n">
        <f aca="false">M895*N895</f>
        <v>31.875</v>
      </c>
    </row>
    <row r="896" customFormat="false" ht="15" hidden="false" customHeight="false" outlineLevel="0" collapsed="false">
      <c r="A896" s="0" t="s">
        <v>1539</v>
      </c>
      <c r="C896" s="0" t="s">
        <v>36</v>
      </c>
      <c r="D896" s="7" t="n">
        <v>73036</v>
      </c>
      <c r="E896" s="8" t="n">
        <v>0.00330001643025357</v>
      </c>
      <c r="F896" s="4" t="n">
        <f aca="false">D896*E896</f>
        <v>241.02</v>
      </c>
      <c r="G896" s="7" t="n">
        <v>533</v>
      </c>
      <c r="H896" s="9" t="n">
        <f aca="false">IF(G896&gt;0,D896/G896,"")</f>
        <v>137.028142589118</v>
      </c>
      <c r="I896" s="10" t="n">
        <v>46139</v>
      </c>
      <c r="J896" s="3" t="s">
        <v>1369</v>
      </c>
      <c r="K896" s="10" t="n">
        <v>44299</v>
      </c>
      <c r="L896" s="3" t="s">
        <v>15</v>
      </c>
      <c r="M896" s="7" t="n">
        <v>42700</v>
      </c>
      <c r="N896" s="8" t="n">
        <v>0.00293</v>
      </c>
      <c r="O896" s="4" t="n">
        <f aca="false">M896*N896</f>
        <v>125.111</v>
      </c>
    </row>
    <row r="897" customFormat="false" ht="15" hidden="false" customHeight="false" outlineLevel="0" collapsed="false">
      <c r="A897" s="0" t="s">
        <v>1540</v>
      </c>
      <c r="C897" s="0" t="s">
        <v>1169</v>
      </c>
      <c r="D897" s="7" t="n">
        <v>479</v>
      </c>
      <c r="E897" s="8" t="n">
        <v>0.503006263048017</v>
      </c>
      <c r="F897" s="4" t="n">
        <f aca="false">D897*E897</f>
        <v>240.94</v>
      </c>
      <c r="G897" s="7" t="n">
        <v>10</v>
      </c>
      <c r="H897" s="9" t="n">
        <f aca="false">IF(G897&gt;0,D897/G897,"")</f>
        <v>47.9</v>
      </c>
      <c r="I897" s="10" t="n">
        <v>46140</v>
      </c>
      <c r="J897" s="3" t="s">
        <v>1541</v>
      </c>
      <c r="K897" s="10" t="n">
        <v>44279</v>
      </c>
      <c r="L897" s="3" t="s">
        <v>14</v>
      </c>
      <c r="M897" s="7" t="n">
        <v>10</v>
      </c>
      <c r="N897" s="8" t="n">
        <v>0.5025</v>
      </c>
      <c r="O897" s="4" t="n">
        <f aca="false">M897*N897</f>
        <v>5.025</v>
      </c>
    </row>
    <row r="898" customFormat="false" ht="15" hidden="false" customHeight="false" outlineLevel="0" collapsed="false">
      <c r="A898" s="0" t="s">
        <v>1542</v>
      </c>
      <c r="C898" s="0" t="s">
        <v>36</v>
      </c>
      <c r="D898" s="7" t="n">
        <v>4373</v>
      </c>
      <c r="E898" s="8" t="n">
        <v>0.0550011433798308</v>
      </c>
      <c r="F898" s="4" t="n">
        <f aca="false">D898*E898</f>
        <v>240.52</v>
      </c>
      <c r="G898" s="7" t="n">
        <v>214</v>
      </c>
      <c r="H898" s="9" t="n">
        <f aca="false">IF(G898&gt;0,D898/G898,"")</f>
        <v>20.4345794392523</v>
      </c>
      <c r="I898" s="10" t="n">
        <v>46147</v>
      </c>
      <c r="J898" s="3" t="s">
        <v>812</v>
      </c>
      <c r="K898" s="10" t="n">
        <v>44830</v>
      </c>
      <c r="L898" s="3" t="s">
        <v>16</v>
      </c>
      <c r="M898" s="7" t="n">
        <v>5077</v>
      </c>
      <c r="N898" s="8" t="n">
        <v>0.055</v>
      </c>
      <c r="O898" s="4" t="n">
        <f aca="false">M898*N898</f>
        <v>279.235</v>
      </c>
    </row>
    <row r="899" customFormat="false" ht="15" hidden="false" customHeight="false" outlineLevel="0" collapsed="false">
      <c r="A899" s="0" t="s">
        <v>1543</v>
      </c>
      <c r="C899" s="0" t="s">
        <v>979</v>
      </c>
      <c r="D899" s="7" t="n">
        <v>6511</v>
      </c>
      <c r="E899" s="8" t="n">
        <v>0.0369282752265397</v>
      </c>
      <c r="F899" s="4" t="n">
        <f aca="false">D899*E899</f>
        <v>240.44</v>
      </c>
      <c r="G899" s="7" t="n">
        <v>1091</v>
      </c>
      <c r="H899" s="9" t="n">
        <f aca="false">IF(G899&gt;0,D899/G899,"")</f>
        <v>5.967919340055</v>
      </c>
      <c r="I899" s="10" t="n">
        <v>46230</v>
      </c>
      <c r="J899" s="3" t="s">
        <v>1347</v>
      </c>
      <c r="K899" s="10" t="n">
        <v>46129</v>
      </c>
      <c r="L899" s="3" t="s">
        <v>18</v>
      </c>
      <c r="M899" s="7" t="n">
        <v>312</v>
      </c>
      <c r="N899" s="8" t="n">
        <v>0.0791</v>
      </c>
      <c r="O899" s="4" t="n">
        <f aca="false">M899*N899</f>
        <v>24.6792</v>
      </c>
    </row>
    <row r="900" customFormat="false" ht="15" hidden="false" customHeight="false" outlineLevel="0" collapsed="false">
      <c r="A900" s="0" t="s">
        <v>1544</v>
      </c>
      <c r="C900" s="0" t="s">
        <v>44</v>
      </c>
      <c r="D900" s="7" t="n">
        <v>12</v>
      </c>
      <c r="E900" s="8" t="n">
        <v>20.02</v>
      </c>
      <c r="F900" s="4" t="n">
        <f aca="false">D900*E900</f>
        <v>240.24</v>
      </c>
      <c r="G900" s="7" t="n">
        <v>3</v>
      </c>
      <c r="H900" s="9" t="n">
        <f aca="false">IF(G900&gt;0,D900/G900,"")</f>
        <v>4</v>
      </c>
      <c r="I900" s="10" t="n">
        <v>46219</v>
      </c>
      <c r="J900" s="3" t="s">
        <v>1545</v>
      </c>
      <c r="K900" s="10" t="n">
        <v>45546</v>
      </c>
      <c r="L900" s="3" t="s">
        <v>14</v>
      </c>
      <c r="M900" s="7" t="n">
        <v>25</v>
      </c>
      <c r="N900" s="8" t="n">
        <v>20.02</v>
      </c>
      <c r="O900" s="4" t="n">
        <f aca="false">M900*N900</f>
        <v>500.5</v>
      </c>
    </row>
    <row r="901" customFormat="false" ht="15" hidden="false" customHeight="false" outlineLevel="0" collapsed="false">
      <c r="A901" s="0" t="s">
        <v>1546</v>
      </c>
      <c r="C901" s="0" t="s">
        <v>43</v>
      </c>
      <c r="D901" s="7" t="n">
        <v>32</v>
      </c>
      <c r="E901" s="8" t="n">
        <v>7.5059375</v>
      </c>
      <c r="F901" s="4" t="n">
        <f aca="false">D901*E901</f>
        <v>240.19</v>
      </c>
      <c r="G901" s="7" t="n">
        <v>10</v>
      </c>
      <c r="H901" s="9" t="n">
        <f aca="false">IF(G901&gt;0,D901/G901,"")</f>
        <v>3.2</v>
      </c>
      <c r="I901" s="10" t="n">
        <v>46290</v>
      </c>
      <c r="J901" s="3" t="s">
        <v>1547</v>
      </c>
      <c r="K901" s="10" t="n">
        <v>45056</v>
      </c>
      <c r="L901" s="3" t="s">
        <v>14</v>
      </c>
      <c r="M901" s="7" t="n">
        <v>50</v>
      </c>
      <c r="N901" s="8" t="n">
        <v>7.506</v>
      </c>
      <c r="O901" s="4" t="n">
        <f aca="false">M901*N901</f>
        <v>375.3</v>
      </c>
    </row>
    <row r="902" customFormat="false" ht="15" hidden="false" customHeight="false" outlineLevel="0" collapsed="false">
      <c r="A902" s="0" t="s">
        <v>1548</v>
      </c>
      <c r="C902" s="0" t="s">
        <v>889</v>
      </c>
      <c r="D902" s="7" t="n">
        <v>76791</v>
      </c>
      <c r="E902" s="8" t="n">
        <v>0.00311494836634501</v>
      </c>
      <c r="F902" s="4" t="n">
        <f aca="false">D902*E902</f>
        <v>239.2</v>
      </c>
      <c r="G902" s="7" t="n">
        <v>440</v>
      </c>
      <c r="H902" s="9" t="n">
        <f aca="false">IF(G902&gt;0,D902/G902,"")</f>
        <v>174.525</v>
      </c>
      <c r="I902" s="10" t="n">
        <v>46314</v>
      </c>
      <c r="J902" s="3" t="s">
        <v>1369</v>
      </c>
      <c r="K902" s="10" t="n">
        <v>44299</v>
      </c>
      <c r="L902" s="3" t="s">
        <v>15</v>
      </c>
      <c r="M902" s="7" t="n">
        <v>18680</v>
      </c>
      <c r="N902" s="8" t="n">
        <v>0.00369</v>
      </c>
      <c r="O902" s="4" t="n">
        <f aca="false">M902*N902</f>
        <v>68.9292</v>
      </c>
    </row>
    <row r="903" customFormat="false" ht="15" hidden="false" customHeight="false" outlineLevel="0" collapsed="false">
      <c r="A903" s="0" t="s">
        <v>1549</v>
      </c>
      <c r="C903" s="0" t="s">
        <v>34</v>
      </c>
      <c r="D903" s="7" t="n">
        <v>10086</v>
      </c>
      <c r="E903" s="8" t="n">
        <v>0.0237081102518342</v>
      </c>
      <c r="F903" s="4" t="n">
        <f aca="false">D903*E903</f>
        <v>239.12</v>
      </c>
      <c r="G903" s="7" t="n">
        <v>4477</v>
      </c>
      <c r="H903" s="9" t="n">
        <f aca="false">IF(G903&gt;0,D903/G903,"")</f>
        <v>2.25284788921153</v>
      </c>
      <c r="I903" s="10" t="n">
        <v>46294</v>
      </c>
      <c r="J903" s="3" t="s">
        <v>238</v>
      </c>
      <c r="K903" s="10" t="n">
        <v>45689</v>
      </c>
      <c r="L903" s="3" t="s">
        <v>15</v>
      </c>
      <c r="M903" s="7" t="n">
        <v>10000</v>
      </c>
      <c r="N903" s="8" t="n">
        <v>0.02374</v>
      </c>
      <c r="O903" s="4" t="n">
        <f aca="false">M903*N903</f>
        <v>237.4</v>
      </c>
    </row>
    <row r="904" customFormat="false" ht="15" hidden="false" customHeight="false" outlineLevel="0" collapsed="false">
      <c r="A904" s="0" t="s">
        <v>1550</v>
      </c>
      <c r="C904" s="0" t="s">
        <v>45</v>
      </c>
      <c r="D904" s="7" t="n">
        <v>1200</v>
      </c>
      <c r="E904" s="8" t="n">
        <v>0.1992</v>
      </c>
      <c r="F904" s="4" t="n">
        <f aca="false">D904*E904</f>
        <v>239.04</v>
      </c>
      <c r="G904" s="7" t="n">
        <v>100</v>
      </c>
      <c r="H904" s="9" t="n">
        <f aca="false">IF(G904&gt;0,D904/G904,"")</f>
        <v>12</v>
      </c>
      <c r="I904" s="10" t="n">
        <v>46273</v>
      </c>
      <c r="J904" s="3" t="s">
        <v>1423</v>
      </c>
      <c r="K904" s="10" t="n">
        <v>45786</v>
      </c>
      <c r="L904" s="3" t="s">
        <v>23</v>
      </c>
      <c r="M904" s="7" t="n">
        <v>1500</v>
      </c>
      <c r="N904" s="8" t="n">
        <v>0.1992</v>
      </c>
      <c r="O904" s="4" t="n">
        <f aca="false">M904*N904</f>
        <v>298.8</v>
      </c>
    </row>
    <row r="905" customFormat="false" ht="15" hidden="false" customHeight="false" outlineLevel="0" collapsed="false">
      <c r="A905" s="0" t="s">
        <v>1551</v>
      </c>
      <c r="C905" s="0" t="s">
        <v>41</v>
      </c>
      <c r="D905" s="7" t="n">
        <v>4383</v>
      </c>
      <c r="E905" s="8" t="n">
        <v>0.054487793748574</v>
      </c>
      <c r="F905" s="4" t="n">
        <f aca="false">D905*E905</f>
        <v>238.82</v>
      </c>
      <c r="G905" s="7" t="n">
        <v>11</v>
      </c>
      <c r="H905" s="9" t="n">
        <f aca="false">IF(G905&gt;0,D905/G905,"")</f>
        <v>398.454545454545</v>
      </c>
      <c r="I905" s="10" t="n">
        <v>46273</v>
      </c>
      <c r="J905" s="3" t="s">
        <v>1552</v>
      </c>
      <c r="K905" s="10" t="n">
        <v>44362</v>
      </c>
      <c r="L905" s="3" t="s">
        <v>19</v>
      </c>
      <c r="M905" s="7" t="n">
        <v>1000</v>
      </c>
      <c r="N905" s="8" t="n">
        <v>0.1428</v>
      </c>
      <c r="O905" s="4" t="n">
        <f aca="false">M905*N905</f>
        <v>142.8</v>
      </c>
    </row>
    <row r="906" customFormat="false" ht="15" hidden="false" customHeight="false" outlineLevel="0" collapsed="false">
      <c r="A906" s="0" t="s">
        <v>1553</v>
      </c>
      <c r="C906" s="0" t="s">
        <v>40</v>
      </c>
      <c r="D906" s="7" t="n">
        <v>356</v>
      </c>
      <c r="E906" s="8" t="n">
        <v>0.67</v>
      </c>
      <c r="F906" s="4" t="n">
        <f aca="false">D906*E906</f>
        <v>238.52</v>
      </c>
      <c r="G906" s="7" t="n">
        <v>3</v>
      </c>
      <c r="H906" s="9" t="n">
        <f aca="false">IF(G906&gt;0,D906/G906,"")</f>
        <v>118.666666666667</v>
      </c>
      <c r="I906" s="10" t="n">
        <v>46202</v>
      </c>
      <c r="J906" s="3" t="s">
        <v>1554</v>
      </c>
      <c r="K906" s="10" t="n">
        <v>44315</v>
      </c>
      <c r="L906" s="3" t="s">
        <v>18</v>
      </c>
      <c r="M906" s="7" t="n">
        <v>364</v>
      </c>
      <c r="N906" s="8" t="n">
        <v>0.67</v>
      </c>
      <c r="O906" s="4" t="n">
        <f aca="false">M906*N906</f>
        <v>243.88</v>
      </c>
    </row>
    <row r="907" customFormat="false" ht="15" hidden="false" customHeight="false" outlineLevel="0" collapsed="false">
      <c r="A907" s="0" t="s">
        <v>1555</v>
      </c>
      <c r="C907" s="0" t="s">
        <v>340</v>
      </c>
      <c r="D907" s="7" t="n">
        <v>3060</v>
      </c>
      <c r="E907" s="8" t="n">
        <v>0.077921568627451</v>
      </c>
      <c r="F907" s="4" t="n">
        <f aca="false">D907*E907</f>
        <v>238.44</v>
      </c>
      <c r="G907" s="7" t="n">
        <v>216</v>
      </c>
      <c r="H907" s="9" t="n">
        <f aca="false">IF(G907&gt;0,D907/G907,"")</f>
        <v>14.1666666666667</v>
      </c>
      <c r="I907" s="10" t="n">
        <v>46240</v>
      </c>
      <c r="J907" s="3" t="s">
        <v>162</v>
      </c>
      <c r="K907" s="10" t="n">
        <v>45967</v>
      </c>
      <c r="L907" s="3" t="s">
        <v>15</v>
      </c>
      <c r="M907" s="7" t="n">
        <v>3260</v>
      </c>
      <c r="N907" s="8" t="n">
        <v>0.07792</v>
      </c>
      <c r="O907" s="4" t="n">
        <f aca="false">M907*N907</f>
        <v>254.0192</v>
      </c>
    </row>
    <row r="908" customFormat="false" ht="15" hidden="false" customHeight="false" outlineLevel="0" collapsed="false">
      <c r="A908" s="0" t="s">
        <v>1556</v>
      </c>
      <c r="C908" s="0" t="s">
        <v>36</v>
      </c>
      <c r="D908" s="7" t="n">
        <v>1624</v>
      </c>
      <c r="E908" s="8" t="n">
        <v>0.146699507389163</v>
      </c>
      <c r="F908" s="4" t="n">
        <f aca="false">D908*E908</f>
        <v>238.24</v>
      </c>
      <c r="G908" s="7" t="n">
        <v>447</v>
      </c>
      <c r="H908" s="9" t="n">
        <f aca="false">IF(G908&gt;0,D908/G908,"")</f>
        <v>3.6331096196868</v>
      </c>
      <c r="I908" s="10" t="n">
        <v>46156</v>
      </c>
      <c r="J908" s="3" t="s">
        <v>1070</v>
      </c>
      <c r="K908" s="10" t="n">
        <v>46080</v>
      </c>
      <c r="L908" s="3" t="s">
        <v>18</v>
      </c>
      <c r="M908" s="7" t="n">
        <v>1864</v>
      </c>
      <c r="N908" s="8" t="n">
        <v>0.1467</v>
      </c>
      <c r="O908" s="4" t="n">
        <f aca="false">M908*N908</f>
        <v>273.4488</v>
      </c>
    </row>
    <row r="909" customFormat="false" ht="15" hidden="false" customHeight="false" outlineLevel="0" collapsed="false">
      <c r="A909" s="0" t="s">
        <v>1557</v>
      </c>
      <c r="C909" s="0" t="s">
        <v>275</v>
      </c>
      <c r="D909" s="7" t="n">
        <v>10</v>
      </c>
      <c r="E909" s="8" t="n">
        <v>23.81</v>
      </c>
      <c r="F909" s="4" t="n">
        <f aca="false">D909*E909</f>
        <v>238.1</v>
      </c>
      <c r="G909" s="7" t="n">
        <v>3</v>
      </c>
      <c r="H909" s="9" t="n">
        <f aca="false">IF(G909&gt;0,D909/G909,"")</f>
        <v>3.33333333333333</v>
      </c>
      <c r="I909" s="10" t="n">
        <v>46282</v>
      </c>
      <c r="J909" s="3" t="s">
        <v>568</v>
      </c>
      <c r="K909" s="10" t="n">
        <v>46268</v>
      </c>
      <c r="L909" s="3" t="s">
        <v>14</v>
      </c>
      <c r="M909" s="7" t="n">
        <v>13</v>
      </c>
      <c r="N909" s="8" t="n">
        <v>23.81</v>
      </c>
      <c r="O909" s="4" t="n">
        <f aca="false">M909*N909</f>
        <v>309.53</v>
      </c>
    </row>
    <row r="910" customFormat="false" ht="15" hidden="false" customHeight="false" outlineLevel="0" collapsed="false">
      <c r="A910" s="0" t="s">
        <v>1558</v>
      </c>
      <c r="C910" s="0" t="s">
        <v>360</v>
      </c>
      <c r="D910" s="7" t="n">
        <v>17363</v>
      </c>
      <c r="E910" s="8" t="n">
        <v>0.0137073086448194</v>
      </c>
      <c r="F910" s="4" t="n">
        <f aca="false">D910*E910</f>
        <v>238</v>
      </c>
      <c r="G910" s="7" t="n">
        <v>1200</v>
      </c>
      <c r="H910" s="9" t="n">
        <f aca="false">IF(G910&gt;0,D910/G910,"")</f>
        <v>14.4691666666667</v>
      </c>
      <c r="I910" s="10" t="n">
        <v>46150</v>
      </c>
      <c r="J910" s="3" t="s">
        <v>1213</v>
      </c>
      <c r="K910" s="10" t="n">
        <v>45554</v>
      </c>
      <c r="L910" s="3" t="s">
        <v>15</v>
      </c>
      <c r="M910" s="7" t="n">
        <v>18190</v>
      </c>
      <c r="N910" s="8" t="n">
        <v>0.01371</v>
      </c>
      <c r="O910" s="4" t="n">
        <f aca="false">M910*N910</f>
        <v>249.3849</v>
      </c>
    </row>
    <row r="911" customFormat="false" ht="15" hidden="false" customHeight="false" outlineLevel="0" collapsed="false">
      <c r="A911" s="0" t="s">
        <v>1559</v>
      </c>
      <c r="C911" s="0" t="s">
        <v>285</v>
      </c>
      <c r="D911" s="7" t="n">
        <v>4388</v>
      </c>
      <c r="E911" s="8" t="n">
        <v>0.0542137648131267</v>
      </c>
      <c r="F911" s="4" t="n">
        <f aca="false">D911*E911</f>
        <v>237.89</v>
      </c>
      <c r="G911" s="7" t="n">
        <v>1856</v>
      </c>
      <c r="H911" s="9" t="n">
        <f aca="false">IF(G911&gt;0,D911/G911,"")</f>
        <v>2.36422413793103</v>
      </c>
      <c r="I911" s="10" t="n">
        <v>46301</v>
      </c>
      <c r="J911" s="3" t="s">
        <v>753</v>
      </c>
      <c r="K911" s="10" t="n">
        <v>45943</v>
      </c>
      <c r="L911" s="3" t="s">
        <v>20</v>
      </c>
      <c r="M911" s="7" t="n">
        <v>5700</v>
      </c>
      <c r="N911" s="8" t="n">
        <v>0.05296</v>
      </c>
      <c r="O911" s="4" t="n">
        <f aca="false">M911*N911</f>
        <v>301.872</v>
      </c>
    </row>
    <row r="912" customFormat="false" ht="15" hidden="false" customHeight="false" outlineLevel="0" collapsed="false">
      <c r="A912" s="0" t="s">
        <v>1560</v>
      </c>
      <c r="C912" s="0" t="s">
        <v>45</v>
      </c>
      <c r="D912" s="7" t="n">
        <v>185</v>
      </c>
      <c r="E912" s="8" t="n">
        <v>1.28497297297297</v>
      </c>
      <c r="F912" s="4" t="n">
        <f aca="false">D912*E912</f>
        <v>237.72</v>
      </c>
      <c r="G912" s="7" t="n">
        <v>8</v>
      </c>
      <c r="H912" s="9" t="n">
        <f aca="false">IF(G912&gt;0,D912/G912,"")</f>
        <v>23.125</v>
      </c>
      <c r="I912" s="10" t="n">
        <v>46233</v>
      </c>
      <c r="J912" s="3" t="s">
        <v>1561</v>
      </c>
      <c r="K912" s="10" t="n">
        <v>44728</v>
      </c>
      <c r="L912" s="3" t="s">
        <v>23</v>
      </c>
      <c r="M912" s="7" t="n">
        <v>200</v>
      </c>
      <c r="N912" s="8" t="n">
        <v>1.2849</v>
      </c>
      <c r="O912" s="4" t="n">
        <f aca="false">M912*N912</f>
        <v>256.98</v>
      </c>
    </row>
    <row r="913" customFormat="false" ht="15" hidden="false" customHeight="false" outlineLevel="0" collapsed="false">
      <c r="A913" s="0" t="s">
        <v>1562</v>
      </c>
      <c r="C913" s="0" t="s">
        <v>31</v>
      </c>
      <c r="D913" s="7" t="n">
        <v>3782</v>
      </c>
      <c r="E913" s="8" t="n">
        <v>0.0628529878371232</v>
      </c>
      <c r="F913" s="4" t="n">
        <f aca="false">D913*E913</f>
        <v>237.71</v>
      </c>
      <c r="G913" s="7" t="n">
        <v>20</v>
      </c>
      <c r="H913" s="9" t="n">
        <f aca="false">IF(G913&gt;0,D913/G913,"")</f>
        <v>189.1</v>
      </c>
      <c r="I913" s="10" t="n">
        <v>45996</v>
      </c>
      <c r="J913" s="3" t="s">
        <v>1563</v>
      </c>
      <c r="K913" s="10" t="n">
        <v>45768</v>
      </c>
      <c r="L913" s="3" t="s">
        <v>16</v>
      </c>
      <c r="M913" s="7" t="n">
        <v>3195</v>
      </c>
      <c r="N913" s="8" t="n">
        <v>0.0521</v>
      </c>
      <c r="O913" s="4" t="n">
        <f aca="false">M913*N913</f>
        <v>166.4595</v>
      </c>
    </row>
    <row r="914" customFormat="false" ht="15" hidden="false" customHeight="false" outlineLevel="0" collapsed="false">
      <c r="A914" s="0" t="s">
        <v>1564</v>
      </c>
      <c r="C914" s="0" t="s">
        <v>31</v>
      </c>
      <c r="D914" s="7" t="n">
        <v>71978</v>
      </c>
      <c r="E914" s="8" t="n">
        <v>0.00330017505348857</v>
      </c>
      <c r="F914" s="4" t="n">
        <f aca="false">D914*E914</f>
        <v>237.54</v>
      </c>
      <c r="G914" s="7" t="n">
        <v>23895</v>
      </c>
      <c r="H914" s="9" t="n">
        <f aca="false">IF(G914&gt;0,D914/G914,"")</f>
        <v>3.01226197949362</v>
      </c>
      <c r="I914" s="10" t="n">
        <v>46311</v>
      </c>
      <c r="J914" s="3" t="s">
        <v>1565</v>
      </c>
      <c r="K914" s="10" t="n">
        <v>45516</v>
      </c>
      <c r="L914" s="3" t="s">
        <v>16</v>
      </c>
      <c r="M914" s="7" t="n">
        <v>51616</v>
      </c>
      <c r="N914" s="8" t="n">
        <v>0.0033</v>
      </c>
      <c r="O914" s="4" t="n">
        <f aca="false">M914*N914</f>
        <v>170.3328</v>
      </c>
    </row>
    <row r="915" customFormat="false" ht="15" hidden="false" customHeight="false" outlineLevel="0" collapsed="false">
      <c r="A915" s="0" t="s">
        <v>1566</v>
      </c>
      <c r="C915" s="0" t="s">
        <v>44</v>
      </c>
      <c r="D915" s="7" t="n">
        <v>3</v>
      </c>
      <c r="E915" s="8" t="n">
        <v>78.8333333333333</v>
      </c>
      <c r="F915" s="4" t="n">
        <f aca="false">D915*E915</f>
        <v>236.5</v>
      </c>
      <c r="G915" s="7" t="n">
        <v>2</v>
      </c>
      <c r="H915" s="9" t="n">
        <f aca="false">IF(G915&gt;0,D915/G915,"")</f>
        <v>1.5</v>
      </c>
      <c r="I915" s="10" t="n">
        <v>46203</v>
      </c>
      <c r="J915" s="3" t="s">
        <v>572</v>
      </c>
      <c r="K915" s="10" t="n">
        <v>46164</v>
      </c>
      <c r="L915" s="3" t="s">
        <v>14</v>
      </c>
      <c r="M915" s="7" t="n">
        <v>5</v>
      </c>
      <c r="N915" s="8" t="n">
        <v>78.832</v>
      </c>
      <c r="O915" s="4" t="n">
        <f aca="false">M915*N915</f>
        <v>394.16</v>
      </c>
    </row>
    <row r="916" customFormat="false" ht="15" hidden="false" customHeight="false" outlineLevel="0" collapsed="false">
      <c r="A916" s="0" t="s">
        <v>1567</v>
      </c>
      <c r="C916" s="0" t="s">
        <v>360</v>
      </c>
      <c r="D916" s="7" t="n">
        <v>590</v>
      </c>
      <c r="E916" s="8" t="n">
        <v>0.400593220338983</v>
      </c>
      <c r="F916" s="4" t="n">
        <f aca="false">D916*E916</f>
        <v>236.35</v>
      </c>
      <c r="G916" s="7" t="n">
        <v>52</v>
      </c>
      <c r="H916" s="9" t="n">
        <f aca="false">IF(G916&gt;0,D916/G916,"")</f>
        <v>11.3461538461538</v>
      </c>
      <c r="I916" s="10" t="n">
        <v>46269</v>
      </c>
      <c r="J916" s="3" t="s">
        <v>1192</v>
      </c>
      <c r="K916" s="10" t="n">
        <v>45736</v>
      </c>
      <c r="L916" s="3" t="s">
        <v>26</v>
      </c>
      <c r="M916" s="7" t="n">
        <v>120</v>
      </c>
      <c r="N916" s="8" t="n">
        <v>1.1706</v>
      </c>
      <c r="O916" s="4" t="n">
        <f aca="false">M916*N916</f>
        <v>140.472</v>
      </c>
    </row>
    <row r="917" customFormat="false" ht="15" hidden="false" customHeight="false" outlineLevel="0" collapsed="false">
      <c r="A917" s="0" t="s">
        <v>1568</v>
      </c>
      <c r="C917" s="0" t="s">
        <v>340</v>
      </c>
      <c r="D917" s="7" t="n">
        <v>11370</v>
      </c>
      <c r="E917" s="8" t="n">
        <v>0.020778364116095</v>
      </c>
      <c r="F917" s="4" t="n">
        <f aca="false">D917*E917</f>
        <v>236.25</v>
      </c>
      <c r="G917" s="7" t="n">
        <v>310</v>
      </c>
      <c r="H917" s="9" t="n">
        <f aca="false">IF(G917&gt;0,D917/G917,"")</f>
        <v>36.6774193548387</v>
      </c>
      <c r="I917" s="10" t="n">
        <v>46308</v>
      </c>
      <c r="J917" s="3" t="s">
        <v>940</v>
      </c>
      <c r="K917" s="10" t="n">
        <v>46231</v>
      </c>
      <c r="L917" s="3" t="s">
        <v>16</v>
      </c>
      <c r="M917" s="7" t="n">
        <v>10000</v>
      </c>
      <c r="N917" s="8" t="n">
        <v>0.0207</v>
      </c>
      <c r="O917" s="4" t="n">
        <f aca="false">M917*N917</f>
        <v>207</v>
      </c>
    </row>
    <row r="918" customFormat="false" ht="15" hidden="false" customHeight="false" outlineLevel="0" collapsed="false">
      <c r="A918" s="0" t="s">
        <v>1569</v>
      </c>
      <c r="C918" s="0" t="s">
        <v>31</v>
      </c>
      <c r="D918" s="7" t="n">
        <v>1968</v>
      </c>
      <c r="E918" s="8" t="n">
        <v>0.12</v>
      </c>
      <c r="F918" s="4" t="n">
        <f aca="false">D918*E918</f>
        <v>236.16</v>
      </c>
      <c r="G918" s="7" t="n">
        <v>20</v>
      </c>
      <c r="H918" s="9" t="n">
        <f aca="false">IF(G918&gt;0,D918/G918,"")</f>
        <v>98.4</v>
      </c>
      <c r="I918" s="10" t="n">
        <v>46230</v>
      </c>
      <c r="K918" s="10"/>
      <c r="M918" s="7"/>
      <c r="N918" s="8"/>
      <c r="O918" s="4"/>
    </row>
    <row r="919" customFormat="false" ht="15" hidden="false" customHeight="false" outlineLevel="0" collapsed="false">
      <c r="A919" s="0" t="s">
        <v>1570</v>
      </c>
      <c r="C919" s="0" t="s">
        <v>41</v>
      </c>
      <c r="D919" s="7" t="n">
        <v>18986</v>
      </c>
      <c r="E919" s="8" t="n">
        <v>0.0124196776572211</v>
      </c>
      <c r="F919" s="4" t="n">
        <f aca="false">D919*E919</f>
        <v>235.8</v>
      </c>
      <c r="G919" s="7" t="n">
        <v>126</v>
      </c>
      <c r="H919" s="9" t="n">
        <f aca="false">IF(G919&gt;0,D919/G919,"")</f>
        <v>150.68253968254</v>
      </c>
      <c r="I919" s="10" t="n">
        <v>46302</v>
      </c>
      <c r="K919" s="10"/>
      <c r="M919" s="7"/>
      <c r="N919" s="8"/>
      <c r="O919" s="4"/>
    </row>
    <row r="920" customFormat="false" ht="15" hidden="false" customHeight="false" outlineLevel="0" collapsed="false">
      <c r="A920" s="0" t="s">
        <v>1571</v>
      </c>
      <c r="C920" s="0" t="s">
        <v>285</v>
      </c>
      <c r="D920" s="7" t="n">
        <v>9642</v>
      </c>
      <c r="E920" s="8" t="n">
        <v>0.0244420244762497</v>
      </c>
      <c r="F920" s="4" t="n">
        <f aca="false">D920*E920</f>
        <v>235.67</v>
      </c>
      <c r="G920" s="7" t="n">
        <v>495</v>
      </c>
      <c r="H920" s="9" t="n">
        <f aca="false">IF(G920&gt;0,D920/G920,"")</f>
        <v>19.4787878787879</v>
      </c>
      <c r="I920" s="10" t="n">
        <v>46247</v>
      </c>
      <c r="J920" s="3" t="s">
        <v>1187</v>
      </c>
      <c r="K920" s="10" t="n">
        <v>45814</v>
      </c>
      <c r="L920" s="3" t="s">
        <v>20</v>
      </c>
      <c r="M920" s="7" t="n">
        <v>16000</v>
      </c>
      <c r="N920" s="8" t="n">
        <v>0.02444</v>
      </c>
      <c r="O920" s="4" t="n">
        <f aca="false">M920*N920</f>
        <v>391.04</v>
      </c>
    </row>
    <row r="921" customFormat="false" ht="15" hidden="false" customHeight="false" outlineLevel="0" collapsed="false">
      <c r="A921" s="0" t="s">
        <v>1572</v>
      </c>
      <c r="C921" s="0" t="s">
        <v>360</v>
      </c>
      <c r="D921" s="7" t="n">
        <v>40685</v>
      </c>
      <c r="E921" s="8" t="n">
        <v>0.00578960304780632</v>
      </c>
      <c r="F921" s="4" t="n">
        <f aca="false">D921*E921</f>
        <v>235.55</v>
      </c>
      <c r="G921" s="7" t="n">
        <v>340</v>
      </c>
      <c r="H921" s="9" t="n">
        <f aca="false">IF(G921&gt;0,D921/G921,"")</f>
        <v>119.661764705882</v>
      </c>
      <c r="I921" s="10" t="n">
        <v>46281</v>
      </c>
      <c r="J921" s="3" t="s">
        <v>249</v>
      </c>
      <c r="K921" s="10" t="n">
        <v>44314</v>
      </c>
      <c r="L921" s="3" t="s">
        <v>15</v>
      </c>
      <c r="M921" s="7" t="n">
        <v>40000</v>
      </c>
      <c r="N921" s="8" t="n">
        <v>0.00525</v>
      </c>
      <c r="O921" s="4" t="n">
        <f aca="false">M921*N921</f>
        <v>210</v>
      </c>
    </row>
    <row r="922" customFormat="false" ht="15" hidden="false" customHeight="false" outlineLevel="0" collapsed="false">
      <c r="A922" s="0" t="s">
        <v>1573</v>
      </c>
      <c r="C922" s="0" t="s">
        <v>37</v>
      </c>
      <c r="D922" s="7" t="n">
        <v>2727</v>
      </c>
      <c r="E922" s="8" t="n">
        <v>0.0863146314631463</v>
      </c>
      <c r="F922" s="4" t="n">
        <f aca="false">D922*E922</f>
        <v>235.38</v>
      </c>
      <c r="G922" s="7" t="n">
        <v>16</v>
      </c>
      <c r="H922" s="9" t="n">
        <f aca="false">IF(G922&gt;0,D922/G922,"")</f>
        <v>170.4375</v>
      </c>
      <c r="I922" s="10" t="n">
        <v>46069</v>
      </c>
      <c r="J922" s="3" t="s">
        <v>1574</v>
      </c>
      <c r="K922" s="10" t="n">
        <v>46062</v>
      </c>
      <c r="L922" s="3" t="s">
        <v>19</v>
      </c>
      <c r="M922" s="7" t="n">
        <v>203</v>
      </c>
      <c r="N922" s="8" t="n">
        <v>0.1497</v>
      </c>
      <c r="O922" s="4" t="n">
        <f aca="false">M922*N922</f>
        <v>30.3891</v>
      </c>
    </row>
    <row r="923" customFormat="false" ht="15" hidden="false" customHeight="false" outlineLevel="0" collapsed="false">
      <c r="A923" s="0" t="s">
        <v>1575</v>
      </c>
      <c r="C923" s="0" t="s">
        <v>340</v>
      </c>
      <c r="D923" s="7" t="n">
        <v>43824</v>
      </c>
      <c r="E923" s="8" t="n">
        <v>0.00536920408908361</v>
      </c>
      <c r="F923" s="4" t="n">
        <f aca="false">D923*E923</f>
        <v>235.3</v>
      </c>
      <c r="G923" s="7" t="n">
        <v>3699</v>
      </c>
      <c r="H923" s="9" t="n">
        <f aca="false">IF(G923&gt;0,D923/G923,"")</f>
        <v>11.8475263584753</v>
      </c>
      <c r="I923" s="10" t="n">
        <v>46218</v>
      </c>
      <c r="J923" s="3" t="s">
        <v>1576</v>
      </c>
      <c r="K923" s="10" t="n">
        <v>46196</v>
      </c>
      <c r="L923" s="3" t="s">
        <v>16</v>
      </c>
      <c r="M923" s="7" t="n">
        <v>42000</v>
      </c>
      <c r="N923" s="8" t="n">
        <v>0.0053</v>
      </c>
      <c r="O923" s="4" t="n">
        <f aca="false">M923*N923</f>
        <v>222.6</v>
      </c>
    </row>
    <row r="924" customFormat="false" ht="15" hidden="false" customHeight="false" outlineLevel="0" collapsed="false">
      <c r="A924" s="0" t="s">
        <v>1577</v>
      </c>
      <c r="C924" s="0" t="s">
        <v>295</v>
      </c>
      <c r="D924" s="7" t="n">
        <v>27954</v>
      </c>
      <c r="E924" s="8" t="n">
        <v>0.00840094440867139</v>
      </c>
      <c r="F924" s="4" t="n">
        <f aca="false">D924*E924</f>
        <v>234.84</v>
      </c>
      <c r="G924" s="7" t="n">
        <v>9019</v>
      </c>
      <c r="H924" s="9" t="n">
        <f aca="false">IF(G924&gt;0,D924/G924,"")</f>
        <v>3.09945670251691</v>
      </c>
      <c r="I924" s="10" t="n">
        <v>46301</v>
      </c>
      <c r="J924" s="3" t="s">
        <v>1578</v>
      </c>
      <c r="K924" s="10" t="n">
        <v>44795</v>
      </c>
      <c r="L924" s="3" t="s">
        <v>19</v>
      </c>
      <c r="M924" s="7" t="n">
        <v>45713</v>
      </c>
      <c r="N924" s="8" t="n">
        <v>0.0084</v>
      </c>
      <c r="O924" s="4" t="n">
        <f aca="false">M924*N924</f>
        <v>383.9892</v>
      </c>
    </row>
    <row r="925" customFormat="false" ht="15" hidden="false" customHeight="false" outlineLevel="0" collapsed="false">
      <c r="A925" s="0" t="s">
        <v>1579</v>
      </c>
      <c r="C925" s="0" t="s">
        <v>402</v>
      </c>
      <c r="D925" s="7" t="n">
        <v>7</v>
      </c>
      <c r="E925" s="8" t="n">
        <v>33.48</v>
      </c>
      <c r="F925" s="4" t="n">
        <f aca="false">D925*E925</f>
        <v>234.36</v>
      </c>
      <c r="G925" s="7" t="n">
        <v>3</v>
      </c>
      <c r="H925" s="9" t="n">
        <f aca="false">IF(G925&gt;0,D925/G925,"")</f>
        <v>2.33333333333333</v>
      </c>
      <c r="I925" s="10" t="n">
        <v>45987</v>
      </c>
      <c r="J925" s="3" t="s">
        <v>1580</v>
      </c>
      <c r="K925" s="10" t="n">
        <v>45967</v>
      </c>
      <c r="L925" s="3" t="s">
        <v>834</v>
      </c>
      <c r="M925" s="7" t="n">
        <v>10</v>
      </c>
      <c r="N925" s="8" t="n">
        <v>33.48</v>
      </c>
      <c r="O925" s="4" t="n">
        <f aca="false">M925*N925</f>
        <v>334.8</v>
      </c>
    </row>
    <row r="926" customFormat="false" ht="15" hidden="false" customHeight="false" outlineLevel="0" collapsed="false">
      <c r="A926" s="0" t="s">
        <v>1581</v>
      </c>
      <c r="C926" s="0" t="s">
        <v>295</v>
      </c>
      <c r="D926" s="7" t="n">
        <v>23368</v>
      </c>
      <c r="E926" s="8" t="n">
        <v>0.01</v>
      </c>
      <c r="F926" s="4" t="n">
        <f aca="false">D926*E926</f>
        <v>233.68</v>
      </c>
      <c r="G926" s="7" t="n">
        <v>380</v>
      </c>
      <c r="H926" s="9" t="n">
        <f aca="false">IF(G926&gt;0,D926/G926,"")</f>
        <v>61.4947368421053</v>
      </c>
      <c r="I926" s="10" t="n">
        <v>46301</v>
      </c>
      <c r="K926" s="10"/>
      <c r="M926" s="7"/>
      <c r="N926" s="8"/>
      <c r="O926" s="4"/>
    </row>
    <row r="927" customFormat="false" ht="15" hidden="false" customHeight="false" outlineLevel="0" collapsed="false">
      <c r="A927" s="0" t="s">
        <v>1582</v>
      </c>
      <c r="C927" s="0" t="s">
        <v>36</v>
      </c>
      <c r="D927" s="7" t="n">
        <v>4608</v>
      </c>
      <c r="E927" s="8" t="n">
        <v>0.0506987847222222</v>
      </c>
      <c r="F927" s="4" t="n">
        <f aca="false">D927*E927</f>
        <v>233.62</v>
      </c>
      <c r="G927" s="7" t="n">
        <v>2135</v>
      </c>
      <c r="H927" s="9" t="n">
        <f aca="false">IF(G927&gt;0,D927/G927,"")</f>
        <v>2.15831381733021</v>
      </c>
      <c r="I927" s="10" t="n">
        <v>46304</v>
      </c>
      <c r="J927" s="3" t="s">
        <v>572</v>
      </c>
      <c r="K927" s="10" t="n">
        <v>46164</v>
      </c>
      <c r="L927" s="3" t="s">
        <v>14</v>
      </c>
      <c r="M927" s="7" t="n">
        <v>5000</v>
      </c>
      <c r="N927" s="8" t="n">
        <v>0.0507</v>
      </c>
      <c r="O927" s="4" t="n">
        <f aca="false">M927*N927</f>
        <v>253.5</v>
      </c>
    </row>
    <row r="928" customFormat="false" ht="15" hidden="false" customHeight="false" outlineLevel="0" collapsed="false">
      <c r="A928" s="0" t="s">
        <v>1583</v>
      </c>
      <c r="C928" s="0" t="s">
        <v>31</v>
      </c>
      <c r="D928" s="7" t="n">
        <v>59515</v>
      </c>
      <c r="E928" s="8" t="n">
        <v>0.00392153238679325</v>
      </c>
      <c r="F928" s="4" t="n">
        <f aca="false">D928*E928</f>
        <v>233.39</v>
      </c>
      <c r="G928" s="7" t="n">
        <v>9554</v>
      </c>
      <c r="H928" s="9" t="n">
        <f aca="false">IF(G928&gt;0,D928/G928,"")</f>
        <v>6.22932803014444</v>
      </c>
      <c r="I928" s="10" t="n">
        <v>46309</v>
      </c>
      <c r="J928" s="3" t="s">
        <v>1584</v>
      </c>
      <c r="K928" s="10" t="n">
        <v>45275</v>
      </c>
      <c r="L928" s="3" t="s">
        <v>15</v>
      </c>
      <c r="M928" s="7" t="n">
        <v>93364</v>
      </c>
      <c r="N928" s="8" t="n">
        <v>0.00392</v>
      </c>
      <c r="O928" s="4" t="n">
        <f aca="false">M928*N928</f>
        <v>365.98688</v>
      </c>
    </row>
    <row r="929" customFormat="false" ht="15" hidden="false" customHeight="false" outlineLevel="0" collapsed="false">
      <c r="A929" s="0" t="s">
        <v>1585</v>
      </c>
      <c r="C929" s="0" t="s">
        <v>31</v>
      </c>
      <c r="D929" s="7" t="n">
        <v>5709</v>
      </c>
      <c r="E929" s="8" t="n">
        <v>0.0408390260991417</v>
      </c>
      <c r="F929" s="4" t="n">
        <f aca="false">D929*E929</f>
        <v>233.15</v>
      </c>
      <c r="G929" s="7" t="n">
        <v>257</v>
      </c>
      <c r="H929" s="9" t="n">
        <f aca="false">IF(G929&gt;0,D929/G929,"")</f>
        <v>22.2140077821012</v>
      </c>
      <c r="I929" s="10" t="n">
        <v>46265</v>
      </c>
      <c r="J929" s="3" t="s">
        <v>1211</v>
      </c>
      <c r="K929" s="10" t="n">
        <v>45750</v>
      </c>
      <c r="L929" s="3" t="s">
        <v>26</v>
      </c>
      <c r="M929" s="7" t="n">
        <v>248</v>
      </c>
      <c r="N929" s="8" t="n">
        <v>0.0985</v>
      </c>
      <c r="O929" s="4" t="n">
        <f aca="false">M929*N929</f>
        <v>24.428</v>
      </c>
    </row>
    <row r="930" customFormat="false" ht="15" hidden="false" customHeight="false" outlineLevel="0" collapsed="false">
      <c r="A930" s="0" t="s">
        <v>1586</v>
      </c>
      <c r="C930" s="0" t="s">
        <v>32</v>
      </c>
      <c r="D930" s="7" t="n">
        <v>7952</v>
      </c>
      <c r="E930" s="8" t="n">
        <v>0.0292530181086519</v>
      </c>
      <c r="F930" s="4" t="n">
        <f aca="false">D930*E930</f>
        <v>232.62</v>
      </c>
      <c r="G930" s="7" t="n">
        <v>3786</v>
      </c>
      <c r="H930" s="9" t="n">
        <f aca="false">IF(G930&gt;0,D930/G930,"")</f>
        <v>2.10036978341257</v>
      </c>
      <c r="I930" s="10" t="n">
        <v>46281</v>
      </c>
      <c r="J930" s="3" t="s">
        <v>315</v>
      </c>
      <c r="K930" s="10" t="n">
        <v>46274</v>
      </c>
      <c r="L930" s="3" t="s">
        <v>14</v>
      </c>
      <c r="M930" s="7" t="n">
        <v>5000</v>
      </c>
      <c r="N930" s="8" t="n">
        <v>0.0278</v>
      </c>
      <c r="O930" s="4" t="n">
        <f aca="false">M930*N930</f>
        <v>139</v>
      </c>
    </row>
    <row r="931" customFormat="false" ht="15" hidden="false" customHeight="false" outlineLevel="0" collapsed="false">
      <c r="A931" s="0" t="s">
        <v>1587</v>
      </c>
      <c r="C931" s="0" t="s">
        <v>31</v>
      </c>
      <c r="D931" s="7" t="n">
        <v>19511</v>
      </c>
      <c r="E931" s="8" t="n">
        <v>0.0118994413407821</v>
      </c>
      <c r="F931" s="4" t="n">
        <f aca="false">D931*E931</f>
        <v>232.17</v>
      </c>
      <c r="G931" s="7" t="n">
        <v>272</v>
      </c>
      <c r="H931" s="9" t="n">
        <f aca="false">IF(G931&gt;0,D931/G931,"")</f>
        <v>71.7316176470588</v>
      </c>
      <c r="I931" s="10" t="n">
        <v>46171</v>
      </c>
      <c r="J931" s="3" t="s">
        <v>1588</v>
      </c>
      <c r="K931" s="10" t="n">
        <v>44582</v>
      </c>
      <c r="L931" s="3" t="s">
        <v>19</v>
      </c>
      <c r="M931" s="7" t="n">
        <v>19839</v>
      </c>
      <c r="N931" s="8" t="n">
        <v>0.0119</v>
      </c>
      <c r="O931" s="4" t="n">
        <f aca="false">M931*N931</f>
        <v>236.0841</v>
      </c>
    </row>
    <row r="932" customFormat="false" ht="15" hidden="false" customHeight="false" outlineLevel="0" collapsed="false">
      <c r="A932" s="0" t="s">
        <v>1589</v>
      </c>
      <c r="C932" s="0" t="s">
        <v>979</v>
      </c>
      <c r="D932" s="7" t="n">
        <v>585</v>
      </c>
      <c r="E932" s="8" t="n">
        <v>0.396700854700855</v>
      </c>
      <c r="F932" s="4" t="n">
        <f aca="false">D932*E932</f>
        <v>232.07</v>
      </c>
      <c r="G932" s="7" t="n">
        <v>195</v>
      </c>
      <c r="H932" s="9" t="n">
        <f aca="false">IF(G932&gt;0,D932/G932,"")</f>
        <v>3</v>
      </c>
      <c r="I932" s="10" t="n">
        <v>46163</v>
      </c>
      <c r="J932" s="3" t="s">
        <v>1590</v>
      </c>
      <c r="K932" s="10" t="n">
        <v>46155</v>
      </c>
      <c r="L932" s="3" t="s">
        <v>18</v>
      </c>
      <c r="M932" s="7" t="n">
        <v>17</v>
      </c>
      <c r="N932" s="8" t="n">
        <v>0.7756</v>
      </c>
      <c r="O932" s="4" t="n">
        <f aca="false">M932*N932</f>
        <v>13.1852</v>
      </c>
    </row>
    <row r="933" customFormat="false" ht="15" hidden="false" customHeight="false" outlineLevel="0" collapsed="false">
      <c r="A933" s="0" t="s">
        <v>1591</v>
      </c>
      <c r="C933" s="0" t="s">
        <v>844</v>
      </c>
      <c r="D933" s="7" t="n">
        <v>115</v>
      </c>
      <c r="E933" s="8" t="n">
        <v>2.014</v>
      </c>
      <c r="F933" s="4" t="n">
        <f aca="false">D933*E933</f>
        <v>231.61</v>
      </c>
      <c r="G933" s="7" t="n">
        <v>1</v>
      </c>
      <c r="H933" s="9" t="n">
        <f aca="false">IF(G933&gt;0,D933/G933,"")</f>
        <v>115</v>
      </c>
      <c r="I933" s="10" t="n">
        <v>46188</v>
      </c>
      <c r="J933" s="3" t="s">
        <v>1592</v>
      </c>
      <c r="K933" s="10" t="n">
        <v>44328</v>
      </c>
      <c r="L933" s="3" t="s">
        <v>14</v>
      </c>
      <c r="M933" s="7" t="n">
        <v>100</v>
      </c>
      <c r="N933" s="8" t="n">
        <v>1.917</v>
      </c>
      <c r="O933" s="4" t="n">
        <f aca="false">M933*N933</f>
        <v>191.7</v>
      </c>
    </row>
    <row r="934" customFormat="false" ht="15" hidden="false" customHeight="false" outlineLevel="0" collapsed="false">
      <c r="A934" s="0" t="s">
        <v>1593</v>
      </c>
      <c r="C934" s="0" t="s">
        <v>494</v>
      </c>
      <c r="D934" s="7" t="n">
        <v>670</v>
      </c>
      <c r="E934" s="8" t="n">
        <v>0.345208955223881</v>
      </c>
      <c r="F934" s="4" t="n">
        <f aca="false">D934*E934</f>
        <v>231.29</v>
      </c>
      <c r="G934" s="7" t="n">
        <v>153</v>
      </c>
      <c r="H934" s="9" t="n">
        <f aca="false">IF(G934&gt;0,D934/G934,"")</f>
        <v>4.37908496732026</v>
      </c>
      <c r="I934" s="10" t="n">
        <v>46226</v>
      </c>
      <c r="J934" s="3" t="s">
        <v>1594</v>
      </c>
      <c r="K934" s="10" t="n">
        <v>45453</v>
      </c>
      <c r="L934" s="3" t="s">
        <v>936</v>
      </c>
      <c r="M934" s="7" t="n">
        <v>133</v>
      </c>
      <c r="N934" s="8" t="n">
        <v>1.3741</v>
      </c>
      <c r="O934" s="4" t="n">
        <f aca="false">M934*N934</f>
        <v>182.7553</v>
      </c>
    </row>
    <row r="935" customFormat="false" ht="15" hidden="false" customHeight="false" outlineLevel="0" collapsed="false">
      <c r="A935" s="0" t="s">
        <v>1595</v>
      </c>
      <c r="C935" s="0" t="s">
        <v>438</v>
      </c>
      <c r="D935" s="7" t="n">
        <v>480</v>
      </c>
      <c r="E935" s="8" t="n">
        <v>0.481229166666667</v>
      </c>
      <c r="F935" s="4" t="n">
        <f aca="false">D935*E935</f>
        <v>230.99</v>
      </c>
      <c r="G935" s="7" t="n">
        <v>94</v>
      </c>
      <c r="H935" s="9" t="n">
        <f aca="false">IF(G935&gt;0,D935/G935,"")</f>
        <v>5.1063829787234</v>
      </c>
      <c r="I935" s="10" t="n">
        <v>46308</v>
      </c>
      <c r="J935" s="3" t="s">
        <v>1459</v>
      </c>
      <c r="K935" s="10" t="n">
        <v>45883</v>
      </c>
      <c r="L935" s="3" t="s">
        <v>27</v>
      </c>
      <c r="M935" s="7" t="n">
        <v>500</v>
      </c>
      <c r="N935" s="8" t="n">
        <v>0.4822</v>
      </c>
      <c r="O935" s="4" t="n">
        <f aca="false">M935*N935</f>
        <v>241.1</v>
      </c>
    </row>
    <row r="936" customFormat="false" ht="15" hidden="false" customHeight="false" outlineLevel="0" collapsed="false">
      <c r="A936" s="0" t="s">
        <v>1596</v>
      </c>
      <c r="C936" s="0" t="s">
        <v>41</v>
      </c>
      <c r="D936" s="7" t="n">
        <v>46276</v>
      </c>
      <c r="E936" s="8" t="n">
        <v>0.00498941135793932</v>
      </c>
      <c r="F936" s="4" t="n">
        <f aca="false">D936*E936</f>
        <v>230.89</v>
      </c>
      <c r="G936" s="7" t="n">
        <v>650</v>
      </c>
      <c r="H936" s="9" t="n">
        <f aca="false">IF(G936&gt;0,D936/G936,"")</f>
        <v>71.1938461538462</v>
      </c>
      <c r="I936" s="10" t="n">
        <v>46273</v>
      </c>
      <c r="J936" s="3" t="s">
        <v>1597</v>
      </c>
      <c r="K936" s="10" t="n">
        <v>45929</v>
      </c>
      <c r="L936" s="3" t="s">
        <v>19</v>
      </c>
      <c r="M936" s="7" t="n">
        <v>1000</v>
      </c>
      <c r="N936" s="8" t="n">
        <v>0.0221</v>
      </c>
      <c r="O936" s="4" t="n">
        <f aca="false">M936*N936</f>
        <v>22.1</v>
      </c>
    </row>
    <row r="937" customFormat="false" ht="15" hidden="false" customHeight="false" outlineLevel="0" collapsed="false">
      <c r="A937" s="0" t="s">
        <v>1598</v>
      </c>
      <c r="C937" s="0" t="s">
        <v>45</v>
      </c>
      <c r="D937" s="7" t="n">
        <v>63</v>
      </c>
      <c r="E937" s="8" t="n">
        <v>3.66396825396825</v>
      </c>
      <c r="F937" s="4" t="n">
        <f aca="false">D937*E937</f>
        <v>230.83</v>
      </c>
      <c r="G937" s="7" t="n">
        <v>47</v>
      </c>
      <c r="H937" s="9" t="n">
        <f aca="false">IF(G937&gt;0,D937/G937,"")</f>
        <v>1.34042553191489</v>
      </c>
      <c r="I937" s="10" t="n">
        <v>46139</v>
      </c>
      <c r="J937" s="3" t="s">
        <v>873</v>
      </c>
      <c r="K937" s="10" t="n">
        <v>45984</v>
      </c>
      <c r="L937" s="3" t="s">
        <v>14</v>
      </c>
      <c r="M937" s="7" t="n">
        <v>110</v>
      </c>
      <c r="N937" s="8" t="n">
        <v>3.6639</v>
      </c>
      <c r="O937" s="4" t="n">
        <f aca="false">M937*N937</f>
        <v>403.029</v>
      </c>
    </row>
    <row r="938" customFormat="false" ht="15" hidden="false" customHeight="false" outlineLevel="0" collapsed="false">
      <c r="A938" s="0" t="s">
        <v>1599</v>
      </c>
      <c r="C938" s="0" t="s">
        <v>615</v>
      </c>
      <c r="D938" s="7" t="n">
        <v>7480</v>
      </c>
      <c r="E938" s="8" t="n">
        <v>0.0308302139037433</v>
      </c>
      <c r="F938" s="4" t="n">
        <f aca="false">D938*E938</f>
        <v>230.61</v>
      </c>
      <c r="G938" s="7" t="n">
        <v>320</v>
      </c>
      <c r="H938" s="9" t="n">
        <f aca="false">IF(G938&gt;0,D938/G938,"")</f>
        <v>23.375</v>
      </c>
      <c r="I938" s="10" t="n">
        <v>46308</v>
      </c>
      <c r="J938" s="3" t="s">
        <v>1600</v>
      </c>
      <c r="K938" s="10" t="n">
        <v>45373</v>
      </c>
      <c r="L938" s="3" t="s">
        <v>15</v>
      </c>
      <c r="M938" s="7" t="n">
        <v>7800</v>
      </c>
      <c r="N938" s="8" t="n">
        <v>0.03083</v>
      </c>
      <c r="O938" s="4" t="n">
        <f aca="false">M938*N938</f>
        <v>240.474</v>
      </c>
    </row>
    <row r="939" customFormat="false" ht="15" hidden="false" customHeight="false" outlineLevel="0" collapsed="false">
      <c r="A939" s="0" t="s">
        <v>1601</v>
      </c>
      <c r="C939" s="0" t="s">
        <v>979</v>
      </c>
      <c r="D939" s="7" t="n">
        <v>4427</v>
      </c>
      <c r="E939" s="8" t="n">
        <v>0.05208945109555</v>
      </c>
      <c r="F939" s="4" t="n">
        <f aca="false">D939*E939</f>
        <v>230.6</v>
      </c>
      <c r="G939" s="7" t="n">
        <v>628</v>
      </c>
      <c r="H939" s="9" t="n">
        <f aca="false">IF(G939&gt;0,D939/G939,"")</f>
        <v>7.04936305732484</v>
      </c>
      <c r="I939" s="10" t="n">
        <v>46304</v>
      </c>
      <c r="J939" s="3" t="s">
        <v>1602</v>
      </c>
      <c r="K939" s="10" t="n">
        <v>46049</v>
      </c>
      <c r="L939" s="3" t="s">
        <v>28</v>
      </c>
      <c r="M939" s="7" t="n">
        <v>520</v>
      </c>
      <c r="N939" s="8" t="n">
        <v>0.1514</v>
      </c>
      <c r="O939" s="4" t="n">
        <f aca="false">M939*N939</f>
        <v>78.728</v>
      </c>
    </row>
    <row r="940" customFormat="false" ht="15" hidden="false" customHeight="false" outlineLevel="0" collapsed="false">
      <c r="A940" s="0" t="s">
        <v>1603</v>
      </c>
      <c r="C940" s="0" t="s">
        <v>441</v>
      </c>
      <c r="D940" s="7" t="n">
        <v>4</v>
      </c>
      <c r="E940" s="8" t="n">
        <v>57.59</v>
      </c>
      <c r="F940" s="4" t="n">
        <f aca="false">D940*E940</f>
        <v>230.36</v>
      </c>
      <c r="G940" s="7" t="n">
        <v>1</v>
      </c>
      <c r="H940" s="9" t="n">
        <f aca="false">IF(G940&gt;0,D940/G940,"")</f>
        <v>4</v>
      </c>
      <c r="I940" s="10" t="n">
        <v>46112</v>
      </c>
      <c r="J940" s="3" t="s">
        <v>1604</v>
      </c>
      <c r="K940" s="10" t="n">
        <v>45790</v>
      </c>
      <c r="L940" s="3" t="s">
        <v>313</v>
      </c>
      <c r="M940" s="7" t="n">
        <v>8</v>
      </c>
      <c r="N940" s="8" t="n">
        <v>57.59</v>
      </c>
      <c r="O940" s="4" t="n">
        <f aca="false">M940*N940</f>
        <v>460.72</v>
      </c>
    </row>
    <row r="941" customFormat="false" ht="15" hidden="false" customHeight="false" outlineLevel="0" collapsed="false">
      <c r="A941" s="0" t="s">
        <v>1605</v>
      </c>
      <c r="C941" s="0" t="s">
        <v>45</v>
      </c>
      <c r="D941" s="7" t="n">
        <v>5007</v>
      </c>
      <c r="E941" s="8" t="n">
        <v>0.0459996005592171</v>
      </c>
      <c r="F941" s="4" t="n">
        <f aca="false">D941*E941</f>
        <v>230.32</v>
      </c>
      <c r="G941" s="7" t="n">
        <v>2402</v>
      </c>
      <c r="H941" s="9" t="n">
        <f aca="false">IF(G941&gt;0,D941/G941,"")</f>
        <v>2.08451290591174</v>
      </c>
      <c r="I941" s="10" t="n">
        <v>46316</v>
      </c>
      <c r="J941" s="3" t="s">
        <v>1606</v>
      </c>
      <c r="K941" s="10" t="n">
        <v>45984</v>
      </c>
      <c r="L941" s="3" t="s">
        <v>23</v>
      </c>
      <c r="M941" s="7" t="n">
        <v>6000</v>
      </c>
      <c r="N941" s="8" t="n">
        <v>0.046</v>
      </c>
      <c r="O941" s="4" t="n">
        <f aca="false">M941*N941</f>
        <v>276</v>
      </c>
    </row>
    <row r="942" customFormat="false" ht="15" hidden="false" customHeight="false" outlineLevel="0" collapsed="false">
      <c r="A942" s="0" t="s">
        <v>1607</v>
      </c>
      <c r="C942" s="0" t="s">
        <v>100</v>
      </c>
      <c r="D942" s="7" t="n">
        <v>110</v>
      </c>
      <c r="E942" s="8" t="n">
        <v>2.09245454545455</v>
      </c>
      <c r="F942" s="4" t="n">
        <f aca="false">D942*E942</f>
        <v>230.17</v>
      </c>
      <c r="G942" s="7" t="n">
        <v>4</v>
      </c>
      <c r="H942" s="9" t="n">
        <f aca="false">IF(G942&gt;0,D942/G942,"")</f>
        <v>27.5</v>
      </c>
      <c r="I942" s="10" t="n">
        <v>46265</v>
      </c>
      <c r="J942" s="3" t="s">
        <v>1371</v>
      </c>
      <c r="K942" s="10" t="n">
        <v>45509</v>
      </c>
      <c r="L942" s="3" t="s">
        <v>16</v>
      </c>
      <c r="M942" s="7" t="n">
        <v>100</v>
      </c>
      <c r="N942" s="8" t="n">
        <v>1.8878</v>
      </c>
      <c r="O942" s="4" t="n">
        <f aca="false">M942*N942</f>
        <v>188.78</v>
      </c>
    </row>
    <row r="943" customFormat="false" ht="15" hidden="false" customHeight="false" outlineLevel="0" collapsed="false">
      <c r="A943" s="0" t="s">
        <v>1608</v>
      </c>
      <c r="C943" s="0" t="s">
        <v>541</v>
      </c>
      <c r="D943" s="7" t="n">
        <v>70</v>
      </c>
      <c r="E943" s="8" t="n">
        <v>3.28642857142857</v>
      </c>
      <c r="F943" s="4" t="n">
        <f aca="false">D943*E943</f>
        <v>230.05</v>
      </c>
      <c r="G943" s="7" t="n">
        <v>10</v>
      </c>
      <c r="H943" s="9" t="n">
        <f aca="false">IF(G943&gt;0,D943/G943,"")</f>
        <v>7</v>
      </c>
      <c r="I943" s="10" t="n">
        <v>46273</v>
      </c>
      <c r="J943" s="3" t="s">
        <v>1609</v>
      </c>
      <c r="K943" s="10" t="n">
        <v>45659</v>
      </c>
      <c r="L943" s="3" t="s">
        <v>313</v>
      </c>
      <c r="M943" s="7" t="n">
        <v>100</v>
      </c>
      <c r="N943" s="8" t="n">
        <v>3.2865</v>
      </c>
      <c r="O943" s="4" t="n">
        <f aca="false">M943*N943</f>
        <v>328.65</v>
      </c>
    </row>
    <row r="944" customFormat="false" ht="15" hidden="false" customHeight="false" outlineLevel="0" collapsed="false">
      <c r="A944" s="0" t="s">
        <v>1610</v>
      </c>
      <c r="C944" s="0" t="s">
        <v>340</v>
      </c>
      <c r="D944" s="7" t="n">
        <v>3141</v>
      </c>
      <c r="E944" s="8" t="n">
        <v>0.0731996179560649</v>
      </c>
      <c r="F944" s="4" t="n">
        <f aca="false">D944*E944</f>
        <v>229.92</v>
      </c>
      <c r="G944" s="7" t="n">
        <v>230</v>
      </c>
      <c r="H944" s="9" t="n">
        <f aca="false">IF(G944&gt;0,D944/G944,"")</f>
        <v>13.6565217391304</v>
      </c>
      <c r="I944" s="10" t="n">
        <v>46281</v>
      </c>
      <c r="J944" s="3" t="s">
        <v>341</v>
      </c>
      <c r="K944" s="10" t="n">
        <v>46078</v>
      </c>
      <c r="L944" s="3" t="s">
        <v>15</v>
      </c>
      <c r="M944" s="7" t="n">
        <v>91</v>
      </c>
      <c r="N944" s="8" t="n">
        <v>0.08381</v>
      </c>
      <c r="O944" s="4" t="n">
        <f aca="false">M944*N944</f>
        <v>7.62671</v>
      </c>
    </row>
    <row r="945" customFormat="false" ht="15" hidden="false" customHeight="false" outlineLevel="0" collapsed="false">
      <c r="A945" s="0" t="s">
        <v>1611</v>
      </c>
      <c r="C945" s="0" t="s">
        <v>95</v>
      </c>
      <c r="D945" s="7" t="n">
        <v>120</v>
      </c>
      <c r="E945" s="8" t="n">
        <v>1.91</v>
      </c>
      <c r="F945" s="4" t="n">
        <f aca="false">D945*E945</f>
        <v>229.2</v>
      </c>
      <c r="G945" s="7" t="n">
        <v>100</v>
      </c>
      <c r="H945" s="9" t="n">
        <f aca="false">IF(G945&gt;0,D945/G945,"")</f>
        <v>1.2</v>
      </c>
      <c r="I945" s="10" t="n">
        <v>46188</v>
      </c>
      <c r="J945" s="3" t="s">
        <v>1612</v>
      </c>
      <c r="K945" s="10" t="n">
        <v>46189</v>
      </c>
      <c r="L945" s="3" t="s">
        <v>824</v>
      </c>
      <c r="M945" s="7" t="n">
        <v>120</v>
      </c>
      <c r="N945" s="8" t="n">
        <v>1.91</v>
      </c>
      <c r="O945" s="4" t="n">
        <f aca="false">M945*N945</f>
        <v>229.2</v>
      </c>
    </row>
    <row r="946" customFormat="false" ht="15" hidden="false" customHeight="false" outlineLevel="0" collapsed="false">
      <c r="A946" s="0" t="s">
        <v>1613</v>
      </c>
      <c r="C946" s="0" t="s">
        <v>777</v>
      </c>
      <c r="D946" s="7" t="n">
        <v>510</v>
      </c>
      <c r="E946" s="8" t="n">
        <v>0.449411764705882</v>
      </c>
      <c r="F946" s="4" t="n">
        <f aca="false">D946*E946</f>
        <v>229.2</v>
      </c>
      <c r="G946" s="7" t="n">
        <v>60</v>
      </c>
      <c r="H946" s="9" t="n">
        <f aca="false">IF(G946&gt;0,D946/G946,"")</f>
        <v>8.5</v>
      </c>
      <c r="I946" s="10" t="n">
        <v>46042</v>
      </c>
      <c r="J946" s="3" t="s">
        <v>852</v>
      </c>
      <c r="K946" s="10" t="n">
        <v>45883</v>
      </c>
      <c r="L946" s="3" t="s">
        <v>15</v>
      </c>
      <c r="M946" s="7" t="n">
        <v>570</v>
      </c>
      <c r="N946" s="8" t="n">
        <v>0.4494</v>
      </c>
      <c r="O946" s="4" t="n">
        <f aca="false">M946*N946</f>
        <v>256.158</v>
      </c>
    </row>
    <row r="947" customFormat="false" ht="15" hidden="false" customHeight="false" outlineLevel="0" collapsed="false">
      <c r="A947" s="0" t="s">
        <v>1614</v>
      </c>
      <c r="C947" s="0" t="s">
        <v>298</v>
      </c>
      <c r="D947" s="7" t="n">
        <v>24559</v>
      </c>
      <c r="E947" s="8" t="n">
        <v>0.00931756178997516</v>
      </c>
      <c r="F947" s="4" t="n">
        <f aca="false">D947*E947</f>
        <v>228.83</v>
      </c>
      <c r="G947" s="7" t="n">
        <v>1418</v>
      </c>
      <c r="H947" s="9" t="n">
        <f aca="false">IF(G947&gt;0,D947/G947,"")</f>
        <v>17.3194640338505</v>
      </c>
      <c r="I947" s="10" t="n">
        <v>46304</v>
      </c>
      <c r="K947" s="10"/>
      <c r="M947" s="7"/>
      <c r="N947" s="8"/>
      <c r="O947" s="4"/>
    </row>
    <row r="948" customFormat="false" ht="15" hidden="false" customHeight="false" outlineLevel="0" collapsed="false">
      <c r="A948" s="0" t="s">
        <v>1615</v>
      </c>
      <c r="C948" s="0" t="s">
        <v>118</v>
      </c>
      <c r="D948" s="7" t="n">
        <v>4995</v>
      </c>
      <c r="E948" s="8" t="n">
        <v>0.0457997997997998</v>
      </c>
      <c r="F948" s="4" t="n">
        <f aca="false">D948*E948</f>
        <v>228.77</v>
      </c>
      <c r="G948" s="7" t="n">
        <v>1252</v>
      </c>
      <c r="H948" s="9" t="n">
        <f aca="false">IF(G948&gt;0,D948/G948,"")</f>
        <v>3.98961661341853</v>
      </c>
      <c r="I948" s="10" t="n">
        <v>46308</v>
      </c>
      <c r="J948" s="3" t="s">
        <v>1616</v>
      </c>
      <c r="K948" s="10" t="n">
        <v>46266</v>
      </c>
      <c r="L948" s="3" t="s">
        <v>16</v>
      </c>
      <c r="M948" s="7" t="n">
        <v>5000</v>
      </c>
      <c r="N948" s="8" t="n">
        <v>0.0458</v>
      </c>
      <c r="O948" s="4" t="n">
        <f aca="false">M948*N948</f>
        <v>229</v>
      </c>
    </row>
    <row r="949" customFormat="false" ht="15" hidden="false" customHeight="false" outlineLevel="0" collapsed="false">
      <c r="A949" s="0" t="s">
        <v>1617</v>
      </c>
      <c r="C949" s="0" t="s">
        <v>79</v>
      </c>
      <c r="D949" s="7" t="n">
        <v>783</v>
      </c>
      <c r="E949" s="8" t="n">
        <v>0.291966794380588</v>
      </c>
      <c r="F949" s="4" t="n">
        <f aca="false">D949*E949</f>
        <v>228.61</v>
      </c>
      <c r="G949" s="7" t="n">
        <v>44</v>
      </c>
      <c r="H949" s="9" t="n">
        <f aca="false">IF(G949&gt;0,D949/G949,"")</f>
        <v>17.7954545454545</v>
      </c>
      <c r="I949" s="10" t="n">
        <v>46304</v>
      </c>
      <c r="J949" s="3" t="s">
        <v>1618</v>
      </c>
      <c r="K949" s="10" t="n">
        <v>45574</v>
      </c>
      <c r="L949" s="3" t="s">
        <v>16</v>
      </c>
      <c r="M949" s="7" t="n">
        <v>1000</v>
      </c>
      <c r="N949" s="8" t="n">
        <v>0.292</v>
      </c>
      <c r="O949" s="4" t="n">
        <f aca="false">M949*N949</f>
        <v>292</v>
      </c>
    </row>
    <row r="950" customFormat="false" ht="15" hidden="false" customHeight="false" outlineLevel="0" collapsed="false">
      <c r="A950" s="0" t="s">
        <v>1619</v>
      </c>
      <c r="C950" s="0" t="s">
        <v>43</v>
      </c>
      <c r="D950" s="7" t="n">
        <v>66</v>
      </c>
      <c r="E950" s="8" t="n">
        <v>3.45878787878788</v>
      </c>
      <c r="F950" s="4" t="n">
        <f aca="false">D950*E950</f>
        <v>228.28</v>
      </c>
      <c r="G950" s="7" t="n">
        <v>2</v>
      </c>
      <c r="H950" s="9" t="n">
        <f aca="false">IF(G950&gt;0,D950/G950,"")</f>
        <v>33</v>
      </c>
      <c r="I950" s="10" t="n">
        <v>46169</v>
      </c>
      <c r="J950" s="3" t="s">
        <v>1620</v>
      </c>
      <c r="K950" s="10" t="n">
        <v>44790</v>
      </c>
      <c r="L950" s="3" t="s">
        <v>14</v>
      </c>
      <c r="M950" s="7" t="n">
        <v>100</v>
      </c>
      <c r="N950" s="8" t="n">
        <v>3.459</v>
      </c>
      <c r="O950" s="4" t="n">
        <f aca="false">M950*N950</f>
        <v>345.9</v>
      </c>
    </row>
    <row r="951" customFormat="false" ht="15" hidden="false" customHeight="false" outlineLevel="0" collapsed="false">
      <c r="A951" s="0" t="s">
        <v>1621</v>
      </c>
      <c r="C951" s="0" t="s">
        <v>43</v>
      </c>
      <c r="D951" s="7" t="n">
        <v>154</v>
      </c>
      <c r="E951" s="8" t="n">
        <v>1.48162337662338</v>
      </c>
      <c r="F951" s="4" t="n">
        <f aca="false">D951*E951</f>
        <v>228.17</v>
      </c>
      <c r="G951" s="7" t="n">
        <v>17</v>
      </c>
      <c r="H951" s="9" t="n">
        <f aca="false">IF(G951&gt;0,D951/G951,"")</f>
        <v>9.05882352941176</v>
      </c>
      <c r="I951" s="10" t="n">
        <v>46237</v>
      </c>
      <c r="J951" s="3" t="s">
        <v>1622</v>
      </c>
      <c r="K951" s="10" t="n">
        <v>45393</v>
      </c>
      <c r="L951" s="3" t="s">
        <v>14</v>
      </c>
      <c r="M951" s="7" t="n">
        <v>270</v>
      </c>
      <c r="N951" s="8" t="n">
        <v>1.4816</v>
      </c>
      <c r="O951" s="4" t="n">
        <f aca="false">M951*N951</f>
        <v>400.032</v>
      </c>
    </row>
    <row r="952" customFormat="false" ht="15" hidden="false" customHeight="false" outlineLevel="0" collapsed="false">
      <c r="A952" s="0" t="s">
        <v>1623</v>
      </c>
      <c r="C952" s="0" t="s">
        <v>370</v>
      </c>
      <c r="D952" s="7" t="n">
        <v>2151</v>
      </c>
      <c r="E952" s="8" t="n">
        <v>0.105862389586239</v>
      </c>
      <c r="F952" s="4" t="n">
        <f aca="false">D952*E952</f>
        <v>227.71</v>
      </c>
      <c r="G952" s="7" t="n">
        <v>401</v>
      </c>
      <c r="H952" s="9" t="n">
        <f aca="false">IF(G952&gt;0,D952/G952,"")</f>
        <v>5.3640897755611</v>
      </c>
      <c r="I952" s="10" t="n">
        <v>46281</v>
      </c>
      <c r="J952" s="3" t="s">
        <v>895</v>
      </c>
      <c r="K952" s="10" t="n">
        <v>45516</v>
      </c>
      <c r="L952" s="3" t="s">
        <v>21</v>
      </c>
      <c r="M952" s="7" t="n">
        <v>1000</v>
      </c>
      <c r="N952" s="8" t="n">
        <v>0.1</v>
      </c>
      <c r="O952" s="4" t="n">
        <f aca="false">M952*N952</f>
        <v>100</v>
      </c>
    </row>
    <row r="953" customFormat="false" ht="15" hidden="false" customHeight="false" outlineLevel="0" collapsed="false">
      <c r="A953" s="0" t="s">
        <v>1624</v>
      </c>
      <c r="C953" s="0" t="s">
        <v>255</v>
      </c>
      <c r="D953" s="7" t="n">
        <v>690</v>
      </c>
      <c r="E953" s="8" t="n">
        <v>0.329478260869565</v>
      </c>
      <c r="F953" s="4" t="n">
        <f aca="false">D953*E953</f>
        <v>227.34</v>
      </c>
      <c r="G953" s="7" t="n">
        <v>352</v>
      </c>
      <c r="H953" s="9" t="n">
        <f aca="false">IF(G953&gt;0,D953/G953,"")</f>
        <v>1.96022727272727</v>
      </c>
      <c r="I953" s="10" t="n">
        <v>46296</v>
      </c>
      <c r="J953" s="3" t="s">
        <v>696</v>
      </c>
      <c r="K953" s="10" t="n">
        <v>45476</v>
      </c>
      <c r="L953" s="3" t="s">
        <v>257</v>
      </c>
      <c r="M953" s="7" t="n">
        <v>1000</v>
      </c>
      <c r="N953" s="8" t="n">
        <v>0.33</v>
      </c>
      <c r="O953" s="4" t="n">
        <f aca="false">M953*N953</f>
        <v>330</v>
      </c>
    </row>
    <row r="954" customFormat="false" ht="15" hidden="false" customHeight="false" outlineLevel="0" collapsed="false">
      <c r="A954" s="0" t="s">
        <v>1625</v>
      </c>
      <c r="C954" s="0" t="s">
        <v>34</v>
      </c>
      <c r="D954" s="7" t="n">
        <v>4360</v>
      </c>
      <c r="E954" s="8" t="n">
        <v>0.0521307339449541</v>
      </c>
      <c r="F954" s="4" t="n">
        <f aca="false">D954*E954</f>
        <v>227.29</v>
      </c>
      <c r="G954" s="7" t="n">
        <v>20</v>
      </c>
      <c r="H954" s="9" t="n">
        <f aca="false">IF(G954&gt;0,D954/G954,"")</f>
        <v>218</v>
      </c>
      <c r="I954" s="10" t="n">
        <v>46247</v>
      </c>
      <c r="J954" s="3" t="s">
        <v>1626</v>
      </c>
      <c r="K954" s="10" t="n">
        <v>45700</v>
      </c>
      <c r="L954" s="3" t="s">
        <v>15</v>
      </c>
      <c r="M954" s="7" t="n">
        <v>4380</v>
      </c>
      <c r="N954" s="8" t="n">
        <v>0.05213</v>
      </c>
      <c r="O954" s="4" t="n">
        <f aca="false">M954*N954</f>
        <v>228.3294</v>
      </c>
    </row>
    <row r="955" customFormat="false" ht="15" hidden="false" customHeight="false" outlineLevel="0" collapsed="false">
      <c r="A955" s="0" t="s">
        <v>1627</v>
      </c>
      <c r="C955" s="0" t="s">
        <v>37</v>
      </c>
      <c r="D955" s="7" t="n">
        <v>1665</v>
      </c>
      <c r="E955" s="8" t="n">
        <v>0.136462462462463</v>
      </c>
      <c r="F955" s="4" t="n">
        <f aca="false">D955*E955</f>
        <v>227.21</v>
      </c>
      <c r="G955" s="7" t="n">
        <v>200</v>
      </c>
      <c r="H955" s="9" t="n">
        <f aca="false">IF(G955&gt;0,D955/G955,"")</f>
        <v>8.325</v>
      </c>
      <c r="I955" s="10" t="n">
        <v>46101</v>
      </c>
      <c r="J955" s="3" t="s">
        <v>1628</v>
      </c>
      <c r="K955" s="10" t="n">
        <v>45840</v>
      </c>
      <c r="L955" s="3" t="s">
        <v>19</v>
      </c>
      <c r="M955" s="7" t="n">
        <v>204</v>
      </c>
      <c r="N955" s="8" t="n">
        <v>0.1873</v>
      </c>
      <c r="O955" s="4" t="n">
        <f aca="false">M955*N955</f>
        <v>38.2092</v>
      </c>
    </row>
    <row r="956" customFormat="false" ht="15" hidden="false" customHeight="false" outlineLevel="0" collapsed="false">
      <c r="A956" s="0" t="s">
        <v>1629</v>
      </c>
      <c r="C956" s="0" t="s">
        <v>298</v>
      </c>
      <c r="D956" s="7" t="n">
        <v>2567</v>
      </c>
      <c r="E956" s="8" t="n">
        <v>0.0885001947798987</v>
      </c>
      <c r="F956" s="4" t="n">
        <f aca="false">D956*E956</f>
        <v>227.18</v>
      </c>
      <c r="G956" s="7" t="n">
        <v>62</v>
      </c>
      <c r="H956" s="9" t="n">
        <f aca="false">IF(G956&gt;0,D956/G956,"")</f>
        <v>41.4032258064516</v>
      </c>
      <c r="I956" s="10" t="n">
        <v>46261</v>
      </c>
      <c r="J956" s="3" t="s">
        <v>1630</v>
      </c>
      <c r="K956" s="10" t="n">
        <v>45448</v>
      </c>
      <c r="L956" s="3" t="s">
        <v>19</v>
      </c>
      <c r="M956" s="7" t="n">
        <v>2825</v>
      </c>
      <c r="N956" s="8" t="n">
        <v>0.0885</v>
      </c>
      <c r="O956" s="4" t="n">
        <f aca="false">M956*N956</f>
        <v>250.0125</v>
      </c>
    </row>
    <row r="957" customFormat="false" ht="15" hidden="false" customHeight="false" outlineLevel="0" collapsed="false">
      <c r="A957" s="0" t="s">
        <v>1631</v>
      </c>
      <c r="C957" s="0" t="s">
        <v>295</v>
      </c>
      <c r="D957" s="7" t="n">
        <v>2765</v>
      </c>
      <c r="E957" s="8" t="n">
        <v>0.0821446654611212</v>
      </c>
      <c r="F957" s="4" t="n">
        <f aca="false">D957*E957</f>
        <v>227.13</v>
      </c>
      <c r="G957" s="7" t="n">
        <v>861</v>
      </c>
      <c r="H957" s="9" t="n">
        <f aca="false">IF(G957&gt;0,D957/G957,"")</f>
        <v>3.21138211382114</v>
      </c>
      <c r="I957" s="10" t="n">
        <v>46316</v>
      </c>
      <c r="J957" s="3" t="s">
        <v>338</v>
      </c>
      <c r="K957" s="10" t="n">
        <v>44859</v>
      </c>
      <c r="L957" s="3" t="s">
        <v>20</v>
      </c>
      <c r="M957" s="7" t="n">
        <v>8000</v>
      </c>
      <c r="N957" s="8" t="n">
        <v>0.08214</v>
      </c>
      <c r="O957" s="4" t="n">
        <f aca="false">M957*N957</f>
        <v>657.12</v>
      </c>
    </row>
    <row r="958" customFormat="false" ht="15" hidden="false" customHeight="false" outlineLevel="0" collapsed="false">
      <c r="A958" s="0" t="s">
        <v>1632</v>
      </c>
      <c r="C958" s="0" t="s">
        <v>45</v>
      </c>
      <c r="D958" s="7" t="n">
        <v>740</v>
      </c>
      <c r="E958" s="8" t="n">
        <v>0.306797297297297</v>
      </c>
      <c r="F958" s="4" t="n">
        <f aca="false">D958*E958</f>
        <v>227.03</v>
      </c>
      <c r="G958" s="7" t="n">
        <v>60</v>
      </c>
      <c r="H958" s="9" t="n">
        <f aca="false">IF(G958&gt;0,D958/G958,"")</f>
        <v>12.3333333333333</v>
      </c>
      <c r="I958" s="10" t="n">
        <v>46178</v>
      </c>
      <c r="J958" s="3" t="s">
        <v>1423</v>
      </c>
      <c r="K958" s="10" t="n">
        <v>45786</v>
      </c>
      <c r="L958" s="3" t="s">
        <v>23</v>
      </c>
      <c r="M958" s="7" t="n">
        <v>1000</v>
      </c>
      <c r="N958" s="8" t="n">
        <v>0.3068</v>
      </c>
      <c r="O958" s="4" t="n">
        <f aca="false">M958*N958</f>
        <v>306.8</v>
      </c>
    </row>
    <row r="959" customFormat="false" ht="15" hidden="false" customHeight="false" outlineLevel="0" collapsed="false">
      <c r="A959" s="0" t="s">
        <v>1633</v>
      </c>
      <c r="C959" s="0" t="s">
        <v>360</v>
      </c>
      <c r="D959" s="7" t="n">
        <v>4968</v>
      </c>
      <c r="E959" s="8" t="n">
        <v>0.0456803542673108</v>
      </c>
      <c r="F959" s="4" t="n">
        <f aca="false">D959*E959</f>
        <v>226.94</v>
      </c>
      <c r="G959" s="7" t="n">
        <v>500</v>
      </c>
      <c r="H959" s="9" t="n">
        <f aca="false">IF(G959&gt;0,D959/G959,"")</f>
        <v>9.936</v>
      </c>
      <c r="I959" s="10" t="n">
        <v>46287</v>
      </c>
      <c r="J959" s="3" t="s">
        <v>1213</v>
      </c>
      <c r="K959" s="10" t="n">
        <v>45554</v>
      </c>
      <c r="L959" s="3" t="s">
        <v>15</v>
      </c>
      <c r="M959" s="7" t="n">
        <v>5435</v>
      </c>
      <c r="N959" s="8" t="n">
        <v>0.04555</v>
      </c>
      <c r="O959" s="4" t="n">
        <f aca="false">M959*N959</f>
        <v>247.56425</v>
      </c>
    </row>
    <row r="960" customFormat="false" ht="15" hidden="false" customHeight="false" outlineLevel="0" collapsed="false">
      <c r="A960" s="0" t="s">
        <v>1634</v>
      </c>
      <c r="C960" s="0" t="s">
        <v>31</v>
      </c>
      <c r="D960" s="7" t="n">
        <v>23011</v>
      </c>
      <c r="E960" s="8" t="n">
        <v>0.00986093607405154</v>
      </c>
      <c r="F960" s="4" t="n">
        <f aca="false">D960*E960</f>
        <v>226.91</v>
      </c>
      <c r="G960" s="7" t="n">
        <v>2625</v>
      </c>
      <c r="H960" s="9" t="n">
        <f aca="false">IF(G960&gt;0,D960/G960,"")</f>
        <v>8.76609523809524</v>
      </c>
      <c r="I960" s="10" t="n">
        <v>46218</v>
      </c>
      <c r="J960" s="3" t="s">
        <v>1384</v>
      </c>
      <c r="K960" s="10" t="n">
        <v>45672</v>
      </c>
      <c r="L960" s="3" t="s">
        <v>16</v>
      </c>
      <c r="M960" s="7" t="n">
        <v>20000</v>
      </c>
      <c r="N960" s="8" t="n">
        <v>0.01</v>
      </c>
      <c r="O960" s="4" t="n">
        <f aca="false">M960*N960</f>
        <v>200</v>
      </c>
    </row>
    <row r="961" customFormat="false" ht="15" hidden="false" customHeight="false" outlineLevel="0" collapsed="false">
      <c r="A961" s="0" t="s">
        <v>1635</v>
      </c>
      <c r="C961" s="0" t="s">
        <v>118</v>
      </c>
      <c r="D961" s="7" t="n">
        <v>1885</v>
      </c>
      <c r="E961" s="8" t="n">
        <v>0.120281167108753</v>
      </c>
      <c r="F961" s="4" t="n">
        <f aca="false">D961*E961</f>
        <v>226.73</v>
      </c>
      <c r="G961" s="7" t="n">
        <v>315</v>
      </c>
      <c r="H961" s="9" t="n">
        <f aca="false">IF(G961&gt;0,D961/G961,"")</f>
        <v>5.98412698412698</v>
      </c>
      <c r="I961" s="10" t="n">
        <v>46259</v>
      </c>
      <c r="J961" s="3" t="s">
        <v>1636</v>
      </c>
      <c r="K961" s="10" t="n">
        <v>46252</v>
      </c>
      <c r="L961" s="3" t="s">
        <v>19</v>
      </c>
      <c r="M961" s="7" t="n">
        <v>50</v>
      </c>
      <c r="N961" s="8" t="n">
        <v>0.9101</v>
      </c>
      <c r="O961" s="4" t="n">
        <f aca="false">M961*N961</f>
        <v>45.505</v>
      </c>
    </row>
    <row r="962" customFormat="false" ht="15" hidden="false" customHeight="false" outlineLevel="0" collapsed="false">
      <c r="A962" s="0" t="s">
        <v>1637</v>
      </c>
      <c r="C962" s="0" t="s">
        <v>255</v>
      </c>
      <c r="D962" s="7" t="n">
        <v>614</v>
      </c>
      <c r="E962" s="8" t="n">
        <v>0.369234527687296</v>
      </c>
      <c r="F962" s="4" t="n">
        <f aca="false">D962*E962</f>
        <v>226.71</v>
      </c>
      <c r="G962" s="7" t="n">
        <v>386</v>
      </c>
      <c r="H962" s="9" t="n">
        <f aca="false">IF(G962&gt;0,D962/G962,"")</f>
        <v>1.59067357512953</v>
      </c>
      <c r="I962" s="10" t="n">
        <v>46296</v>
      </c>
      <c r="J962" s="3" t="s">
        <v>368</v>
      </c>
      <c r="K962" s="10" t="n">
        <v>45085</v>
      </c>
      <c r="L962" s="3" t="s">
        <v>257</v>
      </c>
      <c r="M962" s="7" t="n">
        <v>1009</v>
      </c>
      <c r="N962" s="8" t="n">
        <v>0.34</v>
      </c>
      <c r="O962" s="4" t="n">
        <f aca="false">M962*N962</f>
        <v>343.06</v>
      </c>
    </row>
    <row r="963" customFormat="false" ht="15" hidden="false" customHeight="false" outlineLevel="0" collapsed="false">
      <c r="A963" s="0" t="s">
        <v>1638</v>
      </c>
      <c r="C963" s="0" t="s">
        <v>33</v>
      </c>
      <c r="D963" s="7" t="n">
        <v>1224</v>
      </c>
      <c r="E963" s="8" t="n">
        <v>0.185138888888889</v>
      </c>
      <c r="F963" s="4" t="n">
        <f aca="false">D963*E963</f>
        <v>226.61</v>
      </c>
      <c r="G963" s="7" t="n">
        <v>61</v>
      </c>
      <c r="H963" s="9" t="n">
        <f aca="false">IF(G963&gt;0,D963/G963,"")</f>
        <v>20.0655737704918</v>
      </c>
      <c r="I963" s="10" t="n">
        <v>46225</v>
      </c>
      <c r="J963" s="3" t="s">
        <v>1639</v>
      </c>
      <c r="K963" s="10" t="n">
        <v>44572</v>
      </c>
      <c r="L963" s="3" t="s">
        <v>15</v>
      </c>
      <c r="M963" s="7" t="n">
        <v>790</v>
      </c>
      <c r="N963" s="8" t="n">
        <v>0.16813</v>
      </c>
      <c r="O963" s="4" t="n">
        <f aca="false">M963*N963</f>
        <v>132.8227</v>
      </c>
    </row>
    <row r="964" customFormat="false" ht="15" hidden="false" customHeight="false" outlineLevel="0" collapsed="false">
      <c r="A964" s="0" t="s">
        <v>1640</v>
      </c>
      <c r="C964" s="0" t="s">
        <v>370</v>
      </c>
      <c r="D964" s="7" t="n">
        <v>3833</v>
      </c>
      <c r="E964" s="8" t="n">
        <v>0.0590868771197496</v>
      </c>
      <c r="F964" s="4" t="n">
        <f aca="false">D964*E964</f>
        <v>226.48</v>
      </c>
      <c r="G964" s="7" t="n">
        <v>240</v>
      </c>
      <c r="H964" s="9" t="n">
        <f aca="false">IF(G964&gt;0,D964/G964,"")</f>
        <v>15.9708333333333</v>
      </c>
      <c r="I964" s="10" t="n">
        <v>46261</v>
      </c>
      <c r="J964" s="3" t="s">
        <v>1641</v>
      </c>
      <c r="K964" s="10" t="n">
        <v>45275</v>
      </c>
      <c r="L964" s="3" t="s">
        <v>21</v>
      </c>
      <c r="M964" s="7" t="n">
        <v>5000</v>
      </c>
      <c r="N964" s="8" t="n">
        <v>0.05</v>
      </c>
      <c r="O964" s="4" t="n">
        <f aca="false">M964*N964</f>
        <v>250</v>
      </c>
    </row>
    <row r="965" customFormat="false" ht="15" hidden="false" customHeight="false" outlineLevel="0" collapsed="false">
      <c r="A965" s="0" t="s">
        <v>1642</v>
      </c>
      <c r="C965" s="0" t="s">
        <v>285</v>
      </c>
      <c r="D965" s="7" t="n">
        <v>6632</v>
      </c>
      <c r="E965" s="8" t="n">
        <v>0.0341209288299156</v>
      </c>
      <c r="F965" s="4" t="n">
        <f aca="false">D965*E965</f>
        <v>226.29</v>
      </c>
      <c r="G965" s="7" t="n">
        <v>1068</v>
      </c>
      <c r="H965" s="9" t="n">
        <f aca="false">IF(G965&gt;0,D965/G965,"")</f>
        <v>6.20973782771536</v>
      </c>
      <c r="I965" s="10" t="n">
        <v>46281</v>
      </c>
      <c r="J965" s="3" t="s">
        <v>972</v>
      </c>
      <c r="K965" s="10" t="n">
        <v>45840</v>
      </c>
      <c r="L965" s="3" t="s">
        <v>20</v>
      </c>
      <c r="M965" s="7" t="n">
        <v>8800</v>
      </c>
      <c r="N965" s="8" t="n">
        <v>0.03412</v>
      </c>
      <c r="O965" s="4" t="n">
        <f aca="false">M965*N965</f>
        <v>300.256</v>
      </c>
    </row>
    <row r="966" customFormat="false" ht="15" hidden="false" customHeight="false" outlineLevel="0" collapsed="false">
      <c r="A966" s="0" t="s">
        <v>1643</v>
      </c>
      <c r="C966" s="0" t="s">
        <v>37</v>
      </c>
      <c r="D966" s="7" t="n">
        <v>2453</v>
      </c>
      <c r="E966" s="8" t="n">
        <v>0.0922013860578883</v>
      </c>
      <c r="F966" s="4" t="n">
        <f aca="false">D966*E966</f>
        <v>226.17</v>
      </c>
      <c r="G966" s="7" t="n">
        <v>27</v>
      </c>
      <c r="H966" s="9" t="n">
        <f aca="false">IF(G966&gt;0,D966/G966,"")</f>
        <v>90.8518518518519</v>
      </c>
      <c r="I966" s="10" t="n">
        <v>46182</v>
      </c>
      <c r="J966" s="3" t="s">
        <v>852</v>
      </c>
      <c r="K966" s="10" t="n">
        <v>45883</v>
      </c>
      <c r="L966" s="3" t="s">
        <v>15</v>
      </c>
      <c r="M966" s="7" t="n">
        <v>2480</v>
      </c>
      <c r="N966" s="8" t="n">
        <v>0.0922</v>
      </c>
      <c r="O966" s="4" t="n">
        <f aca="false">M966*N966</f>
        <v>228.656</v>
      </c>
    </row>
    <row r="967" customFormat="false" ht="15" hidden="false" customHeight="false" outlineLevel="0" collapsed="false">
      <c r="A967" s="0" t="s">
        <v>1644</v>
      </c>
      <c r="C967" s="0" t="s">
        <v>36</v>
      </c>
      <c r="D967" s="7" t="n">
        <v>345</v>
      </c>
      <c r="E967" s="8" t="n">
        <v>0.655449275362319</v>
      </c>
      <c r="F967" s="4" t="n">
        <f aca="false">D967*E967</f>
        <v>226.13</v>
      </c>
      <c r="G967" s="7" t="n">
        <v>11</v>
      </c>
      <c r="H967" s="9" t="n">
        <f aca="false">IF(G967&gt;0,D967/G967,"")</f>
        <v>31.3636363636364</v>
      </c>
      <c r="I967" s="10" t="n">
        <v>46274</v>
      </c>
      <c r="J967" s="3" t="s">
        <v>550</v>
      </c>
      <c r="K967" s="10" t="n">
        <v>45922</v>
      </c>
      <c r="L967" s="3" t="s">
        <v>14</v>
      </c>
      <c r="M967" s="7" t="n">
        <v>481</v>
      </c>
      <c r="N967" s="8" t="n">
        <v>0.6832</v>
      </c>
      <c r="O967" s="4" t="n">
        <f aca="false">M967*N967</f>
        <v>328.6192</v>
      </c>
    </row>
    <row r="968" customFormat="false" ht="15" hidden="false" customHeight="false" outlineLevel="0" collapsed="false">
      <c r="A968" s="0" t="s">
        <v>1645</v>
      </c>
      <c r="C968" s="0" t="s">
        <v>31</v>
      </c>
      <c r="D968" s="7" t="n">
        <v>37659</v>
      </c>
      <c r="E968" s="8" t="n">
        <v>0.00599989378369049</v>
      </c>
      <c r="F968" s="4" t="n">
        <f aca="false">D968*E968</f>
        <v>225.95</v>
      </c>
      <c r="G968" s="7" t="n">
        <v>20263</v>
      </c>
      <c r="H968" s="9" t="n">
        <f aca="false">IF(G968&gt;0,D968/G968,"")</f>
        <v>1.85851058579677</v>
      </c>
      <c r="I968" s="10" t="n">
        <v>46279</v>
      </c>
      <c r="J968" s="3" t="s">
        <v>1646</v>
      </c>
      <c r="K968" s="10" t="n">
        <v>45176</v>
      </c>
      <c r="L968" s="3" t="s">
        <v>14</v>
      </c>
      <c r="M968" s="7" t="n">
        <v>10000</v>
      </c>
      <c r="N968" s="8" t="n">
        <v>0.0066</v>
      </c>
      <c r="O968" s="4" t="n">
        <f aca="false">M968*N968</f>
        <v>66</v>
      </c>
    </row>
    <row r="969" customFormat="false" ht="15" hidden="false" customHeight="false" outlineLevel="0" collapsed="false">
      <c r="A969" s="0" t="s">
        <v>1647</v>
      </c>
      <c r="C969" s="0" t="s">
        <v>37</v>
      </c>
      <c r="D969" s="7" t="n">
        <v>18733</v>
      </c>
      <c r="E969" s="8" t="n">
        <v>0.01203544547056</v>
      </c>
      <c r="F969" s="4" t="n">
        <f aca="false">D969*E969</f>
        <v>225.46</v>
      </c>
      <c r="G969" s="7" t="n">
        <v>1095</v>
      </c>
      <c r="H969" s="9" t="n">
        <f aca="false">IF(G969&gt;0,D969/G969,"")</f>
        <v>17.1077625570776</v>
      </c>
      <c r="I969" s="10" t="n">
        <v>46267</v>
      </c>
      <c r="J969" s="3" t="s">
        <v>1648</v>
      </c>
      <c r="K969" s="10" t="n">
        <v>45672</v>
      </c>
      <c r="L969" s="3" t="s">
        <v>15</v>
      </c>
      <c r="M969" s="7" t="n">
        <v>19505</v>
      </c>
      <c r="N969" s="8" t="n">
        <v>0.01201</v>
      </c>
      <c r="O969" s="4" t="n">
        <f aca="false">M969*N969</f>
        <v>234.25505</v>
      </c>
    </row>
    <row r="970" customFormat="false" ht="15" hidden="false" customHeight="false" outlineLevel="0" collapsed="false">
      <c r="A970" s="0" t="s">
        <v>1649</v>
      </c>
      <c r="C970" s="0" t="s">
        <v>285</v>
      </c>
      <c r="D970" s="7" t="n">
        <v>51242</v>
      </c>
      <c r="E970" s="8" t="n">
        <v>0.00439990632684126</v>
      </c>
      <c r="F970" s="4" t="n">
        <f aca="false">D970*E970</f>
        <v>225.46</v>
      </c>
      <c r="G970" s="7" t="n">
        <v>4250</v>
      </c>
      <c r="H970" s="9" t="n">
        <f aca="false">IF(G970&gt;0,D970/G970,"")</f>
        <v>12.0569411764706</v>
      </c>
      <c r="I970" s="10" t="n">
        <v>46230</v>
      </c>
      <c r="J970" s="3" t="s">
        <v>919</v>
      </c>
      <c r="K970" s="10" t="n">
        <v>45119</v>
      </c>
      <c r="L970" s="3" t="s">
        <v>15</v>
      </c>
      <c r="M970" s="7" t="n">
        <v>58200</v>
      </c>
      <c r="N970" s="8" t="n">
        <v>0.0044</v>
      </c>
      <c r="O970" s="4" t="n">
        <f aca="false">M970*N970</f>
        <v>256.08</v>
      </c>
    </row>
    <row r="971" customFormat="false" ht="15" hidden="false" customHeight="false" outlineLevel="0" collapsed="false">
      <c r="A971" s="0" t="s">
        <v>1650</v>
      </c>
      <c r="C971" s="0" t="s">
        <v>34</v>
      </c>
      <c r="D971" s="7" t="n">
        <v>10464</v>
      </c>
      <c r="E971" s="8" t="n">
        <v>0.0215414755351682</v>
      </c>
      <c r="F971" s="4" t="n">
        <f aca="false">D971*E971</f>
        <v>225.41</v>
      </c>
      <c r="G971" s="7" t="n">
        <v>6681</v>
      </c>
      <c r="H971" s="9" t="n">
        <f aca="false">IF(G971&gt;0,D971/G971,"")</f>
        <v>1.56623259991019</v>
      </c>
      <c r="I971" s="10" t="n">
        <v>46233</v>
      </c>
      <c r="J971" s="3" t="s">
        <v>1651</v>
      </c>
      <c r="K971" s="10" t="n">
        <v>46069</v>
      </c>
      <c r="L971" s="3" t="s">
        <v>16</v>
      </c>
      <c r="M971" s="7" t="n">
        <v>14844</v>
      </c>
      <c r="N971" s="8" t="n">
        <v>0.0215</v>
      </c>
      <c r="O971" s="4" t="n">
        <f aca="false">M971*N971</f>
        <v>319.146</v>
      </c>
    </row>
    <row r="972" customFormat="false" ht="15" hidden="false" customHeight="false" outlineLevel="0" collapsed="false">
      <c r="A972" s="0" t="s">
        <v>1652</v>
      </c>
      <c r="C972" s="0" t="s">
        <v>36</v>
      </c>
      <c r="D972" s="7" t="n">
        <v>1001</v>
      </c>
      <c r="E972" s="8" t="n">
        <v>0.225174825174825</v>
      </c>
      <c r="F972" s="4" t="n">
        <f aca="false">D972*E972</f>
        <v>225.4</v>
      </c>
      <c r="G972" s="7" t="n">
        <v>15</v>
      </c>
      <c r="H972" s="9" t="n">
        <f aca="false">IF(G972&gt;0,D972/G972,"")</f>
        <v>66.7333333333333</v>
      </c>
      <c r="I972" s="10" t="n">
        <v>46273</v>
      </c>
      <c r="J972" s="3" t="s">
        <v>1653</v>
      </c>
      <c r="K972" s="10" t="n">
        <v>44754</v>
      </c>
      <c r="L972" s="3" t="s">
        <v>15</v>
      </c>
      <c r="M972" s="7" t="n">
        <v>1086</v>
      </c>
      <c r="N972" s="8" t="n">
        <v>0.23701</v>
      </c>
      <c r="O972" s="4" t="n">
        <v>245.54236</v>
      </c>
    </row>
    <row r="973" customFormat="false" ht="15" hidden="false" customHeight="false" outlineLevel="0" collapsed="false">
      <c r="A973" s="0" t="s">
        <v>1654</v>
      </c>
      <c r="C973" s="0" t="s">
        <v>34</v>
      </c>
      <c r="D973" s="7" t="n">
        <v>22975</v>
      </c>
      <c r="E973" s="8" t="n">
        <v>0.00980021762785637</v>
      </c>
      <c r="F973" s="4" t="n">
        <f aca="false">D973*E973</f>
        <v>225.16</v>
      </c>
      <c r="G973" s="7" t="n">
        <v>22673</v>
      </c>
      <c r="H973" s="9" t="n">
        <f aca="false">IF(G973&gt;0,D973/G973,"")</f>
        <v>1.01331980770079</v>
      </c>
      <c r="I973" s="10" t="n">
        <v>46315</v>
      </c>
      <c r="J973" s="3" t="s">
        <v>478</v>
      </c>
      <c r="K973" s="10" t="n">
        <v>46185</v>
      </c>
      <c r="L973" s="3" t="s">
        <v>16</v>
      </c>
      <c r="M973" s="7" t="n">
        <v>23025</v>
      </c>
      <c r="N973" s="8" t="n">
        <v>0.0098</v>
      </c>
      <c r="O973" s="4" t="n">
        <f aca="false">M973*N973</f>
        <v>225.645</v>
      </c>
    </row>
    <row r="974" customFormat="false" ht="15" hidden="false" customHeight="false" outlineLevel="0" collapsed="false">
      <c r="A974" s="0" t="s">
        <v>1655</v>
      </c>
      <c r="C974" s="0" t="s">
        <v>1101</v>
      </c>
      <c r="D974" s="7" t="n">
        <v>57</v>
      </c>
      <c r="E974" s="8" t="n">
        <v>3.95</v>
      </c>
      <c r="F974" s="4" t="n">
        <f aca="false">D974*E974</f>
        <v>225.15</v>
      </c>
      <c r="G974" s="7" t="n">
        <v>4</v>
      </c>
      <c r="H974" s="9" t="n">
        <f aca="false">IF(G974&gt;0,D974/G974,"")</f>
        <v>14.25</v>
      </c>
      <c r="I974" s="10" t="n">
        <v>46178</v>
      </c>
      <c r="J974" s="3" t="s">
        <v>1656</v>
      </c>
      <c r="K974" s="10" t="n">
        <v>45544</v>
      </c>
      <c r="L974" s="3" t="s">
        <v>1103</v>
      </c>
      <c r="M974" s="7" t="n">
        <v>101</v>
      </c>
      <c r="N974" s="8" t="n">
        <v>3.95</v>
      </c>
      <c r="O974" s="4" t="n">
        <f aca="false">M974*N974</f>
        <v>398.95</v>
      </c>
    </row>
    <row r="975" customFormat="false" ht="15" hidden="false" customHeight="false" outlineLevel="0" collapsed="false">
      <c r="A975" s="0" t="s">
        <v>1657</v>
      </c>
      <c r="D975" s="7" t="n">
        <v>61</v>
      </c>
      <c r="E975" s="8" t="n">
        <v>3.69</v>
      </c>
      <c r="F975" s="4" t="n">
        <f aca="false">D975*E975</f>
        <v>225.09</v>
      </c>
      <c r="G975" s="7" t="n">
        <v>27</v>
      </c>
      <c r="H975" s="9" t="n">
        <f aca="false">IF(G975&gt;0,D975/G975,"")</f>
        <v>2.25925925925926</v>
      </c>
      <c r="I975" s="10" t="n">
        <v>46146</v>
      </c>
      <c r="J975" s="3" t="s">
        <v>349</v>
      </c>
      <c r="K975" s="10" t="n">
        <v>46252</v>
      </c>
      <c r="L975" s="3" t="s">
        <v>24</v>
      </c>
      <c r="M975" s="7" t="n">
        <v>72</v>
      </c>
      <c r="N975" s="8" t="n">
        <v>3.69</v>
      </c>
      <c r="O975" s="4" t="n">
        <f aca="false">M975*N975</f>
        <v>265.68</v>
      </c>
    </row>
    <row r="976" customFormat="false" ht="15" hidden="false" customHeight="false" outlineLevel="0" collapsed="false">
      <c r="A976" s="0" t="s">
        <v>1658</v>
      </c>
      <c r="C976" s="0" t="s">
        <v>225</v>
      </c>
      <c r="D976" s="7" t="n">
        <v>20</v>
      </c>
      <c r="E976" s="8" t="n">
        <v>11.2465</v>
      </c>
      <c r="F976" s="4" t="n">
        <f aca="false">D976*E976</f>
        <v>224.93</v>
      </c>
      <c r="G976" s="7" t="n">
        <v>15</v>
      </c>
      <c r="H976" s="9" t="n">
        <f aca="false">IF(G976&gt;0,D976/G976,"")</f>
        <v>1.33333333333333</v>
      </c>
      <c r="I976" s="10" t="n">
        <v>46244</v>
      </c>
      <c r="J976" s="3" t="s">
        <v>336</v>
      </c>
      <c r="K976" s="10" t="n">
        <v>46245</v>
      </c>
      <c r="L976" s="3" t="s">
        <v>14</v>
      </c>
      <c r="M976" s="7" t="n">
        <v>20</v>
      </c>
      <c r="N976" s="8" t="n">
        <v>11.2465</v>
      </c>
      <c r="O976" s="4" t="n">
        <f aca="false">M976*N976</f>
        <v>224.93</v>
      </c>
    </row>
    <row r="977" customFormat="false" ht="15" hidden="false" customHeight="false" outlineLevel="0" collapsed="false">
      <c r="A977" s="0" t="s">
        <v>1659</v>
      </c>
      <c r="C977" s="0" t="s">
        <v>43</v>
      </c>
      <c r="D977" s="7" t="n">
        <v>402</v>
      </c>
      <c r="E977" s="8" t="n">
        <v>0.559378109452736</v>
      </c>
      <c r="F977" s="4" t="n">
        <f aca="false">D977*E977</f>
        <v>224.87</v>
      </c>
      <c r="G977" s="7" t="n">
        <v>8</v>
      </c>
      <c r="H977" s="9" t="n">
        <f aca="false">IF(G977&gt;0,D977/G977,"")</f>
        <v>50.25</v>
      </c>
      <c r="I977" s="10" t="n">
        <v>46202</v>
      </c>
      <c r="J977" s="3" t="s">
        <v>271</v>
      </c>
      <c r="K977" s="10" t="n">
        <v>44326</v>
      </c>
      <c r="L977" s="3" t="s">
        <v>14</v>
      </c>
      <c r="M977" s="7" t="n">
        <v>540</v>
      </c>
      <c r="N977" s="8" t="n">
        <v>0.5594</v>
      </c>
      <c r="O977" s="4" t="n">
        <f aca="false">M977*N977</f>
        <v>302.076</v>
      </c>
    </row>
    <row r="978" customFormat="false" ht="15" hidden="false" customHeight="false" outlineLevel="0" collapsed="false">
      <c r="A978" s="0" t="s">
        <v>1660</v>
      </c>
      <c r="C978" s="0" t="s">
        <v>44</v>
      </c>
      <c r="D978" s="7" t="n">
        <v>9</v>
      </c>
      <c r="E978" s="8" t="n">
        <v>24.9855555555556</v>
      </c>
      <c r="F978" s="4" t="n">
        <f aca="false">D978*E978</f>
        <v>224.87</v>
      </c>
      <c r="G978" s="7" t="n">
        <v>6</v>
      </c>
      <c r="H978" s="9" t="n">
        <f aca="false">IF(G978&gt;0,D978/G978,"")</f>
        <v>1.5</v>
      </c>
      <c r="I978" s="10" t="n">
        <v>46197</v>
      </c>
      <c r="J978" s="3" t="s">
        <v>1661</v>
      </c>
      <c r="K978" s="10" t="n">
        <v>44875</v>
      </c>
      <c r="L978" s="3" t="s">
        <v>14</v>
      </c>
      <c r="M978" s="7" t="n">
        <v>25</v>
      </c>
      <c r="N978" s="8" t="n">
        <v>24.9864</v>
      </c>
      <c r="O978" s="4" t="n">
        <f aca="false">M978*N978</f>
        <v>624.66</v>
      </c>
    </row>
    <row r="979" customFormat="false" ht="15" hidden="false" customHeight="false" outlineLevel="0" collapsed="false">
      <c r="A979" s="0" t="s">
        <v>1662</v>
      </c>
      <c r="C979" s="0" t="s">
        <v>61</v>
      </c>
      <c r="D979" s="7" t="n">
        <v>1252</v>
      </c>
      <c r="E979" s="8" t="n">
        <v>0.17944089456869</v>
      </c>
      <c r="F979" s="4" t="n">
        <f aca="false">D979*E979</f>
        <v>224.66</v>
      </c>
      <c r="G979" s="7" t="n">
        <v>310</v>
      </c>
      <c r="H979" s="9" t="n">
        <f aca="false">IF(G979&gt;0,D979/G979,"")</f>
        <v>4.03870967741936</v>
      </c>
      <c r="I979" s="10" t="n">
        <v>46188</v>
      </c>
      <c r="J979" s="3" t="s">
        <v>1663</v>
      </c>
      <c r="K979" s="10" t="n">
        <v>44291</v>
      </c>
      <c r="L979" s="3" t="s">
        <v>23</v>
      </c>
      <c r="M979" s="7" t="n">
        <v>6000</v>
      </c>
      <c r="N979" s="8" t="n">
        <v>0.1793</v>
      </c>
      <c r="O979" s="4" t="n">
        <f aca="false">M979*N979</f>
        <v>1075.8</v>
      </c>
    </row>
    <row r="980" customFormat="false" ht="15" hidden="false" customHeight="false" outlineLevel="0" collapsed="false">
      <c r="A980" s="0" t="s">
        <v>1664</v>
      </c>
      <c r="C980" s="0" t="s">
        <v>360</v>
      </c>
      <c r="D980" s="7" t="n">
        <v>8501</v>
      </c>
      <c r="E980" s="8" t="n">
        <v>0.0264251264557111</v>
      </c>
      <c r="F980" s="4" t="n">
        <f aca="false">D980*E980</f>
        <v>224.64</v>
      </c>
      <c r="G980" s="7" t="n">
        <v>85</v>
      </c>
      <c r="H980" s="9" t="n">
        <f aca="false">IF(G980&gt;0,D980/G980,"")</f>
        <v>100.011764705882</v>
      </c>
      <c r="I980" s="10" t="n">
        <v>46210</v>
      </c>
      <c r="J980" s="3" t="s">
        <v>1213</v>
      </c>
      <c r="K980" s="10" t="n">
        <v>45554</v>
      </c>
      <c r="L980" s="3" t="s">
        <v>15</v>
      </c>
      <c r="M980" s="7" t="n">
        <v>8680</v>
      </c>
      <c r="N980" s="8" t="n">
        <v>0.02621</v>
      </c>
      <c r="O980" s="4" t="n">
        <f aca="false">M980*N980</f>
        <v>227.5028</v>
      </c>
    </row>
    <row r="981" customFormat="false" ht="15" hidden="false" customHeight="false" outlineLevel="0" collapsed="false">
      <c r="A981" s="0" t="s">
        <v>1665</v>
      </c>
      <c r="C981" s="0" t="s">
        <v>118</v>
      </c>
      <c r="D981" s="7" t="n">
        <v>10263</v>
      </c>
      <c r="E981" s="8" t="n">
        <v>0.0218688492643477</v>
      </c>
      <c r="F981" s="4" t="n">
        <f aca="false">D981*E981</f>
        <v>224.44</v>
      </c>
      <c r="G981" s="7" t="n">
        <v>81</v>
      </c>
      <c r="H981" s="9" t="n">
        <f aca="false">IF(G981&gt;0,D981/G981,"")</f>
        <v>126.703703703704</v>
      </c>
      <c r="I981" s="10" t="n">
        <v>46300</v>
      </c>
      <c r="J981" s="3" t="s">
        <v>999</v>
      </c>
      <c r="K981" s="10" t="n">
        <v>44862</v>
      </c>
      <c r="L981" s="3" t="s">
        <v>15</v>
      </c>
      <c r="M981" s="7" t="n">
        <v>11135</v>
      </c>
      <c r="N981" s="8" t="n">
        <v>0.02187</v>
      </c>
      <c r="O981" s="4" t="n">
        <f aca="false">M981*N981</f>
        <v>243.52245</v>
      </c>
    </row>
    <row r="982" customFormat="false" ht="15" hidden="false" customHeight="false" outlineLevel="0" collapsed="false">
      <c r="A982" s="0" t="s">
        <v>1666</v>
      </c>
      <c r="C982" s="0" t="s">
        <v>61</v>
      </c>
      <c r="D982" s="7" t="n">
        <v>576</v>
      </c>
      <c r="E982" s="8" t="n">
        <v>0.389409722222222</v>
      </c>
      <c r="F982" s="4" t="n">
        <f aca="false">D982*E982</f>
        <v>224.3</v>
      </c>
      <c r="G982" s="7" t="n">
        <v>22</v>
      </c>
      <c r="H982" s="9" t="n">
        <f aca="false">IF(G982&gt;0,D982/G982,"")</f>
        <v>26.1818181818182</v>
      </c>
      <c r="I982" s="10" t="n">
        <v>46310</v>
      </c>
      <c r="J982" s="3" t="s">
        <v>1667</v>
      </c>
      <c r="K982" s="10" t="n">
        <v>44980</v>
      </c>
      <c r="L982" s="3" t="s">
        <v>23</v>
      </c>
      <c r="M982" s="7" t="n">
        <v>600</v>
      </c>
      <c r="N982" s="8" t="n">
        <v>0.3894</v>
      </c>
      <c r="O982" s="4" t="n">
        <f aca="false">M982*N982</f>
        <v>233.64</v>
      </c>
    </row>
    <row r="983" customFormat="false" ht="15" hidden="false" customHeight="false" outlineLevel="0" collapsed="false">
      <c r="A983" s="0" t="s">
        <v>1668</v>
      </c>
      <c r="C983" s="0" t="s">
        <v>38</v>
      </c>
      <c r="D983" s="7" t="n">
        <v>1568</v>
      </c>
      <c r="E983" s="8" t="n">
        <v>0.142850765306123</v>
      </c>
      <c r="F983" s="4" t="n">
        <f aca="false">D983*E983</f>
        <v>223.99</v>
      </c>
      <c r="G983" s="7" t="n">
        <v>2</v>
      </c>
      <c r="H983" s="9" t="n">
        <f aca="false">IF(G983&gt;0,D983/G983,"")</f>
        <v>784</v>
      </c>
      <c r="I983" s="10" t="n">
        <v>46146</v>
      </c>
      <c r="J983" s="3" t="s">
        <v>1211</v>
      </c>
      <c r="K983" s="10" t="n">
        <v>45750</v>
      </c>
      <c r="L983" s="3" t="s">
        <v>26</v>
      </c>
      <c r="M983" s="7" t="n">
        <v>44</v>
      </c>
      <c r="N983" s="8" t="n">
        <v>0.4054</v>
      </c>
      <c r="O983" s="4" t="n">
        <f aca="false">M983*N983</f>
        <v>17.8376</v>
      </c>
    </row>
    <row r="984" customFormat="false" ht="15" hidden="false" customHeight="false" outlineLevel="0" collapsed="false">
      <c r="A984" s="0" t="s">
        <v>1669</v>
      </c>
      <c r="C984" s="0" t="s">
        <v>340</v>
      </c>
      <c r="D984" s="7" t="n">
        <v>70701</v>
      </c>
      <c r="E984" s="8" t="n">
        <v>0.00316728193377746</v>
      </c>
      <c r="F984" s="4" t="n">
        <f aca="false">D984*E984</f>
        <v>223.93</v>
      </c>
      <c r="G984" s="7" t="n">
        <v>29425</v>
      </c>
      <c r="H984" s="9" t="n">
        <f aca="false">IF(G984&gt;0,D984/G984,"")</f>
        <v>2.40275276125743</v>
      </c>
      <c r="I984" s="10" t="n">
        <v>46240</v>
      </c>
      <c r="J984" s="3" t="s">
        <v>620</v>
      </c>
      <c r="K984" s="10" t="n">
        <v>46146</v>
      </c>
      <c r="L984" s="3" t="s">
        <v>16</v>
      </c>
      <c r="M984" s="7" t="n">
        <v>80635</v>
      </c>
      <c r="N984" s="8" t="n">
        <v>0.0027</v>
      </c>
      <c r="O984" s="4" t="n">
        <f aca="false">M984*N984</f>
        <v>217.7145</v>
      </c>
    </row>
    <row r="985" customFormat="false" ht="15" hidden="false" customHeight="false" outlineLevel="0" collapsed="false">
      <c r="A985" s="0" t="s">
        <v>1670</v>
      </c>
      <c r="C985" s="0" t="s">
        <v>777</v>
      </c>
      <c r="D985" s="7" t="n">
        <v>1320</v>
      </c>
      <c r="E985" s="8" t="n">
        <v>0.1695</v>
      </c>
      <c r="F985" s="4" t="n">
        <f aca="false">D985*E985</f>
        <v>223.74</v>
      </c>
      <c r="G985" s="7" t="n">
        <v>79</v>
      </c>
      <c r="H985" s="9" t="n">
        <f aca="false">IF(G985&gt;0,D985/G985,"")</f>
        <v>16.7088607594937</v>
      </c>
      <c r="I985" s="10" t="n">
        <v>46156</v>
      </c>
      <c r="J985" s="3" t="s">
        <v>1671</v>
      </c>
      <c r="K985" s="10" t="n">
        <v>46148</v>
      </c>
      <c r="L985" s="3" t="s">
        <v>26</v>
      </c>
      <c r="M985" s="7" t="n">
        <v>80</v>
      </c>
      <c r="N985" s="8" t="n">
        <v>0.9627</v>
      </c>
      <c r="O985" s="4" t="n">
        <f aca="false">M985*N985</f>
        <v>77.016</v>
      </c>
    </row>
    <row r="986" customFormat="false" ht="15" hidden="false" customHeight="false" outlineLevel="0" collapsed="false">
      <c r="A986" s="0" t="s">
        <v>1672</v>
      </c>
      <c r="C986" s="0" t="s">
        <v>43</v>
      </c>
      <c r="D986" s="7" t="n">
        <v>68</v>
      </c>
      <c r="E986" s="8" t="n">
        <v>3.28852941176471</v>
      </c>
      <c r="F986" s="4" t="n">
        <f aca="false">D986*E986</f>
        <v>223.62</v>
      </c>
      <c r="G986" s="7" t="n">
        <v>14</v>
      </c>
      <c r="H986" s="9" t="n">
        <f aca="false">IF(G986&gt;0,D986/G986,"")</f>
        <v>4.85714285714286</v>
      </c>
      <c r="I986" s="10" t="n">
        <v>46098</v>
      </c>
      <c r="J986" s="3" t="s">
        <v>725</v>
      </c>
      <c r="K986" s="10" t="n">
        <v>45523</v>
      </c>
      <c r="L986" s="3" t="s">
        <v>14</v>
      </c>
      <c r="M986" s="7" t="n">
        <v>122</v>
      </c>
      <c r="N986" s="8" t="n">
        <v>3.2884</v>
      </c>
      <c r="O986" s="4" t="n">
        <f aca="false">M986*N986</f>
        <v>401.1848</v>
      </c>
    </row>
    <row r="987" customFormat="false" ht="15" hidden="false" customHeight="false" outlineLevel="0" collapsed="false">
      <c r="A987" s="0" t="s">
        <v>1673</v>
      </c>
      <c r="C987" s="0" t="s">
        <v>360</v>
      </c>
      <c r="D987" s="7" t="n">
        <v>1117</v>
      </c>
      <c r="E987" s="8" t="n">
        <v>0.2</v>
      </c>
      <c r="F987" s="4" t="n">
        <f aca="false">D987*E987</f>
        <v>223.4</v>
      </c>
      <c r="G987" s="7" t="n">
        <v>46</v>
      </c>
      <c r="H987" s="9" t="n">
        <f aca="false">IF(G987&gt;0,D987/G987,"")</f>
        <v>24.2826086956522</v>
      </c>
      <c r="I987" s="10" t="n">
        <v>45961</v>
      </c>
      <c r="J987" s="3" t="s">
        <v>1204</v>
      </c>
      <c r="K987" s="10" t="n">
        <v>45840</v>
      </c>
      <c r="L987" s="3" t="s">
        <v>15</v>
      </c>
      <c r="M987" s="7" t="n">
        <v>1000</v>
      </c>
      <c r="N987" s="8" t="n">
        <v>0.2</v>
      </c>
      <c r="O987" s="4" t="n">
        <f aca="false">M987*N987</f>
        <v>200</v>
      </c>
    </row>
    <row r="988" customFormat="false" ht="15" hidden="false" customHeight="false" outlineLevel="0" collapsed="false">
      <c r="A988" s="0" t="s">
        <v>1674</v>
      </c>
      <c r="C988" s="0" t="s">
        <v>889</v>
      </c>
      <c r="D988" s="7" t="n">
        <v>1027</v>
      </c>
      <c r="E988" s="8" t="n">
        <v>0.217526777020448</v>
      </c>
      <c r="F988" s="4" t="n">
        <f aca="false">D988*E988</f>
        <v>223.4</v>
      </c>
      <c r="G988" s="7" t="n">
        <v>2</v>
      </c>
      <c r="H988" s="9" t="n">
        <f aca="false">IF(G988&gt;0,D988/G988,"")</f>
        <v>513.5</v>
      </c>
      <c r="I988" s="10" t="n">
        <v>46202</v>
      </c>
      <c r="K988" s="10"/>
      <c r="M988" s="7"/>
      <c r="N988" s="8"/>
      <c r="O988" s="4"/>
    </row>
    <row r="989" customFormat="false" ht="15" hidden="false" customHeight="false" outlineLevel="0" collapsed="false">
      <c r="A989" s="0" t="s">
        <v>1675</v>
      </c>
      <c r="C989" s="0" t="s">
        <v>360</v>
      </c>
      <c r="D989" s="7" t="n">
        <v>11332</v>
      </c>
      <c r="E989" s="8" t="n">
        <v>0.01969908224497</v>
      </c>
      <c r="F989" s="4" t="n">
        <f aca="false">D989*E989</f>
        <v>223.23</v>
      </c>
      <c r="G989" s="7" t="n">
        <v>535</v>
      </c>
      <c r="H989" s="9" t="n">
        <f aca="false">IF(G989&gt;0,D989/G989,"")</f>
        <v>21.181308411215</v>
      </c>
      <c r="I989" s="10" t="n">
        <v>46294</v>
      </c>
      <c r="J989" s="3" t="s">
        <v>1676</v>
      </c>
      <c r="K989" s="10" t="n">
        <v>45721</v>
      </c>
      <c r="L989" s="3" t="s">
        <v>15</v>
      </c>
      <c r="M989" s="7" t="n">
        <v>12017</v>
      </c>
      <c r="N989" s="8" t="n">
        <v>0.0197</v>
      </c>
      <c r="O989" s="4" t="n">
        <f aca="false">M989*N989</f>
        <v>236.7349</v>
      </c>
    </row>
    <row r="990" customFormat="false" ht="15" hidden="false" customHeight="false" outlineLevel="0" collapsed="false">
      <c r="A990" s="0" t="s">
        <v>1677</v>
      </c>
      <c r="C990" s="0" t="s">
        <v>85</v>
      </c>
      <c r="D990" s="7" t="n">
        <v>93</v>
      </c>
      <c r="E990" s="8" t="n">
        <v>2.39978494623656</v>
      </c>
      <c r="F990" s="4" t="n">
        <f aca="false">D990*E990</f>
        <v>223.18</v>
      </c>
      <c r="G990" s="7" t="n">
        <v>74</v>
      </c>
      <c r="H990" s="9" t="n">
        <f aca="false">IF(G990&gt;0,D990/G990,"")</f>
        <v>1.25675675675676</v>
      </c>
      <c r="I990" s="10" t="n">
        <v>46260</v>
      </c>
      <c r="J990" s="3" t="s">
        <v>1678</v>
      </c>
      <c r="K990" s="10" t="n">
        <v>45996</v>
      </c>
      <c r="L990" s="3" t="s">
        <v>14</v>
      </c>
      <c r="M990" s="7" t="n">
        <v>164</v>
      </c>
      <c r="N990" s="8" t="n">
        <v>2.5404878</v>
      </c>
      <c r="O990" s="4" t="n">
        <f aca="false">M990*N990</f>
        <v>416.6399992</v>
      </c>
    </row>
    <row r="991" customFormat="false" ht="15" hidden="false" customHeight="false" outlineLevel="0" collapsed="false">
      <c r="A991" s="0" t="s">
        <v>1679</v>
      </c>
      <c r="C991" s="0" t="s">
        <v>69</v>
      </c>
      <c r="D991" s="7" t="n">
        <v>2713</v>
      </c>
      <c r="E991" s="8" t="n">
        <v>0.0821894581643937</v>
      </c>
      <c r="F991" s="4" t="n">
        <f aca="false">D991*E991</f>
        <v>222.98</v>
      </c>
      <c r="G991" s="7" t="n">
        <v>1052</v>
      </c>
      <c r="H991" s="9" t="n">
        <f aca="false">IF(G991&gt;0,D991/G991,"")</f>
        <v>2.57889733840304</v>
      </c>
      <c r="I991" s="10" t="n">
        <v>46293</v>
      </c>
      <c r="J991" s="3" t="s">
        <v>590</v>
      </c>
      <c r="K991" s="10" t="n">
        <v>45407</v>
      </c>
      <c r="L991" s="3" t="s">
        <v>223</v>
      </c>
      <c r="M991" s="7" t="n">
        <v>5000</v>
      </c>
      <c r="N991" s="8" t="n">
        <v>0.082</v>
      </c>
      <c r="O991" s="4" t="n">
        <f aca="false">M991*N991</f>
        <v>410</v>
      </c>
    </row>
    <row r="992" customFormat="false" ht="15" hidden="false" customHeight="false" outlineLevel="0" collapsed="false">
      <c r="A992" s="0" t="s">
        <v>1680</v>
      </c>
      <c r="C992" s="0" t="s">
        <v>41</v>
      </c>
      <c r="D992" s="7" t="n">
        <v>15736</v>
      </c>
      <c r="E992" s="8" t="n">
        <v>0.0141503558718861</v>
      </c>
      <c r="F992" s="4" t="n">
        <f aca="false">D992*E992</f>
        <v>222.67</v>
      </c>
      <c r="G992" s="7" t="n">
        <v>7</v>
      </c>
      <c r="H992" s="9" t="n">
        <f aca="false">IF(G992&gt;0,D992/G992,"")</f>
        <v>2248</v>
      </c>
      <c r="I992" s="10" t="n">
        <v>46048</v>
      </c>
      <c r="J992" s="3" t="s">
        <v>990</v>
      </c>
      <c r="K992" s="10" t="n">
        <v>44235</v>
      </c>
      <c r="L992" s="3" t="s">
        <v>15</v>
      </c>
      <c r="M992" s="7" t="n">
        <v>16000</v>
      </c>
      <c r="N992" s="8" t="n">
        <v>0.01415</v>
      </c>
      <c r="O992" s="4" t="n">
        <f aca="false">M992*N992</f>
        <v>226.4</v>
      </c>
    </row>
    <row r="993" customFormat="false" ht="15" hidden="false" customHeight="false" outlineLevel="0" collapsed="false">
      <c r="A993" s="0" t="s">
        <v>1681</v>
      </c>
      <c r="C993" s="0" t="s">
        <v>979</v>
      </c>
      <c r="D993" s="7" t="n">
        <v>60</v>
      </c>
      <c r="E993" s="8" t="n">
        <v>3.707</v>
      </c>
      <c r="F993" s="4" t="n">
        <f aca="false">D993*E993</f>
        <v>222.42</v>
      </c>
      <c r="G993" s="7" t="n">
        <v>1</v>
      </c>
      <c r="H993" s="9" t="n">
        <f aca="false">IF(G993&gt;0,D993/G993,"")</f>
        <v>60</v>
      </c>
      <c r="I993" s="10" t="n">
        <v>46175</v>
      </c>
      <c r="J993" s="3" t="s">
        <v>1682</v>
      </c>
      <c r="K993" s="10" t="n">
        <v>44343</v>
      </c>
      <c r="L993" s="3" t="s">
        <v>18</v>
      </c>
      <c r="M993" s="7" t="n">
        <v>88</v>
      </c>
      <c r="N993" s="8" t="n">
        <v>3.7069</v>
      </c>
      <c r="O993" s="4" t="n">
        <f aca="false">M993*N993</f>
        <v>326.2072</v>
      </c>
    </row>
    <row r="994" customFormat="false" ht="15" hidden="false" customHeight="false" outlineLevel="0" collapsed="false">
      <c r="A994" s="0" t="s">
        <v>1683</v>
      </c>
      <c r="C994" s="0" t="s">
        <v>340</v>
      </c>
      <c r="D994" s="7" t="n">
        <v>99699</v>
      </c>
      <c r="E994" s="8" t="n">
        <v>0.00223001233713478</v>
      </c>
      <c r="F994" s="4" t="n">
        <f aca="false">D994*E994</f>
        <v>222.33</v>
      </c>
      <c r="G994" s="7" t="n">
        <v>7703</v>
      </c>
      <c r="H994" s="9" t="n">
        <f aca="false">IF(G994&gt;0,D994/G994,"")</f>
        <v>12.9428793976373</v>
      </c>
      <c r="I994" s="10" t="n">
        <v>46247</v>
      </c>
      <c r="J994" s="3" t="s">
        <v>1684</v>
      </c>
      <c r="K994" s="10" t="n">
        <v>45755</v>
      </c>
      <c r="L994" s="3" t="s">
        <v>15</v>
      </c>
      <c r="M994" s="7" t="n">
        <v>100800</v>
      </c>
      <c r="N994" s="8" t="n">
        <v>0.00223</v>
      </c>
      <c r="O994" s="4" t="n">
        <f aca="false">M994*N994</f>
        <v>224.784</v>
      </c>
    </row>
    <row r="995" customFormat="false" ht="15" hidden="false" customHeight="false" outlineLevel="0" collapsed="false">
      <c r="A995" s="0" t="s">
        <v>1685</v>
      </c>
      <c r="C995" s="0" t="s">
        <v>41</v>
      </c>
      <c r="D995" s="7" t="n">
        <v>2498</v>
      </c>
      <c r="E995" s="8" t="n">
        <v>0.0889991993594876</v>
      </c>
      <c r="F995" s="4" t="n">
        <f aca="false">D995*E995</f>
        <v>222.32</v>
      </c>
      <c r="G995" s="7" t="n">
        <v>1002</v>
      </c>
      <c r="H995" s="9" t="n">
        <f aca="false">IF(G995&gt;0,D995/G995,"")</f>
        <v>2.49301397205589</v>
      </c>
      <c r="I995" s="10" t="n">
        <v>46258</v>
      </c>
      <c r="J995" s="3" t="s">
        <v>1686</v>
      </c>
      <c r="K995" s="10" t="n">
        <v>45243</v>
      </c>
      <c r="L995" s="3" t="s">
        <v>25</v>
      </c>
      <c r="M995" s="7" t="n">
        <v>5000</v>
      </c>
      <c r="N995" s="8" t="n">
        <v>0.089</v>
      </c>
      <c r="O995" s="4" t="n">
        <f aca="false">M995*N995</f>
        <v>445</v>
      </c>
    </row>
    <row r="996" customFormat="false" ht="15" hidden="false" customHeight="false" outlineLevel="0" collapsed="false">
      <c r="A996" s="0" t="s">
        <v>1687</v>
      </c>
      <c r="C996" s="0" t="s">
        <v>221</v>
      </c>
      <c r="D996" s="7" t="n">
        <v>551</v>
      </c>
      <c r="E996" s="8" t="n">
        <v>0.403176043557169</v>
      </c>
      <c r="F996" s="4" t="n">
        <f aca="false">D996*E996</f>
        <v>222.15</v>
      </c>
      <c r="G996" s="7" t="n">
        <v>38</v>
      </c>
      <c r="H996" s="9" t="n">
        <f aca="false">IF(G996&gt;0,D996/G996,"")</f>
        <v>14.5</v>
      </c>
      <c r="I996" s="10" t="n">
        <v>46279</v>
      </c>
      <c r="J996" s="3" t="s">
        <v>1688</v>
      </c>
      <c r="K996" s="10" t="n">
        <v>45490</v>
      </c>
      <c r="L996" s="3" t="s">
        <v>223</v>
      </c>
      <c r="M996" s="7" t="n">
        <v>500</v>
      </c>
      <c r="N996" s="8" t="n">
        <v>0.406</v>
      </c>
      <c r="O996" s="4" t="n">
        <f aca="false">M996*N996</f>
        <v>203</v>
      </c>
    </row>
    <row r="997" customFormat="false" ht="15" hidden="false" customHeight="false" outlineLevel="0" collapsed="false">
      <c r="A997" s="0" t="s">
        <v>1689</v>
      </c>
      <c r="C997" s="0" t="s">
        <v>31</v>
      </c>
      <c r="D997" s="7" t="n">
        <v>4171</v>
      </c>
      <c r="E997" s="8" t="n">
        <v>0.0531910812754735</v>
      </c>
      <c r="F997" s="4" t="n">
        <f aca="false">D997*E997</f>
        <v>221.86</v>
      </c>
      <c r="G997" s="7" t="n">
        <v>303</v>
      </c>
      <c r="H997" s="9" t="n">
        <f aca="false">IF(G997&gt;0,D997/G997,"")</f>
        <v>13.7656765676568</v>
      </c>
      <c r="I997" s="10" t="n">
        <v>46308</v>
      </c>
      <c r="J997" s="3" t="s">
        <v>1013</v>
      </c>
      <c r="K997" s="10" t="n">
        <v>44340</v>
      </c>
      <c r="L997" s="3" t="s">
        <v>16</v>
      </c>
      <c r="M997" s="7" t="n">
        <v>5300</v>
      </c>
      <c r="N997" s="8" t="n">
        <v>0.05319</v>
      </c>
      <c r="O997" s="4" t="n">
        <f aca="false">M997*N997</f>
        <v>281.907</v>
      </c>
    </row>
    <row r="998" customFormat="false" ht="15" hidden="false" customHeight="false" outlineLevel="0" collapsed="false">
      <c r="A998" s="0" t="s">
        <v>1690</v>
      </c>
      <c r="C998" s="0" t="s">
        <v>39</v>
      </c>
      <c r="D998" s="7" t="n">
        <v>4393</v>
      </c>
      <c r="E998" s="8" t="n">
        <v>0.0504985203733212</v>
      </c>
      <c r="F998" s="4" t="n">
        <f aca="false">D998*E998</f>
        <v>221.84</v>
      </c>
      <c r="G998" s="7" t="n">
        <v>1944</v>
      </c>
      <c r="H998" s="9" t="n">
        <f aca="false">IF(G998&gt;0,D998/G998,"")</f>
        <v>2.25977366255144</v>
      </c>
      <c r="I998" s="10" t="n">
        <v>46219</v>
      </c>
      <c r="J998" s="3" t="s">
        <v>1691</v>
      </c>
      <c r="K998" s="10" t="n">
        <v>44335</v>
      </c>
      <c r="L998" s="3" t="s">
        <v>18</v>
      </c>
      <c r="M998" s="7" t="n">
        <v>30616</v>
      </c>
      <c r="N998" s="8" t="n">
        <v>0.0505</v>
      </c>
      <c r="O998" s="4" t="n">
        <f aca="false">M998*N998</f>
        <v>1546.108</v>
      </c>
    </row>
    <row r="999" customFormat="false" ht="15" hidden="false" customHeight="false" outlineLevel="0" collapsed="false">
      <c r="A999" s="0" t="s">
        <v>1692</v>
      </c>
      <c r="C999" s="0" t="s">
        <v>360</v>
      </c>
      <c r="D999" s="7" t="n">
        <v>5698</v>
      </c>
      <c r="E999" s="8" t="n">
        <v>0.0388188838188838</v>
      </c>
      <c r="F999" s="4" t="n">
        <f aca="false">D999*E999</f>
        <v>221.19</v>
      </c>
      <c r="G999" s="7" t="n">
        <v>657</v>
      </c>
      <c r="H999" s="9" t="n">
        <f aca="false">IF(G999&gt;0,D999/G999,"")</f>
        <v>8.67275494672755</v>
      </c>
      <c r="I999" s="10" t="n">
        <v>46217</v>
      </c>
      <c r="J999" s="3" t="s">
        <v>1213</v>
      </c>
      <c r="K999" s="10" t="n">
        <v>45554</v>
      </c>
      <c r="L999" s="3" t="s">
        <v>15</v>
      </c>
      <c r="M999" s="7" t="n">
        <v>6395</v>
      </c>
      <c r="N999" s="8" t="n">
        <v>0.03882</v>
      </c>
      <c r="O999" s="4" t="n">
        <f aca="false">M999*N999</f>
        <v>248.2539</v>
      </c>
    </row>
    <row r="1000" customFormat="false" ht="15" hidden="false" customHeight="false" outlineLevel="0" collapsed="false">
      <c r="A1000" s="0" t="s">
        <v>1693</v>
      </c>
      <c r="C1000" s="0" t="s">
        <v>979</v>
      </c>
      <c r="D1000" s="7" t="n">
        <v>3135</v>
      </c>
      <c r="E1000" s="8" t="n">
        <v>0.070481658692185</v>
      </c>
      <c r="F1000" s="4" t="n">
        <f aca="false">D1000*E1000</f>
        <v>220.96</v>
      </c>
      <c r="G1000" s="7" t="n">
        <v>1600</v>
      </c>
      <c r="H1000" s="9" t="n">
        <f aca="false">IF(G1000&gt;0,D1000/G1000,"")</f>
        <v>1.959375</v>
      </c>
      <c r="I1000" s="10" t="n">
        <v>46274</v>
      </c>
      <c r="J1000" s="3" t="s">
        <v>1694</v>
      </c>
      <c r="K1000" s="10" t="n">
        <v>46078</v>
      </c>
      <c r="L1000" s="3" t="s">
        <v>28</v>
      </c>
      <c r="M1000" s="7" t="n">
        <v>910</v>
      </c>
      <c r="N1000" s="8" t="n">
        <v>0.2043</v>
      </c>
      <c r="O1000" s="4" t="n">
        <f aca="false">M1000*N1000</f>
        <v>185.913</v>
      </c>
    </row>
    <row r="1001" customFormat="false" ht="15" hidden="false" customHeight="false" outlineLevel="0" collapsed="false">
      <c r="A1001" s="0" t="s">
        <v>1695</v>
      </c>
      <c r="C1001" s="0" t="s">
        <v>777</v>
      </c>
      <c r="D1001" s="7" t="n">
        <v>570</v>
      </c>
      <c r="E1001" s="8" t="n">
        <v>0.38759649122807</v>
      </c>
      <c r="F1001" s="4" t="n">
        <f aca="false">D1001*E1001</f>
        <v>220.93</v>
      </c>
      <c r="G1001" s="7" t="n">
        <v>40</v>
      </c>
      <c r="H1001" s="9" t="n">
        <f aca="false">IF(G1001&gt;0,D1001/G1001,"")</f>
        <v>14.25</v>
      </c>
      <c r="I1001" s="10" t="n">
        <v>46161</v>
      </c>
      <c r="J1001" s="3" t="s">
        <v>1671</v>
      </c>
      <c r="K1001" s="10" t="n">
        <v>46148</v>
      </c>
      <c r="L1001" s="3" t="s">
        <v>26</v>
      </c>
      <c r="M1001" s="7" t="n">
        <v>40</v>
      </c>
      <c r="N1001" s="8" t="n">
        <v>2.4068</v>
      </c>
      <c r="O1001" s="4" t="n">
        <f aca="false">M1001*N1001</f>
        <v>96.272</v>
      </c>
    </row>
    <row r="1002" customFormat="false" ht="15" hidden="false" customHeight="false" outlineLevel="0" collapsed="false">
      <c r="A1002" s="0" t="s">
        <v>1696</v>
      </c>
      <c r="C1002" s="0" t="s">
        <v>37</v>
      </c>
      <c r="D1002" s="7" t="n">
        <v>1734</v>
      </c>
      <c r="E1002" s="8" t="n">
        <v>0.127335640138408</v>
      </c>
      <c r="F1002" s="4" t="n">
        <f aca="false">D1002*E1002</f>
        <v>220.8</v>
      </c>
      <c r="G1002" s="7" t="n">
        <v>451</v>
      </c>
      <c r="H1002" s="9" t="n">
        <f aca="false">IF(G1002&gt;0,D1002/G1002,"")</f>
        <v>3.84478935698448</v>
      </c>
      <c r="I1002" s="10" t="n">
        <v>46283</v>
      </c>
      <c r="J1002" s="3" t="s">
        <v>903</v>
      </c>
      <c r="K1002" s="10" t="n">
        <v>45098</v>
      </c>
      <c r="L1002" s="3" t="s">
        <v>15</v>
      </c>
      <c r="M1002" s="7" t="n">
        <v>2500</v>
      </c>
      <c r="N1002" s="8" t="n">
        <v>0.12733</v>
      </c>
      <c r="O1002" s="4" t="n">
        <f aca="false">M1002*N1002</f>
        <v>318.325</v>
      </c>
    </row>
    <row r="1003" customFormat="false" ht="15" hidden="false" customHeight="false" outlineLevel="0" collapsed="false">
      <c r="A1003" s="0" t="s">
        <v>1697</v>
      </c>
      <c r="C1003" s="0" t="s">
        <v>41</v>
      </c>
      <c r="D1003" s="7" t="n">
        <v>7890</v>
      </c>
      <c r="E1003" s="8" t="n">
        <v>0.027979721166033</v>
      </c>
      <c r="F1003" s="4" t="n">
        <f aca="false">D1003*E1003</f>
        <v>220.76</v>
      </c>
      <c r="G1003" s="7" t="n">
        <v>10</v>
      </c>
      <c r="H1003" s="9" t="n">
        <f aca="false">IF(G1003&gt;0,D1003/G1003,"")</f>
        <v>789</v>
      </c>
      <c r="I1003" s="10" t="n">
        <v>45987</v>
      </c>
      <c r="J1003" s="3" t="s">
        <v>1698</v>
      </c>
      <c r="K1003" s="10" t="n">
        <v>44270</v>
      </c>
      <c r="L1003" s="3" t="s">
        <v>15</v>
      </c>
      <c r="M1003" s="7" t="n">
        <v>7900</v>
      </c>
      <c r="N1003" s="8" t="n">
        <v>0.02798</v>
      </c>
      <c r="O1003" s="4" t="n">
        <f aca="false">M1003*N1003</f>
        <v>221.042</v>
      </c>
    </row>
    <row r="1004" customFormat="false" ht="15" hidden="false" customHeight="false" outlineLevel="0" collapsed="false">
      <c r="A1004" s="0" t="s">
        <v>1699</v>
      </c>
      <c r="C1004" s="0" t="s">
        <v>494</v>
      </c>
      <c r="D1004" s="7" t="n">
        <v>6032</v>
      </c>
      <c r="E1004" s="8" t="n">
        <v>0.0365981432360743</v>
      </c>
      <c r="F1004" s="4" t="n">
        <f aca="false">D1004*E1004</f>
        <v>220.76</v>
      </c>
      <c r="G1004" s="7" t="n">
        <v>100</v>
      </c>
      <c r="H1004" s="9" t="n">
        <f aca="false">IF(G1004&gt;0,D1004/G1004,"")</f>
        <v>60.32</v>
      </c>
      <c r="I1004" s="10" t="n">
        <v>46314</v>
      </c>
      <c r="J1004" s="3" t="s">
        <v>1700</v>
      </c>
      <c r="K1004" s="10" t="n">
        <v>44906</v>
      </c>
      <c r="L1004" s="3" t="s">
        <v>936</v>
      </c>
      <c r="M1004" s="7" t="n">
        <v>42</v>
      </c>
      <c r="N1004" s="8" t="n">
        <v>1.545</v>
      </c>
      <c r="O1004" s="4" t="n">
        <f aca="false">M1004*N1004</f>
        <v>64.89</v>
      </c>
    </row>
    <row r="1005" customFormat="false" ht="15" hidden="false" customHeight="false" outlineLevel="0" collapsed="false">
      <c r="A1005" s="0" t="s">
        <v>1701</v>
      </c>
      <c r="C1005" s="0" t="s">
        <v>69</v>
      </c>
      <c r="D1005" s="7" t="n">
        <v>1211</v>
      </c>
      <c r="E1005" s="8" t="n">
        <v>0.181990090834022</v>
      </c>
      <c r="F1005" s="4" t="n">
        <f aca="false">D1005*E1005</f>
        <v>220.39</v>
      </c>
      <c r="G1005" s="7" t="n">
        <v>179</v>
      </c>
      <c r="H1005" s="9" t="n">
        <f aca="false">IF(G1005&gt;0,D1005/G1005,"")</f>
        <v>6.76536312849162</v>
      </c>
      <c r="I1005" s="10" t="n">
        <v>46295</v>
      </c>
      <c r="J1005" s="3" t="s">
        <v>1702</v>
      </c>
      <c r="K1005" s="10" t="n">
        <v>44348</v>
      </c>
      <c r="L1005" s="3" t="s">
        <v>223</v>
      </c>
      <c r="M1005" s="7" t="n">
        <v>8000</v>
      </c>
      <c r="N1005" s="8" t="n">
        <v>0.182</v>
      </c>
      <c r="O1005" s="4" t="n">
        <f aca="false">M1005*N1005</f>
        <v>1456</v>
      </c>
    </row>
    <row r="1006" customFormat="false" ht="15" hidden="false" customHeight="false" outlineLevel="0" collapsed="false">
      <c r="A1006" s="0" t="s">
        <v>1703</v>
      </c>
      <c r="C1006" s="0" t="s">
        <v>37</v>
      </c>
      <c r="D1006" s="7" t="n">
        <v>16890</v>
      </c>
      <c r="E1006" s="8" t="n">
        <v>0.0130426287744227</v>
      </c>
      <c r="F1006" s="4" t="n">
        <f aca="false">D1006*E1006</f>
        <v>220.29</v>
      </c>
      <c r="G1006" s="7" t="n">
        <v>6405</v>
      </c>
      <c r="H1006" s="9" t="n">
        <f aca="false">IF(G1006&gt;0,D1006/G1006,"")</f>
        <v>2.63700234192037</v>
      </c>
      <c r="I1006" s="10" t="n">
        <v>46314</v>
      </c>
      <c r="J1006" s="3" t="s">
        <v>924</v>
      </c>
      <c r="K1006" s="10" t="n">
        <v>45127</v>
      </c>
      <c r="L1006" s="3" t="s">
        <v>15</v>
      </c>
      <c r="M1006" s="7" t="n">
        <v>15000</v>
      </c>
      <c r="N1006" s="8" t="n">
        <v>0.01345</v>
      </c>
      <c r="O1006" s="4" t="n">
        <f aca="false">M1006*N1006</f>
        <v>201.75</v>
      </c>
    </row>
    <row r="1007" customFormat="false" ht="15" hidden="false" customHeight="false" outlineLevel="0" collapsed="false">
      <c r="A1007" s="0" t="s">
        <v>1704</v>
      </c>
      <c r="C1007" s="0" t="s">
        <v>285</v>
      </c>
      <c r="D1007" s="7" t="n">
        <v>8912</v>
      </c>
      <c r="E1007" s="8" t="n">
        <v>0.0247093806104129</v>
      </c>
      <c r="F1007" s="4" t="n">
        <f aca="false">D1007*E1007</f>
        <v>220.21</v>
      </c>
      <c r="G1007" s="7" t="n">
        <v>200</v>
      </c>
      <c r="H1007" s="9" t="n">
        <f aca="false">IF(G1007&gt;0,D1007/G1007,"")</f>
        <v>44.56</v>
      </c>
      <c r="I1007" s="10" t="n">
        <v>46245</v>
      </c>
      <c r="J1007" s="3" t="s">
        <v>491</v>
      </c>
      <c r="K1007" s="10" t="n">
        <v>45411</v>
      </c>
      <c r="L1007" s="3" t="s">
        <v>15</v>
      </c>
      <c r="M1007" s="7" t="n">
        <v>9260</v>
      </c>
      <c r="N1007" s="8" t="n">
        <v>0.02471</v>
      </c>
      <c r="O1007" s="4" t="n">
        <f aca="false">M1007*N1007</f>
        <v>228.8146</v>
      </c>
    </row>
    <row r="1008" customFormat="false" ht="15" hidden="false" customHeight="false" outlineLevel="0" collapsed="false">
      <c r="A1008" s="0" t="s">
        <v>1705</v>
      </c>
      <c r="C1008" s="0" t="s">
        <v>36</v>
      </c>
      <c r="D1008" s="7" t="n">
        <v>406</v>
      </c>
      <c r="E1008" s="8" t="n">
        <v>0.542118226600985</v>
      </c>
      <c r="F1008" s="4" t="n">
        <f aca="false">D1008*E1008</f>
        <v>220.1</v>
      </c>
      <c r="G1008" s="7" t="n">
        <v>27</v>
      </c>
      <c r="H1008" s="9" t="n">
        <f aca="false">IF(G1008&gt;0,D1008/G1008,"")</f>
        <v>15.037037037037</v>
      </c>
      <c r="I1008" s="10" t="n">
        <v>46182</v>
      </c>
      <c r="J1008" s="3" t="s">
        <v>1497</v>
      </c>
      <c r="K1008" s="10" t="n">
        <v>45888</v>
      </c>
      <c r="L1008" s="3" t="s">
        <v>18</v>
      </c>
      <c r="M1008" s="7" t="n">
        <v>775</v>
      </c>
      <c r="N1008" s="8" t="n">
        <v>0.5421</v>
      </c>
      <c r="O1008" s="4" t="n">
        <f aca="false">M1008*N1008</f>
        <v>420.1275</v>
      </c>
    </row>
    <row r="1009" customFormat="false" ht="15" hidden="false" customHeight="false" outlineLevel="0" collapsed="false">
      <c r="A1009" s="0" t="s">
        <v>1706</v>
      </c>
      <c r="C1009" s="0" t="s">
        <v>31</v>
      </c>
      <c r="D1009" s="7" t="n">
        <v>3667</v>
      </c>
      <c r="E1009" s="8" t="n">
        <v>0.06</v>
      </c>
      <c r="F1009" s="4" t="n">
        <f aca="false">D1009*E1009</f>
        <v>220.02</v>
      </c>
      <c r="G1009" s="7" t="n">
        <v>7</v>
      </c>
      <c r="H1009" s="9" t="n">
        <f aca="false">IF(G1009&gt;0,D1009/G1009,"")</f>
        <v>523.857142857143</v>
      </c>
      <c r="I1009" s="10" t="n">
        <v>46069</v>
      </c>
      <c r="K1009" s="10"/>
      <c r="M1009" s="7"/>
      <c r="N1009" s="8"/>
      <c r="O1009" s="4"/>
    </row>
    <row r="1010" customFormat="false" ht="15" hidden="false" customHeight="false" outlineLevel="0" collapsed="false">
      <c r="A1010" s="0" t="s">
        <v>1707</v>
      </c>
      <c r="C1010" s="0" t="s">
        <v>298</v>
      </c>
      <c r="D1010" s="7" t="n">
        <v>4943</v>
      </c>
      <c r="E1010" s="8" t="n">
        <v>0.044499291927979</v>
      </c>
      <c r="F1010" s="4" t="n">
        <f aca="false">D1010*E1010</f>
        <v>219.96</v>
      </c>
      <c r="G1010" s="7" t="n">
        <v>330</v>
      </c>
      <c r="H1010" s="9" t="n">
        <f aca="false">IF(G1010&gt;0,D1010/G1010,"")</f>
        <v>14.9787878787879</v>
      </c>
      <c r="I1010" s="10" t="n">
        <v>46296</v>
      </c>
      <c r="J1010" s="3" t="s">
        <v>1630</v>
      </c>
      <c r="K1010" s="10" t="n">
        <v>45448</v>
      </c>
      <c r="L1010" s="3" t="s">
        <v>19</v>
      </c>
      <c r="M1010" s="7" t="n">
        <v>5616</v>
      </c>
      <c r="N1010" s="8" t="n">
        <v>0.0445</v>
      </c>
      <c r="O1010" s="4" t="n">
        <f aca="false">M1010*N1010</f>
        <v>249.912</v>
      </c>
    </row>
    <row r="1011" customFormat="false" ht="15" hidden="false" customHeight="false" outlineLevel="0" collapsed="false">
      <c r="A1011" s="0" t="s">
        <v>1708</v>
      </c>
      <c r="C1011" s="0" t="s">
        <v>298</v>
      </c>
      <c r="D1011" s="7" t="n">
        <v>23979</v>
      </c>
      <c r="E1011" s="8" t="n">
        <v>0.00917135827182118</v>
      </c>
      <c r="F1011" s="4" t="n">
        <f aca="false">D1011*E1011</f>
        <v>219.92</v>
      </c>
      <c r="G1011" s="7" t="n">
        <v>3501</v>
      </c>
      <c r="H1011" s="9" t="n">
        <f aca="false">IF(G1011&gt;0,D1011/G1011,"")</f>
        <v>6.84918594687232</v>
      </c>
      <c r="I1011" s="10" t="n">
        <v>46309</v>
      </c>
      <c r="J1011" s="3" t="s">
        <v>1179</v>
      </c>
      <c r="K1011" s="10" t="n">
        <v>45869</v>
      </c>
      <c r="L1011" s="3" t="s">
        <v>26</v>
      </c>
      <c r="M1011" s="7" t="n">
        <v>1000</v>
      </c>
      <c r="N1011" s="8" t="n">
        <v>0.0152</v>
      </c>
      <c r="O1011" s="4" t="n">
        <f aca="false">M1011*N1011</f>
        <v>15.2</v>
      </c>
    </row>
    <row r="1012" customFormat="false" ht="15" hidden="false" customHeight="false" outlineLevel="0" collapsed="false">
      <c r="A1012" s="0" t="s">
        <v>1709</v>
      </c>
      <c r="C1012" s="0" t="s">
        <v>855</v>
      </c>
      <c r="D1012" s="7" t="n">
        <v>16655</v>
      </c>
      <c r="E1012" s="8" t="n">
        <v>0.0131996397478235</v>
      </c>
      <c r="F1012" s="4" t="n">
        <f aca="false">D1012*E1012</f>
        <v>219.84</v>
      </c>
      <c r="G1012" s="7" t="n">
        <v>2650</v>
      </c>
      <c r="H1012" s="9" t="n">
        <f aca="false">IF(G1012&gt;0,D1012/G1012,"")</f>
        <v>6.28490566037736</v>
      </c>
      <c r="I1012" s="10" t="n">
        <v>46150</v>
      </c>
      <c r="J1012" s="3" t="s">
        <v>1710</v>
      </c>
      <c r="K1012" s="10" t="n">
        <v>45011</v>
      </c>
      <c r="L1012" s="3" t="s">
        <v>16</v>
      </c>
      <c r="M1012" s="7" t="n">
        <v>30000</v>
      </c>
      <c r="N1012" s="8" t="n">
        <v>0.0132</v>
      </c>
      <c r="O1012" s="4" t="n">
        <f aca="false">M1012*N1012</f>
        <v>396</v>
      </c>
    </row>
    <row r="1013" customFormat="false" ht="15" hidden="false" customHeight="false" outlineLevel="0" collapsed="false">
      <c r="A1013" s="0" t="s">
        <v>1711</v>
      </c>
      <c r="C1013" s="0" t="s">
        <v>340</v>
      </c>
      <c r="D1013" s="7" t="n">
        <v>3524</v>
      </c>
      <c r="E1013" s="8" t="n">
        <v>0.0622304199772985</v>
      </c>
      <c r="F1013" s="4" t="n">
        <f aca="false">D1013*E1013</f>
        <v>219.3</v>
      </c>
      <c r="G1013" s="7" t="n">
        <v>460</v>
      </c>
      <c r="H1013" s="9" t="n">
        <f aca="false">IF(G1013&gt;0,D1013/G1013,"")</f>
        <v>7.66086956521739</v>
      </c>
      <c r="I1013" s="10" t="n">
        <v>46287</v>
      </c>
      <c r="J1013" s="3" t="s">
        <v>341</v>
      </c>
      <c r="K1013" s="10" t="n">
        <v>46078</v>
      </c>
      <c r="L1013" s="3" t="s">
        <v>15</v>
      </c>
      <c r="M1013" s="7" t="n">
        <v>27</v>
      </c>
      <c r="N1013" s="8" t="n">
        <v>0.07046</v>
      </c>
      <c r="O1013" s="4" t="n">
        <f aca="false">M1013*N1013</f>
        <v>1.90242</v>
      </c>
    </row>
    <row r="1014" customFormat="false" ht="15" hidden="false" customHeight="false" outlineLevel="0" collapsed="false">
      <c r="A1014" s="0" t="s">
        <v>1712</v>
      </c>
      <c r="C1014" s="0" t="s">
        <v>370</v>
      </c>
      <c r="D1014" s="7" t="n">
        <v>1637</v>
      </c>
      <c r="E1014" s="8" t="n">
        <v>0.133940134392181</v>
      </c>
      <c r="F1014" s="4" t="n">
        <f aca="false">D1014*E1014</f>
        <v>219.26</v>
      </c>
      <c r="G1014" s="7" t="n">
        <v>65</v>
      </c>
      <c r="H1014" s="9" t="n">
        <f aca="false">IF(G1014&gt;0,D1014/G1014,"")</f>
        <v>25.1846153846154</v>
      </c>
      <c r="I1014" s="10" t="n">
        <v>46287</v>
      </c>
      <c r="J1014" s="3" t="s">
        <v>895</v>
      </c>
      <c r="K1014" s="10" t="n">
        <v>45516</v>
      </c>
      <c r="L1014" s="3" t="s">
        <v>21</v>
      </c>
      <c r="M1014" s="7" t="n">
        <v>800</v>
      </c>
      <c r="N1014" s="8" t="n">
        <v>0.126</v>
      </c>
      <c r="O1014" s="4" t="n">
        <f aca="false">M1014*N1014</f>
        <v>100.8</v>
      </c>
    </row>
    <row r="1015" customFormat="false" ht="15" hidden="false" customHeight="false" outlineLevel="0" collapsed="false">
      <c r="A1015" s="0" t="s">
        <v>1713</v>
      </c>
      <c r="C1015" s="0" t="s">
        <v>1714</v>
      </c>
      <c r="D1015" s="7" t="n">
        <v>13720</v>
      </c>
      <c r="E1015" s="8" t="n">
        <v>0.0159599125364432</v>
      </c>
      <c r="F1015" s="4" t="n">
        <f aca="false">D1015*E1015</f>
        <v>218.97</v>
      </c>
      <c r="G1015" s="7" t="n">
        <v>33</v>
      </c>
      <c r="H1015" s="9" t="n">
        <f aca="false">IF(G1015&gt;0,D1015/G1015,"")</f>
        <v>415.757575757576</v>
      </c>
      <c r="I1015" s="10" t="n">
        <v>46189</v>
      </c>
      <c r="J1015" s="3" t="s">
        <v>1715</v>
      </c>
      <c r="K1015" s="10" t="n">
        <v>45187</v>
      </c>
      <c r="L1015" s="3" t="s">
        <v>15</v>
      </c>
      <c r="M1015" s="7" t="n">
        <v>13965</v>
      </c>
      <c r="N1015" s="8" t="n">
        <v>0.01596</v>
      </c>
      <c r="O1015" s="4" t="n">
        <f aca="false">M1015*N1015</f>
        <v>222.8814</v>
      </c>
    </row>
    <row r="1016" customFormat="false" ht="15" hidden="false" customHeight="false" outlineLevel="0" collapsed="false">
      <c r="A1016" s="0" t="s">
        <v>1716</v>
      </c>
      <c r="C1016" s="0" t="s">
        <v>945</v>
      </c>
      <c r="D1016" s="7" t="n">
        <v>26</v>
      </c>
      <c r="E1016" s="8" t="n">
        <v>8.40923076923077</v>
      </c>
      <c r="F1016" s="4" t="n">
        <f aca="false">D1016*E1016</f>
        <v>218.64</v>
      </c>
      <c r="G1016" s="7" t="n">
        <v>8</v>
      </c>
      <c r="H1016" s="9" t="n">
        <f aca="false">IF(G1016&gt;0,D1016/G1016,"")</f>
        <v>3.25</v>
      </c>
      <c r="I1016" s="10" t="n">
        <v>46195</v>
      </c>
      <c r="J1016" s="3" t="s">
        <v>982</v>
      </c>
      <c r="K1016" s="10" t="n">
        <v>46169</v>
      </c>
      <c r="L1016" s="3" t="s">
        <v>14</v>
      </c>
      <c r="M1016" s="7" t="n">
        <v>29</v>
      </c>
      <c r="N1016" s="8" t="n">
        <v>8.4093</v>
      </c>
      <c r="O1016" s="4" t="n">
        <f aca="false">M1016*N1016</f>
        <v>243.8697</v>
      </c>
    </row>
    <row r="1017" customFormat="false" ht="15" hidden="false" customHeight="false" outlineLevel="0" collapsed="false">
      <c r="A1017" s="0" t="s">
        <v>1717</v>
      </c>
      <c r="C1017" s="0" t="s">
        <v>438</v>
      </c>
      <c r="D1017" s="7" t="n">
        <v>80</v>
      </c>
      <c r="E1017" s="8" t="n">
        <v>2.731</v>
      </c>
      <c r="F1017" s="4" t="n">
        <f aca="false">D1017*E1017</f>
        <v>218.48</v>
      </c>
      <c r="G1017" s="7" t="n">
        <v>20</v>
      </c>
      <c r="H1017" s="9" t="n">
        <f aca="false">IF(G1017&gt;0,D1017/G1017,"")</f>
        <v>4</v>
      </c>
      <c r="I1017" s="10" t="n">
        <v>46300</v>
      </c>
      <c r="J1017" s="3" t="s">
        <v>1718</v>
      </c>
      <c r="K1017" s="10" t="n">
        <v>46064</v>
      </c>
      <c r="L1017" s="3" t="s">
        <v>14</v>
      </c>
      <c r="M1017" s="7" t="n">
        <v>100</v>
      </c>
      <c r="N1017" s="8" t="n">
        <v>2.7309</v>
      </c>
      <c r="O1017" s="4" t="n">
        <f aca="false">M1017*N1017</f>
        <v>273.09</v>
      </c>
    </row>
    <row r="1018" customFormat="false" ht="15" hidden="false" customHeight="false" outlineLevel="0" collapsed="false">
      <c r="A1018" s="0" t="s">
        <v>1719</v>
      </c>
      <c r="C1018" s="0" t="s">
        <v>40</v>
      </c>
      <c r="D1018" s="7" t="n">
        <v>34670</v>
      </c>
      <c r="E1018" s="8" t="n">
        <v>0.00629997115661956</v>
      </c>
      <c r="F1018" s="4" t="n">
        <f aca="false">D1018*E1018</f>
        <v>218.42</v>
      </c>
      <c r="G1018" s="7" t="n">
        <v>6428</v>
      </c>
      <c r="H1018" s="9" t="n">
        <f aca="false">IF(G1018&gt;0,D1018/G1018,"")</f>
        <v>5.39359054138146</v>
      </c>
      <c r="I1018" s="10" t="n">
        <v>46300</v>
      </c>
      <c r="J1018" s="3" t="s">
        <v>1720</v>
      </c>
      <c r="K1018" s="10" t="n">
        <v>44313</v>
      </c>
      <c r="L1018" s="3" t="s">
        <v>18</v>
      </c>
      <c r="M1018" s="7" t="n">
        <v>50340</v>
      </c>
      <c r="N1018" s="8" t="n">
        <v>0.0063</v>
      </c>
      <c r="O1018" s="4" t="n">
        <f aca="false">M1018*N1018</f>
        <v>317.142</v>
      </c>
    </row>
    <row r="1019" customFormat="false" ht="15" hidden="false" customHeight="false" outlineLevel="0" collapsed="false">
      <c r="A1019" s="0" t="s">
        <v>1721</v>
      </c>
      <c r="C1019" s="0" t="s">
        <v>1039</v>
      </c>
      <c r="D1019" s="7" t="n">
        <v>7834</v>
      </c>
      <c r="E1019" s="8" t="n">
        <v>0.0278810314015828</v>
      </c>
      <c r="F1019" s="4" t="n">
        <f aca="false">D1019*E1019</f>
        <v>218.42</v>
      </c>
      <c r="G1019" s="7" t="n">
        <v>2690</v>
      </c>
      <c r="H1019" s="9" t="n">
        <f aca="false">IF(G1019&gt;0,D1019/G1019,"")</f>
        <v>2.91226765799257</v>
      </c>
      <c r="I1019" s="10" t="n">
        <v>46197</v>
      </c>
      <c r="J1019" s="3" t="s">
        <v>1722</v>
      </c>
      <c r="K1019" s="10" t="n">
        <v>46146</v>
      </c>
      <c r="L1019" s="3" t="s">
        <v>19</v>
      </c>
      <c r="M1019" s="7" t="n">
        <v>10000</v>
      </c>
      <c r="N1019" s="8" t="n">
        <v>0.0276</v>
      </c>
      <c r="O1019" s="4" t="n">
        <f aca="false">M1019*N1019</f>
        <v>276</v>
      </c>
    </row>
    <row r="1020" customFormat="false" ht="15" hidden="false" customHeight="false" outlineLevel="0" collapsed="false">
      <c r="A1020" s="0" t="s">
        <v>1723</v>
      </c>
      <c r="C1020" s="0" t="s">
        <v>1714</v>
      </c>
      <c r="D1020" s="7" t="n">
        <v>15555</v>
      </c>
      <c r="E1020" s="8" t="n">
        <v>0.014</v>
      </c>
      <c r="F1020" s="4" t="n">
        <f aca="false">D1020*E1020</f>
        <v>217.77</v>
      </c>
      <c r="G1020" s="7" t="n">
        <v>143</v>
      </c>
      <c r="H1020" s="9" t="n">
        <f aca="false">IF(G1020&gt;0,D1020/G1020,"")</f>
        <v>108.776223776224</v>
      </c>
      <c r="I1020" s="10" t="n">
        <v>46315</v>
      </c>
      <c r="J1020" s="3" t="s">
        <v>1724</v>
      </c>
      <c r="K1020" s="10" t="n">
        <v>45273</v>
      </c>
      <c r="L1020" s="3" t="s">
        <v>15</v>
      </c>
      <c r="M1020" s="7" t="n">
        <v>15900</v>
      </c>
      <c r="N1020" s="8" t="n">
        <v>0.014</v>
      </c>
      <c r="O1020" s="4" t="n">
        <f aca="false">M1020*N1020</f>
        <v>222.6</v>
      </c>
    </row>
    <row r="1021" customFormat="false" ht="15" hidden="false" customHeight="false" outlineLevel="0" collapsed="false">
      <c r="A1021" s="0" t="s">
        <v>1725</v>
      </c>
      <c r="C1021" s="0" t="s">
        <v>45</v>
      </c>
      <c r="D1021" s="7" t="n">
        <v>4353</v>
      </c>
      <c r="E1021" s="8" t="n">
        <v>0.05</v>
      </c>
      <c r="F1021" s="4" t="n">
        <f aca="false">D1021*E1021</f>
        <v>217.65</v>
      </c>
      <c r="G1021" s="7" t="n">
        <v>15</v>
      </c>
      <c r="H1021" s="9" t="n">
        <f aca="false">IF(G1021&gt;0,D1021/G1021,"")</f>
        <v>290.2</v>
      </c>
      <c r="I1021" s="10" t="n">
        <v>46154</v>
      </c>
      <c r="J1021" s="3" t="s">
        <v>1726</v>
      </c>
      <c r="K1021" s="10" t="n">
        <v>44299</v>
      </c>
      <c r="L1021" s="3" t="s">
        <v>23</v>
      </c>
      <c r="M1021" s="7" t="n">
        <v>4500</v>
      </c>
      <c r="N1021" s="8" t="n">
        <v>0.046</v>
      </c>
      <c r="O1021" s="4" t="n">
        <f aca="false">M1021*N1021</f>
        <v>207</v>
      </c>
    </row>
    <row r="1022" customFormat="false" ht="15" hidden="false" customHeight="false" outlineLevel="0" collapsed="false">
      <c r="A1022" s="0" t="s">
        <v>1727</v>
      </c>
      <c r="C1022" s="0" t="s">
        <v>934</v>
      </c>
      <c r="D1022" s="7" t="n">
        <v>582</v>
      </c>
      <c r="E1022" s="8" t="n">
        <v>0.373384879725086</v>
      </c>
      <c r="F1022" s="4" t="n">
        <f aca="false">D1022*E1022</f>
        <v>217.31</v>
      </c>
      <c r="G1022" s="7" t="n">
        <v>98</v>
      </c>
      <c r="H1022" s="9" t="n">
        <f aca="false">IF(G1022&gt;0,D1022/G1022,"")</f>
        <v>5.93877551020408</v>
      </c>
      <c r="I1022" s="10" t="n">
        <v>46314</v>
      </c>
      <c r="J1022" s="3" t="s">
        <v>1728</v>
      </c>
      <c r="K1022" s="10" t="n">
        <v>45959</v>
      </c>
      <c r="L1022" s="3" t="s">
        <v>936</v>
      </c>
      <c r="M1022" s="7" t="n">
        <v>675</v>
      </c>
      <c r="N1022" s="8" t="n">
        <v>0.3706</v>
      </c>
      <c r="O1022" s="4" t="n">
        <f aca="false">M1022*N1022</f>
        <v>250.155</v>
      </c>
    </row>
    <row r="1023" customFormat="false" ht="15" hidden="false" customHeight="false" outlineLevel="0" collapsed="false">
      <c r="A1023" s="0" t="s">
        <v>1729</v>
      </c>
      <c r="C1023" s="0" t="s">
        <v>32</v>
      </c>
      <c r="D1023" s="7" t="n">
        <v>10106</v>
      </c>
      <c r="E1023" s="8" t="n">
        <v>0.0215020779734811</v>
      </c>
      <c r="F1023" s="4" t="n">
        <f aca="false">D1023*E1023</f>
        <v>217.3</v>
      </c>
      <c r="G1023" s="7" t="n">
        <v>2407</v>
      </c>
      <c r="H1023" s="9" t="n">
        <f aca="false">IF(G1023&gt;0,D1023/G1023,"")</f>
        <v>4.19858745326132</v>
      </c>
      <c r="I1023" s="10" t="n">
        <v>46308</v>
      </c>
      <c r="J1023" s="3" t="s">
        <v>131</v>
      </c>
      <c r="K1023" s="10" t="n">
        <v>44719</v>
      </c>
      <c r="L1023" s="3" t="s">
        <v>15</v>
      </c>
      <c r="M1023" s="7" t="n">
        <v>21096</v>
      </c>
      <c r="N1023" s="8" t="n">
        <v>0.01906</v>
      </c>
      <c r="O1023" s="4" t="n">
        <f aca="false">M1023*N1023</f>
        <v>402.08976</v>
      </c>
    </row>
    <row r="1024" customFormat="false" ht="15" hidden="false" customHeight="false" outlineLevel="0" collapsed="false">
      <c r="A1024" s="0" t="s">
        <v>1730</v>
      </c>
      <c r="C1024" s="0" t="s">
        <v>36</v>
      </c>
      <c r="D1024" s="7" t="n">
        <v>19453</v>
      </c>
      <c r="E1024" s="8" t="n">
        <v>0.0111699994859405</v>
      </c>
      <c r="F1024" s="4" t="n">
        <f aca="false">D1024*E1024</f>
        <v>217.29</v>
      </c>
      <c r="G1024" s="7" t="n">
        <v>6115</v>
      </c>
      <c r="H1024" s="9" t="n">
        <f aca="false">IF(G1024&gt;0,D1024/G1024,"")</f>
        <v>3.18119378577269</v>
      </c>
      <c r="I1024" s="10" t="n">
        <v>46293</v>
      </c>
      <c r="J1024" s="3" t="s">
        <v>1731</v>
      </c>
      <c r="K1024" s="10" t="n">
        <v>44356</v>
      </c>
      <c r="L1024" s="3" t="s">
        <v>19</v>
      </c>
      <c r="M1024" s="7" t="n">
        <v>43533</v>
      </c>
      <c r="N1024" s="8" t="n">
        <v>0</v>
      </c>
      <c r="O1024" s="4" t="n">
        <v>486.9872</v>
      </c>
    </row>
    <row r="1025" customFormat="false" ht="15" hidden="false" customHeight="false" outlineLevel="0" collapsed="false">
      <c r="A1025" s="0" t="s">
        <v>1732</v>
      </c>
      <c r="C1025" s="0" t="s">
        <v>31</v>
      </c>
      <c r="D1025" s="7" t="n">
        <v>52405</v>
      </c>
      <c r="E1025" s="8" t="n">
        <v>0.00413834557771205</v>
      </c>
      <c r="F1025" s="4" t="n">
        <f aca="false">D1025*E1025</f>
        <v>216.87</v>
      </c>
      <c r="G1025" s="7" t="n">
        <v>5377</v>
      </c>
      <c r="H1025" s="9" t="n">
        <f aca="false">IF(G1025&gt;0,D1025/G1025,"")</f>
        <v>9.74614097080156</v>
      </c>
      <c r="I1025" s="10" t="n">
        <v>46175</v>
      </c>
      <c r="J1025" s="3" t="s">
        <v>1733</v>
      </c>
      <c r="K1025" s="10" t="n">
        <v>44689</v>
      </c>
      <c r="L1025" s="3" t="s">
        <v>19</v>
      </c>
      <c r="M1025" s="7" t="n">
        <v>6980</v>
      </c>
      <c r="N1025" s="8" t="n">
        <v>0.0186</v>
      </c>
      <c r="O1025" s="4" t="n">
        <f aca="false">M1025*N1025</f>
        <v>129.828</v>
      </c>
    </row>
    <row r="1026" customFormat="false" ht="15" hidden="false" customHeight="false" outlineLevel="0" collapsed="false">
      <c r="A1026" s="0" t="s">
        <v>1734</v>
      </c>
      <c r="C1026" s="0" t="s">
        <v>1169</v>
      </c>
      <c r="D1026" s="7" t="n">
        <v>1998</v>
      </c>
      <c r="E1026" s="8" t="n">
        <v>0.108538538538539</v>
      </c>
      <c r="F1026" s="4" t="n">
        <f aca="false">D1026*E1026</f>
        <v>216.86</v>
      </c>
      <c r="G1026" s="7" t="n">
        <v>4</v>
      </c>
      <c r="H1026" s="9" t="n">
        <f aca="false">IF(G1026&gt;0,D1026/G1026,"")</f>
        <v>499.5</v>
      </c>
      <c r="I1026" s="10" t="n">
        <v>46086</v>
      </c>
      <c r="J1026" s="3" t="s">
        <v>1735</v>
      </c>
      <c r="K1026" s="10" t="n">
        <v>44314</v>
      </c>
      <c r="L1026" s="3" t="s">
        <v>21</v>
      </c>
      <c r="M1026" s="7" t="n">
        <v>2000</v>
      </c>
      <c r="N1026" s="8" t="n">
        <v>0.104</v>
      </c>
      <c r="O1026" s="4" t="n">
        <f aca="false">M1026*N1026</f>
        <v>208</v>
      </c>
    </row>
    <row r="1027" customFormat="false" ht="15" hidden="false" customHeight="false" outlineLevel="0" collapsed="false">
      <c r="A1027" s="0" t="s">
        <v>1736</v>
      </c>
      <c r="C1027" s="0" t="s">
        <v>41</v>
      </c>
      <c r="D1027" s="7" t="n">
        <v>27061</v>
      </c>
      <c r="E1027" s="8" t="n">
        <v>0.00801005136543365</v>
      </c>
      <c r="F1027" s="4" t="n">
        <f aca="false">D1027*E1027</f>
        <v>216.76</v>
      </c>
      <c r="G1027" s="7" t="n">
        <v>60</v>
      </c>
      <c r="H1027" s="9" t="n">
        <f aca="false">IF(G1027&gt;0,D1027/G1027,"")</f>
        <v>451.016666666667</v>
      </c>
      <c r="I1027" s="10" t="n">
        <v>46275</v>
      </c>
      <c r="K1027" s="10"/>
      <c r="M1027" s="7"/>
      <c r="N1027" s="8"/>
      <c r="O1027" s="4"/>
    </row>
    <row r="1028" customFormat="false" ht="15" hidden="false" customHeight="false" outlineLevel="0" collapsed="false">
      <c r="A1028" s="0" t="s">
        <v>1737</v>
      </c>
      <c r="C1028" s="0" t="s">
        <v>889</v>
      </c>
      <c r="D1028" s="7" t="n">
        <v>9313</v>
      </c>
      <c r="E1028" s="8" t="n">
        <v>0.0232706968753356</v>
      </c>
      <c r="F1028" s="4" t="n">
        <f aca="false">D1028*E1028</f>
        <v>216.72</v>
      </c>
      <c r="G1028" s="7" t="n">
        <v>10</v>
      </c>
      <c r="H1028" s="9" t="n">
        <f aca="false">IF(G1028&gt;0,D1028/G1028,"")</f>
        <v>931.3</v>
      </c>
      <c r="I1028" s="10" t="n">
        <v>46182</v>
      </c>
      <c r="K1028" s="10"/>
      <c r="M1028" s="7"/>
      <c r="N1028" s="8"/>
      <c r="O1028" s="4"/>
    </row>
    <row r="1029" customFormat="false" ht="15" hidden="false" customHeight="false" outlineLevel="0" collapsed="false">
      <c r="A1029" s="0" t="s">
        <v>1738</v>
      </c>
      <c r="C1029" s="0" t="s">
        <v>340</v>
      </c>
      <c r="D1029" s="7" t="n">
        <v>34000</v>
      </c>
      <c r="E1029" s="8" t="n">
        <v>0.00637</v>
      </c>
      <c r="F1029" s="4" t="n">
        <f aca="false">D1029*E1029</f>
        <v>216.58</v>
      </c>
      <c r="G1029" s="7" t="n">
        <v>50</v>
      </c>
      <c r="H1029" s="9" t="n">
        <f aca="false">IF(G1029&gt;0,D1029/G1029,"")</f>
        <v>680</v>
      </c>
      <c r="I1029" s="10" t="n">
        <v>46212</v>
      </c>
      <c r="J1029" s="3" t="s">
        <v>162</v>
      </c>
      <c r="K1029" s="10" t="n">
        <v>45967</v>
      </c>
      <c r="L1029" s="3" t="s">
        <v>15</v>
      </c>
      <c r="M1029" s="7" t="n">
        <v>34050</v>
      </c>
      <c r="N1029" s="8" t="n">
        <v>0.00637</v>
      </c>
      <c r="O1029" s="4" t="n">
        <f aca="false">M1029*N1029</f>
        <v>216.8985</v>
      </c>
    </row>
    <row r="1030" customFormat="false" ht="15" hidden="false" customHeight="false" outlineLevel="0" collapsed="false">
      <c r="A1030" s="0" t="s">
        <v>1739</v>
      </c>
      <c r="C1030" s="0" t="s">
        <v>35</v>
      </c>
      <c r="D1030" s="7" t="n">
        <v>2123</v>
      </c>
      <c r="E1030" s="8" t="n">
        <v>0.102006594441828</v>
      </c>
      <c r="F1030" s="4" t="n">
        <f aca="false">D1030*E1030</f>
        <v>216.56</v>
      </c>
      <c r="G1030" s="7" t="n">
        <v>401</v>
      </c>
      <c r="H1030" s="9" t="n">
        <f aca="false">IF(G1030&gt;0,D1030/G1030,"")</f>
        <v>5.29426433915212</v>
      </c>
      <c r="I1030" s="10" t="n">
        <v>46280</v>
      </c>
      <c r="J1030" s="3" t="s">
        <v>1349</v>
      </c>
      <c r="K1030" s="10" t="n">
        <v>44215</v>
      </c>
      <c r="L1030" s="3" t="s">
        <v>20</v>
      </c>
      <c r="M1030" s="7" t="n">
        <v>2700</v>
      </c>
      <c r="N1030" s="8" t="n">
        <v>0.102</v>
      </c>
      <c r="O1030" s="4" t="n">
        <f aca="false">M1030*N1030</f>
        <v>275.4</v>
      </c>
    </row>
    <row r="1031" customFormat="false" ht="15" hidden="false" customHeight="false" outlineLevel="0" collapsed="false">
      <c r="A1031" s="0" t="s">
        <v>1740</v>
      </c>
      <c r="C1031" s="0" t="s">
        <v>889</v>
      </c>
      <c r="D1031" s="7" t="n">
        <v>5667</v>
      </c>
      <c r="E1031" s="8" t="n">
        <v>0.0382001058761249</v>
      </c>
      <c r="F1031" s="4" t="n">
        <f aca="false">D1031*E1031</f>
        <v>216.48</v>
      </c>
      <c r="G1031" s="7" t="n">
        <v>2443</v>
      </c>
      <c r="H1031" s="9" t="n">
        <f aca="false">IF(G1031&gt;0,D1031/G1031,"")</f>
        <v>2.31968890708146</v>
      </c>
      <c r="I1031" s="10" t="n">
        <v>46247</v>
      </c>
      <c r="J1031" s="3" t="s">
        <v>1741</v>
      </c>
      <c r="K1031" s="10" t="n">
        <v>45261</v>
      </c>
      <c r="L1031" s="3" t="s">
        <v>15</v>
      </c>
      <c r="M1031" s="7" t="n">
        <v>15800</v>
      </c>
      <c r="N1031" s="8" t="n">
        <v>0.0382</v>
      </c>
      <c r="O1031" s="4" t="n">
        <f aca="false">M1031*N1031</f>
        <v>603.56</v>
      </c>
    </row>
    <row r="1032" customFormat="false" ht="15" hidden="false" customHeight="false" outlineLevel="0" collapsed="false">
      <c r="A1032" s="0" t="s">
        <v>1742</v>
      </c>
      <c r="C1032" s="0" t="s">
        <v>118</v>
      </c>
      <c r="D1032" s="7" t="n">
        <v>19135</v>
      </c>
      <c r="E1032" s="8" t="n">
        <v>0.0112997125685916</v>
      </c>
      <c r="F1032" s="4" t="n">
        <f aca="false">D1032*E1032</f>
        <v>216.22</v>
      </c>
      <c r="G1032" s="7" t="n">
        <v>665</v>
      </c>
      <c r="H1032" s="9" t="n">
        <f aca="false">IF(G1032&gt;0,D1032/G1032,"")</f>
        <v>28.7744360902256</v>
      </c>
      <c r="I1032" s="10" t="n">
        <v>46213</v>
      </c>
      <c r="J1032" s="3" t="s">
        <v>1743</v>
      </c>
      <c r="K1032" s="10" t="n">
        <v>45852</v>
      </c>
      <c r="L1032" s="3" t="s">
        <v>16</v>
      </c>
      <c r="M1032" s="7" t="n">
        <v>20000</v>
      </c>
      <c r="N1032" s="8" t="n">
        <v>0.0113</v>
      </c>
      <c r="O1032" s="4" t="n">
        <f aca="false">M1032*N1032</f>
        <v>226</v>
      </c>
    </row>
    <row r="1033" customFormat="false" ht="15" hidden="false" customHeight="false" outlineLevel="0" collapsed="false">
      <c r="A1033" s="0" t="s">
        <v>1744</v>
      </c>
      <c r="C1033" s="0" t="s">
        <v>35</v>
      </c>
      <c r="D1033" s="7" t="n">
        <v>95</v>
      </c>
      <c r="E1033" s="8" t="n">
        <v>2.27568421052632</v>
      </c>
      <c r="F1033" s="4" t="n">
        <f aca="false">D1033*E1033</f>
        <v>216.19</v>
      </c>
      <c r="G1033" s="7" t="n">
        <v>2</v>
      </c>
      <c r="H1033" s="9" t="n">
        <f aca="false">IF(G1033&gt;0,D1033/G1033,"")</f>
        <v>47.5</v>
      </c>
      <c r="I1033" s="10" t="n">
        <v>45996</v>
      </c>
      <c r="J1033" s="3" t="s">
        <v>525</v>
      </c>
      <c r="K1033" s="10" t="n">
        <v>45933</v>
      </c>
      <c r="L1033" s="3" t="s">
        <v>14</v>
      </c>
      <c r="M1033" s="7" t="n">
        <v>100</v>
      </c>
      <c r="N1033" s="8" t="n">
        <v>2.2757</v>
      </c>
      <c r="O1033" s="4" t="n">
        <f aca="false">M1033*N1033</f>
        <v>227.57</v>
      </c>
    </row>
    <row r="1034" customFormat="false" ht="15" hidden="false" customHeight="false" outlineLevel="0" collapsed="false">
      <c r="A1034" s="0" t="s">
        <v>1745</v>
      </c>
      <c r="C1034" s="0" t="s">
        <v>40</v>
      </c>
      <c r="D1034" s="7" t="n">
        <v>9318</v>
      </c>
      <c r="E1034" s="8" t="n">
        <v>0.0232002575660013</v>
      </c>
      <c r="F1034" s="4" t="n">
        <f aca="false">D1034*E1034</f>
        <v>216.18</v>
      </c>
      <c r="G1034" s="7" t="n">
        <v>682</v>
      </c>
      <c r="H1034" s="9" t="n">
        <f aca="false">IF(G1034&gt;0,D1034/G1034,"")</f>
        <v>13.6627565982405</v>
      </c>
      <c r="I1034" s="10" t="n">
        <v>46183</v>
      </c>
      <c r="J1034" s="3" t="s">
        <v>1746</v>
      </c>
      <c r="K1034" s="10" t="n">
        <v>44587</v>
      </c>
      <c r="L1034" s="3" t="s">
        <v>18</v>
      </c>
      <c r="M1034" s="7" t="n">
        <v>12700</v>
      </c>
      <c r="N1034" s="8" t="n">
        <v>0.0232</v>
      </c>
      <c r="O1034" s="4" t="n">
        <f aca="false">M1034*N1034</f>
        <v>294.64</v>
      </c>
    </row>
    <row r="1035" customFormat="false" ht="15" hidden="false" customHeight="false" outlineLevel="0" collapsed="false">
      <c r="A1035" s="0" t="s">
        <v>1747</v>
      </c>
      <c r="C1035" s="0" t="s">
        <v>33</v>
      </c>
      <c r="D1035" s="7" t="n">
        <v>847</v>
      </c>
      <c r="E1035" s="8" t="n">
        <v>0.254864226682409</v>
      </c>
      <c r="F1035" s="4" t="n">
        <f aca="false">D1035*E1035</f>
        <v>215.87</v>
      </c>
      <c r="G1035" s="7" t="n">
        <v>20</v>
      </c>
      <c r="H1035" s="9" t="n">
        <f aca="false">IF(G1035&gt;0,D1035/G1035,"")</f>
        <v>42.35</v>
      </c>
      <c r="I1035" s="10" t="n">
        <v>46202</v>
      </c>
      <c r="J1035" s="3" t="s">
        <v>613</v>
      </c>
      <c r="K1035" s="10" t="n">
        <v>44852</v>
      </c>
      <c r="L1035" s="3" t="s">
        <v>18</v>
      </c>
      <c r="M1035" s="7" t="n">
        <v>790</v>
      </c>
      <c r="N1035" s="8" t="n">
        <v>0.2597</v>
      </c>
      <c r="O1035" s="4" t="n">
        <f aca="false">M1035*N1035</f>
        <v>205.163</v>
      </c>
    </row>
    <row r="1036" customFormat="false" ht="15" hidden="false" customHeight="false" outlineLevel="0" collapsed="false">
      <c r="A1036" s="0" t="s">
        <v>1748</v>
      </c>
      <c r="C1036" s="0" t="s">
        <v>285</v>
      </c>
      <c r="D1036" s="7" t="n">
        <v>50151</v>
      </c>
      <c r="E1036" s="8" t="n">
        <v>0.00430121034475883</v>
      </c>
      <c r="F1036" s="4" t="n">
        <f aca="false">D1036*E1036</f>
        <v>215.71</v>
      </c>
      <c r="G1036" s="7" t="n">
        <v>10661</v>
      </c>
      <c r="H1036" s="9" t="n">
        <f aca="false">IF(G1036&gt;0,D1036/G1036,"")</f>
        <v>4.7041553325204</v>
      </c>
      <c r="I1036" s="10" t="n">
        <v>46287</v>
      </c>
      <c r="J1036" s="3" t="s">
        <v>1520</v>
      </c>
      <c r="K1036" s="10" t="n">
        <v>46245</v>
      </c>
      <c r="L1036" s="3" t="s">
        <v>1295</v>
      </c>
      <c r="M1036" s="7" t="n">
        <v>55000</v>
      </c>
      <c r="N1036" s="8" t="n">
        <v>0.0043</v>
      </c>
      <c r="O1036" s="4" t="n">
        <f aca="false">M1036*N1036</f>
        <v>236.5</v>
      </c>
    </row>
    <row r="1037" customFormat="false" ht="15" hidden="false" customHeight="false" outlineLevel="0" collapsed="false">
      <c r="A1037" s="0" t="s">
        <v>1749</v>
      </c>
      <c r="C1037" s="0" t="s">
        <v>1714</v>
      </c>
      <c r="D1037" s="7" t="n">
        <v>2856</v>
      </c>
      <c r="E1037" s="8" t="n">
        <v>0.0755007002801121</v>
      </c>
      <c r="F1037" s="4" t="n">
        <f aca="false">D1037*E1037</f>
        <v>215.63</v>
      </c>
      <c r="G1037" s="7" t="n">
        <v>119</v>
      </c>
      <c r="H1037" s="9" t="n">
        <f aca="false">IF(G1037&gt;0,D1037/G1037,"")</f>
        <v>24</v>
      </c>
      <c r="I1037" s="10" t="n">
        <v>46150</v>
      </c>
      <c r="J1037" s="3" t="s">
        <v>1724</v>
      </c>
      <c r="K1037" s="10" t="n">
        <v>45273</v>
      </c>
      <c r="L1037" s="3" t="s">
        <v>15</v>
      </c>
      <c r="M1037" s="7" t="n">
        <v>3035</v>
      </c>
      <c r="N1037" s="8" t="n">
        <v>0.0755</v>
      </c>
      <c r="O1037" s="4" t="n">
        <f aca="false">M1037*N1037</f>
        <v>229.1425</v>
      </c>
    </row>
    <row r="1038" customFormat="false" ht="15" hidden="false" customHeight="false" outlineLevel="0" collapsed="false">
      <c r="A1038" s="0" t="s">
        <v>1750</v>
      </c>
      <c r="C1038" s="0" t="s">
        <v>285</v>
      </c>
      <c r="D1038" s="7" t="n">
        <v>26663</v>
      </c>
      <c r="E1038" s="8" t="n">
        <v>0.0080801110152646</v>
      </c>
      <c r="F1038" s="4" t="n">
        <f aca="false">D1038*E1038</f>
        <v>215.44</v>
      </c>
      <c r="G1038" s="7" t="n">
        <v>8076</v>
      </c>
      <c r="H1038" s="9" t="n">
        <f aca="false">IF(G1038&gt;0,D1038/G1038,"")</f>
        <v>3.30151064883606</v>
      </c>
      <c r="I1038" s="10" t="n">
        <v>46223</v>
      </c>
      <c r="J1038" s="3" t="s">
        <v>1751</v>
      </c>
      <c r="K1038" s="10" t="n">
        <v>45748</v>
      </c>
      <c r="L1038" s="3" t="s">
        <v>26</v>
      </c>
      <c r="M1038" s="7" t="n">
        <v>25100</v>
      </c>
      <c r="N1038" s="8" t="n">
        <v>0.0184</v>
      </c>
      <c r="O1038" s="4" t="n">
        <f aca="false">M1038*N1038</f>
        <v>461.84</v>
      </c>
    </row>
    <row r="1039" customFormat="false" ht="15" hidden="false" customHeight="false" outlineLevel="0" collapsed="false">
      <c r="A1039" s="0" t="s">
        <v>1752</v>
      </c>
      <c r="C1039" s="0" t="s">
        <v>1017</v>
      </c>
      <c r="D1039" s="7" t="n">
        <v>25700</v>
      </c>
      <c r="E1039" s="8" t="n">
        <v>0.00838015564202335</v>
      </c>
      <c r="F1039" s="4" t="n">
        <f aca="false">D1039*E1039</f>
        <v>215.37</v>
      </c>
      <c r="G1039" s="7" t="n">
        <v>1000</v>
      </c>
      <c r="H1039" s="9" t="n">
        <f aca="false">IF(G1039&gt;0,D1039/G1039,"")</f>
        <v>25.7</v>
      </c>
      <c r="I1039" s="10" t="n">
        <v>46154</v>
      </c>
      <c r="J1039" s="3" t="s">
        <v>616</v>
      </c>
      <c r="K1039" s="10" t="n">
        <v>46038</v>
      </c>
      <c r="L1039" s="3" t="s">
        <v>15</v>
      </c>
      <c r="M1039" s="7" t="n">
        <v>26700</v>
      </c>
      <c r="N1039" s="8" t="n">
        <v>0.00838</v>
      </c>
      <c r="O1039" s="4" t="n">
        <f aca="false">M1039*N1039</f>
        <v>223.746</v>
      </c>
    </row>
    <row r="1040" customFormat="false" ht="15" hidden="false" customHeight="false" outlineLevel="0" collapsed="false">
      <c r="A1040" s="0" t="s">
        <v>1753</v>
      </c>
      <c r="C1040" s="0" t="s">
        <v>285</v>
      </c>
      <c r="D1040" s="7" t="n">
        <v>1013</v>
      </c>
      <c r="E1040" s="8" t="n">
        <v>0.212527147087858</v>
      </c>
      <c r="F1040" s="4" t="n">
        <f aca="false">D1040*E1040</f>
        <v>215.29</v>
      </c>
      <c r="G1040" s="7" t="n">
        <v>513</v>
      </c>
      <c r="H1040" s="9" t="n">
        <f aca="false">IF(G1040&gt;0,D1040/G1040,"")</f>
        <v>1.97465886939571</v>
      </c>
      <c r="I1040" s="10" t="n">
        <v>46185</v>
      </c>
      <c r="J1040" s="3" t="s">
        <v>385</v>
      </c>
      <c r="K1040" s="10" t="n">
        <v>44718</v>
      </c>
      <c r="L1040" s="3" t="s">
        <v>20</v>
      </c>
      <c r="M1040" s="7" t="n">
        <v>1800</v>
      </c>
      <c r="N1040" s="8" t="n">
        <v>0.2125435</v>
      </c>
      <c r="O1040" s="4" t="n">
        <f aca="false">M1040*N1040</f>
        <v>382.5783</v>
      </c>
    </row>
    <row r="1041" customFormat="false" ht="15" hidden="false" customHeight="false" outlineLevel="0" collapsed="false">
      <c r="A1041" s="0" t="s">
        <v>1754</v>
      </c>
      <c r="C1041" s="0" t="s">
        <v>100</v>
      </c>
      <c r="D1041" s="7" t="n">
        <v>151</v>
      </c>
      <c r="E1041" s="8" t="n">
        <v>1.42350993377483</v>
      </c>
      <c r="F1041" s="4" t="n">
        <f aca="false">D1041*E1041</f>
        <v>214.95</v>
      </c>
      <c r="G1041" s="7" t="n">
        <v>96</v>
      </c>
      <c r="H1041" s="9" t="n">
        <f aca="false">IF(G1041&gt;0,D1041/G1041,"")</f>
        <v>1.57291666666667</v>
      </c>
      <c r="I1041" s="10" t="n">
        <v>46259</v>
      </c>
      <c r="K1041" s="10"/>
      <c r="M1041" s="7"/>
      <c r="N1041" s="8"/>
      <c r="O1041" s="4"/>
    </row>
    <row r="1042" customFormat="false" ht="15" hidden="false" customHeight="false" outlineLevel="0" collapsed="false">
      <c r="A1042" s="0" t="s">
        <v>1755</v>
      </c>
      <c r="C1042" s="0" t="s">
        <v>383</v>
      </c>
      <c r="D1042" s="7" t="n">
        <v>9557</v>
      </c>
      <c r="E1042" s="8" t="n">
        <v>0.0224610233336821</v>
      </c>
      <c r="F1042" s="4" t="n">
        <f aca="false">D1042*E1042</f>
        <v>214.66</v>
      </c>
      <c r="G1042" s="7" t="n">
        <v>60</v>
      </c>
      <c r="H1042" s="9" t="n">
        <f aca="false">IF(G1042&gt;0,D1042/G1042,"")</f>
        <v>159.283333333333</v>
      </c>
      <c r="I1042" s="10" t="n">
        <v>46203</v>
      </c>
      <c r="J1042" s="3" t="s">
        <v>1756</v>
      </c>
      <c r="K1042" s="10" t="n">
        <v>44405</v>
      </c>
      <c r="L1042" s="3" t="s">
        <v>15</v>
      </c>
      <c r="M1042" s="7" t="n">
        <v>9620</v>
      </c>
      <c r="N1042" s="8" t="n">
        <v>0.02246</v>
      </c>
      <c r="O1042" s="4" t="n">
        <f aca="false">M1042*N1042</f>
        <v>216.0652</v>
      </c>
    </row>
    <row r="1043" customFormat="false" ht="15" hidden="false" customHeight="false" outlineLevel="0" collapsed="false">
      <c r="A1043" s="0" t="s">
        <v>1757</v>
      </c>
      <c r="C1043" s="0" t="s">
        <v>36</v>
      </c>
      <c r="D1043" s="7" t="n">
        <v>112</v>
      </c>
      <c r="E1043" s="8" t="n">
        <v>1.91455357142857</v>
      </c>
      <c r="F1043" s="4" t="n">
        <f aca="false">D1043*E1043</f>
        <v>214.43</v>
      </c>
      <c r="G1043" s="7" t="n">
        <v>50</v>
      </c>
      <c r="H1043" s="9" t="n">
        <f aca="false">IF(G1043&gt;0,D1043/G1043,"")</f>
        <v>2.24</v>
      </c>
      <c r="I1043" s="10" t="n">
        <v>45958</v>
      </c>
      <c r="J1043" s="3" t="s">
        <v>1311</v>
      </c>
      <c r="K1043" s="10" t="n">
        <v>45940</v>
      </c>
      <c r="L1043" s="3" t="s">
        <v>154</v>
      </c>
      <c r="M1043" s="7" t="n">
        <v>162</v>
      </c>
      <c r="N1043" s="8" t="n">
        <v>1.9145679</v>
      </c>
      <c r="O1043" s="4" t="n">
        <f aca="false">M1043*N1043</f>
        <v>310.1599998</v>
      </c>
    </row>
    <row r="1044" customFormat="false" ht="15" hidden="false" customHeight="false" outlineLevel="0" collapsed="false">
      <c r="A1044" s="0" t="s">
        <v>1758</v>
      </c>
      <c r="D1044" s="7" t="n">
        <v>81</v>
      </c>
      <c r="E1044" s="8" t="n">
        <v>2.64555555555556</v>
      </c>
      <c r="F1044" s="4" t="n">
        <f aca="false">D1044*E1044</f>
        <v>214.29</v>
      </c>
      <c r="G1044" s="7" t="n">
        <v>25</v>
      </c>
      <c r="H1044" s="9" t="n">
        <f aca="false">IF(G1044&gt;0,D1044/G1044,"")</f>
        <v>3.24</v>
      </c>
      <c r="I1044" s="10" t="n">
        <v>45968</v>
      </c>
      <c r="J1044" s="3" t="s">
        <v>1759</v>
      </c>
      <c r="K1044" s="10" t="n">
        <v>44377</v>
      </c>
      <c r="L1044" s="3" t="s">
        <v>14</v>
      </c>
      <c r="M1044" s="7" t="n">
        <v>148</v>
      </c>
      <c r="N1044" s="8" t="n">
        <v>2.6456</v>
      </c>
      <c r="O1044" s="4" t="n">
        <f aca="false">M1044*N1044</f>
        <v>391.5488</v>
      </c>
    </row>
    <row r="1045" customFormat="false" ht="15" hidden="false" customHeight="false" outlineLevel="0" collapsed="false">
      <c r="A1045" s="0" t="s">
        <v>1760</v>
      </c>
      <c r="C1045" s="0" t="s">
        <v>1017</v>
      </c>
      <c r="D1045" s="7" t="n">
        <v>782</v>
      </c>
      <c r="E1045" s="8" t="n">
        <v>0.273452685421995</v>
      </c>
      <c r="F1045" s="4" t="n">
        <f aca="false">D1045*E1045</f>
        <v>213.84</v>
      </c>
      <c r="G1045" s="7" t="n">
        <v>100</v>
      </c>
      <c r="H1045" s="9" t="n">
        <f aca="false">IF(G1045&gt;0,D1045/G1045,"")</f>
        <v>7.82</v>
      </c>
      <c r="I1045" s="10" t="n">
        <v>46245</v>
      </c>
      <c r="J1045" s="3" t="s">
        <v>498</v>
      </c>
      <c r="K1045" s="10" t="n">
        <v>46094</v>
      </c>
      <c r="L1045" s="3" t="s">
        <v>15</v>
      </c>
      <c r="M1045" s="7" t="n">
        <v>882</v>
      </c>
      <c r="N1045" s="8" t="n">
        <v>0.27345</v>
      </c>
      <c r="O1045" s="4" t="n">
        <f aca="false">M1045*N1045</f>
        <v>241.1829</v>
      </c>
    </row>
    <row r="1046" customFormat="false" ht="15" hidden="false" customHeight="false" outlineLevel="0" collapsed="false">
      <c r="A1046" s="0" t="s">
        <v>1761</v>
      </c>
      <c r="C1046" s="0" t="s">
        <v>45</v>
      </c>
      <c r="D1046" s="7" t="n">
        <v>262</v>
      </c>
      <c r="E1046" s="8" t="n">
        <v>0.815839694656489</v>
      </c>
      <c r="F1046" s="4" t="n">
        <f aca="false">D1046*E1046</f>
        <v>213.75</v>
      </c>
      <c r="G1046" s="7" t="n">
        <v>154</v>
      </c>
      <c r="H1046" s="9" t="n">
        <f aca="false">IF(G1046&gt;0,D1046/G1046,"")</f>
        <v>1.7012987012987</v>
      </c>
      <c r="I1046" s="10" t="n">
        <v>46293</v>
      </c>
      <c r="J1046" s="3" t="s">
        <v>1762</v>
      </c>
      <c r="K1046" s="10" t="n">
        <v>45692</v>
      </c>
      <c r="L1046" s="3" t="s">
        <v>14</v>
      </c>
      <c r="M1046" s="7" t="n">
        <v>500</v>
      </c>
      <c r="N1046" s="8" t="n">
        <v>0.8158</v>
      </c>
      <c r="O1046" s="4" t="n">
        <f aca="false">M1046*N1046</f>
        <v>407.9</v>
      </c>
    </row>
    <row r="1047" customFormat="false" ht="15" hidden="false" customHeight="false" outlineLevel="0" collapsed="false">
      <c r="A1047" s="0" t="s">
        <v>1763</v>
      </c>
      <c r="C1047" s="0" t="s">
        <v>40</v>
      </c>
      <c r="D1047" s="7" t="n">
        <v>7099</v>
      </c>
      <c r="E1047" s="8" t="n">
        <v>0.0301056486829131</v>
      </c>
      <c r="F1047" s="4" t="n">
        <f aca="false">D1047*E1047</f>
        <v>213.72</v>
      </c>
      <c r="G1047" s="7" t="n">
        <v>144</v>
      </c>
      <c r="H1047" s="9" t="n">
        <f aca="false">IF(G1047&gt;0,D1047/G1047,"")</f>
        <v>49.2986111111111</v>
      </c>
      <c r="I1047" s="10" t="n">
        <v>46300</v>
      </c>
      <c r="J1047" s="3" t="s">
        <v>1764</v>
      </c>
      <c r="K1047" s="10" t="n">
        <v>44221</v>
      </c>
      <c r="L1047" s="3" t="s">
        <v>18</v>
      </c>
      <c r="M1047" s="7" t="n">
        <v>8400</v>
      </c>
      <c r="N1047" s="8" t="n">
        <v>0.0301</v>
      </c>
      <c r="O1047" s="4" t="n">
        <f aca="false">M1047*N1047</f>
        <v>252.84</v>
      </c>
    </row>
    <row r="1048" customFormat="false" ht="15" hidden="false" customHeight="false" outlineLevel="0" collapsed="false">
      <c r="A1048" s="0" t="s">
        <v>1765</v>
      </c>
      <c r="C1048" s="0" t="s">
        <v>31</v>
      </c>
      <c r="D1048" s="7" t="n">
        <v>82886</v>
      </c>
      <c r="E1048" s="8" t="n">
        <v>0.00257823999227855</v>
      </c>
      <c r="F1048" s="4" t="n">
        <f aca="false">D1048*E1048</f>
        <v>213.7</v>
      </c>
      <c r="G1048" s="7" t="n">
        <v>12055</v>
      </c>
      <c r="H1048" s="9" t="n">
        <f aca="false">IF(G1048&gt;0,D1048/G1048,"")</f>
        <v>6.87565325591041</v>
      </c>
      <c r="I1048" s="10" t="n">
        <v>46317</v>
      </c>
      <c r="J1048" s="3" t="s">
        <v>932</v>
      </c>
      <c r="K1048" s="10" t="n">
        <v>45689</v>
      </c>
      <c r="L1048" s="3" t="s">
        <v>14</v>
      </c>
      <c r="M1048" s="7" t="n">
        <v>20000</v>
      </c>
      <c r="N1048" s="8" t="n">
        <v>0.0045</v>
      </c>
      <c r="O1048" s="4" t="n">
        <f aca="false">M1048*N1048</f>
        <v>90</v>
      </c>
    </row>
    <row r="1049" customFormat="false" ht="15" hidden="false" customHeight="false" outlineLevel="0" collapsed="false">
      <c r="A1049" s="0" t="s">
        <v>1766</v>
      </c>
      <c r="C1049" s="0" t="s">
        <v>360</v>
      </c>
      <c r="D1049" s="7" t="n">
        <v>1882</v>
      </c>
      <c r="E1049" s="8" t="n">
        <v>0.113496280552604</v>
      </c>
      <c r="F1049" s="4" t="n">
        <f aca="false">D1049*E1049</f>
        <v>213.6</v>
      </c>
      <c r="G1049" s="7" t="n">
        <v>12</v>
      </c>
      <c r="H1049" s="9" t="n">
        <f aca="false">IF(G1049&gt;0,D1049/G1049,"")</f>
        <v>156.833333333333</v>
      </c>
      <c r="I1049" s="10" t="n">
        <v>46133</v>
      </c>
      <c r="J1049" s="3" t="s">
        <v>1767</v>
      </c>
      <c r="K1049" s="10" t="n">
        <v>44291</v>
      </c>
      <c r="L1049" s="3" t="s">
        <v>15</v>
      </c>
      <c r="M1049" s="7" t="n">
        <v>2000</v>
      </c>
      <c r="N1049" s="8" t="n">
        <v>0.11349</v>
      </c>
      <c r="O1049" s="4" t="n">
        <f aca="false">M1049*N1049</f>
        <v>226.98</v>
      </c>
    </row>
    <row r="1050" customFormat="false" ht="15" hidden="false" customHeight="false" outlineLevel="0" collapsed="false">
      <c r="A1050" s="0" t="s">
        <v>1768</v>
      </c>
      <c r="C1050" s="0" t="s">
        <v>118</v>
      </c>
      <c r="D1050" s="7" t="n">
        <v>3467</v>
      </c>
      <c r="E1050" s="8" t="n">
        <v>0.0616008076146524</v>
      </c>
      <c r="F1050" s="4" t="n">
        <f aca="false">D1050*E1050</f>
        <v>213.57</v>
      </c>
      <c r="G1050" s="7" t="n">
        <v>3</v>
      </c>
      <c r="H1050" s="9" t="n">
        <f aca="false">IF(G1050&gt;0,D1050/G1050,"")</f>
        <v>1155.66666666667</v>
      </c>
      <c r="I1050" s="10" t="n">
        <v>45953</v>
      </c>
      <c r="J1050" s="3" t="s">
        <v>1743</v>
      </c>
      <c r="K1050" s="10" t="n">
        <v>45852</v>
      </c>
      <c r="L1050" s="3" t="s">
        <v>16</v>
      </c>
      <c r="M1050" s="7" t="n">
        <v>3500</v>
      </c>
      <c r="N1050" s="8" t="n">
        <v>0.0616</v>
      </c>
      <c r="O1050" s="4" t="n">
        <f aca="false">M1050*N1050</f>
        <v>215.6</v>
      </c>
    </row>
    <row r="1051" customFormat="false" ht="15" hidden="false" customHeight="false" outlineLevel="0" collapsed="false">
      <c r="A1051" s="0" t="s">
        <v>1769</v>
      </c>
      <c r="C1051" s="0" t="s">
        <v>615</v>
      </c>
      <c r="D1051" s="7" t="n">
        <v>5000</v>
      </c>
      <c r="E1051" s="8" t="n">
        <v>0.0427</v>
      </c>
      <c r="F1051" s="4" t="n">
        <f aca="false">D1051*E1051</f>
        <v>213.5</v>
      </c>
      <c r="G1051" s="7" t="n">
        <v>1000</v>
      </c>
      <c r="H1051" s="9" t="n">
        <f aca="false">IF(G1051&gt;0,D1051/G1051,"")</f>
        <v>5</v>
      </c>
      <c r="I1051" s="10" t="n">
        <v>46265</v>
      </c>
      <c r="J1051" s="3" t="s">
        <v>1520</v>
      </c>
      <c r="K1051" s="10" t="n">
        <v>46245</v>
      </c>
      <c r="L1051" s="3" t="s">
        <v>1295</v>
      </c>
      <c r="M1051" s="7" t="n">
        <v>6000</v>
      </c>
      <c r="N1051" s="8" t="n">
        <v>0.0427</v>
      </c>
      <c r="O1051" s="4" t="n">
        <f aca="false">M1051*N1051</f>
        <v>256.2</v>
      </c>
    </row>
    <row r="1052" customFormat="false" ht="15" hidden="false" customHeight="false" outlineLevel="0" collapsed="false">
      <c r="A1052" s="0" t="s">
        <v>1770</v>
      </c>
      <c r="C1052" s="0" t="s">
        <v>225</v>
      </c>
      <c r="D1052" s="7" t="n">
        <v>15</v>
      </c>
      <c r="E1052" s="8" t="n">
        <v>14.2326666666667</v>
      </c>
      <c r="F1052" s="4" t="n">
        <f aca="false">D1052*E1052</f>
        <v>213.49</v>
      </c>
      <c r="G1052" s="7" t="n">
        <v>1</v>
      </c>
      <c r="H1052" s="9" t="n">
        <f aca="false">IF(G1052&gt;0,D1052/G1052,"")</f>
        <v>15</v>
      </c>
      <c r="I1052" s="10" t="n">
        <v>46181</v>
      </c>
      <c r="J1052" s="3" t="s">
        <v>1771</v>
      </c>
      <c r="K1052" s="10" t="n">
        <v>45453</v>
      </c>
      <c r="L1052" s="3" t="s">
        <v>14</v>
      </c>
      <c r="M1052" s="7" t="n">
        <v>29</v>
      </c>
      <c r="N1052" s="8" t="n">
        <v>14.2317</v>
      </c>
      <c r="O1052" s="4" t="n">
        <f aca="false">M1052*N1052</f>
        <v>412.7193</v>
      </c>
    </row>
    <row r="1053" customFormat="false" ht="15" hidden="false" customHeight="false" outlineLevel="0" collapsed="false">
      <c r="A1053" s="0" t="s">
        <v>1772</v>
      </c>
      <c r="C1053" s="0" t="s">
        <v>38</v>
      </c>
      <c r="D1053" s="7" t="n">
        <v>73341</v>
      </c>
      <c r="E1053" s="8" t="n">
        <v>0.00290846866009463</v>
      </c>
      <c r="F1053" s="4" t="n">
        <f aca="false">D1053*E1053</f>
        <v>213.31</v>
      </c>
      <c r="G1053" s="7" t="n">
        <v>9989</v>
      </c>
      <c r="H1053" s="9" t="n">
        <f aca="false">IF(G1053&gt;0,D1053/G1053,"")</f>
        <v>7.34217639403344</v>
      </c>
      <c r="I1053" s="10" t="n">
        <v>46310</v>
      </c>
      <c r="J1053" s="3" t="s">
        <v>1773</v>
      </c>
      <c r="K1053" s="10" t="n">
        <v>44906</v>
      </c>
      <c r="L1053" s="3" t="s">
        <v>14</v>
      </c>
      <c r="M1053" s="7" t="n">
        <v>245770</v>
      </c>
      <c r="N1053" s="8" t="n">
        <v>0.0041</v>
      </c>
      <c r="O1053" s="4" t="n">
        <f aca="false">M1053*N1053</f>
        <v>1007.657</v>
      </c>
    </row>
    <row r="1054" customFormat="false" ht="15" hidden="false" customHeight="false" outlineLevel="0" collapsed="false">
      <c r="A1054" s="0" t="s">
        <v>1774</v>
      </c>
      <c r="C1054" s="0" t="s">
        <v>79</v>
      </c>
      <c r="D1054" s="7" t="n">
        <v>1984</v>
      </c>
      <c r="E1054" s="8" t="n">
        <v>0.107494959677419</v>
      </c>
      <c r="F1054" s="4" t="n">
        <f aca="false">D1054*E1054</f>
        <v>213.27</v>
      </c>
      <c r="G1054" s="7" t="n">
        <v>150</v>
      </c>
      <c r="H1054" s="9" t="n">
        <f aca="false">IF(G1054&gt;0,D1054/G1054,"")</f>
        <v>13.2266666666667</v>
      </c>
      <c r="I1054" s="10" t="n">
        <v>46226</v>
      </c>
      <c r="K1054" s="10"/>
      <c r="M1054" s="7"/>
      <c r="N1054" s="8"/>
      <c r="O1054" s="4"/>
    </row>
    <row r="1055" customFormat="false" ht="15" hidden="false" customHeight="false" outlineLevel="0" collapsed="false">
      <c r="A1055" s="0" t="s">
        <v>1775</v>
      </c>
      <c r="C1055" s="0" t="s">
        <v>402</v>
      </c>
      <c r="D1055" s="7" t="n">
        <v>8</v>
      </c>
      <c r="E1055" s="8" t="n">
        <v>26.65</v>
      </c>
      <c r="F1055" s="4" t="n">
        <f aca="false">D1055*E1055</f>
        <v>213.2</v>
      </c>
      <c r="G1055" s="7" t="n">
        <v>2</v>
      </c>
      <c r="H1055" s="9" t="n">
        <f aca="false">IF(G1055&gt;0,D1055/G1055,"")</f>
        <v>4</v>
      </c>
      <c r="I1055" s="10" t="n">
        <v>45987</v>
      </c>
      <c r="J1055" s="3" t="s">
        <v>1580</v>
      </c>
      <c r="K1055" s="10" t="n">
        <v>45967</v>
      </c>
      <c r="L1055" s="3" t="s">
        <v>834</v>
      </c>
      <c r="M1055" s="7" t="n">
        <v>10</v>
      </c>
      <c r="N1055" s="8" t="n">
        <v>26.65</v>
      </c>
      <c r="O1055" s="4" t="n">
        <f aca="false">M1055*N1055</f>
        <v>266.5</v>
      </c>
    </row>
    <row r="1056" customFormat="false" ht="15" hidden="false" customHeight="false" outlineLevel="0" collapsed="false">
      <c r="A1056" s="0" t="s">
        <v>1776</v>
      </c>
      <c r="C1056" s="0" t="s">
        <v>43</v>
      </c>
      <c r="D1056" s="7" t="n">
        <v>407</v>
      </c>
      <c r="E1056" s="8" t="n">
        <v>0.523488943488944</v>
      </c>
      <c r="F1056" s="4" t="n">
        <f aca="false">D1056*E1056</f>
        <v>213.06</v>
      </c>
      <c r="G1056" s="7" t="n">
        <v>10</v>
      </c>
      <c r="H1056" s="9" t="n">
        <f aca="false">IF(G1056&gt;0,D1056/G1056,"")</f>
        <v>40.7</v>
      </c>
      <c r="I1056" s="10" t="n">
        <v>46286</v>
      </c>
      <c r="K1056" s="10"/>
      <c r="M1056" s="7"/>
      <c r="N1056" s="8"/>
      <c r="O1056" s="4"/>
    </row>
    <row r="1057" customFormat="false" ht="15" hidden="false" customHeight="false" outlineLevel="0" collapsed="false">
      <c r="A1057" s="0" t="s">
        <v>1777</v>
      </c>
      <c r="C1057" s="0" t="s">
        <v>298</v>
      </c>
      <c r="D1057" s="7" t="n">
        <v>784</v>
      </c>
      <c r="E1057" s="8" t="n">
        <v>0.271709183673469</v>
      </c>
      <c r="F1057" s="4" t="n">
        <f aca="false">D1057*E1057</f>
        <v>213.02</v>
      </c>
      <c r="G1057" s="7" t="n">
        <v>10</v>
      </c>
      <c r="H1057" s="9" t="n">
        <f aca="false">IF(G1057&gt;0,D1057/G1057,"")</f>
        <v>78.4</v>
      </c>
      <c r="I1057" s="10" t="n">
        <v>46104</v>
      </c>
      <c r="J1057" s="3" t="s">
        <v>1778</v>
      </c>
      <c r="K1057" s="10" t="n">
        <v>44699</v>
      </c>
      <c r="L1057" s="3" t="s">
        <v>15</v>
      </c>
      <c r="M1057" s="7" t="n">
        <v>1220</v>
      </c>
      <c r="N1057" s="8" t="n">
        <v>0.27176</v>
      </c>
      <c r="O1057" s="4" t="n">
        <f aca="false">M1057*N1057</f>
        <v>331.5472</v>
      </c>
    </row>
    <row r="1058" customFormat="false" ht="15" hidden="false" customHeight="false" outlineLevel="0" collapsed="false">
      <c r="A1058" s="0" t="s">
        <v>1779</v>
      </c>
      <c r="C1058" s="0" t="s">
        <v>777</v>
      </c>
      <c r="D1058" s="7" t="n">
        <v>1325</v>
      </c>
      <c r="E1058" s="8" t="n">
        <v>0.16068679245283</v>
      </c>
      <c r="F1058" s="4" t="n">
        <f aca="false">D1058*E1058</f>
        <v>212.91</v>
      </c>
      <c r="G1058" s="7" t="n">
        <v>70</v>
      </c>
      <c r="H1058" s="9" t="n">
        <f aca="false">IF(G1058&gt;0,D1058/G1058,"")</f>
        <v>18.9285714285714</v>
      </c>
      <c r="I1058" s="10" t="n">
        <v>45986</v>
      </c>
      <c r="J1058" s="3" t="s">
        <v>1425</v>
      </c>
      <c r="K1058" s="10" t="n">
        <v>45890</v>
      </c>
      <c r="L1058" s="3" t="s">
        <v>15</v>
      </c>
      <c r="M1058" s="7" t="n">
        <v>1395</v>
      </c>
      <c r="N1058" s="8" t="n">
        <v>0.16069</v>
      </c>
      <c r="O1058" s="4" t="n">
        <f aca="false">M1058*N1058</f>
        <v>224.16255</v>
      </c>
    </row>
    <row r="1059" customFormat="false" ht="15" hidden="false" customHeight="false" outlineLevel="0" collapsed="false">
      <c r="A1059" s="0" t="s">
        <v>1780</v>
      </c>
      <c r="C1059" s="0" t="s">
        <v>35</v>
      </c>
      <c r="D1059" s="7" t="n">
        <v>89</v>
      </c>
      <c r="E1059" s="8" t="n">
        <v>2.39202247191011</v>
      </c>
      <c r="F1059" s="4" t="n">
        <f aca="false">D1059*E1059</f>
        <v>212.89</v>
      </c>
      <c r="G1059" s="7" t="n">
        <v>31</v>
      </c>
      <c r="H1059" s="9" t="n">
        <f aca="false">IF(G1059&gt;0,D1059/G1059,"")</f>
        <v>2.87096774193548</v>
      </c>
      <c r="I1059" s="10" t="n">
        <v>46065</v>
      </c>
      <c r="J1059" s="3" t="s">
        <v>1781</v>
      </c>
      <c r="K1059" s="10" t="n">
        <v>45748</v>
      </c>
      <c r="L1059" s="3" t="s">
        <v>20</v>
      </c>
      <c r="M1059" s="7" t="n">
        <v>120</v>
      </c>
      <c r="N1059" s="8" t="n">
        <v>2.392</v>
      </c>
      <c r="O1059" s="4" t="n">
        <f aca="false">M1059*N1059</f>
        <v>287.04</v>
      </c>
    </row>
    <row r="1060" customFormat="false" ht="15" hidden="false" customHeight="false" outlineLevel="0" collapsed="false">
      <c r="A1060" s="0" t="s">
        <v>1782</v>
      </c>
      <c r="C1060" s="0" t="s">
        <v>340</v>
      </c>
      <c r="D1060" s="7" t="n">
        <v>22056</v>
      </c>
      <c r="E1060" s="8" t="n">
        <v>0.0096499818643453</v>
      </c>
      <c r="F1060" s="4" t="n">
        <f aca="false">D1060*E1060</f>
        <v>212.84</v>
      </c>
      <c r="G1060" s="7" t="n">
        <v>546</v>
      </c>
      <c r="H1060" s="9" t="n">
        <f aca="false">IF(G1060&gt;0,D1060/G1060,"")</f>
        <v>40.3956043956044</v>
      </c>
      <c r="I1060" s="10" t="n">
        <v>46304</v>
      </c>
      <c r="J1060" s="3" t="s">
        <v>1140</v>
      </c>
      <c r="K1060" s="10" t="n">
        <v>45614</v>
      </c>
      <c r="L1060" s="3" t="s">
        <v>15</v>
      </c>
      <c r="M1060" s="7" t="n">
        <v>22600</v>
      </c>
      <c r="N1060" s="8" t="n">
        <v>0.00965</v>
      </c>
      <c r="O1060" s="4" t="n">
        <f aca="false">M1060*N1060</f>
        <v>218.09</v>
      </c>
    </row>
    <row r="1061" customFormat="false" ht="15" hidden="false" customHeight="false" outlineLevel="0" collapsed="false">
      <c r="A1061" s="0" t="s">
        <v>1783</v>
      </c>
      <c r="C1061" s="0" t="s">
        <v>438</v>
      </c>
      <c r="D1061" s="7" t="n">
        <v>50</v>
      </c>
      <c r="E1061" s="8" t="n">
        <v>4.2566</v>
      </c>
      <c r="F1061" s="4" t="n">
        <f aca="false">D1061*E1061</f>
        <v>212.83</v>
      </c>
      <c r="G1061" s="7" t="n">
        <v>22</v>
      </c>
      <c r="H1061" s="9" t="n">
        <f aca="false">IF(G1061&gt;0,D1061/G1061,"")</f>
        <v>2.27272727272727</v>
      </c>
      <c r="I1061" s="10" t="n">
        <v>46281</v>
      </c>
      <c r="J1061" s="3" t="s">
        <v>269</v>
      </c>
      <c r="K1061" s="10" t="n">
        <v>46252</v>
      </c>
      <c r="L1061" s="3" t="s">
        <v>14</v>
      </c>
      <c r="M1061" s="7" t="n">
        <v>50</v>
      </c>
      <c r="N1061" s="8" t="n">
        <v>4.2566</v>
      </c>
      <c r="O1061" s="4" t="n">
        <f aca="false">M1061*N1061</f>
        <v>212.83</v>
      </c>
    </row>
    <row r="1062" customFormat="false" ht="15" hidden="false" customHeight="false" outlineLevel="0" collapsed="false">
      <c r="A1062" s="0" t="s">
        <v>1784</v>
      </c>
      <c r="C1062" s="0" t="s">
        <v>945</v>
      </c>
      <c r="D1062" s="7" t="n">
        <v>26</v>
      </c>
      <c r="E1062" s="8" t="n">
        <v>8.18230769230769</v>
      </c>
      <c r="F1062" s="4" t="n">
        <f aca="false">D1062*E1062</f>
        <v>212.74</v>
      </c>
      <c r="G1062" s="7" t="n">
        <v>4</v>
      </c>
      <c r="H1062" s="9" t="n">
        <f aca="false">IF(G1062&gt;0,D1062/G1062,"")</f>
        <v>6.5</v>
      </c>
      <c r="I1062" s="10" t="n">
        <v>46253</v>
      </c>
      <c r="J1062" s="3" t="s">
        <v>957</v>
      </c>
      <c r="K1062" s="10" t="n">
        <v>45334</v>
      </c>
      <c r="L1062" s="3" t="s">
        <v>14</v>
      </c>
      <c r="M1062" s="7" t="n">
        <v>50</v>
      </c>
      <c r="N1062" s="8" t="n">
        <v>8.1824</v>
      </c>
      <c r="O1062" s="4" t="n">
        <f aca="false">M1062*N1062</f>
        <v>409.12</v>
      </c>
    </row>
    <row r="1063" customFormat="false" ht="15" hidden="false" customHeight="false" outlineLevel="0" collapsed="false">
      <c r="A1063" s="0" t="s">
        <v>1785</v>
      </c>
      <c r="C1063" s="0" t="s">
        <v>118</v>
      </c>
      <c r="D1063" s="7" t="n">
        <v>9305</v>
      </c>
      <c r="E1063" s="8" t="n">
        <v>0.0228414830736163</v>
      </c>
      <c r="F1063" s="4" t="n">
        <f aca="false">D1063*E1063</f>
        <v>212.54</v>
      </c>
      <c r="G1063" s="7" t="n">
        <v>100</v>
      </c>
      <c r="H1063" s="9" t="n">
        <f aca="false">IF(G1063&gt;0,D1063/G1063,"")</f>
        <v>93.05</v>
      </c>
      <c r="I1063" s="10" t="n">
        <v>46037</v>
      </c>
      <c r="J1063" s="3" t="s">
        <v>1786</v>
      </c>
      <c r="K1063" s="10" t="n">
        <v>45026</v>
      </c>
      <c r="L1063" s="3" t="s">
        <v>15</v>
      </c>
      <c r="M1063" s="7" t="n">
        <v>9640</v>
      </c>
      <c r="N1063" s="8" t="n">
        <v>0.02284</v>
      </c>
      <c r="O1063" s="4" t="n">
        <f aca="false">M1063*N1063</f>
        <v>220.1776</v>
      </c>
    </row>
    <row r="1064" customFormat="false" ht="15" hidden="false" customHeight="false" outlineLevel="0" collapsed="false">
      <c r="A1064" s="0" t="s">
        <v>1787</v>
      </c>
      <c r="C1064" s="0" t="s">
        <v>38</v>
      </c>
      <c r="D1064" s="7" t="n">
        <v>1331</v>
      </c>
      <c r="E1064" s="8" t="n">
        <v>0.159669421487603</v>
      </c>
      <c r="F1064" s="4" t="n">
        <f aca="false">D1064*E1064</f>
        <v>212.52</v>
      </c>
      <c r="G1064" s="7" t="n">
        <v>61</v>
      </c>
      <c r="H1064" s="9" t="n">
        <f aca="false">IF(G1064&gt;0,D1064/G1064,"")</f>
        <v>21.8196721311475</v>
      </c>
      <c r="I1064" s="10" t="n">
        <v>46041</v>
      </c>
      <c r="J1064" s="3" t="s">
        <v>1211</v>
      </c>
      <c r="K1064" s="10" t="n">
        <v>45750</v>
      </c>
      <c r="L1064" s="3" t="s">
        <v>26</v>
      </c>
      <c r="M1064" s="7" t="n">
        <v>100</v>
      </c>
      <c r="N1064" s="8" t="n">
        <v>0.4532</v>
      </c>
      <c r="O1064" s="4" t="n">
        <f aca="false">M1064*N1064</f>
        <v>45.32</v>
      </c>
    </row>
    <row r="1065" customFormat="false" ht="15" hidden="false" customHeight="false" outlineLevel="0" collapsed="false">
      <c r="A1065" s="0" t="s">
        <v>1788</v>
      </c>
      <c r="C1065" s="0" t="s">
        <v>340</v>
      </c>
      <c r="D1065" s="7" t="n">
        <v>4988</v>
      </c>
      <c r="E1065" s="8" t="n">
        <v>0.0426002405773857</v>
      </c>
      <c r="F1065" s="4" t="n">
        <f aca="false">D1065*E1065</f>
        <v>212.49</v>
      </c>
      <c r="G1065" s="7" t="n">
        <v>694</v>
      </c>
      <c r="H1065" s="9" t="n">
        <f aca="false">IF(G1065&gt;0,D1065/G1065,"")</f>
        <v>7.18731988472623</v>
      </c>
      <c r="I1065" s="10" t="n">
        <v>46317</v>
      </c>
      <c r="J1065" s="3" t="s">
        <v>162</v>
      </c>
      <c r="K1065" s="10" t="n">
        <v>45967</v>
      </c>
      <c r="L1065" s="3" t="s">
        <v>15</v>
      </c>
      <c r="M1065" s="7" t="n">
        <v>5695</v>
      </c>
      <c r="N1065" s="8" t="n">
        <v>0.0426</v>
      </c>
      <c r="O1065" s="4" t="n">
        <f aca="false">M1065*N1065</f>
        <v>242.607</v>
      </c>
    </row>
    <row r="1066" customFormat="false" ht="15" hidden="false" customHeight="false" outlineLevel="0" collapsed="false">
      <c r="A1066" s="0" t="s">
        <v>1789</v>
      </c>
      <c r="C1066" s="0" t="s">
        <v>35</v>
      </c>
      <c r="D1066" s="7" t="n">
        <v>2468</v>
      </c>
      <c r="E1066" s="8" t="n">
        <v>0.0860008103727715</v>
      </c>
      <c r="F1066" s="4" t="n">
        <f aca="false">D1066*E1066</f>
        <v>212.25</v>
      </c>
      <c r="G1066" s="7" t="n">
        <v>177</v>
      </c>
      <c r="H1066" s="9" t="n">
        <f aca="false">IF(G1066&gt;0,D1066/G1066,"")</f>
        <v>13.9435028248588</v>
      </c>
      <c r="I1066" s="10" t="n">
        <v>46274</v>
      </c>
      <c r="J1066" s="3" t="s">
        <v>182</v>
      </c>
      <c r="K1066" s="10" t="n">
        <v>44285</v>
      </c>
      <c r="L1066" s="3" t="s">
        <v>20</v>
      </c>
      <c r="M1066" s="7" t="n">
        <v>2666</v>
      </c>
      <c r="N1066" s="8" t="n">
        <v>0.086</v>
      </c>
      <c r="O1066" s="4" t="n">
        <f aca="false">M1066*N1066</f>
        <v>229.276</v>
      </c>
    </row>
    <row r="1067" customFormat="false" ht="15" hidden="false" customHeight="false" outlineLevel="0" collapsed="false">
      <c r="A1067" s="0" t="s">
        <v>1790</v>
      </c>
      <c r="C1067" s="0" t="s">
        <v>118</v>
      </c>
      <c r="D1067" s="7" t="n">
        <v>855</v>
      </c>
      <c r="E1067" s="8" t="n">
        <v>0.248105263157895</v>
      </c>
      <c r="F1067" s="4" t="n">
        <f aca="false">D1067*E1067</f>
        <v>212.13</v>
      </c>
      <c r="G1067" s="7" t="n">
        <v>62</v>
      </c>
      <c r="H1067" s="9" t="n">
        <f aca="false">IF(G1067&gt;0,D1067/G1067,"")</f>
        <v>13.7903225806452</v>
      </c>
      <c r="I1067" s="10" t="n">
        <v>46202</v>
      </c>
      <c r="J1067" s="3" t="s">
        <v>1791</v>
      </c>
      <c r="K1067" s="10" t="n">
        <v>45475</v>
      </c>
      <c r="L1067" s="3" t="s">
        <v>16</v>
      </c>
      <c r="M1067" s="7" t="n">
        <v>1000</v>
      </c>
      <c r="N1067" s="8" t="n">
        <v>0.2481</v>
      </c>
      <c r="O1067" s="4" t="n">
        <f aca="false">M1067*N1067</f>
        <v>248.1</v>
      </c>
    </row>
    <row r="1068" customFormat="false" ht="15" hidden="false" customHeight="false" outlineLevel="0" collapsed="false">
      <c r="A1068" s="0" t="s">
        <v>1792</v>
      </c>
      <c r="C1068" s="0" t="s">
        <v>45</v>
      </c>
      <c r="D1068" s="7" t="n">
        <v>8</v>
      </c>
      <c r="E1068" s="8" t="n">
        <v>26.48625</v>
      </c>
      <c r="F1068" s="4" t="n">
        <f aca="false">D1068*E1068</f>
        <v>211.89</v>
      </c>
      <c r="G1068" s="7" t="n">
        <v>5</v>
      </c>
      <c r="H1068" s="9" t="n">
        <f aca="false">IF(G1068&gt;0,D1068/G1068,"")</f>
        <v>1.6</v>
      </c>
      <c r="I1068" s="10" t="n">
        <v>46078</v>
      </c>
      <c r="J1068" s="3" t="s">
        <v>1793</v>
      </c>
      <c r="K1068" s="10" t="n">
        <v>45350</v>
      </c>
      <c r="L1068" s="3" t="s">
        <v>14</v>
      </c>
      <c r="M1068" s="7" t="n">
        <v>16</v>
      </c>
      <c r="N1068" s="8" t="n">
        <v>26.486</v>
      </c>
      <c r="O1068" s="4" t="n">
        <f aca="false">M1068*N1068</f>
        <v>423.776</v>
      </c>
    </row>
    <row r="1069" customFormat="false" ht="15" hidden="false" customHeight="false" outlineLevel="0" collapsed="false">
      <c r="A1069" s="0" t="s">
        <v>1794</v>
      </c>
      <c r="C1069" s="0" t="s">
        <v>45</v>
      </c>
      <c r="D1069" s="7" t="n">
        <v>1590</v>
      </c>
      <c r="E1069" s="8" t="n">
        <v>0.133194968553459</v>
      </c>
      <c r="F1069" s="4" t="n">
        <f aca="false">D1069*E1069</f>
        <v>211.78</v>
      </c>
      <c r="G1069" s="7" t="n">
        <v>385</v>
      </c>
      <c r="H1069" s="9" t="n">
        <f aca="false">IF(G1069&gt;0,D1069/G1069,"")</f>
        <v>4.12987012987013</v>
      </c>
      <c r="I1069" s="10" t="n">
        <v>46293</v>
      </c>
      <c r="J1069" s="3" t="s">
        <v>1795</v>
      </c>
      <c r="K1069" s="10" t="n">
        <v>45688</v>
      </c>
      <c r="L1069" s="3" t="s">
        <v>23</v>
      </c>
      <c r="M1069" s="7" t="n">
        <v>2000</v>
      </c>
      <c r="N1069" s="8" t="n">
        <v>0.1332</v>
      </c>
      <c r="O1069" s="4" t="n">
        <f aca="false">M1069*N1069</f>
        <v>266.4</v>
      </c>
    </row>
    <row r="1070" customFormat="false" ht="15" hidden="false" customHeight="false" outlineLevel="0" collapsed="false">
      <c r="A1070" s="0" t="s">
        <v>1796</v>
      </c>
      <c r="C1070" s="0" t="s">
        <v>39</v>
      </c>
      <c r="D1070" s="7" t="n">
        <v>8365</v>
      </c>
      <c r="E1070" s="8" t="n">
        <v>0.0253006575014943</v>
      </c>
      <c r="F1070" s="4" t="n">
        <f aca="false">D1070*E1070</f>
        <v>211.64</v>
      </c>
      <c r="G1070" s="7" t="n">
        <v>5526</v>
      </c>
      <c r="H1070" s="9" t="n">
        <f aca="false">IF(G1070&gt;0,D1070/G1070,"")</f>
        <v>1.51375316684763</v>
      </c>
      <c r="I1070" s="10" t="n">
        <v>46304</v>
      </c>
      <c r="J1070" s="3" t="s">
        <v>1797</v>
      </c>
      <c r="K1070" s="10" t="n">
        <v>44472</v>
      </c>
      <c r="L1070" s="3" t="s">
        <v>465</v>
      </c>
      <c r="M1070" s="7" t="n">
        <v>25000</v>
      </c>
      <c r="N1070" s="8" t="n">
        <v>0.0253</v>
      </c>
      <c r="O1070" s="4" t="n">
        <f aca="false">M1070*N1070</f>
        <v>632.5</v>
      </c>
    </row>
    <row r="1071" customFormat="false" ht="15" hidden="false" customHeight="false" outlineLevel="0" collapsed="false">
      <c r="A1071" s="0" t="s">
        <v>1798</v>
      </c>
      <c r="C1071" s="0" t="s">
        <v>33</v>
      </c>
      <c r="D1071" s="7" t="n">
        <v>916</v>
      </c>
      <c r="E1071" s="8" t="n">
        <v>0.230917030567686</v>
      </c>
      <c r="F1071" s="4" t="n">
        <f aca="false">D1071*E1071</f>
        <v>211.52</v>
      </c>
      <c r="G1071" s="7" t="n">
        <v>218</v>
      </c>
      <c r="H1071" s="9" t="n">
        <f aca="false">IF(G1071&gt;0,D1071/G1071,"")</f>
        <v>4.20183486238532</v>
      </c>
      <c r="I1071" s="10" t="n">
        <v>46283</v>
      </c>
      <c r="J1071" s="3" t="s">
        <v>464</v>
      </c>
      <c r="K1071" s="10" t="n">
        <v>44729</v>
      </c>
      <c r="L1071" s="3" t="s">
        <v>465</v>
      </c>
      <c r="M1071" s="7" t="n">
        <v>2265</v>
      </c>
      <c r="N1071" s="8" t="n">
        <v>0</v>
      </c>
      <c r="O1071" s="4" t="n">
        <v>529.2</v>
      </c>
    </row>
    <row r="1072" customFormat="false" ht="15" hidden="false" customHeight="false" outlineLevel="0" collapsed="false">
      <c r="A1072" s="0" t="s">
        <v>1799</v>
      </c>
      <c r="C1072" s="0" t="s">
        <v>38</v>
      </c>
      <c r="D1072" s="7" t="n">
        <v>5330</v>
      </c>
      <c r="E1072" s="8" t="n">
        <v>0.0396810506566604</v>
      </c>
      <c r="F1072" s="4" t="n">
        <f aca="false">D1072*E1072</f>
        <v>211.5</v>
      </c>
      <c r="G1072" s="7" t="n">
        <v>3870</v>
      </c>
      <c r="H1072" s="9" t="n">
        <f aca="false">IF(G1072&gt;0,D1072/G1072,"")</f>
        <v>1.37726098191214</v>
      </c>
      <c r="I1072" s="10" t="n">
        <v>46280</v>
      </c>
      <c r="J1072" s="3" t="s">
        <v>149</v>
      </c>
      <c r="K1072" s="10" t="n">
        <v>46259</v>
      </c>
      <c r="L1072" s="3" t="s">
        <v>14</v>
      </c>
      <c r="M1072" s="7" t="n">
        <v>5000</v>
      </c>
      <c r="N1072" s="8" t="n">
        <v>0.0396</v>
      </c>
      <c r="O1072" s="4" t="n">
        <f aca="false">M1072*N1072</f>
        <v>198</v>
      </c>
    </row>
    <row r="1073" customFormat="false" ht="15" hidden="false" customHeight="false" outlineLevel="0" collapsed="false">
      <c r="A1073" s="0" t="s">
        <v>1800</v>
      </c>
      <c r="C1073" s="0" t="s">
        <v>1714</v>
      </c>
      <c r="D1073" s="7" t="n">
        <v>10300</v>
      </c>
      <c r="E1073" s="8" t="n">
        <v>0.0205</v>
      </c>
      <c r="F1073" s="4" t="n">
        <f aca="false">D1073*E1073</f>
        <v>211.15</v>
      </c>
      <c r="G1073" s="7" t="n">
        <v>240</v>
      </c>
      <c r="H1073" s="9" t="n">
        <f aca="false">IF(G1073&gt;0,D1073/G1073,"")</f>
        <v>42.9166666666667</v>
      </c>
      <c r="I1073" s="10" t="n">
        <v>46274</v>
      </c>
      <c r="J1073" s="3" t="s">
        <v>1724</v>
      </c>
      <c r="K1073" s="10" t="n">
        <v>45273</v>
      </c>
      <c r="L1073" s="3" t="s">
        <v>15</v>
      </c>
      <c r="M1073" s="7" t="n">
        <v>10660</v>
      </c>
      <c r="N1073" s="8" t="n">
        <v>0.0205</v>
      </c>
      <c r="O1073" s="4" t="n">
        <f aca="false">M1073*N1073</f>
        <v>218.53</v>
      </c>
    </row>
    <row r="1074" customFormat="false" ht="15" hidden="false" customHeight="false" outlineLevel="0" collapsed="false">
      <c r="A1074" s="0" t="s">
        <v>1801</v>
      </c>
      <c r="C1074" s="0" t="s">
        <v>1802</v>
      </c>
      <c r="D1074" s="7" t="n">
        <v>92</v>
      </c>
      <c r="E1074" s="8" t="n">
        <v>2.29391304347826</v>
      </c>
      <c r="F1074" s="4" t="n">
        <f aca="false">D1074*E1074</f>
        <v>211.04</v>
      </c>
      <c r="G1074" s="7" t="n">
        <v>14</v>
      </c>
      <c r="H1074" s="9" t="n">
        <f aca="false">IF(G1074&gt;0,D1074/G1074,"")</f>
        <v>6.57142857142857</v>
      </c>
      <c r="I1074" s="10" t="n">
        <v>46279</v>
      </c>
      <c r="J1074" s="3" t="s">
        <v>984</v>
      </c>
      <c r="K1074" s="10" t="n">
        <v>45974</v>
      </c>
      <c r="L1074" s="3" t="s">
        <v>14</v>
      </c>
      <c r="M1074" s="7" t="n">
        <v>102</v>
      </c>
      <c r="N1074" s="8" t="n">
        <v>2.2939</v>
      </c>
      <c r="O1074" s="4" t="n">
        <f aca="false">M1074*N1074</f>
        <v>233.9778</v>
      </c>
    </row>
    <row r="1075" customFormat="false" ht="15" hidden="false" customHeight="false" outlineLevel="0" collapsed="false">
      <c r="A1075" s="0" t="s">
        <v>1803</v>
      </c>
      <c r="C1075" s="0" t="s">
        <v>31</v>
      </c>
      <c r="D1075" s="7" t="n">
        <v>5019</v>
      </c>
      <c r="E1075" s="8" t="n">
        <v>0.0420322773460849</v>
      </c>
      <c r="F1075" s="4" t="n">
        <f aca="false">D1075*E1075</f>
        <v>210.96</v>
      </c>
      <c r="G1075" s="7" t="n">
        <v>303</v>
      </c>
      <c r="H1075" s="9" t="n">
        <f aca="false">IF(G1075&gt;0,D1075/G1075,"")</f>
        <v>16.5643564356436</v>
      </c>
      <c r="I1075" s="10" t="n">
        <v>46233</v>
      </c>
      <c r="J1075" s="3" t="s">
        <v>1804</v>
      </c>
      <c r="K1075" s="10" t="n">
        <v>44550</v>
      </c>
      <c r="L1075" s="3" t="s">
        <v>16</v>
      </c>
      <c r="M1075" s="7" t="n">
        <v>5000</v>
      </c>
      <c r="N1075" s="8" t="n">
        <v>0.0418</v>
      </c>
      <c r="O1075" s="4" t="n">
        <f aca="false">M1075*N1075</f>
        <v>209</v>
      </c>
    </row>
    <row r="1076" customFormat="false" ht="15" hidden="false" customHeight="false" outlineLevel="0" collapsed="false">
      <c r="A1076" s="0" t="s">
        <v>1805</v>
      </c>
      <c r="C1076" s="0" t="s">
        <v>35</v>
      </c>
      <c r="D1076" s="7" t="n">
        <v>2704</v>
      </c>
      <c r="E1076" s="8" t="n">
        <v>0.0779992603550296</v>
      </c>
      <c r="F1076" s="4" t="n">
        <f aca="false">D1076*E1076</f>
        <v>210.91</v>
      </c>
      <c r="G1076" s="7" t="n">
        <v>955</v>
      </c>
      <c r="H1076" s="9" t="n">
        <f aca="false">IF(G1076&gt;0,D1076/G1076,"")</f>
        <v>2.83141361256545</v>
      </c>
      <c r="I1076" s="10" t="n">
        <v>46268</v>
      </c>
      <c r="J1076" s="3" t="s">
        <v>184</v>
      </c>
      <c r="K1076" s="10" t="n">
        <v>45468</v>
      </c>
      <c r="L1076" s="3" t="s">
        <v>20</v>
      </c>
      <c r="M1076" s="7" t="n">
        <v>4000</v>
      </c>
      <c r="N1076" s="8" t="n">
        <v>0.078</v>
      </c>
      <c r="O1076" s="4" t="n">
        <f aca="false">M1076*N1076</f>
        <v>312</v>
      </c>
    </row>
    <row r="1077" customFormat="false" ht="15" hidden="false" customHeight="false" outlineLevel="0" collapsed="false">
      <c r="A1077" s="0" t="s">
        <v>1806</v>
      </c>
      <c r="C1077" s="0" t="s">
        <v>43</v>
      </c>
      <c r="D1077" s="7" t="n">
        <v>390</v>
      </c>
      <c r="E1077" s="8" t="n">
        <v>0.540641025641026</v>
      </c>
      <c r="F1077" s="4" t="n">
        <f aca="false">D1077*E1077</f>
        <v>210.85</v>
      </c>
      <c r="G1077" s="7" t="n">
        <v>16</v>
      </c>
      <c r="H1077" s="9" t="n">
        <f aca="false">IF(G1077&gt;0,D1077/G1077,"")</f>
        <v>24.375</v>
      </c>
      <c r="I1077" s="10" t="n">
        <v>46143</v>
      </c>
      <c r="K1077" s="10"/>
      <c r="M1077" s="7"/>
      <c r="N1077" s="8"/>
      <c r="O1077" s="4"/>
    </row>
    <row r="1078" customFormat="false" ht="15" hidden="false" customHeight="false" outlineLevel="0" collapsed="false">
      <c r="A1078" s="0" t="s">
        <v>1807</v>
      </c>
      <c r="C1078" s="0" t="s">
        <v>34</v>
      </c>
      <c r="D1078" s="7" t="n">
        <v>14374</v>
      </c>
      <c r="E1078" s="8" t="n">
        <v>0.0146577153193266</v>
      </c>
      <c r="F1078" s="4" t="n">
        <f aca="false">D1078*E1078</f>
        <v>210.69</v>
      </c>
      <c r="G1078" s="7" t="n">
        <v>455</v>
      </c>
      <c r="H1078" s="9" t="n">
        <f aca="false">IF(G1078&gt;0,D1078/G1078,"")</f>
        <v>31.5912087912088</v>
      </c>
      <c r="I1078" s="10" t="n">
        <v>46297</v>
      </c>
      <c r="J1078" s="3" t="s">
        <v>862</v>
      </c>
      <c r="K1078" s="10" t="n">
        <v>44925</v>
      </c>
      <c r="L1078" s="3" t="s">
        <v>15</v>
      </c>
      <c r="M1078" s="7" t="n">
        <v>27000</v>
      </c>
      <c r="N1078" s="8" t="n">
        <v>0.01466</v>
      </c>
      <c r="O1078" s="4" t="n">
        <f aca="false">M1078*N1078</f>
        <v>395.82</v>
      </c>
    </row>
    <row r="1079" customFormat="false" ht="15" hidden="false" customHeight="false" outlineLevel="0" collapsed="false">
      <c r="A1079" s="0" t="s">
        <v>1808</v>
      </c>
      <c r="C1079" s="0" t="s">
        <v>494</v>
      </c>
      <c r="D1079" s="7" t="n">
        <v>4723</v>
      </c>
      <c r="E1079" s="8" t="n">
        <v>0.0445966546686428</v>
      </c>
      <c r="F1079" s="4" t="n">
        <f aca="false">D1079*E1079</f>
        <v>210.63</v>
      </c>
      <c r="G1079" s="7" t="n">
        <v>37</v>
      </c>
      <c r="H1079" s="9" t="n">
        <f aca="false">IF(G1079&gt;0,D1079/G1079,"")</f>
        <v>127.648648648649</v>
      </c>
      <c r="I1079" s="10" t="n">
        <v>46293</v>
      </c>
      <c r="K1079" s="10"/>
      <c r="M1079" s="7"/>
      <c r="N1079" s="8"/>
      <c r="O1079" s="4"/>
    </row>
    <row r="1080" customFormat="false" ht="15" hidden="false" customHeight="false" outlineLevel="0" collapsed="false">
      <c r="A1080" s="0" t="s">
        <v>1809</v>
      </c>
      <c r="C1080" s="0" t="s">
        <v>35</v>
      </c>
      <c r="D1080" s="7" t="n">
        <v>203</v>
      </c>
      <c r="E1080" s="8" t="n">
        <v>1.03733990147783</v>
      </c>
      <c r="F1080" s="4" t="n">
        <f aca="false">D1080*E1080</f>
        <v>210.58</v>
      </c>
      <c r="G1080" s="7" t="n">
        <v>8</v>
      </c>
      <c r="H1080" s="9" t="n">
        <f aca="false">IF(G1080&gt;0,D1080/G1080,"")</f>
        <v>25.375</v>
      </c>
      <c r="I1080" s="10" t="n">
        <v>46248</v>
      </c>
      <c r="J1080" s="3" t="s">
        <v>1810</v>
      </c>
      <c r="K1080" s="10" t="n">
        <v>44942</v>
      </c>
      <c r="L1080" s="3" t="s">
        <v>14</v>
      </c>
      <c r="M1080" s="7" t="n">
        <v>349</v>
      </c>
      <c r="N1080" s="8" t="n">
        <v>1.0373</v>
      </c>
      <c r="O1080" s="4" t="n">
        <f aca="false">M1080*N1080</f>
        <v>362.0177</v>
      </c>
    </row>
    <row r="1081" customFormat="false" ht="15" hidden="false" customHeight="false" outlineLevel="0" collapsed="false">
      <c r="A1081" s="0" t="s">
        <v>1811</v>
      </c>
      <c r="C1081" s="0" t="s">
        <v>1802</v>
      </c>
      <c r="D1081" s="7" t="n">
        <v>140</v>
      </c>
      <c r="E1081" s="8" t="n">
        <v>1.50378571428571</v>
      </c>
      <c r="F1081" s="4" t="n">
        <f aca="false">D1081*E1081</f>
        <v>210.53</v>
      </c>
      <c r="G1081" s="7" t="n">
        <v>3</v>
      </c>
      <c r="H1081" s="9" t="n">
        <f aca="false">IF(G1081&gt;0,D1081/G1081,"")</f>
        <v>46.6666666666667</v>
      </c>
      <c r="I1081" s="10" t="n">
        <v>46195</v>
      </c>
      <c r="J1081" s="3" t="s">
        <v>426</v>
      </c>
      <c r="K1081" s="10" t="n">
        <v>46038</v>
      </c>
      <c r="L1081" s="3" t="s">
        <v>14</v>
      </c>
      <c r="M1081" s="7" t="n">
        <v>143</v>
      </c>
      <c r="N1081" s="8" t="n">
        <v>1.5038</v>
      </c>
      <c r="O1081" s="4" t="n">
        <f aca="false">M1081*N1081</f>
        <v>215.0434</v>
      </c>
    </row>
    <row r="1082" customFormat="false" ht="15" hidden="false" customHeight="false" outlineLevel="0" collapsed="false">
      <c r="A1082" s="0" t="s">
        <v>1812</v>
      </c>
      <c r="C1082" s="0" t="s">
        <v>36</v>
      </c>
      <c r="D1082" s="7" t="n">
        <v>15253</v>
      </c>
      <c r="E1082" s="8" t="n">
        <v>0.0138005638235101</v>
      </c>
      <c r="F1082" s="4" t="n">
        <f aca="false">D1082*E1082</f>
        <v>210.5</v>
      </c>
      <c r="G1082" s="7" t="n">
        <v>2298</v>
      </c>
      <c r="H1082" s="9" t="n">
        <f aca="false">IF(G1082&gt;0,D1082/G1082,"")</f>
        <v>6.63751087902524</v>
      </c>
      <c r="I1082" s="10" t="n">
        <v>46178</v>
      </c>
      <c r="J1082" s="3" t="s">
        <v>1028</v>
      </c>
      <c r="K1082" s="10" t="n">
        <v>45689</v>
      </c>
      <c r="L1082" s="3" t="s">
        <v>18</v>
      </c>
      <c r="M1082" s="7" t="n">
        <v>20200</v>
      </c>
      <c r="N1082" s="8" t="n">
        <v>0.0138</v>
      </c>
      <c r="O1082" s="4" t="n">
        <f aca="false">M1082*N1082</f>
        <v>278.76</v>
      </c>
    </row>
    <row r="1083" customFormat="false" ht="15" hidden="false" customHeight="false" outlineLevel="0" collapsed="false">
      <c r="A1083" s="0" t="s">
        <v>1813</v>
      </c>
      <c r="D1083" s="7" t="n">
        <v>68</v>
      </c>
      <c r="E1083" s="8" t="n">
        <v>3.095</v>
      </c>
      <c r="F1083" s="4" t="n">
        <f aca="false">D1083*E1083</f>
        <v>210.46</v>
      </c>
      <c r="G1083" s="7" t="n">
        <v>1</v>
      </c>
      <c r="H1083" s="9" t="n">
        <f aca="false">IF(G1083&gt;0,D1083/G1083,"")</f>
        <v>68</v>
      </c>
      <c r="I1083" s="10" t="n">
        <v>46069</v>
      </c>
      <c r="J1083" s="3" t="s">
        <v>1814</v>
      </c>
      <c r="K1083" s="10" t="n">
        <v>44242</v>
      </c>
      <c r="L1083" s="3" t="s">
        <v>14</v>
      </c>
      <c r="M1083" s="7" t="n">
        <v>73</v>
      </c>
      <c r="N1083" s="8" t="n">
        <v>3.0951</v>
      </c>
      <c r="O1083" s="4" t="n">
        <f aca="false">M1083*N1083</f>
        <v>225.9423</v>
      </c>
    </row>
    <row r="1084" customFormat="false" ht="15" hidden="false" customHeight="false" outlineLevel="0" collapsed="false">
      <c r="A1084" s="0" t="s">
        <v>1815</v>
      </c>
      <c r="C1084" s="0" t="s">
        <v>38</v>
      </c>
      <c r="D1084" s="7" t="n">
        <v>3023</v>
      </c>
      <c r="E1084" s="8" t="n">
        <v>0.0694905722791929</v>
      </c>
      <c r="F1084" s="4" t="n">
        <f aca="false">D1084*E1084</f>
        <v>210.07</v>
      </c>
      <c r="G1084" s="7" t="n">
        <v>383</v>
      </c>
      <c r="H1084" s="9" t="n">
        <f aca="false">IF(G1084&gt;0,D1084/G1084,"")</f>
        <v>7.89295039164491</v>
      </c>
      <c r="I1084" s="10" t="n">
        <v>46308</v>
      </c>
      <c r="J1084" s="3" t="s">
        <v>1816</v>
      </c>
      <c r="K1084" s="10" t="n">
        <v>45756</v>
      </c>
      <c r="L1084" s="3" t="s">
        <v>14</v>
      </c>
      <c r="M1084" s="7" t="n">
        <v>210000</v>
      </c>
      <c r="N1084" s="8" t="n">
        <v>0.0855</v>
      </c>
      <c r="O1084" s="4" t="n">
        <f aca="false">M1084*N1084</f>
        <v>17955</v>
      </c>
    </row>
    <row r="1085" customFormat="false" ht="15" hidden="false" customHeight="false" outlineLevel="0" collapsed="false">
      <c r="A1085" s="0" t="s">
        <v>1817</v>
      </c>
      <c r="C1085" s="0" t="s">
        <v>581</v>
      </c>
      <c r="D1085" s="7" t="n">
        <v>10</v>
      </c>
      <c r="E1085" s="8" t="n">
        <v>20.997</v>
      </c>
      <c r="F1085" s="4" t="n">
        <f aca="false">D1085*E1085</f>
        <v>209.97</v>
      </c>
      <c r="G1085" s="7" t="n">
        <v>9</v>
      </c>
      <c r="H1085" s="9" t="n">
        <f aca="false">IF(G1085&gt;0,D1085/G1085,"")</f>
        <v>1.11111111111111</v>
      </c>
      <c r="I1085" s="10" t="n">
        <v>46171</v>
      </c>
      <c r="J1085" s="3" t="s">
        <v>110</v>
      </c>
      <c r="K1085" s="10" t="n">
        <v>46134</v>
      </c>
      <c r="L1085" s="3" t="s">
        <v>14</v>
      </c>
      <c r="M1085" s="7" t="n">
        <v>19</v>
      </c>
      <c r="N1085" s="8" t="n">
        <v>20.9963</v>
      </c>
      <c r="O1085" s="4" t="n">
        <f aca="false">M1085*N1085</f>
        <v>398.9297</v>
      </c>
    </row>
    <row r="1086" customFormat="false" ht="15" hidden="false" customHeight="false" outlineLevel="0" collapsed="false">
      <c r="A1086" s="0" t="s">
        <v>1818</v>
      </c>
      <c r="C1086" s="0" t="s">
        <v>44</v>
      </c>
      <c r="D1086" s="7" t="n">
        <v>3</v>
      </c>
      <c r="E1086" s="8" t="n">
        <v>69.9133333333333</v>
      </c>
      <c r="F1086" s="4" t="n">
        <f aca="false">D1086*E1086</f>
        <v>209.74</v>
      </c>
      <c r="G1086" s="7" t="n">
        <v>3</v>
      </c>
      <c r="H1086" s="9" t="n">
        <f aca="false">IF(G1086&gt;0,D1086/G1086,"")</f>
        <v>1</v>
      </c>
      <c r="I1086" s="10" t="n">
        <v>46133</v>
      </c>
      <c r="J1086" s="3" t="s">
        <v>1819</v>
      </c>
      <c r="K1086" s="10" t="n">
        <v>46097</v>
      </c>
      <c r="L1086" s="3" t="s">
        <v>14</v>
      </c>
      <c r="M1086" s="7" t="n">
        <v>6</v>
      </c>
      <c r="N1086" s="8" t="n">
        <v>69.916</v>
      </c>
      <c r="O1086" s="4" t="n">
        <f aca="false">M1086*N1086</f>
        <v>419.496</v>
      </c>
    </row>
    <row r="1087" customFormat="false" ht="15" hidden="false" customHeight="false" outlineLevel="0" collapsed="false">
      <c r="A1087" s="0" t="s">
        <v>1820</v>
      </c>
      <c r="C1087" s="0" t="s">
        <v>285</v>
      </c>
      <c r="D1087" s="7" t="n">
        <v>20967</v>
      </c>
      <c r="E1087" s="8" t="n">
        <v>0.01</v>
      </c>
      <c r="F1087" s="4" t="n">
        <f aca="false">D1087*E1087</f>
        <v>209.67</v>
      </c>
      <c r="G1087" s="7" t="n">
        <v>10100</v>
      </c>
      <c r="H1087" s="9" t="n">
        <f aca="false">IF(G1087&gt;0,D1087/G1087,"")</f>
        <v>2.07594059405941</v>
      </c>
      <c r="I1087" s="10" t="n">
        <v>46065</v>
      </c>
      <c r="J1087" s="3" t="s">
        <v>1821</v>
      </c>
      <c r="K1087" s="10" t="n">
        <v>44497</v>
      </c>
      <c r="L1087" s="3" t="s">
        <v>20</v>
      </c>
      <c r="M1087" s="7" t="n">
        <v>44000</v>
      </c>
      <c r="N1087" s="8" t="n">
        <v>0.00697</v>
      </c>
      <c r="O1087" s="4" t="n">
        <f aca="false">M1087*N1087</f>
        <v>306.68</v>
      </c>
    </row>
    <row r="1088" customFormat="false" ht="15" hidden="false" customHeight="false" outlineLevel="0" collapsed="false">
      <c r="A1088" s="0" t="s">
        <v>1822</v>
      </c>
      <c r="C1088" s="0" t="s">
        <v>31</v>
      </c>
      <c r="D1088" s="7" t="n">
        <v>24268</v>
      </c>
      <c r="E1088" s="8" t="n">
        <v>0.008629882973463</v>
      </c>
      <c r="F1088" s="4" t="n">
        <f aca="false">D1088*E1088</f>
        <v>209.43</v>
      </c>
      <c r="G1088" s="7" t="n">
        <v>6956</v>
      </c>
      <c r="H1088" s="9" t="n">
        <f aca="false">IF(G1088&gt;0,D1088/G1088,"")</f>
        <v>3.48878665899943</v>
      </c>
      <c r="I1088" s="10" t="n">
        <v>46301</v>
      </c>
      <c r="J1088" s="3" t="s">
        <v>1396</v>
      </c>
      <c r="K1088" s="10" t="n">
        <v>45398</v>
      </c>
      <c r="L1088" s="3" t="s">
        <v>15</v>
      </c>
      <c r="M1088" s="7" t="n">
        <v>37550</v>
      </c>
      <c r="N1088" s="8" t="n">
        <v>0.00863</v>
      </c>
      <c r="O1088" s="4" t="n">
        <f aca="false">M1088*N1088</f>
        <v>324.0565</v>
      </c>
    </row>
    <row r="1089" customFormat="false" ht="15" hidden="false" customHeight="false" outlineLevel="0" collapsed="false">
      <c r="A1089" s="0" t="s">
        <v>1823</v>
      </c>
      <c r="C1089" s="0" t="s">
        <v>34</v>
      </c>
      <c r="D1089" s="7" t="n">
        <v>2218</v>
      </c>
      <c r="E1089" s="8" t="n">
        <v>0.0944003606853021</v>
      </c>
      <c r="F1089" s="4" t="n">
        <f aca="false">D1089*E1089</f>
        <v>209.38</v>
      </c>
      <c r="G1089" s="7" t="n">
        <v>245</v>
      </c>
      <c r="H1089" s="9" t="n">
        <f aca="false">IF(G1089&gt;0,D1089/G1089,"")</f>
        <v>9.0530612244898</v>
      </c>
      <c r="I1089" s="10" t="n">
        <v>46274</v>
      </c>
      <c r="K1089" s="10"/>
      <c r="M1089" s="7"/>
      <c r="N1089" s="8"/>
      <c r="O1089" s="4"/>
    </row>
    <row r="1090" customFormat="false" ht="15" hidden="false" customHeight="false" outlineLevel="0" collapsed="false">
      <c r="A1090" s="0" t="s">
        <v>1824</v>
      </c>
      <c r="C1090" s="0" t="s">
        <v>41</v>
      </c>
      <c r="D1090" s="7" t="n">
        <v>9075</v>
      </c>
      <c r="E1090" s="8" t="n">
        <v>0.023068870523416</v>
      </c>
      <c r="F1090" s="4" t="n">
        <f aca="false">D1090*E1090</f>
        <v>209.35</v>
      </c>
      <c r="G1090" s="7" t="n">
        <v>20</v>
      </c>
      <c r="H1090" s="9" t="n">
        <f aca="false">IF(G1090&gt;0,D1090/G1090,"")</f>
        <v>453.75</v>
      </c>
      <c r="I1090" s="10" t="n">
        <v>46175</v>
      </c>
      <c r="K1090" s="10"/>
      <c r="M1090" s="7"/>
      <c r="N1090" s="8"/>
      <c r="O1090" s="4"/>
    </row>
    <row r="1091" customFormat="false" ht="15" hidden="false" customHeight="false" outlineLevel="0" collapsed="false">
      <c r="A1091" s="0" t="s">
        <v>1825</v>
      </c>
      <c r="C1091" s="0" t="s">
        <v>497</v>
      </c>
      <c r="D1091" s="7" t="n">
        <v>7926</v>
      </c>
      <c r="E1091" s="8" t="n">
        <v>0.0263865758263942</v>
      </c>
      <c r="F1091" s="4" t="n">
        <f aca="false">D1091*E1091</f>
        <v>209.14</v>
      </c>
      <c r="G1091" s="7" t="n">
        <v>2700</v>
      </c>
      <c r="H1091" s="9" t="n">
        <f aca="false">IF(G1091&gt;0,D1091/G1091,"")</f>
        <v>2.93555555555556</v>
      </c>
      <c r="I1091" s="10" t="n">
        <v>46310</v>
      </c>
      <c r="J1091" s="3" t="s">
        <v>1228</v>
      </c>
      <c r="K1091" s="10" t="n">
        <v>45852</v>
      </c>
      <c r="L1091" s="3" t="s">
        <v>15</v>
      </c>
      <c r="M1091" s="7" t="n">
        <v>10615</v>
      </c>
      <c r="N1091" s="8" t="n">
        <v>0.02617</v>
      </c>
      <c r="O1091" s="4" t="n">
        <f aca="false">M1091*N1091</f>
        <v>277.79455</v>
      </c>
    </row>
    <row r="1092" customFormat="false" ht="15" hidden="false" customHeight="false" outlineLevel="0" collapsed="false">
      <c r="A1092" s="0" t="s">
        <v>1826</v>
      </c>
      <c r="C1092" s="0" t="s">
        <v>832</v>
      </c>
      <c r="D1092" s="7" t="n">
        <v>9</v>
      </c>
      <c r="E1092" s="8" t="n">
        <v>23.23</v>
      </c>
      <c r="F1092" s="4" t="n">
        <f aca="false">D1092*E1092</f>
        <v>209.07</v>
      </c>
      <c r="G1092" s="7" t="n">
        <v>1</v>
      </c>
      <c r="H1092" s="9" t="n">
        <f aca="false">IF(G1092&gt;0,D1092/G1092,"")</f>
        <v>9</v>
      </c>
      <c r="I1092" s="10" t="n">
        <v>46288</v>
      </c>
      <c r="J1092" s="3" t="s">
        <v>1827</v>
      </c>
      <c r="K1092" s="10" t="n">
        <v>46189</v>
      </c>
      <c r="L1092" s="3" t="s">
        <v>834</v>
      </c>
      <c r="M1092" s="7" t="n">
        <v>10</v>
      </c>
      <c r="N1092" s="8" t="n">
        <v>23.23</v>
      </c>
      <c r="O1092" s="4" t="n">
        <f aca="false">M1092*N1092</f>
        <v>232.3</v>
      </c>
    </row>
    <row r="1093" customFormat="false" ht="15" hidden="false" customHeight="false" outlineLevel="0" collapsed="false">
      <c r="A1093" s="0" t="s">
        <v>1828</v>
      </c>
      <c r="C1093" s="0" t="s">
        <v>438</v>
      </c>
      <c r="D1093" s="7" t="n">
        <v>453</v>
      </c>
      <c r="E1093" s="8" t="n">
        <v>0.461346578366446</v>
      </c>
      <c r="F1093" s="4" t="n">
        <f aca="false">D1093*E1093</f>
        <v>208.99</v>
      </c>
      <c r="G1093" s="7" t="n">
        <v>9</v>
      </c>
      <c r="H1093" s="9" t="n">
        <f aca="false">IF(G1093&gt;0,D1093/G1093,"")</f>
        <v>50.3333333333333</v>
      </c>
      <c r="I1093" s="10" t="n">
        <v>46083</v>
      </c>
      <c r="J1093" s="3" t="s">
        <v>59</v>
      </c>
      <c r="K1093" s="10" t="n">
        <v>44292</v>
      </c>
      <c r="L1093" s="3" t="s">
        <v>14</v>
      </c>
      <c r="M1093" s="7" t="n">
        <v>651</v>
      </c>
      <c r="N1093" s="8" t="n">
        <v>0.4613</v>
      </c>
      <c r="O1093" s="4" t="n">
        <f aca="false">M1093*N1093</f>
        <v>300.3063</v>
      </c>
    </row>
    <row r="1094" customFormat="false" ht="15" hidden="false" customHeight="false" outlineLevel="0" collapsed="false">
      <c r="A1094" s="0" t="s">
        <v>1829</v>
      </c>
      <c r="C1094" s="0" t="s">
        <v>34</v>
      </c>
      <c r="D1094" s="7" t="n">
        <v>1411</v>
      </c>
      <c r="E1094" s="8" t="n">
        <v>0.147965981573352</v>
      </c>
      <c r="F1094" s="4" t="n">
        <f aca="false">D1094*E1094</f>
        <v>208.78</v>
      </c>
      <c r="G1094" s="7" t="n">
        <v>142</v>
      </c>
      <c r="H1094" s="9" t="n">
        <f aca="false">IF(G1094&gt;0,D1094/G1094,"")</f>
        <v>9.93661971830986</v>
      </c>
      <c r="I1094" s="10" t="n">
        <v>46181</v>
      </c>
      <c r="J1094" s="3" t="s">
        <v>1830</v>
      </c>
      <c r="K1094" s="10" t="n">
        <v>45614</v>
      </c>
      <c r="L1094" s="3" t="s">
        <v>16</v>
      </c>
      <c r="M1094" s="7" t="n">
        <v>275</v>
      </c>
      <c r="N1094" s="8" t="n">
        <v>0.1446</v>
      </c>
      <c r="O1094" s="4" t="n">
        <f aca="false">M1094*N1094</f>
        <v>39.765</v>
      </c>
    </row>
    <row r="1095" customFormat="false" ht="15" hidden="false" customHeight="false" outlineLevel="0" collapsed="false">
      <c r="A1095" s="0" t="s">
        <v>1831</v>
      </c>
      <c r="C1095" s="0" t="s">
        <v>61</v>
      </c>
      <c r="D1095" s="7" t="n">
        <v>1674</v>
      </c>
      <c r="E1095" s="8" t="n">
        <v>0.124599761051374</v>
      </c>
      <c r="F1095" s="4" t="n">
        <f aca="false">D1095*E1095</f>
        <v>208.58</v>
      </c>
      <c r="G1095" s="7" t="n">
        <v>923</v>
      </c>
      <c r="H1095" s="9" t="n">
        <f aca="false">IF(G1095&gt;0,D1095/G1095,"")</f>
        <v>1.8136511375948</v>
      </c>
      <c r="I1095" s="10" t="n">
        <v>46310</v>
      </c>
      <c r="J1095" s="3" t="s">
        <v>1832</v>
      </c>
      <c r="K1095" s="10" t="n">
        <v>44824</v>
      </c>
      <c r="L1095" s="3" t="s">
        <v>23</v>
      </c>
      <c r="M1095" s="7" t="n">
        <v>12600</v>
      </c>
      <c r="N1095" s="8" t="n">
        <v>0.1246</v>
      </c>
      <c r="O1095" s="4" t="n">
        <f aca="false">M1095*N1095</f>
        <v>1569.96</v>
      </c>
    </row>
    <row r="1096" customFormat="false" ht="15" hidden="false" customHeight="false" outlineLevel="0" collapsed="false">
      <c r="A1096" s="0" t="s">
        <v>1833</v>
      </c>
      <c r="C1096" s="0" t="s">
        <v>31</v>
      </c>
      <c r="D1096" s="7" t="n">
        <v>73691</v>
      </c>
      <c r="E1096" s="8" t="n">
        <v>0.00283033206225998</v>
      </c>
      <c r="F1096" s="4" t="n">
        <f aca="false">D1096*E1096</f>
        <v>208.57</v>
      </c>
      <c r="G1096" s="7" t="n">
        <v>1825</v>
      </c>
      <c r="H1096" s="9" t="n">
        <f aca="false">IF(G1096&gt;0,D1096/G1096,"")</f>
        <v>40.3786301369863</v>
      </c>
      <c r="I1096" s="10" t="n">
        <v>46283</v>
      </c>
      <c r="J1096" s="3" t="s">
        <v>1192</v>
      </c>
      <c r="K1096" s="10" t="n">
        <v>45736</v>
      </c>
      <c r="L1096" s="3" t="s">
        <v>26</v>
      </c>
      <c r="M1096" s="7" t="n">
        <v>1000</v>
      </c>
      <c r="N1096" s="8" t="n">
        <v>0.0085</v>
      </c>
      <c r="O1096" s="4" t="n">
        <f aca="false">M1096*N1096</f>
        <v>8.5</v>
      </c>
    </row>
    <row r="1097" customFormat="false" ht="15" hidden="false" customHeight="false" outlineLevel="0" collapsed="false">
      <c r="A1097" s="0" t="s">
        <v>1834</v>
      </c>
      <c r="C1097" s="0" t="s">
        <v>31</v>
      </c>
      <c r="D1097" s="7" t="n">
        <v>54226</v>
      </c>
      <c r="E1097" s="8" t="n">
        <v>0.00384262162062479</v>
      </c>
      <c r="F1097" s="4" t="n">
        <f aca="false">D1097*E1097</f>
        <v>208.37</v>
      </c>
      <c r="G1097" s="7" t="n">
        <v>590</v>
      </c>
      <c r="H1097" s="9" t="n">
        <f aca="false">IF(G1097&gt;0,D1097/G1097,"")</f>
        <v>91.9084745762712</v>
      </c>
      <c r="I1097" s="10" t="n">
        <v>46171</v>
      </c>
      <c r="J1097" s="3" t="s">
        <v>278</v>
      </c>
      <c r="K1097" s="10" t="n">
        <v>45967</v>
      </c>
      <c r="L1097" s="3" t="s">
        <v>16</v>
      </c>
      <c r="M1097" s="7" t="n">
        <v>53575</v>
      </c>
      <c r="N1097" s="8" t="n">
        <v>0.00378</v>
      </c>
      <c r="O1097" s="4" t="n">
        <f aca="false">M1097*N1097</f>
        <v>202.5135</v>
      </c>
    </row>
    <row r="1098" customFormat="false" ht="15" hidden="false" customHeight="false" outlineLevel="0" collapsed="false">
      <c r="A1098" s="0" t="s">
        <v>1835</v>
      </c>
      <c r="C1098" s="0" t="s">
        <v>855</v>
      </c>
      <c r="D1098" s="7" t="n">
        <v>3777</v>
      </c>
      <c r="E1098" s="8" t="n">
        <v>0.055099285146942</v>
      </c>
      <c r="F1098" s="4" t="n">
        <f aca="false">D1098*E1098</f>
        <v>208.11</v>
      </c>
      <c r="G1098" s="7" t="n">
        <v>60</v>
      </c>
      <c r="H1098" s="9" t="n">
        <f aca="false">IF(G1098&gt;0,D1098/G1098,"")</f>
        <v>62.95</v>
      </c>
      <c r="I1098" s="10" t="n">
        <v>46225</v>
      </c>
      <c r="K1098" s="10"/>
      <c r="M1098" s="7"/>
      <c r="N1098" s="8"/>
      <c r="O1098" s="4"/>
    </row>
    <row r="1099" customFormat="false" ht="15" hidden="false" customHeight="false" outlineLevel="0" collapsed="false">
      <c r="A1099" s="0" t="s">
        <v>1836</v>
      </c>
      <c r="C1099" s="0" t="s">
        <v>118</v>
      </c>
      <c r="D1099" s="7" t="n">
        <v>5988</v>
      </c>
      <c r="E1099" s="8" t="n">
        <v>0.0347010688042752</v>
      </c>
      <c r="F1099" s="4" t="n">
        <f aca="false">D1099*E1099</f>
        <v>207.79</v>
      </c>
      <c r="G1099" s="7" t="n">
        <v>13</v>
      </c>
      <c r="H1099" s="9" t="n">
        <f aca="false">IF(G1099&gt;0,D1099/G1099,"")</f>
        <v>460.615384615385</v>
      </c>
      <c r="I1099" s="10" t="n">
        <v>46294</v>
      </c>
      <c r="J1099" s="3" t="s">
        <v>1767</v>
      </c>
      <c r="K1099" s="10" t="n">
        <v>44291</v>
      </c>
      <c r="L1099" s="3" t="s">
        <v>15</v>
      </c>
      <c r="M1099" s="7" t="n">
        <v>6100</v>
      </c>
      <c r="N1099" s="8" t="n">
        <v>0.0347</v>
      </c>
      <c r="O1099" s="4" t="n">
        <f aca="false">M1099*N1099</f>
        <v>211.67</v>
      </c>
    </row>
    <row r="1100" customFormat="false" ht="15" hidden="false" customHeight="false" outlineLevel="0" collapsed="false">
      <c r="A1100" s="0" t="s">
        <v>1837</v>
      </c>
      <c r="C1100" s="0" t="s">
        <v>378</v>
      </c>
      <c r="D1100" s="7" t="n">
        <v>1257</v>
      </c>
      <c r="E1100" s="8" t="n">
        <v>0.165194908512331</v>
      </c>
      <c r="F1100" s="4" t="n">
        <f aca="false">D1100*E1100</f>
        <v>207.65</v>
      </c>
      <c r="G1100" s="7" t="n">
        <v>113</v>
      </c>
      <c r="H1100" s="9" t="n">
        <f aca="false">IF(G1100&gt;0,D1100/G1100,"")</f>
        <v>11.1238938053097</v>
      </c>
      <c r="I1100" s="10" t="n">
        <v>46051</v>
      </c>
      <c r="J1100" s="3" t="s">
        <v>1072</v>
      </c>
      <c r="K1100" s="10" t="n">
        <v>45335</v>
      </c>
      <c r="L1100" s="3" t="s">
        <v>14</v>
      </c>
      <c r="M1100" s="7" t="n">
        <v>2500</v>
      </c>
      <c r="N1100" s="8" t="n">
        <v>0.1652</v>
      </c>
      <c r="O1100" s="4" t="n">
        <f aca="false">M1100*N1100</f>
        <v>413</v>
      </c>
    </row>
    <row r="1101" customFormat="false" ht="15" hidden="false" customHeight="false" outlineLevel="0" collapsed="false">
      <c r="A1101" s="0" t="s">
        <v>1838</v>
      </c>
      <c r="C1101" s="0" t="s">
        <v>340</v>
      </c>
      <c r="D1101" s="7" t="n">
        <v>31968</v>
      </c>
      <c r="E1101" s="8" t="n">
        <v>0.00649461961961962</v>
      </c>
      <c r="F1101" s="4" t="n">
        <f aca="false">D1101*E1101</f>
        <v>207.62</v>
      </c>
      <c r="G1101" s="7" t="n">
        <v>3125</v>
      </c>
      <c r="H1101" s="9" t="n">
        <f aca="false">IF(G1101&gt;0,D1101/G1101,"")</f>
        <v>10.22976</v>
      </c>
      <c r="I1101" s="10" t="n">
        <v>46316</v>
      </c>
      <c r="J1101" s="3" t="s">
        <v>1576</v>
      </c>
      <c r="K1101" s="10" t="n">
        <v>46196</v>
      </c>
      <c r="L1101" s="3" t="s">
        <v>16</v>
      </c>
      <c r="M1101" s="7" t="n">
        <v>31700</v>
      </c>
      <c r="N1101" s="8" t="n">
        <v>0.0065</v>
      </c>
      <c r="O1101" s="4" t="n">
        <f aca="false">M1101*N1101</f>
        <v>206.05</v>
      </c>
    </row>
    <row r="1102" customFormat="false" ht="15" hidden="false" customHeight="false" outlineLevel="0" collapsed="false">
      <c r="A1102" s="0" t="s">
        <v>1839</v>
      </c>
      <c r="C1102" s="0" t="s">
        <v>31</v>
      </c>
      <c r="D1102" s="7" t="n">
        <v>2964</v>
      </c>
      <c r="E1102" s="8" t="n">
        <v>0.0699831309041835</v>
      </c>
      <c r="F1102" s="4" t="n">
        <f aca="false">D1102*E1102</f>
        <v>207.43</v>
      </c>
      <c r="G1102" s="7" t="n">
        <v>31</v>
      </c>
      <c r="H1102" s="9" t="n">
        <f aca="false">IF(G1102&gt;0,D1102/G1102,"")</f>
        <v>95.6129032258065</v>
      </c>
      <c r="I1102" s="10" t="n">
        <v>46177</v>
      </c>
      <c r="J1102" s="3" t="s">
        <v>1840</v>
      </c>
      <c r="K1102" s="10" t="n">
        <v>44230</v>
      </c>
      <c r="L1102" s="3" t="s">
        <v>19</v>
      </c>
      <c r="M1102" s="7" t="n">
        <v>250</v>
      </c>
      <c r="N1102" s="8" t="n">
        <v>0.0643</v>
      </c>
      <c r="O1102" s="4" t="n">
        <f aca="false">M1102*N1102</f>
        <v>16.075</v>
      </c>
    </row>
    <row r="1103" customFormat="false" ht="15" hidden="false" customHeight="false" outlineLevel="0" collapsed="false">
      <c r="A1103" s="0" t="s">
        <v>1841</v>
      </c>
      <c r="C1103" s="0" t="s">
        <v>340</v>
      </c>
      <c r="D1103" s="7" t="n">
        <v>10611</v>
      </c>
      <c r="E1103" s="8" t="n">
        <v>0.019540099896334</v>
      </c>
      <c r="F1103" s="4" t="n">
        <f aca="false">D1103*E1103</f>
        <v>207.34</v>
      </c>
      <c r="G1103" s="7" t="n">
        <v>189</v>
      </c>
      <c r="H1103" s="9" t="n">
        <f aca="false">IF(G1103&gt;0,D1103/G1103,"")</f>
        <v>56.1428571428571</v>
      </c>
      <c r="I1103" s="10" t="n">
        <v>46310</v>
      </c>
      <c r="J1103" s="3" t="s">
        <v>1140</v>
      </c>
      <c r="K1103" s="10" t="n">
        <v>45614</v>
      </c>
      <c r="L1103" s="3" t="s">
        <v>15</v>
      </c>
      <c r="M1103" s="7" t="n">
        <v>11000</v>
      </c>
      <c r="N1103" s="8" t="n">
        <v>0.01954</v>
      </c>
      <c r="O1103" s="4" t="n">
        <f aca="false">M1103*N1103</f>
        <v>214.94</v>
      </c>
    </row>
    <row r="1104" customFormat="false" ht="15" hidden="false" customHeight="false" outlineLevel="0" collapsed="false">
      <c r="A1104" s="0" t="s">
        <v>1842</v>
      </c>
      <c r="C1104" s="0" t="s">
        <v>31</v>
      </c>
      <c r="D1104" s="7" t="n">
        <v>24079</v>
      </c>
      <c r="E1104" s="8" t="n">
        <v>0.00859919431870094</v>
      </c>
      <c r="F1104" s="4" t="n">
        <f aca="false">D1104*E1104</f>
        <v>207.06</v>
      </c>
      <c r="G1104" s="7" t="n">
        <v>1101</v>
      </c>
      <c r="H1104" s="9" t="n">
        <f aca="false">IF(G1104&gt;0,D1104/G1104,"")</f>
        <v>21.8701180744777</v>
      </c>
      <c r="I1104" s="10" t="n">
        <v>46304</v>
      </c>
      <c r="J1104" s="3" t="s">
        <v>1211</v>
      </c>
      <c r="K1104" s="10" t="n">
        <v>45750</v>
      </c>
      <c r="L1104" s="3" t="s">
        <v>26</v>
      </c>
      <c r="M1104" s="7" t="n">
        <v>160</v>
      </c>
      <c r="N1104" s="8" t="n">
        <v>0.03125</v>
      </c>
      <c r="O1104" s="4" t="n">
        <f aca="false">M1104*N1104</f>
        <v>5</v>
      </c>
    </row>
    <row r="1105" customFormat="false" ht="15" hidden="false" customHeight="false" outlineLevel="0" collapsed="false">
      <c r="A1105" s="0" t="s">
        <v>1843</v>
      </c>
      <c r="C1105" s="0" t="s">
        <v>360</v>
      </c>
      <c r="D1105" s="7" t="n">
        <v>4084</v>
      </c>
      <c r="E1105" s="8" t="n">
        <v>0.0506978452497552</v>
      </c>
      <c r="F1105" s="4" t="n">
        <f aca="false">D1105*E1105</f>
        <v>207.05</v>
      </c>
      <c r="G1105" s="7" t="n">
        <v>50</v>
      </c>
      <c r="H1105" s="9" t="n">
        <f aca="false">IF(G1105&gt;0,D1105/G1105,"")</f>
        <v>81.68</v>
      </c>
      <c r="I1105" s="10" t="n">
        <v>46308</v>
      </c>
      <c r="J1105" s="3" t="s">
        <v>1844</v>
      </c>
      <c r="K1105" s="10" t="n">
        <v>44198</v>
      </c>
      <c r="L1105" s="3" t="s">
        <v>15</v>
      </c>
      <c r="M1105" s="7" t="n">
        <v>4200</v>
      </c>
      <c r="N1105" s="8" t="n">
        <v>0.0507</v>
      </c>
      <c r="O1105" s="4" t="n">
        <f aca="false">M1105*N1105</f>
        <v>212.94</v>
      </c>
    </row>
    <row r="1106" customFormat="false" ht="15" hidden="false" customHeight="false" outlineLevel="0" collapsed="false">
      <c r="A1106" s="0" t="s">
        <v>1845</v>
      </c>
      <c r="C1106" s="0" t="s">
        <v>34</v>
      </c>
      <c r="D1106" s="7" t="n">
        <v>88</v>
      </c>
      <c r="E1106" s="8" t="n">
        <v>2.3525</v>
      </c>
      <c r="F1106" s="4" t="n">
        <f aca="false">D1106*E1106</f>
        <v>207.02</v>
      </c>
      <c r="G1106" s="7" t="n">
        <v>70</v>
      </c>
      <c r="H1106" s="9" t="n">
        <f aca="false">IF(G1106&gt;0,D1106/G1106,"")</f>
        <v>1.25714285714286</v>
      </c>
      <c r="I1106" s="10" t="n">
        <v>46314</v>
      </c>
      <c r="J1106" s="3" t="s">
        <v>1846</v>
      </c>
      <c r="K1106" s="10" t="n">
        <v>46288</v>
      </c>
      <c r="L1106" s="3" t="s">
        <v>16</v>
      </c>
      <c r="M1106" s="7" t="n">
        <v>158</v>
      </c>
      <c r="N1106" s="8" t="n">
        <v>2.3525</v>
      </c>
      <c r="O1106" s="4" t="n">
        <f aca="false">M1106*N1106</f>
        <v>371.695</v>
      </c>
    </row>
    <row r="1107" customFormat="false" ht="15" hidden="false" customHeight="false" outlineLevel="0" collapsed="false">
      <c r="A1107" s="0" t="s">
        <v>1847</v>
      </c>
      <c r="C1107" s="0" t="s">
        <v>360</v>
      </c>
      <c r="D1107" s="7" t="n">
        <v>6875</v>
      </c>
      <c r="E1107" s="8" t="n">
        <v>0.0301003636363636</v>
      </c>
      <c r="F1107" s="4" t="n">
        <f aca="false">D1107*E1107</f>
        <v>206.94</v>
      </c>
      <c r="G1107" s="7" t="n">
        <v>110</v>
      </c>
      <c r="H1107" s="9" t="n">
        <f aca="false">IF(G1107&gt;0,D1107/G1107,"")</f>
        <v>62.5</v>
      </c>
      <c r="I1107" s="10" t="n">
        <v>46101</v>
      </c>
      <c r="J1107" s="3" t="s">
        <v>1844</v>
      </c>
      <c r="K1107" s="10" t="n">
        <v>44198</v>
      </c>
      <c r="L1107" s="3" t="s">
        <v>15</v>
      </c>
      <c r="M1107" s="7" t="n">
        <v>7000</v>
      </c>
      <c r="N1107" s="8" t="n">
        <v>0.0301</v>
      </c>
      <c r="O1107" s="4" t="n">
        <f aca="false">M1107*N1107</f>
        <v>210.7</v>
      </c>
    </row>
    <row r="1108" customFormat="false" ht="15" hidden="false" customHeight="false" outlineLevel="0" collapsed="false">
      <c r="A1108" s="0" t="s">
        <v>1848</v>
      </c>
      <c r="C1108" s="0" t="s">
        <v>889</v>
      </c>
      <c r="D1108" s="7" t="n">
        <v>306</v>
      </c>
      <c r="E1108" s="8" t="n">
        <v>0.676274509803922</v>
      </c>
      <c r="F1108" s="4" t="n">
        <f aca="false">D1108*E1108</f>
        <v>206.94</v>
      </c>
      <c r="G1108" s="7" t="n">
        <v>2</v>
      </c>
      <c r="H1108" s="9" t="n">
        <f aca="false">IF(G1108&gt;0,D1108/G1108,"")</f>
        <v>153</v>
      </c>
      <c r="I1108" s="10" t="n">
        <v>46139</v>
      </c>
      <c r="J1108" s="3" t="s">
        <v>1849</v>
      </c>
      <c r="K1108" s="10" t="n">
        <v>44341</v>
      </c>
      <c r="L1108" s="3" t="s">
        <v>15</v>
      </c>
      <c r="M1108" s="7" t="n">
        <v>308</v>
      </c>
      <c r="N1108" s="8" t="n">
        <v>0.67625</v>
      </c>
      <c r="O1108" s="4" t="n">
        <f aca="false">M1108*N1108</f>
        <v>208.285</v>
      </c>
    </row>
    <row r="1109" customFormat="false" ht="15" hidden="false" customHeight="false" outlineLevel="0" collapsed="false">
      <c r="A1109" s="0" t="s">
        <v>1850</v>
      </c>
      <c r="C1109" s="0" t="s">
        <v>979</v>
      </c>
      <c r="D1109" s="7" t="n">
        <v>2212</v>
      </c>
      <c r="E1109" s="8" t="n">
        <v>0.0935081374321881</v>
      </c>
      <c r="F1109" s="4" t="n">
        <f aca="false">D1109*E1109</f>
        <v>206.84</v>
      </c>
      <c r="G1109" s="7" t="n">
        <v>150</v>
      </c>
      <c r="H1109" s="9" t="n">
        <f aca="false">IF(G1109&gt;0,D1109/G1109,"")</f>
        <v>14.7466666666667</v>
      </c>
      <c r="I1109" s="10" t="n">
        <v>46175</v>
      </c>
      <c r="J1109" s="3" t="s">
        <v>1851</v>
      </c>
      <c r="K1109" s="10" t="n">
        <v>44804</v>
      </c>
      <c r="L1109" s="3" t="s">
        <v>18</v>
      </c>
      <c r="M1109" s="7" t="n">
        <v>2713</v>
      </c>
      <c r="N1109" s="8" t="n">
        <v>0.0941</v>
      </c>
      <c r="O1109" s="4" t="n">
        <v>253.9759</v>
      </c>
    </row>
    <row r="1110" customFormat="false" ht="15" hidden="false" customHeight="false" outlineLevel="0" collapsed="false">
      <c r="A1110" s="0" t="s">
        <v>1852</v>
      </c>
      <c r="C1110" s="0" t="s">
        <v>31</v>
      </c>
      <c r="D1110" s="7" t="n">
        <v>47637</v>
      </c>
      <c r="E1110" s="8" t="n">
        <v>0.00434032369796587</v>
      </c>
      <c r="F1110" s="4" t="n">
        <f aca="false">D1110*E1110</f>
        <v>206.76</v>
      </c>
      <c r="G1110" s="7" t="n">
        <v>4044</v>
      </c>
      <c r="H1110" s="9" t="n">
        <f aca="false">IF(G1110&gt;0,D1110/G1110,"")</f>
        <v>11.7796735905045</v>
      </c>
      <c r="I1110" s="10" t="n">
        <v>46317</v>
      </c>
      <c r="J1110" s="3" t="s">
        <v>1192</v>
      </c>
      <c r="K1110" s="10" t="n">
        <v>45736</v>
      </c>
      <c r="L1110" s="3" t="s">
        <v>26</v>
      </c>
      <c r="M1110" s="7" t="n">
        <v>8000</v>
      </c>
      <c r="N1110" s="8" t="n">
        <v>0.0125</v>
      </c>
      <c r="O1110" s="4" t="n">
        <f aca="false">M1110*N1110</f>
        <v>100</v>
      </c>
    </row>
    <row r="1111" customFormat="false" ht="15" hidden="false" customHeight="false" outlineLevel="0" collapsed="false">
      <c r="A1111" s="0" t="s">
        <v>1853</v>
      </c>
      <c r="C1111" s="0" t="s">
        <v>79</v>
      </c>
      <c r="D1111" s="7" t="n">
        <v>450</v>
      </c>
      <c r="E1111" s="8" t="n">
        <v>0.459355555555556</v>
      </c>
      <c r="F1111" s="4" t="n">
        <f aca="false">D1111*E1111</f>
        <v>206.71</v>
      </c>
      <c r="G1111" s="7" t="n">
        <v>6</v>
      </c>
      <c r="H1111" s="9" t="n">
        <f aca="false">IF(G1111&gt;0,D1111/G1111,"")</f>
        <v>75</v>
      </c>
      <c r="I1111" s="10" t="n">
        <v>46064</v>
      </c>
      <c r="J1111" s="3" t="s">
        <v>1854</v>
      </c>
      <c r="K1111" s="10" t="n">
        <v>44839</v>
      </c>
      <c r="L1111" s="3" t="s">
        <v>14</v>
      </c>
      <c r="M1111" s="7" t="n">
        <v>18</v>
      </c>
      <c r="N1111" s="8" t="n">
        <v>5.1011</v>
      </c>
      <c r="O1111" s="4" t="n">
        <f aca="false">M1111*N1111</f>
        <v>91.8198</v>
      </c>
    </row>
    <row r="1112" customFormat="false" ht="15" hidden="false" customHeight="false" outlineLevel="0" collapsed="false">
      <c r="A1112" s="0" t="s">
        <v>1855</v>
      </c>
      <c r="C1112" s="0" t="s">
        <v>1039</v>
      </c>
      <c r="D1112" s="7" t="n">
        <v>2184</v>
      </c>
      <c r="E1112" s="8" t="n">
        <v>0.0945833333333333</v>
      </c>
      <c r="F1112" s="4" t="n">
        <f aca="false">D1112*E1112</f>
        <v>206.57</v>
      </c>
      <c r="G1112" s="7" t="n">
        <v>1262</v>
      </c>
      <c r="H1112" s="9" t="n">
        <f aca="false">IF(G1112&gt;0,D1112/G1112,"")</f>
        <v>1.73058637083994</v>
      </c>
      <c r="I1112" s="10" t="n">
        <v>46185</v>
      </c>
      <c r="J1112" s="3" t="s">
        <v>1722</v>
      </c>
      <c r="K1112" s="10" t="n">
        <v>46146</v>
      </c>
      <c r="L1112" s="3" t="s">
        <v>19</v>
      </c>
      <c r="M1112" s="7" t="n">
        <v>2500</v>
      </c>
      <c r="N1112" s="8" t="n">
        <v>0.0759</v>
      </c>
      <c r="O1112" s="4" t="n">
        <f aca="false">M1112*N1112</f>
        <v>189.75</v>
      </c>
    </row>
    <row r="1113" customFormat="false" ht="15" hidden="false" customHeight="false" outlineLevel="0" collapsed="false">
      <c r="A1113" s="0" t="s">
        <v>1856</v>
      </c>
      <c r="C1113" s="0" t="s">
        <v>378</v>
      </c>
      <c r="D1113" s="7" t="n">
        <v>381</v>
      </c>
      <c r="E1113" s="8" t="n">
        <v>0.541811023622047</v>
      </c>
      <c r="F1113" s="4" t="n">
        <f aca="false">D1113*E1113</f>
        <v>206.43</v>
      </c>
      <c r="G1113" s="7" t="n">
        <v>38</v>
      </c>
      <c r="H1113" s="9" t="n">
        <f aca="false">IF(G1113&gt;0,D1113/G1113,"")</f>
        <v>10.0263157894737</v>
      </c>
      <c r="I1113" s="10" t="n">
        <v>46294</v>
      </c>
      <c r="J1113" s="3" t="s">
        <v>1134</v>
      </c>
      <c r="K1113" s="10" t="n">
        <v>44630</v>
      </c>
      <c r="L1113" s="3" t="s">
        <v>14</v>
      </c>
      <c r="M1113" s="7" t="n">
        <v>560</v>
      </c>
      <c r="N1113" s="8" t="n">
        <v>0.5418</v>
      </c>
      <c r="O1113" s="4" t="n">
        <f aca="false">M1113*N1113</f>
        <v>303.408</v>
      </c>
    </row>
    <row r="1114" customFormat="false" ht="15" hidden="false" customHeight="false" outlineLevel="0" collapsed="false">
      <c r="A1114" s="0" t="s">
        <v>1857</v>
      </c>
      <c r="C1114" s="0" t="s">
        <v>360</v>
      </c>
      <c r="D1114" s="7" t="n">
        <v>62506</v>
      </c>
      <c r="E1114" s="8" t="n">
        <v>0.00330000319969283</v>
      </c>
      <c r="F1114" s="4" t="n">
        <f aca="false">D1114*E1114</f>
        <v>206.27</v>
      </c>
      <c r="G1114" s="7" t="n">
        <v>17545</v>
      </c>
      <c r="H1114" s="9" t="n">
        <f aca="false">IF(G1114&gt;0,D1114/G1114,"")</f>
        <v>3.56261043032203</v>
      </c>
      <c r="I1114" s="10" t="n">
        <v>46181</v>
      </c>
      <c r="J1114" s="3" t="s">
        <v>620</v>
      </c>
      <c r="K1114" s="10" t="n">
        <v>46146</v>
      </c>
      <c r="L1114" s="3" t="s">
        <v>16</v>
      </c>
      <c r="M1114" s="7" t="n">
        <v>71376</v>
      </c>
      <c r="N1114" s="8" t="n">
        <v>0.0033</v>
      </c>
      <c r="O1114" s="4" t="n">
        <f aca="false">M1114*N1114</f>
        <v>235.5408</v>
      </c>
    </row>
    <row r="1115" customFormat="false" ht="15" hidden="false" customHeight="false" outlineLevel="0" collapsed="false">
      <c r="A1115" s="0" t="s">
        <v>1858</v>
      </c>
      <c r="C1115" s="0" t="s">
        <v>360</v>
      </c>
      <c r="D1115" s="7" t="n">
        <v>1659</v>
      </c>
      <c r="E1115" s="8" t="n">
        <v>0.124273658830621</v>
      </c>
      <c r="F1115" s="4" t="n">
        <f aca="false">D1115*E1115</f>
        <v>206.17</v>
      </c>
      <c r="G1115" s="7" t="n">
        <v>22</v>
      </c>
      <c r="H1115" s="9" t="n">
        <f aca="false">IF(G1115&gt;0,D1115/G1115,"")</f>
        <v>75.4090909090909</v>
      </c>
      <c r="I1115" s="10" t="n">
        <v>46248</v>
      </c>
      <c r="J1115" s="3" t="s">
        <v>1859</v>
      </c>
      <c r="K1115" s="10" t="n">
        <v>44199</v>
      </c>
      <c r="L1115" s="3" t="s">
        <v>15</v>
      </c>
      <c r="M1115" s="7" t="n">
        <v>2285</v>
      </c>
      <c r="N1115" s="8" t="n">
        <v>0.12427</v>
      </c>
      <c r="O1115" s="4" t="n">
        <f aca="false">M1115*N1115</f>
        <v>283.95695</v>
      </c>
    </row>
    <row r="1116" customFormat="false" ht="15" hidden="false" customHeight="false" outlineLevel="0" collapsed="false">
      <c r="A1116" s="0" t="s">
        <v>1860</v>
      </c>
      <c r="C1116" s="0" t="s">
        <v>37</v>
      </c>
      <c r="D1116" s="7" t="n">
        <v>3978</v>
      </c>
      <c r="E1116" s="8" t="n">
        <v>0.051797385620915</v>
      </c>
      <c r="F1116" s="4" t="n">
        <f aca="false">D1116*E1116</f>
        <v>206.05</v>
      </c>
      <c r="G1116" s="7" t="n">
        <v>34</v>
      </c>
      <c r="H1116" s="9" t="n">
        <f aca="false">IF(G1116&gt;0,D1116/G1116,"")</f>
        <v>117</v>
      </c>
      <c r="I1116" s="10" t="n">
        <v>46126</v>
      </c>
      <c r="J1116" s="3" t="s">
        <v>1861</v>
      </c>
      <c r="K1116" s="10" t="n">
        <v>44801</v>
      </c>
      <c r="L1116" s="3" t="s">
        <v>19</v>
      </c>
      <c r="M1116" s="7" t="n">
        <v>4037</v>
      </c>
      <c r="N1116" s="8" t="n">
        <v>0.0518</v>
      </c>
      <c r="O1116" s="4" t="n">
        <f aca="false">M1116*N1116</f>
        <v>209.1166</v>
      </c>
    </row>
    <row r="1117" customFormat="false" ht="15" hidden="false" customHeight="false" outlineLevel="0" collapsed="false">
      <c r="A1117" s="0" t="s">
        <v>1862</v>
      </c>
      <c r="C1117" s="0" t="s">
        <v>44</v>
      </c>
      <c r="D1117" s="7" t="n">
        <v>1</v>
      </c>
      <c r="E1117" s="8" t="n">
        <v>206.05</v>
      </c>
      <c r="F1117" s="4" t="n">
        <f aca="false">D1117*E1117</f>
        <v>206.05</v>
      </c>
      <c r="G1117" s="7" t="n">
        <v>1</v>
      </c>
      <c r="H1117" s="9" t="n">
        <f aca="false">IF(G1117&gt;0,D1117/G1117,"")</f>
        <v>1</v>
      </c>
      <c r="I1117" s="10" t="n">
        <v>45971</v>
      </c>
      <c r="J1117" s="3" t="s">
        <v>1863</v>
      </c>
      <c r="K1117" s="10" t="n">
        <v>45958</v>
      </c>
      <c r="L1117" s="3" t="s">
        <v>14</v>
      </c>
      <c r="M1117" s="7" t="n">
        <v>2</v>
      </c>
      <c r="N1117" s="8" t="n">
        <v>206.055</v>
      </c>
      <c r="O1117" s="4" t="n">
        <f aca="false">M1117*N1117</f>
        <v>412.11</v>
      </c>
    </row>
    <row r="1118" customFormat="false" ht="15" hidden="false" customHeight="false" outlineLevel="0" collapsed="false">
      <c r="A1118" s="0" t="s">
        <v>1864</v>
      </c>
      <c r="C1118" s="0" t="s">
        <v>31</v>
      </c>
      <c r="D1118" s="7" t="n">
        <v>4787</v>
      </c>
      <c r="E1118" s="8" t="n">
        <v>0.0429997911008983</v>
      </c>
      <c r="F1118" s="4" t="n">
        <f aca="false">D1118*E1118</f>
        <v>205.84</v>
      </c>
      <c r="G1118" s="7" t="n">
        <v>72</v>
      </c>
      <c r="H1118" s="9" t="n">
        <f aca="false">IF(G1118&gt;0,D1118/G1118,"")</f>
        <v>66.4861111111111</v>
      </c>
      <c r="I1118" s="10" t="n">
        <v>46293</v>
      </c>
      <c r="J1118" s="3" t="s">
        <v>1865</v>
      </c>
      <c r="K1118" s="10" t="n">
        <v>45546</v>
      </c>
      <c r="L1118" s="3" t="s">
        <v>25</v>
      </c>
      <c r="M1118" s="7" t="n">
        <v>5000</v>
      </c>
      <c r="N1118" s="8" t="n">
        <v>0.043</v>
      </c>
      <c r="O1118" s="4" t="n">
        <f aca="false">M1118*N1118</f>
        <v>215</v>
      </c>
    </row>
    <row r="1119" customFormat="false" ht="15" hidden="false" customHeight="false" outlineLevel="0" collapsed="false">
      <c r="A1119" s="0" t="s">
        <v>1866</v>
      </c>
      <c r="C1119" s="0" t="s">
        <v>715</v>
      </c>
      <c r="D1119" s="7" t="n">
        <v>6036</v>
      </c>
      <c r="E1119" s="8" t="n">
        <v>0.0341003976143141</v>
      </c>
      <c r="F1119" s="4" t="n">
        <f aca="false">D1119*E1119</f>
        <v>205.83</v>
      </c>
      <c r="G1119" s="7" t="n">
        <v>342</v>
      </c>
      <c r="H1119" s="9" t="n">
        <f aca="false">IF(G1119&gt;0,D1119/G1119,"")</f>
        <v>17.6491228070175</v>
      </c>
      <c r="I1119" s="10" t="n">
        <v>46269</v>
      </c>
      <c r="J1119" s="3" t="s">
        <v>219</v>
      </c>
      <c r="K1119" s="10" t="n">
        <v>45642</v>
      </c>
      <c r="L1119" s="3" t="s">
        <v>15</v>
      </c>
      <c r="M1119" s="7" t="n">
        <v>6610</v>
      </c>
      <c r="N1119" s="8" t="n">
        <v>0.0341</v>
      </c>
      <c r="O1119" s="4" t="n">
        <f aca="false">M1119*N1119</f>
        <v>225.401</v>
      </c>
    </row>
    <row r="1120" customFormat="false" ht="15" hidden="false" customHeight="false" outlineLevel="0" collapsed="false">
      <c r="A1120" s="0" t="s">
        <v>1867</v>
      </c>
      <c r="C1120" s="0" t="s">
        <v>37</v>
      </c>
      <c r="D1120" s="7" t="n">
        <v>11953</v>
      </c>
      <c r="E1120" s="8" t="n">
        <v>0.0172182715636242</v>
      </c>
      <c r="F1120" s="4" t="n">
        <f aca="false">D1120*E1120</f>
        <v>205.81</v>
      </c>
      <c r="G1120" s="7" t="n">
        <v>447</v>
      </c>
      <c r="H1120" s="9" t="n">
        <f aca="false">IF(G1120&gt;0,D1120/G1120,"")</f>
        <v>26.7404921700224</v>
      </c>
      <c r="I1120" s="10" t="n">
        <v>46315</v>
      </c>
      <c r="J1120" s="3" t="s">
        <v>1868</v>
      </c>
      <c r="K1120" s="10" t="n">
        <v>45132</v>
      </c>
      <c r="L1120" s="3" t="s">
        <v>19</v>
      </c>
      <c r="M1120" s="7" t="n">
        <v>1656</v>
      </c>
      <c r="N1120" s="8" t="n">
        <v>0.0183</v>
      </c>
      <c r="O1120" s="4" t="n">
        <f aca="false">M1120*N1120</f>
        <v>30.3048</v>
      </c>
    </row>
    <row r="1121" customFormat="false" ht="15" hidden="false" customHeight="false" outlineLevel="0" collapsed="false">
      <c r="A1121" s="0" t="s">
        <v>1869</v>
      </c>
      <c r="C1121" s="0" t="s">
        <v>889</v>
      </c>
      <c r="D1121" s="7" t="n">
        <v>6825</v>
      </c>
      <c r="E1121" s="8" t="n">
        <v>0.0301391941391941</v>
      </c>
      <c r="F1121" s="4" t="n">
        <f aca="false">D1121*E1121</f>
        <v>205.7</v>
      </c>
      <c r="G1121" s="7" t="n">
        <v>40</v>
      </c>
      <c r="H1121" s="9" t="n">
        <f aca="false">IF(G1121&gt;0,D1121/G1121,"")</f>
        <v>170.625</v>
      </c>
      <c r="I1121" s="10" t="n">
        <v>46224</v>
      </c>
      <c r="J1121" s="3" t="s">
        <v>238</v>
      </c>
      <c r="K1121" s="10" t="n">
        <v>45689</v>
      </c>
      <c r="L1121" s="3" t="s">
        <v>15</v>
      </c>
      <c r="M1121" s="7" t="n">
        <v>7115</v>
      </c>
      <c r="N1121" s="8" t="n">
        <v>0.03014</v>
      </c>
      <c r="O1121" s="4" t="n">
        <f aca="false">M1121*N1121</f>
        <v>214.4461</v>
      </c>
    </row>
    <row r="1122" customFormat="false" ht="15" hidden="false" customHeight="false" outlineLevel="0" collapsed="false">
      <c r="A1122" s="0" t="s">
        <v>1870</v>
      </c>
      <c r="C1122" s="0" t="s">
        <v>615</v>
      </c>
      <c r="D1122" s="7" t="n">
        <v>6880</v>
      </c>
      <c r="E1122" s="8" t="n">
        <v>0.0298982558139535</v>
      </c>
      <c r="F1122" s="4" t="n">
        <f aca="false">D1122*E1122</f>
        <v>205.7</v>
      </c>
      <c r="G1122" s="7" t="n">
        <v>159</v>
      </c>
      <c r="H1122" s="9" t="n">
        <f aca="false">IF(G1122&gt;0,D1122/G1122,"")</f>
        <v>43.2704402515723</v>
      </c>
      <c r="I1122" s="10" t="n">
        <v>46297</v>
      </c>
      <c r="J1122" s="3" t="s">
        <v>1600</v>
      </c>
      <c r="K1122" s="10" t="n">
        <v>45373</v>
      </c>
      <c r="L1122" s="3" t="s">
        <v>15</v>
      </c>
      <c r="M1122" s="7" t="n">
        <v>7300</v>
      </c>
      <c r="N1122" s="8" t="n">
        <v>0.0299</v>
      </c>
      <c r="O1122" s="4" t="n">
        <f aca="false">M1122*N1122</f>
        <v>218.27</v>
      </c>
    </row>
    <row r="1123" customFormat="false" ht="15" hidden="false" customHeight="false" outlineLevel="0" collapsed="false">
      <c r="A1123" s="0" t="s">
        <v>1871</v>
      </c>
      <c r="C1123" s="0" t="s">
        <v>34</v>
      </c>
      <c r="D1123" s="7" t="n">
        <v>2818</v>
      </c>
      <c r="E1123" s="8" t="n">
        <v>0.0729701916252662</v>
      </c>
      <c r="F1123" s="4" t="n">
        <f aca="false">D1123*E1123</f>
        <v>205.63</v>
      </c>
      <c r="G1123" s="7" t="n">
        <v>309</v>
      </c>
      <c r="H1123" s="9" t="n">
        <f aca="false">IF(G1123&gt;0,D1123/G1123,"")</f>
        <v>9.11974110032362</v>
      </c>
      <c r="I1123" s="10" t="n">
        <v>46244</v>
      </c>
      <c r="J1123" s="3" t="s">
        <v>1872</v>
      </c>
      <c r="K1123" s="10" t="n">
        <v>46290</v>
      </c>
      <c r="L1123" s="3" t="s">
        <v>19</v>
      </c>
      <c r="M1123" s="7" t="n">
        <v>2500</v>
      </c>
      <c r="N1123" s="8" t="n">
        <v>0.076</v>
      </c>
      <c r="O1123" s="4" t="n">
        <f aca="false">M1123*N1123</f>
        <v>190</v>
      </c>
    </row>
    <row r="1124" customFormat="false" ht="15" hidden="false" customHeight="false" outlineLevel="0" collapsed="false">
      <c r="A1124" s="0" t="s">
        <v>1873</v>
      </c>
      <c r="C1124" s="0" t="s">
        <v>118</v>
      </c>
      <c r="D1124" s="7" t="n">
        <v>3868</v>
      </c>
      <c r="E1124" s="8" t="n">
        <v>0.0531023784901758</v>
      </c>
      <c r="F1124" s="4" t="n">
        <f aca="false">D1124*E1124</f>
        <v>205.4</v>
      </c>
      <c r="G1124" s="7" t="n">
        <v>522</v>
      </c>
      <c r="H1124" s="9" t="n">
        <f aca="false">IF(G1124&gt;0,D1124/G1124,"")</f>
        <v>7.40996168582376</v>
      </c>
      <c r="I1124" s="10" t="n">
        <v>46202</v>
      </c>
      <c r="J1124" s="3" t="s">
        <v>1066</v>
      </c>
      <c r="K1124" s="10" t="n">
        <v>45153</v>
      </c>
      <c r="L1124" s="3" t="s">
        <v>16</v>
      </c>
      <c r="M1124" s="7" t="n">
        <v>7500</v>
      </c>
      <c r="N1124" s="8" t="n">
        <v>0.0531</v>
      </c>
      <c r="O1124" s="4" t="n">
        <f aca="false">M1124*N1124</f>
        <v>398.25</v>
      </c>
    </row>
    <row r="1125" customFormat="false" ht="15" hidden="false" customHeight="false" outlineLevel="0" collapsed="false">
      <c r="A1125" s="0" t="s">
        <v>1874</v>
      </c>
      <c r="C1125" s="0" t="s">
        <v>39</v>
      </c>
      <c r="D1125" s="7" t="n">
        <v>1112</v>
      </c>
      <c r="E1125" s="8" t="n">
        <v>0.184604316546763</v>
      </c>
      <c r="F1125" s="4" t="n">
        <f aca="false">D1125*E1125</f>
        <v>205.28</v>
      </c>
      <c r="G1125" s="7" t="n">
        <v>447</v>
      </c>
      <c r="H1125" s="9" t="n">
        <f aca="false">IF(G1125&gt;0,D1125/G1125,"")</f>
        <v>2.48769574944072</v>
      </c>
      <c r="I1125" s="10" t="n">
        <v>46293</v>
      </c>
      <c r="J1125" s="3" t="s">
        <v>915</v>
      </c>
      <c r="K1125" s="10" t="n">
        <v>44327</v>
      </c>
      <c r="L1125" s="3" t="s">
        <v>18</v>
      </c>
      <c r="M1125" s="7" t="n">
        <v>2081</v>
      </c>
      <c r="N1125" s="8" t="n">
        <v>0.1846</v>
      </c>
      <c r="O1125" s="4" t="n">
        <f aca="false">M1125*N1125</f>
        <v>384.1526</v>
      </c>
    </row>
    <row r="1126" customFormat="false" ht="15" hidden="false" customHeight="false" outlineLevel="0" collapsed="false">
      <c r="A1126" s="0" t="s">
        <v>1875</v>
      </c>
      <c r="C1126" s="0" t="s">
        <v>43</v>
      </c>
      <c r="D1126" s="7" t="n">
        <v>300</v>
      </c>
      <c r="E1126" s="8" t="n">
        <v>0.6841</v>
      </c>
      <c r="F1126" s="4" t="n">
        <f aca="false">D1126*E1126</f>
        <v>205.23</v>
      </c>
      <c r="G1126" s="7" t="n">
        <v>300</v>
      </c>
      <c r="H1126" s="9" t="n">
        <f aca="false">IF(G1126&gt;0,D1126/G1126,"")</f>
        <v>1</v>
      </c>
      <c r="I1126" s="10" t="n">
        <v>46297</v>
      </c>
      <c r="J1126" s="3" t="s">
        <v>1196</v>
      </c>
      <c r="K1126" s="10" t="n">
        <v>45940</v>
      </c>
      <c r="L1126" s="3" t="s">
        <v>14</v>
      </c>
      <c r="M1126" s="7" t="n">
        <v>600</v>
      </c>
      <c r="N1126" s="8" t="n">
        <v>0.6841</v>
      </c>
      <c r="O1126" s="4" t="n">
        <f aca="false">M1126*N1126</f>
        <v>410.46</v>
      </c>
    </row>
    <row r="1127" customFormat="false" ht="15" hidden="false" customHeight="false" outlineLevel="0" collapsed="false">
      <c r="A1127" s="0" t="s">
        <v>1876</v>
      </c>
      <c r="C1127" s="0" t="s">
        <v>844</v>
      </c>
      <c r="D1127" s="7" t="n">
        <v>134</v>
      </c>
      <c r="E1127" s="8" t="n">
        <v>1.53</v>
      </c>
      <c r="F1127" s="4" t="n">
        <f aca="false">D1127*E1127</f>
        <v>205.02</v>
      </c>
      <c r="G1127" s="7" t="n">
        <v>12</v>
      </c>
      <c r="H1127" s="9" t="n">
        <f aca="false">IF(G1127&gt;0,D1127/G1127,"")</f>
        <v>11.1666666666667</v>
      </c>
      <c r="I1127" s="10" t="n">
        <v>46191</v>
      </c>
      <c r="J1127" s="3" t="s">
        <v>1877</v>
      </c>
      <c r="K1127" s="10" t="n">
        <v>45896</v>
      </c>
      <c r="L1127" s="3" t="s">
        <v>1878</v>
      </c>
      <c r="M1127" s="7" t="n">
        <v>250</v>
      </c>
      <c r="N1127" s="8" t="n">
        <v>1.53</v>
      </c>
      <c r="O1127" s="4" t="n">
        <f aca="false">M1127*N1127</f>
        <v>382.5</v>
      </c>
    </row>
    <row r="1128" customFormat="false" ht="15" hidden="false" customHeight="false" outlineLevel="0" collapsed="false">
      <c r="A1128" s="0" t="s">
        <v>1879</v>
      </c>
      <c r="C1128" s="0" t="s">
        <v>360</v>
      </c>
      <c r="D1128" s="7" t="n">
        <v>38662</v>
      </c>
      <c r="E1128" s="8" t="n">
        <v>0.00530003621126688</v>
      </c>
      <c r="F1128" s="4" t="n">
        <f aca="false">D1128*E1128</f>
        <v>204.91</v>
      </c>
      <c r="G1128" s="7" t="n">
        <v>6809</v>
      </c>
      <c r="H1128" s="9" t="n">
        <f aca="false">IF(G1128&gt;0,D1128/G1128,"")</f>
        <v>5.67807313849317</v>
      </c>
      <c r="I1128" s="10" t="n">
        <v>46219</v>
      </c>
      <c r="J1128" s="3" t="s">
        <v>1192</v>
      </c>
      <c r="K1128" s="10" t="n">
        <v>45736</v>
      </c>
      <c r="L1128" s="3" t="s">
        <v>26</v>
      </c>
      <c r="M1128" s="7" t="n">
        <v>5000</v>
      </c>
      <c r="N1128" s="8" t="n">
        <v>0.0138</v>
      </c>
      <c r="O1128" s="4" t="n">
        <f aca="false">M1128*N1128</f>
        <v>69</v>
      </c>
    </row>
    <row r="1129" customFormat="false" ht="15" hidden="false" customHeight="false" outlineLevel="0" collapsed="false">
      <c r="A1129" s="0" t="s">
        <v>1880</v>
      </c>
      <c r="C1129" s="0" t="s">
        <v>45</v>
      </c>
      <c r="D1129" s="7" t="n">
        <v>2714</v>
      </c>
      <c r="E1129" s="8" t="n">
        <v>0.0754974207811349</v>
      </c>
      <c r="F1129" s="4" t="n">
        <f aca="false">D1129*E1129</f>
        <v>204.9</v>
      </c>
      <c r="G1129" s="7" t="n">
        <v>100</v>
      </c>
      <c r="H1129" s="9" t="n">
        <f aca="false">IF(G1129&gt;0,D1129/G1129,"")</f>
        <v>27.14</v>
      </c>
      <c r="I1129" s="10" t="n">
        <v>46265</v>
      </c>
      <c r="J1129" s="3" t="s">
        <v>1252</v>
      </c>
      <c r="K1129" s="10" t="n">
        <v>45754</v>
      </c>
      <c r="L1129" s="3" t="s">
        <v>23</v>
      </c>
      <c r="M1129" s="7" t="n">
        <v>3000</v>
      </c>
      <c r="N1129" s="8" t="n">
        <v>0.0755</v>
      </c>
      <c r="O1129" s="4" t="n">
        <f aca="false">M1129*N1129</f>
        <v>226.5</v>
      </c>
    </row>
    <row r="1130" customFormat="false" ht="15" hidden="false" customHeight="false" outlineLevel="0" collapsed="false">
      <c r="A1130" s="0" t="s">
        <v>1881</v>
      </c>
      <c r="C1130" s="0" t="s">
        <v>61</v>
      </c>
      <c r="D1130" s="7" t="n">
        <v>648</v>
      </c>
      <c r="E1130" s="8" t="n">
        <v>0.315817901234568</v>
      </c>
      <c r="F1130" s="4" t="n">
        <f aca="false">D1130*E1130</f>
        <v>204.65</v>
      </c>
      <c r="G1130" s="7" t="n">
        <v>154</v>
      </c>
      <c r="H1130" s="9" t="n">
        <f aca="false">IF(G1130&gt;0,D1130/G1130,"")</f>
        <v>4.20779220779221</v>
      </c>
      <c r="I1130" s="10" t="n">
        <v>46314</v>
      </c>
      <c r="K1130" s="10"/>
      <c r="M1130" s="7"/>
      <c r="N1130" s="8"/>
      <c r="O1130" s="4"/>
    </row>
    <row r="1131" customFormat="false" ht="15" hidden="false" customHeight="false" outlineLevel="0" collapsed="false">
      <c r="A1131" s="0" t="s">
        <v>1882</v>
      </c>
      <c r="C1131" s="0" t="s">
        <v>298</v>
      </c>
      <c r="D1131" s="7" t="n">
        <v>1422</v>
      </c>
      <c r="E1131" s="8" t="n">
        <v>0.14379746835443</v>
      </c>
      <c r="F1131" s="4" t="n">
        <f aca="false">D1131*E1131</f>
        <v>204.48</v>
      </c>
      <c r="G1131" s="7" t="n">
        <v>25</v>
      </c>
      <c r="H1131" s="9" t="n">
        <f aca="false">IF(G1131&gt;0,D1131/G1131,"")</f>
        <v>56.88</v>
      </c>
      <c r="I1131" s="10" t="n">
        <v>46219</v>
      </c>
      <c r="J1131" s="3" t="s">
        <v>1883</v>
      </c>
      <c r="K1131" s="10" t="n">
        <v>44845</v>
      </c>
      <c r="L1131" s="3" t="s">
        <v>14</v>
      </c>
      <c r="M1131" s="7" t="n">
        <v>1498</v>
      </c>
      <c r="N1131" s="8" t="n">
        <v>0.1438</v>
      </c>
      <c r="O1131" s="4" t="n">
        <f aca="false">M1131*N1131</f>
        <v>215.4124</v>
      </c>
    </row>
    <row r="1132" customFormat="false" ht="15" hidden="false" customHeight="false" outlineLevel="0" collapsed="false">
      <c r="A1132" s="0" t="s">
        <v>1884</v>
      </c>
      <c r="C1132" s="0" t="s">
        <v>370</v>
      </c>
      <c r="D1132" s="7" t="n">
        <v>3852</v>
      </c>
      <c r="E1132" s="8" t="n">
        <v>0.0529984423676013</v>
      </c>
      <c r="F1132" s="4" t="n">
        <f aca="false">D1132*E1132</f>
        <v>204.15</v>
      </c>
      <c r="G1132" s="7" t="n">
        <v>1236</v>
      </c>
      <c r="H1132" s="9" t="n">
        <f aca="false">IF(G1132&gt;0,D1132/G1132,"")</f>
        <v>3.11650485436893</v>
      </c>
      <c r="I1132" s="10" t="n">
        <v>46309</v>
      </c>
      <c r="J1132" s="3" t="s">
        <v>1641</v>
      </c>
      <c r="K1132" s="10" t="n">
        <v>45275</v>
      </c>
      <c r="L1132" s="3" t="s">
        <v>21</v>
      </c>
      <c r="M1132" s="7" t="n">
        <v>5000</v>
      </c>
      <c r="N1132" s="8" t="n">
        <v>0.053</v>
      </c>
      <c r="O1132" s="4" t="n">
        <f aca="false">M1132*N1132</f>
        <v>265</v>
      </c>
    </row>
    <row r="1133" customFormat="false" ht="15" hidden="false" customHeight="false" outlineLevel="0" collapsed="false">
      <c r="A1133" s="0" t="s">
        <v>1885</v>
      </c>
      <c r="C1133" s="0" t="s">
        <v>1017</v>
      </c>
      <c r="D1133" s="7" t="n">
        <v>5510</v>
      </c>
      <c r="E1133" s="8" t="n">
        <v>0.037049001814882</v>
      </c>
      <c r="F1133" s="4" t="n">
        <f aca="false">D1133*E1133</f>
        <v>204.14</v>
      </c>
      <c r="G1133" s="7" t="n">
        <v>30</v>
      </c>
      <c r="H1133" s="9" t="n">
        <f aca="false">IF(G1133&gt;0,D1133/G1133,"")</f>
        <v>183.666666666667</v>
      </c>
      <c r="I1133" s="10" t="n">
        <v>46189</v>
      </c>
      <c r="J1133" s="3" t="s">
        <v>1684</v>
      </c>
      <c r="K1133" s="10" t="n">
        <v>45755</v>
      </c>
      <c r="L1133" s="3" t="s">
        <v>15</v>
      </c>
      <c r="M1133" s="7" t="n">
        <v>6240</v>
      </c>
      <c r="N1133" s="8" t="n">
        <v>0.03705</v>
      </c>
      <c r="O1133" s="4" t="n">
        <f aca="false">M1133*N1133</f>
        <v>231.192</v>
      </c>
    </row>
    <row r="1134" customFormat="false" ht="15" hidden="false" customHeight="false" outlineLevel="0" collapsed="false">
      <c r="A1134" s="0" t="s">
        <v>1886</v>
      </c>
      <c r="C1134" s="0" t="s">
        <v>118</v>
      </c>
      <c r="D1134" s="7" t="n">
        <v>23735</v>
      </c>
      <c r="E1134" s="8" t="n">
        <v>0.00859995786812724</v>
      </c>
      <c r="F1134" s="4" t="n">
        <f aca="false">D1134*E1134</f>
        <v>204.12</v>
      </c>
      <c r="G1134" s="7" t="n">
        <v>1380</v>
      </c>
      <c r="H1134" s="9" t="n">
        <f aca="false">IF(G1134&gt;0,D1134/G1134,"")</f>
        <v>17.1992753623188</v>
      </c>
      <c r="I1134" s="10" t="n">
        <v>46276</v>
      </c>
      <c r="J1134" s="3" t="s">
        <v>1396</v>
      </c>
      <c r="K1134" s="10" t="n">
        <v>45398</v>
      </c>
      <c r="L1134" s="3" t="s">
        <v>15</v>
      </c>
      <c r="M1134" s="7" t="n">
        <v>30800</v>
      </c>
      <c r="N1134" s="8" t="n">
        <v>0.0086</v>
      </c>
      <c r="O1134" s="4" t="n">
        <f aca="false">M1134*N1134</f>
        <v>264.88</v>
      </c>
    </row>
    <row r="1135" customFormat="false" ht="15" hidden="false" customHeight="false" outlineLevel="0" collapsed="false">
      <c r="A1135" s="0" t="s">
        <v>1887</v>
      </c>
      <c r="C1135" s="0" t="s">
        <v>118</v>
      </c>
      <c r="D1135" s="7" t="n">
        <v>13339</v>
      </c>
      <c r="E1135" s="8" t="n">
        <v>0.0152994977134718</v>
      </c>
      <c r="F1135" s="4" t="n">
        <f aca="false">D1135*E1135</f>
        <v>204.08</v>
      </c>
      <c r="G1135" s="7" t="n">
        <v>2495</v>
      </c>
      <c r="H1135" s="9" t="n">
        <f aca="false">IF(G1135&gt;0,D1135/G1135,"")</f>
        <v>5.34629258517034</v>
      </c>
      <c r="I1135" s="10" t="n">
        <v>46301</v>
      </c>
      <c r="K1135" s="10"/>
      <c r="M1135" s="7"/>
      <c r="N1135" s="8"/>
      <c r="O1135" s="4"/>
    </row>
    <row r="1136" customFormat="false" ht="15" hidden="false" customHeight="false" outlineLevel="0" collapsed="false">
      <c r="A1136" s="0" t="s">
        <v>1888</v>
      </c>
      <c r="C1136" s="0" t="s">
        <v>1714</v>
      </c>
      <c r="D1136" s="7" t="n">
        <v>870</v>
      </c>
      <c r="E1136" s="8" t="n">
        <v>0.234563218390805</v>
      </c>
      <c r="F1136" s="4" t="n">
        <f aca="false">D1136*E1136</f>
        <v>204.07</v>
      </c>
      <c r="G1136" s="7" t="n">
        <v>70</v>
      </c>
      <c r="H1136" s="9" t="n">
        <f aca="false">IF(G1136&gt;0,D1136/G1136,"")</f>
        <v>12.4285714285714</v>
      </c>
      <c r="I1136" s="10" t="n">
        <v>46220</v>
      </c>
      <c r="J1136" s="3" t="s">
        <v>1724</v>
      </c>
      <c r="K1136" s="10" t="n">
        <v>45273</v>
      </c>
      <c r="L1136" s="3" t="s">
        <v>15</v>
      </c>
      <c r="M1136" s="7" t="n">
        <v>957</v>
      </c>
      <c r="N1136" s="8" t="n">
        <v>0.23456</v>
      </c>
      <c r="O1136" s="4" t="n">
        <f aca="false">M1136*N1136</f>
        <v>224.47392</v>
      </c>
    </row>
    <row r="1137" customFormat="false" ht="15" hidden="false" customHeight="false" outlineLevel="0" collapsed="false">
      <c r="A1137" s="0" t="s">
        <v>1889</v>
      </c>
      <c r="C1137" s="0" t="s">
        <v>41</v>
      </c>
      <c r="D1137" s="7" t="n">
        <v>15864</v>
      </c>
      <c r="E1137" s="8" t="n">
        <v>0.0128593040847201</v>
      </c>
      <c r="F1137" s="4" t="n">
        <f aca="false">D1137*E1137</f>
        <v>204</v>
      </c>
      <c r="G1137" s="7" t="n">
        <v>6</v>
      </c>
      <c r="H1137" s="9" t="n">
        <f aca="false">IF(G1137&gt;0,D1137/G1137,"")</f>
        <v>2644</v>
      </c>
      <c r="I1137" s="10" t="n">
        <v>46160</v>
      </c>
      <c r="J1137" s="3" t="s">
        <v>1767</v>
      </c>
      <c r="K1137" s="10" t="n">
        <v>44291</v>
      </c>
      <c r="L1137" s="3" t="s">
        <v>15</v>
      </c>
      <c r="M1137" s="7" t="n">
        <v>16000</v>
      </c>
      <c r="N1137" s="8" t="n">
        <v>0.01286</v>
      </c>
      <c r="O1137" s="4" t="n">
        <f aca="false">M1137*N1137</f>
        <v>205.76</v>
      </c>
    </row>
    <row r="1138" customFormat="false" ht="15" hidden="false" customHeight="false" outlineLevel="0" collapsed="false">
      <c r="A1138" s="0" t="s">
        <v>1890</v>
      </c>
      <c r="C1138" s="0" t="s">
        <v>741</v>
      </c>
      <c r="D1138" s="7" t="n">
        <v>985</v>
      </c>
      <c r="E1138" s="8" t="n">
        <v>0.20707614213198</v>
      </c>
      <c r="F1138" s="4" t="n">
        <f aca="false">D1138*E1138</f>
        <v>203.97</v>
      </c>
      <c r="G1138" s="7" t="n">
        <v>10</v>
      </c>
      <c r="H1138" s="9" t="n">
        <f aca="false">IF(G1138&gt;0,D1138/G1138,"")</f>
        <v>98.5</v>
      </c>
      <c r="I1138" s="10" t="n">
        <v>46112</v>
      </c>
      <c r="J1138" s="3" t="s">
        <v>1891</v>
      </c>
      <c r="K1138" s="10" t="n">
        <v>46140</v>
      </c>
      <c r="L1138" s="3" t="s">
        <v>27</v>
      </c>
      <c r="M1138" s="7" t="n">
        <v>250</v>
      </c>
      <c r="N1138" s="8" t="n">
        <v>0.1836</v>
      </c>
      <c r="O1138" s="4" t="n">
        <f aca="false">M1138*N1138</f>
        <v>45.9</v>
      </c>
    </row>
    <row r="1139" customFormat="false" ht="15" hidden="false" customHeight="false" outlineLevel="0" collapsed="false">
      <c r="A1139" s="0" t="s">
        <v>1892</v>
      </c>
      <c r="C1139" s="0" t="s">
        <v>889</v>
      </c>
      <c r="D1139" s="7" t="n">
        <v>2770</v>
      </c>
      <c r="E1139" s="8" t="n">
        <v>0.0736209386281588</v>
      </c>
      <c r="F1139" s="4" t="n">
        <f aca="false">D1139*E1139</f>
        <v>203.93</v>
      </c>
      <c r="G1139" s="7" t="n">
        <v>100</v>
      </c>
      <c r="H1139" s="9" t="n">
        <f aca="false">IF(G1139&gt;0,D1139/G1139,"")</f>
        <v>27.7</v>
      </c>
      <c r="I1139" s="10" t="n">
        <v>45974</v>
      </c>
      <c r="J1139" s="3" t="s">
        <v>852</v>
      </c>
      <c r="K1139" s="10" t="n">
        <v>45883</v>
      </c>
      <c r="L1139" s="3" t="s">
        <v>15</v>
      </c>
      <c r="M1139" s="7" t="n">
        <v>2870</v>
      </c>
      <c r="N1139" s="8" t="n">
        <v>0.07362</v>
      </c>
      <c r="O1139" s="4" t="n">
        <f aca="false">M1139*N1139</f>
        <v>211.2894</v>
      </c>
    </row>
    <row r="1140" customFormat="false" ht="15" hidden="false" customHeight="false" outlineLevel="0" collapsed="false">
      <c r="A1140" s="0" t="s">
        <v>1893</v>
      </c>
      <c r="C1140" s="0" t="s">
        <v>37</v>
      </c>
      <c r="D1140" s="7" t="n">
        <v>1203</v>
      </c>
      <c r="E1140" s="8" t="n">
        <v>0.169193682460515</v>
      </c>
      <c r="F1140" s="4" t="n">
        <f aca="false">D1140*E1140</f>
        <v>203.54</v>
      </c>
      <c r="G1140" s="7" t="n">
        <v>180</v>
      </c>
      <c r="H1140" s="9" t="n">
        <f aca="false">IF(G1140&gt;0,D1140/G1140,"")</f>
        <v>6.68333333333333</v>
      </c>
      <c r="I1140" s="10" t="n">
        <v>46043</v>
      </c>
      <c r="J1140" s="3" t="s">
        <v>1018</v>
      </c>
      <c r="K1140" s="10" t="n">
        <v>45912</v>
      </c>
      <c r="L1140" s="3" t="s">
        <v>15</v>
      </c>
      <c r="M1140" s="7" t="n">
        <v>1383</v>
      </c>
      <c r="N1140" s="8" t="n">
        <v>0.16919</v>
      </c>
      <c r="O1140" s="4" t="n">
        <f aca="false">M1140*N1140</f>
        <v>233.98977</v>
      </c>
    </row>
    <row r="1141" customFormat="false" ht="15" hidden="false" customHeight="false" outlineLevel="0" collapsed="false">
      <c r="A1141" s="0" t="s">
        <v>1894</v>
      </c>
      <c r="C1141" s="0" t="s">
        <v>402</v>
      </c>
      <c r="D1141" s="7" t="n">
        <v>92</v>
      </c>
      <c r="E1141" s="8" t="n">
        <v>2.21</v>
      </c>
      <c r="F1141" s="4" t="n">
        <f aca="false">D1141*E1141</f>
        <v>203.32</v>
      </c>
      <c r="G1141" s="7" t="n">
        <v>10</v>
      </c>
      <c r="H1141" s="9" t="n">
        <f aca="false">IF(G1141&gt;0,D1141/G1141,"")</f>
        <v>9.2</v>
      </c>
      <c r="I1141" s="10" t="n">
        <v>46287</v>
      </c>
      <c r="J1141" s="3" t="s">
        <v>1895</v>
      </c>
      <c r="K1141" s="10" t="n">
        <v>45334</v>
      </c>
      <c r="L1141" s="3" t="s">
        <v>1103</v>
      </c>
      <c r="M1141" s="7" t="n">
        <v>100</v>
      </c>
      <c r="N1141" s="8" t="n">
        <v>2.21</v>
      </c>
      <c r="O1141" s="4" t="n">
        <f aca="false">M1141*N1141</f>
        <v>221</v>
      </c>
    </row>
    <row r="1142" customFormat="false" ht="15" hidden="false" customHeight="false" outlineLevel="0" collapsed="false">
      <c r="A1142" s="0" t="s">
        <v>1896</v>
      </c>
      <c r="C1142" s="0" t="s">
        <v>31</v>
      </c>
      <c r="D1142" s="7" t="n">
        <v>73743</v>
      </c>
      <c r="E1142" s="8" t="n">
        <v>0.00275660062650014</v>
      </c>
      <c r="F1142" s="4" t="n">
        <f aca="false">D1142*E1142</f>
        <v>203.28</v>
      </c>
      <c r="G1142" s="7" t="n">
        <v>45832</v>
      </c>
      <c r="H1142" s="9" t="n">
        <f aca="false">IF(G1142&gt;0,D1142/G1142,"")</f>
        <v>1.60898498865422</v>
      </c>
      <c r="I1142" s="10" t="n">
        <v>46309</v>
      </c>
      <c r="J1142" s="3" t="s">
        <v>278</v>
      </c>
      <c r="K1142" s="10" t="n">
        <v>45967</v>
      </c>
      <c r="L1142" s="3" t="s">
        <v>16</v>
      </c>
      <c r="M1142" s="7" t="n">
        <v>57695</v>
      </c>
      <c r="N1142" s="8" t="n">
        <v>0.0028</v>
      </c>
      <c r="O1142" s="4" t="n">
        <f aca="false">M1142*N1142</f>
        <v>161.546</v>
      </c>
    </row>
    <row r="1143" customFormat="false" ht="15" hidden="false" customHeight="false" outlineLevel="0" collapsed="false">
      <c r="A1143" s="0" t="s">
        <v>1897</v>
      </c>
      <c r="C1143" s="0" t="s">
        <v>31</v>
      </c>
      <c r="D1143" s="7" t="n">
        <v>16790</v>
      </c>
      <c r="E1143" s="8" t="n">
        <v>0.0121018463371054</v>
      </c>
      <c r="F1143" s="4" t="n">
        <f aca="false">D1143*E1143</f>
        <v>203.19</v>
      </c>
      <c r="G1143" s="7" t="n">
        <v>5208</v>
      </c>
      <c r="H1143" s="9" t="n">
        <f aca="false">IF(G1143&gt;0,D1143/G1143,"")</f>
        <v>3.22388632872504</v>
      </c>
      <c r="I1143" s="10" t="n">
        <v>46219</v>
      </c>
      <c r="J1143" s="3" t="s">
        <v>178</v>
      </c>
      <c r="K1143" s="10" t="n">
        <v>44301</v>
      </c>
      <c r="L1143" s="3" t="s">
        <v>15</v>
      </c>
      <c r="M1143" s="7" t="n">
        <v>0</v>
      </c>
      <c r="N1143" s="8" t="n">
        <v>0.00974</v>
      </c>
      <c r="O1143" s="4" t="n">
        <v>0</v>
      </c>
    </row>
    <row r="1144" customFormat="false" ht="15" hidden="false" customHeight="false" outlineLevel="0" collapsed="false">
      <c r="A1144" s="0" t="s">
        <v>1898</v>
      </c>
      <c r="C1144" s="0" t="s">
        <v>32</v>
      </c>
      <c r="D1144" s="7" t="n">
        <v>4580</v>
      </c>
      <c r="E1144" s="8" t="n">
        <v>0.0443515283842795</v>
      </c>
      <c r="F1144" s="4" t="n">
        <f aca="false">D1144*E1144</f>
        <v>203.13</v>
      </c>
      <c r="G1144" s="7" t="n">
        <v>10</v>
      </c>
      <c r="H1144" s="9" t="n">
        <f aca="false">IF(G1144&gt;0,D1144/G1144,"")</f>
        <v>458</v>
      </c>
      <c r="I1144" s="10" t="n">
        <v>46288</v>
      </c>
      <c r="J1144" s="3" t="s">
        <v>210</v>
      </c>
      <c r="K1144" s="10" t="n">
        <v>44789</v>
      </c>
      <c r="L1144" s="3" t="s">
        <v>15</v>
      </c>
      <c r="M1144" s="7" t="n">
        <v>4600</v>
      </c>
      <c r="N1144" s="8" t="n">
        <v>0.04435</v>
      </c>
      <c r="O1144" s="4" t="n">
        <f aca="false">M1144*N1144</f>
        <v>204.01</v>
      </c>
    </row>
    <row r="1145" customFormat="false" ht="15" hidden="false" customHeight="false" outlineLevel="0" collapsed="false">
      <c r="A1145" s="0" t="s">
        <v>1899</v>
      </c>
      <c r="C1145" s="0" t="s">
        <v>285</v>
      </c>
      <c r="D1145" s="7" t="n">
        <v>8449</v>
      </c>
      <c r="E1145" s="8" t="n">
        <v>0.0240312463013374</v>
      </c>
      <c r="F1145" s="4" t="n">
        <f aca="false">D1145*E1145</f>
        <v>203.04</v>
      </c>
      <c r="G1145" s="7" t="n">
        <v>2123</v>
      </c>
      <c r="H1145" s="9" t="n">
        <f aca="false">IF(G1145&gt;0,D1145/G1145,"")</f>
        <v>3.97974564295808</v>
      </c>
      <c r="I1145" s="10" t="n">
        <v>46310</v>
      </c>
      <c r="J1145" s="3" t="s">
        <v>1751</v>
      </c>
      <c r="K1145" s="10" t="n">
        <v>45748</v>
      </c>
      <c r="L1145" s="3" t="s">
        <v>26</v>
      </c>
      <c r="M1145" s="7" t="n">
        <v>250</v>
      </c>
      <c r="N1145" s="8" t="n">
        <v>0.0952</v>
      </c>
      <c r="O1145" s="4" t="n">
        <f aca="false">M1145*N1145</f>
        <v>23.8</v>
      </c>
    </row>
    <row r="1146" customFormat="false" ht="15" hidden="false" customHeight="false" outlineLevel="0" collapsed="false">
      <c r="A1146" s="0" t="s">
        <v>1900</v>
      </c>
      <c r="C1146" s="0" t="s">
        <v>370</v>
      </c>
      <c r="D1146" s="7" t="n">
        <v>2255</v>
      </c>
      <c r="E1146" s="8" t="n">
        <v>0.09</v>
      </c>
      <c r="F1146" s="4" t="n">
        <f aca="false">D1146*E1146</f>
        <v>202.95</v>
      </c>
      <c r="G1146" s="7" t="n">
        <v>67</v>
      </c>
      <c r="H1146" s="9" t="n">
        <f aca="false">IF(G1146&gt;0,D1146/G1146,"")</f>
        <v>33.6567164179104</v>
      </c>
      <c r="I1146" s="10" t="n">
        <v>46190</v>
      </c>
      <c r="J1146" s="3" t="s">
        <v>895</v>
      </c>
      <c r="K1146" s="10" t="n">
        <v>45516</v>
      </c>
      <c r="L1146" s="3" t="s">
        <v>21</v>
      </c>
      <c r="M1146" s="7" t="n">
        <v>1200</v>
      </c>
      <c r="N1146" s="8" t="n">
        <v>0.09</v>
      </c>
      <c r="O1146" s="4" t="n">
        <f aca="false">M1146*N1146</f>
        <v>108</v>
      </c>
    </row>
    <row r="1147" customFormat="false" ht="15" hidden="false" customHeight="false" outlineLevel="0" collapsed="false">
      <c r="A1147" s="0" t="s">
        <v>1901</v>
      </c>
      <c r="C1147" s="0" t="s">
        <v>39</v>
      </c>
      <c r="D1147" s="7" t="n">
        <v>2727</v>
      </c>
      <c r="E1147" s="8" t="n">
        <v>0.0744041070773744</v>
      </c>
      <c r="F1147" s="4" t="n">
        <f aca="false">D1147*E1147</f>
        <v>202.9</v>
      </c>
      <c r="G1147" s="7" t="n">
        <v>1170</v>
      </c>
      <c r="H1147" s="9" t="n">
        <f aca="false">IF(G1147&gt;0,D1147/G1147,"")</f>
        <v>2.33076923076923</v>
      </c>
      <c r="I1147" s="10" t="n">
        <v>46246</v>
      </c>
      <c r="J1147" s="3" t="s">
        <v>1691</v>
      </c>
      <c r="K1147" s="10" t="n">
        <v>44335</v>
      </c>
      <c r="L1147" s="3" t="s">
        <v>18</v>
      </c>
      <c r="M1147" s="7" t="n">
        <v>5296</v>
      </c>
      <c r="N1147" s="8" t="n">
        <v>0.0744</v>
      </c>
      <c r="O1147" s="4" t="n">
        <f aca="false">M1147*N1147</f>
        <v>394.0224</v>
      </c>
    </row>
    <row r="1148" customFormat="false" ht="15" hidden="false" customHeight="false" outlineLevel="0" collapsed="false">
      <c r="A1148" s="0" t="s">
        <v>1902</v>
      </c>
      <c r="C1148" s="0" t="s">
        <v>34</v>
      </c>
      <c r="D1148" s="7" t="n">
        <v>8281</v>
      </c>
      <c r="E1148" s="8" t="n">
        <v>0.0244994565873687</v>
      </c>
      <c r="F1148" s="4" t="n">
        <f aca="false">D1148*E1148</f>
        <v>202.88</v>
      </c>
      <c r="G1148" s="7" t="n">
        <v>10</v>
      </c>
      <c r="H1148" s="9" t="n">
        <f aca="false">IF(G1148&gt;0,D1148/G1148,"")</f>
        <v>828.1</v>
      </c>
      <c r="I1148" s="10" t="n">
        <v>45957</v>
      </c>
      <c r="K1148" s="10"/>
      <c r="M1148" s="7"/>
      <c r="N1148" s="8"/>
      <c r="O1148" s="4"/>
    </row>
    <row r="1149" customFormat="false" ht="15" hidden="false" customHeight="false" outlineLevel="0" collapsed="false">
      <c r="A1149" s="0" t="s">
        <v>1903</v>
      </c>
      <c r="C1149" s="0" t="s">
        <v>118</v>
      </c>
      <c r="D1149" s="7" t="n">
        <v>1798</v>
      </c>
      <c r="E1149" s="8" t="n">
        <v>0.112597330367075</v>
      </c>
      <c r="F1149" s="4" t="n">
        <f aca="false">D1149*E1149</f>
        <v>202.45</v>
      </c>
      <c r="G1149" s="7" t="n">
        <v>176</v>
      </c>
      <c r="H1149" s="9" t="n">
        <f aca="false">IF(G1149&gt;0,D1149/G1149,"")</f>
        <v>10.2159090909091</v>
      </c>
      <c r="I1149" s="10" t="n">
        <v>46314</v>
      </c>
      <c r="J1149" s="3" t="s">
        <v>1313</v>
      </c>
      <c r="K1149" s="10" t="n">
        <v>46086</v>
      </c>
      <c r="L1149" s="3" t="s">
        <v>16</v>
      </c>
      <c r="M1149" s="7" t="n">
        <v>1974</v>
      </c>
      <c r="N1149" s="8" t="n">
        <v>0.1126</v>
      </c>
      <c r="O1149" s="4" t="n">
        <f aca="false">M1149*N1149</f>
        <v>222.2724</v>
      </c>
    </row>
    <row r="1150" customFormat="false" ht="15" hidden="false" customHeight="false" outlineLevel="0" collapsed="false">
      <c r="A1150" s="0" t="s">
        <v>1904</v>
      </c>
      <c r="C1150" s="0" t="s">
        <v>40</v>
      </c>
      <c r="D1150" s="7" t="n">
        <v>24475</v>
      </c>
      <c r="E1150" s="8" t="n">
        <v>0.0082655771195097</v>
      </c>
      <c r="F1150" s="4" t="n">
        <f aca="false">D1150*E1150</f>
        <v>202.3</v>
      </c>
      <c r="G1150" s="7" t="n">
        <v>6405</v>
      </c>
      <c r="H1150" s="9" t="n">
        <f aca="false">IF(G1150&gt;0,D1150/G1150,"")</f>
        <v>3.82123341139735</v>
      </c>
      <c r="I1150" s="10" t="n">
        <v>46317</v>
      </c>
      <c r="J1150" s="3" t="s">
        <v>1905</v>
      </c>
      <c r="K1150" s="10" t="n">
        <v>45672</v>
      </c>
      <c r="L1150" s="3" t="s">
        <v>18</v>
      </c>
      <c r="M1150" s="7" t="n">
        <v>18220</v>
      </c>
      <c r="N1150" s="8" t="n">
        <v>0.0087</v>
      </c>
      <c r="O1150" s="4" t="n">
        <f aca="false">M1150*N1150</f>
        <v>158.514</v>
      </c>
    </row>
    <row r="1151" customFormat="false" ht="15" hidden="false" customHeight="false" outlineLevel="0" collapsed="false">
      <c r="A1151" s="0" t="s">
        <v>1906</v>
      </c>
      <c r="C1151" s="0" t="s">
        <v>889</v>
      </c>
      <c r="D1151" s="7" t="n">
        <v>1865</v>
      </c>
      <c r="E1151" s="8" t="n">
        <v>0.108402144772118</v>
      </c>
      <c r="F1151" s="4" t="n">
        <f aca="false">D1151*E1151</f>
        <v>202.17</v>
      </c>
      <c r="G1151" s="7" t="n">
        <v>100</v>
      </c>
      <c r="H1151" s="9" t="n">
        <f aca="false">IF(G1151&gt;0,D1151/G1151,"")</f>
        <v>18.65</v>
      </c>
      <c r="I1151" s="10" t="n">
        <v>45974</v>
      </c>
      <c r="J1151" s="3" t="s">
        <v>852</v>
      </c>
      <c r="K1151" s="10" t="n">
        <v>45883</v>
      </c>
      <c r="L1151" s="3" t="s">
        <v>15</v>
      </c>
      <c r="M1151" s="7" t="n">
        <v>1965</v>
      </c>
      <c r="N1151" s="8" t="n">
        <v>0.1084</v>
      </c>
      <c r="O1151" s="4" t="n">
        <f aca="false">M1151*N1151</f>
        <v>213.006</v>
      </c>
    </row>
    <row r="1152" customFormat="false" ht="15" hidden="false" customHeight="false" outlineLevel="0" collapsed="false">
      <c r="A1152" s="0" t="s">
        <v>1907</v>
      </c>
      <c r="C1152" s="0" t="s">
        <v>340</v>
      </c>
      <c r="D1152" s="7" t="n">
        <v>27580</v>
      </c>
      <c r="E1152" s="8" t="n">
        <v>0.00732994923857868</v>
      </c>
      <c r="F1152" s="4" t="n">
        <f aca="false">D1152*E1152</f>
        <v>202.16</v>
      </c>
      <c r="G1152" s="7" t="n">
        <v>230</v>
      </c>
      <c r="H1152" s="9" t="n">
        <f aca="false">IF(G1152&gt;0,D1152/G1152,"")</f>
        <v>119.913043478261</v>
      </c>
      <c r="I1152" s="10" t="n">
        <v>46156</v>
      </c>
      <c r="J1152" s="3" t="s">
        <v>1140</v>
      </c>
      <c r="K1152" s="10" t="n">
        <v>45614</v>
      </c>
      <c r="L1152" s="3" t="s">
        <v>15</v>
      </c>
      <c r="M1152" s="7" t="n">
        <v>27860</v>
      </c>
      <c r="N1152" s="8" t="n">
        <v>0.00733</v>
      </c>
      <c r="O1152" s="4" t="n">
        <f aca="false">M1152*N1152</f>
        <v>204.2138</v>
      </c>
    </row>
    <row r="1153" customFormat="false" ht="15" hidden="false" customHeight="false" outlineLevel="0" collapsed="false">
      <c r="A1153" s="0" t="s">
        <v>1908</v>
      </c>
      <c r="C1153" s="0" t="s">
        <v>31</v>
      </c>
      <c r="D1153" s="7" t="n">
        <v>39635</v>
      </c>
      <c r="E1153" s="8" t="n">
        <v>0.00509978554308061</v>
      </c>
      <c r="F1153" s="4" t="n">
        <f aca="false">D1153*E1153</f>
        <v>202.13</v>
      </c>
      <c r="G1153" s="7" t="n">
        <v>2617</v>
      </c>
      <c r="H1153" s="9" t="n">
        <f aca="false">IF(G1153&gt;0,D1153/G1153,"")</f>
        <v>15.1452044325564</v>
      </c>
      <c r="I1153" s="10" t="n">
        <v>46316</v>
      </c>
      <c r="K1153" s="10"/>
      <c r="M1153" s="7"/>
      <c r="N1153" s="8"/>
      <c r="O1153" s="4"/>
    </row>
    <row r="1154" customFormat="false" ht="15" hidden="false" customHeight="false" outlineLevel="0" collapsed="false">
      <c r="A1154" s="0" t="s">
        <v>1909</v>
      </c>
      <c r="C1154" s="0" t="s">
        <v>979</v>
      </c>
      <c r="D1154" s="7" t="n">
        <v>92</v>
      </c>
      <c r="E1154" s="8" t="n">
        <v>2.19641304347826</v>
      </c>
      <c r="F1154" s="4" t="n">
        <f aca="false">D1154*E1154</f>
        <v>202.07</v>
      </c>
      <c r="G1154" s="7" t="n">
        <v>70</v>
      </c>
      <c r="H1154" s="9" t="n">
        <f aca="false">IF(G1154&gt;0,D1154/G1154,"")</f>
        <v>1.31428571428571</v>
      </c>
      <c r="I1154" s="10" t="n">
        <v>46211</v>
      </c>
      <c r="J1154" s="3" t="s">
        <v>1910</v>
      </c>
      <c r="K1154" s="10" t="n">
        <v>46188</v>
      </c>
      <c r="L1154" s="3" t="s">
        <v>28</v>
      </c>
      <c r="M1154" s="7" t="n">
        <v>50</v>
      </c>
      <c r="N1154" s="8" t="n">
        <v>6.3844</v>
      </c>
      <c r="O1154" s="4" t="n">
        <f aca="false">M1154*N1154</f>
        <v>319.22</v>
      </c>
    </row>
    <row r="1155" customFormat="false" ht="15" hidden="false" customHeight="false" outlineLevel="0" collapsed="false">
      <c r="A1155" s="0" t="s">
        <v>1911</v>
      </c>
      <c r="C1155" s="0" t="s">
        <v>34</v>
      </c>
      <c r="D1155" s="7" t="n">
        <v>30542</v>
      </c>
      <c r="E1155" s="8" t="n">
        <v>0.00661580774016109</v>
      </c>
      <c r="F1155" s="4" t="n">
        <f aca="false">D1155*E1155</f>
        <v>202.06</v>
      </c>
      <c r="G1155" s="7" t="n">
        <v>50</v>
      </c>
      <c r="H1155" s="9" t="n">
        <f aca="false">IF(G1155&gt;0,D1155/G1155,"")</f>
        <v>610.84</v>
      </c>
      <c r="I1155" s="10" t="n">
        <v>46169</v>
      </c>
      <c r="J1155" s="3" t="s">
        <v>1912</v>
      </c>
      <c r="K1155" s="10" t="n">
        <v>44320</v>
      </c>
      <c r="L1155" s="3" t="s">
        <v>15</v>
      </c>
      <c r="M1155" s="7" t="n">
        <v>49456</v>
      </c>
      <c r="N1155" s="8" t="n">
        <v>0.00627</v>
      </c>
      <c r="O1155" s="4" t="n">
        <f aca="false">M1155*N1155</f>
        <v>310.08912</v>
      </c>
    </row>
    <row r="1156" customFormat="false" ht="15" hidden="false" customHeight="false" outlineLevel="0" collapsed="false">
      <c r="A1156" s="0" t="s">
        <v>1913</v>
      </c>
      <c r="C1156" s="0" t="s">
        <v>1802</v>
      </c>
      <c r="D1156" s="7" t="n">
        <v>91</v>
      </c>
      <c r="E1156" s="8" t="n">
        <v>2.21956043956044</v>
      </c>
      <c r="F1156" s="4" t="n">
        <f aca="false">D1156*E1156</f>
        <v>201.98</v>
      </c>
      <c r="G1156" s="7" t="n">
        <v>80</v>
      </c>
      <c r="H1156" s="9" t="n">
        <f aca="false">IF(G1156&gt;0,D1156/G1156,"")</f>
        <v>1.1375</v>
      </c>
      <c r="I1156" s="10" t="n">
        <v>46301</v>
      </c>
      <c r="J1156" s="3" t="s">
        <v>336</v>
      </c>
      <c r="K1156" s="10" t="n">
        <v>46245</v>
      </c>
      <c r="L1156" s="3" t="s">
        <v>14</v>
      </c>
      <c r="M1156" s="7" t="n">
        <v>100</v>
      </c>
      <c r="N1156" s="8" t="n">
        <v>2.2196</v>
      </c>
      <c r="O1156" s="4" t="n">
        <f aca="false">M1156*N1156</f>
        <v>221.96</v>
      </c>
    </row>
    <row r="1157" customFormat="false" ht="15" hidden="false" customHeight="false" outlineLevel="0" collapsed="false">
      <c r="A1157" s="0" t="s">
        <v>1914</v>
      </c>
      <c r="C1157" s="0" t="s">
        <v>31</v>
      </c>
      <c r="D1157" s="7" t="n">
        <v>3325</v>
      </c>
      <c r="E1157" s="8" t="n">
        <v>0.0606887218045113</v>
      </c>
      <c r="F1157" s="4" t="n">
        <f aca="false">D1157*E1157</f>
        <v>201.79</v>
      </c>
      <c r="G1157" s="7" t="n">
        <v>221</v>
      </c>
      <c r="H1157" s="9" t="n">
        <f aca="false">IF(G1157&gt;0,D1157/G1157,"")</f>
        <v>15.0452488687783</v>
      </c>
      <c r="I1157" s="10" t="n">
        <v>46283</v>
      </c>
      <c r="J1157" s="3" t="s">
        <v>1915</v>
      </c>
      <c r="K1157" s="10" t="n">
        <v>45736</v>
      </c>
      <c r="L1157" s="3" t="s">
        <v>19</v>
      </c>
      <c r="M1157" s="7" t="n">
        <v>2000</v>
      </c>
      <c r="N1157" s="8" t="n">
        <v>0.0638</v>
      </c>
      <c r="O1157" s="4" t="n">
        <f aca="false">M1157*N1157</f>
        <v>127.6</v>
      </c>
    </row>
    <row r="1158" customFormat="false" ht="15" hidden="false" customHeight="false" outlineLevel="0" collapsed="false">
      <c r="A1158" s="0" t="s">
        <v>1916</v>
      </c>
      <c r="C1158" s="0" t="s">
        <v>1714</v>
      </c>
      <c r="D1158" s="7" t="n">
        <v>14410</v>
      </c>
      <c r="E1158" s="8" t="n">
        <v>0.014</v>
      </c>
      <c r="F1158" s="4" t="n">
        <f aca="false">D1158*E1158</f>
        <v>201.74</v>
      </c>
      <c r="G1158" s="7" t="n">
        <v>138</v>
      </c>
      <c r="H1158" s="9" t="n">
        <f aca="false">IF(G1158&gt;0,D1158/G1158,"")</f>
        <v>104.420289855072</v>
      </c>
      <c r="I1158" s="10" t="n">
        <v>46189</v>
      </c>
      <c r="J1158" s="3" t="s">
        <v>1715</v>
      </c>
      <c r="K1158" s="10" t="n">
        <v>45187</v>
      </c>
      <c r="L1158" s="3" t="s">
        <v>15</v>
      </c>
      <c r="M1158" s="7" t="n">
        <v>14740</v>
      </c>
      <c r="N1158" s="8" t="n">
        <v>0.014</v>
      </c>
      <c r="O1158" s="4" t="n">
        <f aca="false">M1158*N1158</f>
        <v>206.36</v>
      </c>
    </row>
    <row r="1159" customFormat="false" ht="15" hidden="false" customHeight="false" outlineLevel="0" collapsed="false">
      <c r="A1159" s="0" t="s">
        <v>1917</v>
      </c>
      <c r="C1159" s="0" t="s">
        <v>41</v>
      </c>
      <c r="D1159" s="7" t="n">
        <v>3215</v>
      </c>
      <c r="E1159" s="8" t="n">
        <v>0.0627216174183515</v>
      </c>
      <c r="F1159" s="4" t="n">
        <f aca="false">D1159*E1159</f>
        <v>201.65</v>
      </c>
      <c r="G1159" s="7" t="n">
        <v>100</v>
      </c>
      <c r="H1159" s="9" t="n">
        <f aca="false">IF(G1159&gt;0,D1159/G1159,"")</f>
        <v>32.15</v>
      </c>
      <c r="I1159" s="10" t="n">
        <v>46157</v>
      </c>
      <c r="J1159" s="3" t="s">
        <v>1698</v>
      </c>
      <c r="K1159" s="10" t="n">
        <v>44270</v>
      </c>
      <c r="L1159" s="3" t="s">
        <v>15</v>
      </c>
      <c r="M1159" s="7" t="n">
        <v>3525</v>
      </c>
      <c r="N1159" s="8" t="n">
        <v>0.06272</v>
      </c>
      <c r="O1159" s="4" t="n">
        <f aca="false">M1159*N1159</f>
        <v>221.088</v>
      </c>
    </row>
    <row r="1160" customFormat="false" ht="15" hidden="false" customHeight="false" outlineLevel="0" collapsed="false">
      <c r="A1160" s="0" t="s">
        <v>1918</v>
      </c>
      <c r="C1160" s="0" t="s">
        <v>42</v>
      </c>
      <c r="D1160" s="7" t="n">
        <v>1758</v>
      </c>
      <c r="E1160" s="8" t="n">
        <v>0.114584755403868</v>
      </c>
      <c r="F1160" s="4" t="n">
        <f aca="false">D1160*E1160</f>
        <v>201.44</v>
      </c>
      <c r="G1160" s="7" t="n">
        <v>40</v>
      </c>
      <c r="H1160" s="9" t="n">
        <f aca="false">IF(G1160&gt;0,D1160/G1160,"")</f>
        <v>43.95</v>
      </c>
      <c r="I1160" s="10" t="n">
        <v>46191</v>
      </c>
      <c r="J1160" s="3" t="s">
        <v>1919</v>
      </c>
      <c r="K1160" s="10" t="n">
        <v>44356</v>
      </c>
      <c r="L1160" s="3" t="s">
        <v>14</v>
      </c>
      <c r="M1160" s="7" t="n">
        <v>2500</v>
      </c>
      <c r="N1160" s="8" t="n">
        <v>0.1146</v>
      </c>
      <c r="O1160" s="4" t="n">
        <f aca="false">M1160*N1160</f>
        <v>286.5</v>
      </c>
    </row>
    <row r="1161" customFormat="false" ht="15" hidden="false" customHeight="false" outlineLevel="0" collapsed="false">
      <c r="A1161" s="0" t="s">
        <v>1920</v>
      </c>
      <c r="C1161" s="0" t="s">
        <v>360</v>
      </c>
      <c r="D1161" s="7" t="n">
        <v>21693</v>
      </c>
      <c r="E1161" s="8" t="n">
        <v>0.00928317890563776</v>
      </c>
      <c r="F1161" s="4" t="n">
        <f aca="false">D1161*E1161</f>
        <v>201.38</v>
      </c>
      <c r="G1161" s="7" t="n">
        <v>60</v>
      </c>
      <c r="H1161" s="9" t="n">
        <f aca="false">IF(G1161&gt;0,D1161/G1161,"")</f>
        <v>361.55</v>
      </c>
      <c r="I1161" s="10" t="n">
        <v>46076</v>
      </c>
      <c r="K1161" s="10"/>
      <c r="M1161" s="7"/>
      <c r="N1161" s="8"/>
      <c r="O1161" s="4"/>
    </row>
    <row r="1162" customFormat="false" ht="15" hidden="false" customHeight="false" outlineLevel="0" collapsed="false">
      <c r="A1162" s="0" t="s">
        <v>1921</v>
      </c>
      <c r="C1162" s="0" t="s">
        <v>41</v>
      </c>
      <c r="D1162" s="7" t="n">
        <v>21440</v>
      </c>
      <c r="E1162" s="8" t="n">
        <v>0.00938945895522388</v>
      </c>
      <c r="F1162" s="4" t="n">
        <f aca="false">D1162*E1162</f>
        <v>201.31</v>
      </c>
      <c r="G1162" s="7" t="n">
        <v>275</v>
      </c>
      <c r="H1162" s="9" t="n">
        <f aca="false">IF(G1162&gt;0,D1162/G1162,"")</f>
        <v>77.9636363636364</v>
      </c>
      <c r="I1162" s="10" t="n">
        <v>46230</v>
      </c>
      <c r="K1162" s="10"/>
      <c r="M1162" s="7"/>
      <c r="N1162" s="8"/>
      <c r="O1162" s="4"/>
    </row>
    <row r="1163" customFormat="false" ht="15" hidden="false" customHeight="false" outlineLevel="0" collapsed="false">
      <c r="A1163" s="0" t="s">
        <v>1922</v>
      </c>
      <c r="C1163" s="0" t="s">
        <v>34</v>
      </c>
      <c r="D1163" s="7" t="n">
        <v>1094</v>
      </c>
      <c r="E1163" s="8" t="n">
        <v>0.183976234003656</v>
      </c>
      <c r="F1163" s="4" t="n">
        <f aca="false">D1163*E1163</f>
        <v>201.27</v>
      </c>
      <c r="G1163" s="7" t="n">
        <v>110</v>
      </c>
      <c r="H1163" s="9" t="n">
        <f aca="false">IF(G1163&gt;0,D1163/G1163,"")</f>
        <v>9.94545454545455</v>
      </c>
      <c r="I1163" s="10" t="n">
        <v>46239</v>
      </c>
      <c r="J1163" s="3" t="s">
        <v>1872</v>
      </c>
      <c r="K1163" s="10" t="n">
        <v>46290</v>
      </c>
      <c r="L1163" s="3" t="s">
        <v>19</v>
      </c>
      <c r="M1163" s="7" t="n">
        <v>1000</v>
      </c>
      <c r="N1163" s="8" t="n">
        <v>0.1963</v>
      </c>
      <c r="O1163" s="4" t="n">
        <f aca="false">M1163*N1163</f>
        <v>196.3</v>
      </c>
    </row>
    <row r="1164" customFormat="false" ht="15" hidden="false" customHeight="false" outlineLevel="0" collapsed="false">
      <c r="A1164" s="0" t="s">
        <v>1923</v>
      </c>
      <c r="C1164" s="0" t="s">
        <v>31</v>
      </c>
      <c r="D1164" s="7" t="n">
        <v>438</v>
      </c>
      <c r="E1164" s="8" t="n">
        <v>0.459383561643836</v>
      </c>
      <c r="F1164" s="4" t="n">
        <f aca="false">D1164*E1164</f>
        <v>201.21</v>
      </c>
      <c r="G1164" s="7" t="n">
        <v>9</v>
      </c>
      <c r="H1164" s="9" t="n">
        <f aca="false">IF(G1164&gt;0,D1164/G1164,"")</f>
        <v>48.6666666666667</v>
      </c>
      <c r="I1164" s="10" t="n">
        <v>46253</v>
      </c>
      <c r="K1164" s="10"/>
      <c r="M1164" s="7"/>
      <c r="N1164" s="8"/>
      <c r="O1164" s="4"/>
    </row>
    <row r="1165" customFormat="false" ht="15" hidden="false" customHeight="false" outlineLevel="0" collapsed="false">
      <c r="A1165" s="0" t="s">
        <v>1924</v>
      </c>
      <c r="C1165" s="0" t="s">
        <v>295</v>
      </c>
      <c r="D1165" s="7" t="n">
        <v>13740</v>
      </c>
      <c r="E1165" s="8" t="n">
        <v>0.0146426491994178</v>
      </c>
      <c r="F1165" s="4" t="n">
        <f aca="false">D1165*E1165</f>
        <v>201.19</v>
      </c>
      <c r="G1165" s="7" t="n">
        <v>1714</v>
      </c>
      <c r="H1165" s="9" t="n">
        <f aca="false">IF(G1165&gt;0,D1165/G1165,"")</f>
        <v>8.01633605600934</v>
      </c>
      <c r="I1165" s="10" t="n">
        <v>46308</v>
      </c>
      <c r="J1165" s="3" t="s">
        <v>1925</v>
      </c>
      <c r="K1165" s="10" t="n">
        <v>44817</v>
      </c>
      <c r="L1165" s="3" t="s">
        <v>1926</v>
      </c>
      <c r="M1165" s="7" t="n">
        <v>16000</v>
      </c>
      <c r="N1165" s="8" t="n">
        <v>0.0159</v>
      </c>
      <c r="O1165" s="4" t="n">
        <f aca="false">M1165*N1165</f>
        <v>254.4</v>
      </c>
    </row>
    <row r="1166" customFormat="false" ht="15" hidden="false" customHeight="false" outlineLevel="0" collapsed="false">
      <c r="A1166" s="0" t="s">
        <v>1927</v>
      </c>
      <c r="C1166" s="0" t="s">
        <v>360</v>
      </c>
      <c r="D1166" s="7" t="n">
        <v>15471</v>
      </c>
      <c r="E1166" s="8" t="n">
        <v>0.0130004524594402</v>
      </c>
      <c r="F1166" s="4" t="n">
        <f aca="false">D1166*E1166</f>
        <v>201.13</v>
      </c>
      <c r="G1166" s="7" t="n">
        <v>40</v>
      </c>
      <c r="H1166" s="9" t="n">
        <f aca="false">IF(G1166&gt;0,D1166/G1166,"")</f>
        <v>386.775</v>
      </c>
      <c r="I1166" s="10" t="n">
        <v>46056</v>
      </c>
      <c r="J1166" s="3" t="s">
        <v>1844</v>
      </c>
      <c r="K1166" s="10" t="n">
        <v>44198</v>
      </c>
      <c r="L1166" s="3" t="s">
        <v>15</v>
      </c>
      <c r="M1166" s="7" t="n">
        <v>16200</v>
      </c>
      <c r="N1166" s="8" t="n">
        <v>0.013</v>
      </c>
      <c r="O1166" s="4" t="n">
        <f aca="false">M1166*N1166</f>
        <v>210.6</v>
      </c>
    </row>
    <row r="1167" customFormat="false" ht="15" hidden="false" customHeight="false" outlineLevel="0" collapsed="false">
      <c r="A1167" s="0" t="s">
        <v>1928</v>
      </c>
      <c r="C1167" s="0" t="s">
        <v>41</v>
      </c>
      <c r="D1167" s="7" t="n">
        <v>19523</v>
      </c>
      <c r="E1167" s="8" t="n">
        <v>0.0103006710034319</v>
      </c>
      <c r="F1167" s="4" t="n">
        <f aca="false">D1167*E1167</f>
        <v>201.1</v>
      </c>
      <c r="G1167" s="7" t="n">
        <v>2572</v>
      </c>
      <c r="H1167" s="9" t="n">
        <f aca="false">IF(G1167&gt;0,D1167/G1167,"")</f>
        <v>7.59059097978227</v>
      </c>
      <c r="I1167" s="10" t="n">
        <v>46283</v>
      </c>
      <c r="J1167" s="3" t="s">
        <v>1929</v>
      </c>
      <c r="K1167" s="10" t="n">
        <v>44743</v>
      </c>
      <c r="L1167" s="3" t="s">
        <v>16</v>
      </c>
      <c r="M1167" s="7" t="n">
        <v>22500</v>
      </c>
      <c r="N1167" s="8" t="n">
        <v>0.0103</v>
      </c>
      <c r="O1167" s="4" t="n">
        <f aca="false">M1167*N1167</f>
        <v>231.75</v>
      </c>
    </row>
    <row r="1168" customFormat="false" ht="15" hidden="false" customHeight="false" outlineLevel="0" collapsed="false">
      <c r="A1168" s="0" t="s">
        <v>1930</v>
      </c>
      <c r="C1168" s="0" t="s">
        <v>889</v>
      </c>
      <c r="D1168" s="7" t="n">
        <v>11984</v>
      </c>
      <c r="E1168" s="8" t="n">
        <v>0.016779873164219</v>
      </c>
      <c r="F1168" s="4" t="n">
        <f aca="false">D1168*E1168</f>
        <v>201.09</v>
      </c>
      <c r="G1168" s="7" t="n">
        <v>10</v>
      </c>
      <c r="H1168" s="9" t="n">
        <f aca="false">IF(G1168&gt;0,D1168/G1168,"")</f>
        <v>1198.4</v>
      </c>
      <c r="I1168" s="10" t="n">
        <v>46003</v>
      </c>
      <c r="J1168" s="3" t="s">
        <v>990</v>
      </c>
      <c r="K1168" s="10" t="n">
        <v>44235</v>
      </c>
      <c r="L1168" s="3" t="s">
        <v>15</v>
      </c>
      <c r="M1168" s="7" t="n">
        <v>12000</v>
      </c>
      <c r="N1168" s="8" t="n">
        <v>0.01678</v>
      </c>
      <c r="O1168" s="4" t="n">
        <f aca="false">M1168*N1168</f>
        <v>201.36</v>
      </c>
    </row>
    <row r="1169" customFormat="false" ht="15" hidden="false" customHeight="false" outlineLevel="0" collapsed="false">
      <c r="A1169" s="0" t="s">
        <v>1931</v>
      </c>
      <c r="C1169" s="0" t="s">
        <v>34</v>
      </c>
      <c r="D1169" s="7" t="n">
        <v>473</v>
      </c>
      <c r="E1169" s="8" t="n">
        <v>0.424989429175476</v>
      </c>
      <c r="F1169" s="4" t="n">
        <f aca="false">D1169*E1169</f>
        <v>201.02</v>
      </c>
      <c r="G1169" s="7" t="n">
        <v>17</v>
      </c>
      <c r="H1169" s="9" t="n">
        <f aca="false">IF(G1169&gt;0,D1169/G1169,"")</f>
        <v>27.8235294117647</v>
      </c>
      <c r="I1169" s="10" t="n">
        <v>46295</v>
      </c>
      <c r="J1169" s="3" t="s">
        <v>1932</v>
      </c>
      <c r="K1169" s="10" t="n">
        <v>44861</v>
      </c>
      <c r="L1169" s="3" t="s">
        <v>25</v>
      </c>
      <c r="M1169" s="7" t="n">
        <v>500</v>
      </c>
      <c r="N1169" s="8" t="n">
        <v>0.425</v>
      </c>
      <c r="O1169" s="4" t="n">
        <f aca="false">M1169*N1169</f>
        <v>212.5</v>
      </c>
    </row>
    <row r="1170" customFormat="false" ht="15" hidden="false" customHeight="false" outlineLevel="0" collapsed="false">
      <c r="A1170" s="0" t="s">
        <v>1933</v>
      </c>
      <c r="C1170" s="0" t="s">
        <v>39</v>
      </c>
      <c r="D1170" s="7" t="n">
        <v>1151</v>
      </c>
      <c r="E1170" s="8" t="n">
        <v>0.174587315377932</v>
      </c>
      <c r="F1170" s="4" t="n">
        <f aca="false">D1170*E1170</f>
        <v>200.95</v>
      </c>
      <c r="G1170" s="7" t="n">
        <v>58</v>
      </c>
      <c r="H1170" s="9" t="n">
        <f aca="false">IF(G1170&gt;0,D1170/G1170,"")</f>
        <v>19.8448275862069</v>
      </c>
      <c r="I1170" s="10" t="n">
        <v>46280</v>
      </c>
      <c r="J1170" s="3" t="s">
        <v>1934</v>
      </c>
      <c r="K1170" s="10" t="n">
        <v>44337</v>
      </c>
      <c r="L1170" s="3" t="s">
        <v>19</v>
      </c>
      <c r="M1170" s="7" t="n">
        <v>307</v>
      </c>
      <c r="N1170" s="8" t="n">
        <v>0.1405</v>
      </c>
      <c r="O1170" s="4" t="n">
        <f aca="false">M1170*N1170</f>
        <v>43.1335</v>
      </c>
    </row>
    <row r="1171" customFormat="false" ht="15" hidden="false" customHeight="false" outlineLevel="0" collapsed="false">
      <c r="A1171" s="0" t="s">
        <v>1935</v>
      </c>
      <c r="C1171" s="0" t="s">
        <v>37</v>
      </c>
      <c r="D1171" s="7" t="n">
        <v>2271</v>
      </c>
      <c r="E1171" s="8" t="n">
        <v>0.088476442095993</v>
      </c>
      <c r="F1171" s="4" t="n">
        <f aca="false">D1171*E1171</f>
        <v>200.93</v>
      </c>
      <c r="G1171" s="7" t="n">
        <v>34</v>
      </c>
      <c r="H1171" s="9" t="n">
        <f aca="false">IF(G1171&gt;0,D1171/G1171,"")</f>
        <v>66.7941176470588</v>
      </c>
      <c r="I1171" s="10" t="n">
        <v>46044</v>
      </c>
      <c r="J1171" s="3" t="s">
        <v>1936</v>
      </c>
      <c r="K1171" s="10" t="n">
        <v>45057</v>
      </c>
      <c r="L1171" s="3" t="s">
        <v>15</v>
      </c>
      <c r="M1171" s="7" t="n">
        <v>2300</v>
      </c>
      <c r="N1171" s="8" t="n">
        <v>0.08843</v>
      </c>
      <c r="O1171" s="4" t="n">
        <f aca="false">M1171*N1171</f>
        <v>203.389</v>
      </c>
    </row>
    <row r="1172" customFormat="false" ht="15" hidden="false" customHeight="false" outlineLevel="0" collapsed="false">
      <c r="A1172" s="0" t="s">
        <v>1937</v>
      </c>
      <c r="C1172" s="0" t="s">
        <v>34</v>
      </c>
      <c r="D1172" s="7" t="n">
        <v>1810</v>
      </c>
      <c r="E1172" s="8" t="n">
        <v>0.111</v>
      </c>
      <c r="F1172" s="4" t="n">
        <f aca="false">D1172*E1172</f>
        <v>200.91</v>
      </c>
      <c r="G1172" s="7" t="n">
        <v>2</v>
      </c>
      <c r="H1172" s="9" t="n">
        <f aca="false">IF(G1172&gt;0,D1172/G1172,"")</f>
        <v>905</v>
      </c>
      <c r="I1172" s="10" t="n">
        <v>45971</v>
      </c>
      <c r="K1172" s="10"/>
      <c r="M1172" s="7"/>
      <c r="N1172" s="8"/>
      <c r="O1172" s="4"/>
    </row>
    <row r="1173" customFormat="false" ht="15" hidden="false" customHeight="false" outlineLevel="0" collapsed="false">
      <c r="A1173" s="0" t="s">
        <v>1938</v>
      </c>
      <c r="C1173" s="0" t="s">
        <v>360</v>
      </c>
      <c r="D1173" s="7" t="n">
        <v>12557</v>
      </c>
      <c r="E1173" s="8" t="n">
        <v>0.0159998407262881</v>
      </c>
      <c r="F1173" s="4" t="n">
        <f aca="false">D1173*E1173</f>
        <v>200.91</v>
      </c>
      <c r="G1173" s="7" t="n">
        <v>12121</v>
      </c>
      <c r="H1173" s="9" t="n">
        <f aca="false">IF(G1173&gt;0,D1173/G1173,"")</f>
        <v>1.03597062948602</v>
      </c>
      <c r="I1173" s="10" t="n">
        <v>46308</v>
      </c>
      <c r="J1173" s="3" t="s">
        <v>1480</v>
      </c>
      <c r="K1173" s="10" t="n">
        <v>46121</v>
      </c>
      <c r="L1173" s="3" t="s">
        <v>16</v>
      </c>
      <c r="M1173" s="7" t="n">
        <v>24092</v>
      </c>
      <c r="N1173" s="8" t="n">
        <v>0.016</v>
      </c>
      <c r="O1173" s="4" t="n">
        <f aca="false">M1173*N1173</f>
        <v>385.472</v>
      </c>
    </row>
    <row r="1174" customFormat="false" ht="15" hidden="false" customHeight="false" outlineLevel="0" collapsed="false">
      <c r="A1174" s="0" t="s">
        <v>1939</v>
      </c>
      <c r="C1174" s="0" t="s">
        <v>741</v>
      </c>
      <c r="D1174" s="7" t="n">
        <v>1219</v>
      </c>
      <c r="E1174" s="8" t="n">
        <v>0.164807219031993</v>
      </c>
      <c r="F1174" s="4" t="n">
        <f aca="false">D1174*E1174</f>
        <v>200.9</v>
      </c>
      <c r="G1174" s="7" t="n">
        <v>631</v>
      </c>
      <c r="H1174" s="9" t="n">
        <f aca="false">IF(G1174&gt;0,D1174/G1174,"")</f>
        <v>1.93185419968304</v>
      </c>
      <c r="I1174" s="10" t="n">
        <v>46171</v>
      </c>
      <c r="J1174" s="3" t="s">
        <v>703</v>
      </c>
      <c r="K1174" s="10" t="n">
        <v>46155</v>
      </c>
      <c r="L1174" s="3" t="s">
        <v>14</v>
      </c>
      <c r="M1174" s="7" t="n">
        <v>1000</v>
      </c>
      <c r="N1174" s="8" t="n">
        <v>0.1258</v>
      </c>
      <c r="O1174" s="4" t="n">
        <f aca="false">M1174*N1174</f>
        <v>125.8</v>
      </c>
    </row>
    <row r="1175" customFormat="false" ht="15" hidden="false" customHeight="false" outlineLevel="0" collapsed="false">
      <c r="A1175" s="0" t="s">
        <v>1940</v>
      </c>
      <c r="C1175" s="0" t="s">
        <v>889</v>
      </c>
      <c r="D1175" s="7" t="n">
        <v>4679</v>
      </c>
      <c r="E1175" s="8" t="n">
        <v>0.042889506304766</v>
      </c>
      <c r="F1175" s="4" t="n">
        <f aca="false">D1175*E1175</f>
        <v>200.68</v>
      </c>
      <c r="G1175" s="7" t="n">
        <v>9</v>
      </c>
      <c r="H1175" s="9" t="n">
        <f aca="false">IF(G1175&gt;0,D1175/G1175,"")</f>
        <v>519.888888888889</v>
      </c>
      <c r="I1175" s="10" t="n">
        <v>46202</v>
      </c>
      <c r="J1175" s="3" t="s">
        <v>1849</v>
      </c>
      <c r="K1175" s="10" t="n">
        <v>44341</v>
      </c>
      <c r="L1175" s="3" t="s">
        <v>15</v>
      </c>
      <c r="M1175" s="7" t="n">
        <v>4700</v>
      </c>
      <c r="N1175" s="8" t="n">
        <v>0.04289</v>
      </c>
      <c r="O1175" s="4" t="n">
        <f aca="false">M1175*N1175</f>
        <v>201.583</v>
      </c>
    </row>
    <row r="1176" customFormat="false" ht="15" hidden="false" customHeight="false" outlineLevel="0" collapsed="false">
      <c r="A1176" s="0" t="s">
        <v>1941</v>
      </c>
      <c r="D1176" s="7" t="n">
        <v>23360</v>
      </c>
      <c r="E1176" s="8" t="n">
        <v>0.00858989726027397</v>
      </c>
      <c r="F1176" s="4" t="n">
        <f aca="false">D1176*E1176</f>
        <v>200.66</v>
      </c>
      <c r="G1176" s="7" t="n">
        <v>26</v>
      </c>
      <c r="H1176" s="9" t="n">
        <f aca="false">IF(G1176&gt;0,D1176/G1176,"")</f>
        <v>898.461538461539</v>
      </c>
      <c r="I1176" s="10" t="n">
        <v>46027</v>
      </c>
      <c r="J1176" s="3" t="s">
        <v>1942</v>
      </c>
      <c r="K1176" s="10" t="n">
        <v>44259</v>
      </c>
      <c r="L1176" s="3" t="s">
        <v>15</v>
      </c>
      <c r="M1176" s="7" t="n">
        <v>23500</v>
      </c>
      <c r="N1176" s="8" t="n">
        <v>0.00859</v>
      </c>
      <c r="O1176" s="4" t="n">
        <f aca="false">M1176*N1176</f>
        <v>201.865</v>
      </c>
    </row>
    <row r="1177" customFormat="false" ht="15" hidden="false" customHeight="false" outlineLevel="0" collapsed="false">
      <c r="A1177" s="0" t="s">
        <v>1943</v>
      </c>
      <c r="C1177" s="0" t="s">
        <v>32</v>
      </c>
      <c r="D1177" s="7" t="n">
        <v>19481</v>
      </c>
      <c r="E1177" s="8" t="n">
        <v>0.0102992659514399</v>
      </c>
      <c r="F1177" s="4" t="n">
        <f aca="false">D1177*E1177</f>
        <v>200.64</v>
      </c>
      <c r="G1177" s="7" t="n">
        <v>4779</v>
      </c>
      <c r="H1177" s="9" t="n">
        <f aca="false">IF(G1177&gt;0,D1177/G1177,"")</f>
        <v>4.07637581083909</v>
      </c>
      <c r="I1177" s="10" t="n">
        <v>46308</v>
      </c>
      <c r="J1177" s="3" t="s">
        <v>566</v>
      </c>
      <c r="K1177" s="10" t="n">
        <v>46204</v>
      </c>
      <c r="L1177" s="3" t="s">
        <v>14</v>
      </c>
      <c r="M1177" s="7" t="n">
        <v>20000</v>
      </c>
      <c r="N1177" s="8" t="n">
        <v>0.0103</v>
      </c>
      <c r="O1177" s="4" t="n">
        <f aca="false">M1177*N1177</f>
        <v>206</v>
      </c>
    </row>
    <row r="1178" customFormat="false" ht="15" hidden="false" customHeight="false" outlineLevel="0" collapsed="false">
      <c r="A1178" s="0" t="s">
        <v>1944</v>
      </c>
      <c r="C1178" s="0" t="s">
        <v>1169</v>
      </c>
      <c r="D1178" s="7" t="n">
        <v>3703</v>
      </c>
      <c r="E1178" s="8" t="n">
        <v>0.0541749932487173</v>
      </c>
      <c r="F1178" s="4" t="n">
        <f aca="false">D1178*E1178</f>
        <v>200.61</v>
      </c>
      <c r="G1178" s="7" t="n">
        <v>337</v>
      </c>
      <c r="H1178" s="9" t="n">
        <f aca="false">IF(G1178&gt;0,D1178/G1178,"")</f>
        <v>10.9881305637982</v>
      </c>
      <c r="I1178" s="10" t="n">
        <v>46291</v>
      </c>
      <c r="J1178" s="3" t="s">
        <v>1945</v>
      </c>
      <c r="K1178" s="10" t="n">
        <v>44328</v>
      </c>
      <c r="L1178" s="3" t="s">
        <v>21</v>
      </c>
      <c r="M1178" s="7" t="n">
        <v>4000</v>
      </c>
      <c r="N1178" s="8" t="n">
        <v>0.032</v>
      </c>
      <c r="O1178" s="4" t="n">
        <f aca="false">M1178*N1178</f>
        <v>128</v>
      </c>
    </row>
    <row r="1179" customFormat="false" ht="15" hidden="false" customHeight="false" outlineLevel="0" collapsed="false">
      <c r="A1179" s="0" t="s">
        <v>1946</v>
      </c>
      <c r="C1179" s="0" t="s">
        <v>41</v>
      </c>
      <c r="D1179" s="7" t="n">
        <v>16478</v>
      </c>
      <c r="E1179" s="8" t="n">
        <v>0.0121598494962981</v>
      </c>
      <c r="F1179" s="4" t="n">
        <f aca="false">D1179*E1179</f>
        <v>200.37</v>
      </c>
      <c r="G1179" s="7" t="n">
        <v>10</v>
      </c>
      <c r="H1179" s="9" t="n">
        <f aca="false">IF(G1179&gt;0,D1179/G1179,"")</f>
        <v>1647.8</v>
      </c>
      <c r="I1179" s="10" t="n">
        <v>46076</v>
      </c>
      <c r="J1179" s="3" t="s">
        <v>999</v>
      </c>
      <c r="K1179" s="10" t="n">
        <v>44862</v>
      </c>
      <c r="L1179" s="3" t="s">
        <v>15</v>
      </c>
      <c r="M1179" s="7" t="n">
        <v>16500</v>
      </c>
      <c r="N1179" s="8" t="n">
        <v>0.01216</v>
      </c>
      <c r="O1179" s="4" t="n">
        <f aca="false">M1179*N1179</f>
        <v>200.64</v>
      </c>
    </row>
    <row r="1180" customFormat="false" ht="15" hidden="false" customHeight="false" outlineLevel="0" collapsed="false">
      <c r="A1180" s="0" t="s">
        <v>1947</v>
      </c>
      <c r="C1180" s="0" t="s">
        <v>541</v>
      </c>
      <c r="D1180" s="7" t="n">
        <v>142</v>
      </c>
      <c r="E1180" s="8" t="n">
        <v>1.41049295774648</v>
      </c>
      <c r="F1180" s="4" t="n">
        <f aca="false">D1180*E1180</f>
        <v>200.29</v>
      </c>
      <c r="G1180" s="7" t="n">
        <v>100</v>
      </c>
      <c r="H1180" s="9" t="n">
        <f aca="false">IF(G1180&gt;0,D1180/G1180,"")</f>
        <v>1.42</v>
      </c>
      <c r="I1180" s="10" t="n">
        <v>46273</v>
      </c>
      <c r="J1180" s="3" t="s">
        <v>1288</v>
      </c>
      <c r="K1180" s="10" t="n">
        <v>46122</v>
      </c>
      <c r="L1180" s="3" t="s">
        <v>313</v>
      </c>
      <c r="M1180" s="7" t="n">
        <v>200</v>
      </c>
      <c r="N1180" s="8" t="n">
        <v>1.6345</v>
      </c>
      <c r="O1180" s="4" t="n">
        <f aca="false">M1180*N1180</f>
        <v>326.9</v>
      </c>
    </row>
    <row r="1181" customFormat="false" ht="15" hidden="false" customHeight="false" outlineLevel="0" collapsed="false">
      <c r="A1181" s="0" t="s">
        <v>1948</v>
      </c>
      <c r="C1181" s="0" t="s">
        <v>221</v>
      </c>
      <c r="D1181" s="7" t="n">
        <v>990</v>
      </c>
      <c r="E1181" s="8" t="n">
        <v>0.20210101010101</v>
      </c>
      <c r="F1181" s="4" t="n">
        <f aca="false">D1181*E1181</f>
        <v>200.08</v>
      </c>
      <c r="G1181" s="7" t="n">
        <v>10</v>
      </c>
      <c r="H1181" s="9" t="n">
        <f aca="false">IF(G1181&gt;0,D1181/G1181,"")</f>
        <v>99</v>
      </c>
      <c r="I1181" s="10" t="n">
        <v>46258</v>
      </c>
      <c r="J1181" s="3" t="s">
        <v>1949</v>
      </c>
      <c r="K1181" s="10" t="n">
        <v>45984</v>
      </c>
      <c r="L1181" s="3" t="s">
        <v>223</v>
      </c>
      <c r="M1181" s="7" t="n">
        <v>1000</v>
      </c>
      <c r="N1181" s="8" t="n">
        <v>0.2021</v>
      </c>
      <c r="O1181" s="4" t="n">
        <f aca="false">M1181*N1181</f>
        <v>202.1</v>
      </c>
    </row>
    <row r="1182" customFormat="false" ht="15" hidden="false" customHeight="false" outlineLevel="0" collapsed="false">
      <c r="A1182" s="0" t="s">
        <v>1950</v>
      </c>
      <c r="C1182" s="0" t="s">
        <v>889</v>
      </c>
      <c r="D1182" s="7" t="n">
        <v>10944</v>
      </c>
      <c r="E1182" s="8" t="n">
        <v>0.0182803362573099</v>
      </c>
      <c r="F1182" s="4" t="n">
        <f aca="false">D1182*E1182</f>
        <v>200.06</v>
      </c>
      <c r="G1182" s="7" t="n">
        <v>50</v>
      </c>
      <c r="H1182" s="9" t="n">
        <f aca="false">IF(G1182&gt;0,D1182/G1182,"")</f>
        <v>218.88</v>
      </c>
      <c r="I1182" s="10" t="n">
        <v>46247</v>
      </c>
      <c r="J1182" s="3" t="s">
        <v>990</v>
      </c>
      <c r="K1182" s="10" t="n">
        <v>44235</v>
      </c>
      <c r="L1182" s="3" t="s">
        <v>15</v>
      </c>
      <c r="M1182" s="7" t="n">
        <v>11000</v>
      </c>
      <c r="N1182" s="8" t="n">
        <v>0.01828</v>
      </c>
      <c r="O1182" s="4" t="n">
        <f aca="false">M1182*N1182</f>
        <v>201.08</v>
      </c>
    </row>
    <row r="1183" customFormat="false" ht="15" hidden="false" customHeight="false" outlineLevel="0" collapsed="false">
      <c r="A1183" s="0" t="s">
        <v>1951</v>
      </c>
      <c r="C1183" s="0" t="s">
        <v>979</v>
      </c>
      <c r="D1183" s="7" t="n">
        <v>1825</v>
      </c>
      <c r="E1183" s="8" t="n">
        <v>0.10961095890411</v>
      </c>
      <c r="F1183" s="4" t="n">
        <f aca="false">D1183*E1183</f>
        <v>200.04</v>
      </c>
      <c r="G1183" s="7" t="n">
        <v>1008</v>
      </c>
      <c r="H1183" s="9" t="n">
        <f aca="false">IF(G1183&gt;0,D1183/G1183,"")</f>
        <v>1.81051587301587</v>
      </c>
      <c r="I1183" s="10" t="n">
        <v>46174</v>
      </c>
      <c r="J1183" s="3" t="s">
        <v>1952</v>
      </c>
      <c r="K1183" s="10" t="n">
        <v>46169</v>
      </c>
      <c r="L1183" s="3" t="s">
        <v>15</v>
      </c>
      <c r="M1183" s="7" t="n">
        <v>1825</v>
      </c>
      <c r="N1183" s="8" t="n">
        <v>0.10961</v>
      </c>
      <c r="O1183" s="4" t="n">
        <f aca="false">M1183*N1183</f>
        <v>200.03825</v>
      </c>
    </row>
    <row r="1184" customFormat="false" ht="15" hidden="false" customHeight="false" outlineLevel="0" collapsed="false">
      <c r="A1184" s="0" t="s">
        <v>1953</v>
      </c>
      <c r="C1184" s="0" t="s">
        <v>31</v>
      </c>
      <c r="D1184" s="7" t="n">
        <v>11606</v>
      </c>
      <c r="E1184" s="8" t="n">
        <v>0.0172341892124763</v>
      </c>
      <c r="F1184" s="4" t="n">
        <f aca="false">D1184*E1184</f>
        <v>200.02</v>
      </c>
      <c r="G1184" s="7" t="n">
        <v>75</v>
      </c>
      <c r="H1184" s="9" t="n">
        <f aca="false">IF(G1184&gt;0,D1184/G1184,"")</f>
        <v>154.746666666667</v>
      </c>
      <c r="I1184" s="10" t="n">
        <v>46181</v>
      </c>
      <c r="J1184" s="3" t="s">
        <v>990</v>
      </c>
      <c r="K1184" s="10" t="n">
        <v>44235</v>
      </c>
      <c r="L1184" s="3" t="s">
        <v>15</v>
      </c>
      <c r="M1184" s="7" t="n">
        <v>12000</v>
      </c>
      <c r="N1184" s="8" t="n">
        <v>0.01723</v>
      </c>
      <c r="O1184" s="4" t="n">
        <f aca="false">M1184*N1184</f>
        <v>206.76</v>
      </c>
    </row>
    <row r="1185" customFormat="false" ht="15" hidden="false" customHeight="false" outlineLevel="0" collapsed="false">
      <c r="A1185" s="0" t="s">
        <v>1954</v>
      </c>
      <c r="C1185" s="0" t="s">
        <v>298</v>
      </c>
      <c r="D1185" s="7" t="n">
        <v>344</v>
      </c>
      <c r="E1185" s="8" t="n">
        <v>0.581308139534884</v>
      </c>
      <c r="F1185" s="4" t="n">
        <f aca="false">D1185*E1185</f>
        <v>199.97</v>
      </c>
      <c r="G1185" s="7" t="n">
        <v>50</v>
      </c>
      <c r="H1185" s="9" t="n">
        <f aca="false">IF(G1185&gt;0,D1185/G1185,"")</f>
        <v>6.88</v>
      </c>
      <c r="I1185" s="10" t="n">
        <v>46248</v>
      </c>
      <c r="J1185" s="3" t="s">
        <v>1955</v>
      </c>
      <c r="K1185" s="10" t="n">
        <v>46268</v>
      </c>
      <c r="L1185" s="3" t="s">
        <v>16</v>
      </c>
      <c r="M1185" s="7" t="n">
        <v>250</v>
      </c>
      <c r="N1185" s="8" t="n">
        <v>0.4414</v>
      </c>
      <c r="O1185" s="4" t="n">
        <f aca="false">M1185*N1185</f>
        <v>110.35</v>
      </c>
    </row>
    <row r="1186" customFormat="false" ht="15" hidden="false" customHeight="false" outlineLevel="0" collapsed="false">
      <c r="A1186" s="0" t="s">
        <v>1956</v>
      </c>
      <c r="C1186" s="0" t="s">
        <v>340</v>
      </c>
      <c r="D1186" s="7" t="n">
        <v>5224</v>
      </c>
      <c r="E1186" s="8" t="n">
        <v>0.0382695252679939</v>
      </c>
      <c r="F1186" s="4" t="n">
        <f aca="false">D1186*E1186</f>
        <v>199.92</v>
      </c>
      <c r="G1186" s="7" t="n">
        <v>221</v>
      </c>
      <c r="H1186" s="9" t="n">
        <f aca="false">IF(G1186&gt;0,D1186/G1186,"")</f>
        <v>23.6380090497738</v>
      </c>
      <c r="I1186" s="10" t="n">
        <v>46195</v>
      </c>
      <c r="J1186" s="3" t="s">
        <v>162</v>
      </c>
      <c r="K1186" s="10" t="n">
        <v>45967</v>
      </c>
      <c r="L1186" s="3" t="s">
        <v>15</v>
      </c>
      <c r="M1186" s="7" t="n">
        <v>5220</v>
      </c>
      <c r="N1186" s="8" t="n">
        <v>0.03826</v>
      </c>
      <c r="O1186" s="4" t="n">
        <f aca="false">M1186*N1186</f>
        <v>199.7172</v>
      </c>
    </row>
    <row r="1187" customFormat="false" ht="15" hidden="false" customHeight="false" outlineLevel="0" collapsed="false">
      <c r="A1187" s="0" t="s">
        <v>1957</v>
      </c>
      <c r="C1187" s="0" t="s">
        <v>340</v>
      </c>
      <c r="D1187" s="7" t="n">
        <v>14875</v>
      </c>
      <c r="E1187" s="8" t="n">
        <v>0.0134352941176471</v>
      </c>
      <c r="F1187" s="4" t="n">
        <f aca="false">D1187*E1187</f>
        <v>199.85</v>
      </c>
      <c r="G1187" s="7" t="n">
        <v>4446</v>
      </c>
      <c r="H1187" s="9" t="n">
        <f aca="false">IF(G1187&gt;0,D1187/G1187,"")</f>
        <v>3.34570400359874</v>
      </c>
      <c r="I1187" s="10" t="n">
        <v>46315</v>
      </c>
      <c r="J1187" s="3" t="s">
        <v>1616</v>
      </c>
      <c r="K1187" s="10" t="n">
        <v>46266</v>
      </c>
      <c r="L1187" s="3" t="s">
        <v>16</v>
      </c>
      <c r="M1187" s="7" t="n">
        <v>12500</v>
      </c>
      <c r="N1187" s="8" t="n">
        <v>0.0132</v>
      </c>
      <c r="O1187" s="4" t="n">
        <f aca="false">M1187*N1187</f>
        <v>165</v>
      </c>
    </row>
    <row r="1188" customFormat="false" ht="15" hidden="false" customHeight="false" outlineLevel="0" collapsed="false">
      <c r="A1188" s="0" t="s">
        <v>1958</v>
      </c>
      <c r="C1188" s="0" t="s">
        <v>31</v>
      </c>
      <c r="D1188" s="7" t="n">
        <v>55236</v>
      </c>
      <c r="E1188" s="8" t="n">
        <v>0.00361593888044029</v>
      </c>
      <c r="F1188" s="4" t="n">
        <f aca="false">D1188*E1188</f>
        <v>199.73</v>
      </c>
      <c r="G1188" s="7" t="n">
        <v>2500</v>
      </c>
      <c r="H1188" s="9" t="n">
        <f aca="false">IF(G1188&gt;0,D1188/G1188,"")</f>
        <v>22.0944</v>
      </c>
      <c r="I1188" s="10" t="n">
        <v>46315</v>
      </c>
      <c r="J1188" s="3" t="s">
        <v>1959</v>
      </c>
      <c r="K1188" s="10" t="n">
        <v>46164</v>
      </c>
      <c r="L1188" s="3" t="s">
        <v>15</v>
      </c>
      <c r="M1188" s="7" t="n">
        <v>55600</v>
      </c>
      <c r="N1188" s="8" t="n">
        <v>0.0036</v>
      </c>
      <c r="O1188" s="4" t="n">
        <f aca="false">M1188*N1188</f>
        <v>200.16</v>
      </c>
    </row>
    <row r="1189" customFormat="false" ht="15" hidden="false" customHeight="false" outlineLevel="0" collapsed="false">
      <c r="A1189" s="0" t="s">
        <v>1960</v>
      </c>
      <c r="C1189" s="0" t="s">
        <v>35</v>
      </c>
      <c r="D1189" s="7" t="n">
        <v>608</v>
      </c>
      <c r="E1189" s="8" t="n">
        <v>0.328256578947368</v>
      </c>
      <c r="F1189" s="4" t="n">
        <f aca="false">D1189*E1189</f>
        <v>199.58</v>
      </c>
      <c r="G1189" s="7" t="n">
        <v>38</v>
      </c>
      <c r="H1189" s="9" t="n">
        <f aca="false">IF(G1189&gt;0,D1189/G1189,"")</f>
        <v>16</v>
      </c>
      <c r="I1189" s="10" t="n">
        <v>46189</v>
      </c>
      <c r="J1189" s="3" t="s">
        <v>523</v>
      </c>
      <c r="K1189" s="10" t="n">
        <v>46148</v>
      </c>
      <c r="L1189" s="3" t="s">
        <v>16</v>
      </c>
      <c r="M1189" s="7" t="n">
        <v>612</v>
      </c>
      <c r="N1189" s="8" t="n">
        <v>0.3272</v>
      </c>
      <c r="O1189" s="4" t="n">
        <f aca="false">M1189*N1189</f>
        <v>200.2464</v>
      </c>
    </row>
    <row r="1190" customFormat="false" ht="15" hidden="false" customHeight="false" outlineLevel="0" collapsed="false">
      <c r="A1190" s="0" t="s">
        <v>1961</v>
      </c>
      <c r="C1190" s="0" t="s">
        <v>340</v>
      </c>
      <c r="D1190" s="7" t="n">
        <v>8100</v>
      </c>
      <c r="E1190" s="8" t="n">
        <v>0.0246395061728395</v>
      </c>
      <c r="F1190" s="4" t="n">
        <f aca="false">D1190*E1190</f>
        <v>199.58</v>
      </c>
      <c r="G1190" s="7" t="n">
        <v>12</v>
      </c>
      <c r="H1190" s="9" t="n">
        <f aca="false">IF(G1190&gt;0,D1190/G1190,"")</f>
        <v>675</v>
      </c>
      <c r="I1190" s="10" t="n">
        <v>46108</v>
      </c>
      <c r="K1190" s="10"/>
      <c r="M1190" s="7"/>
      <c r="N1190" s="8"/>
      <c r="O1190" s="4"/>
    </row>
    <row r="1191" customFormat="false" ht="15" hidden="false" customHeight="false" outlineLevel="0" collapsed="false">
      <c r="A1191" s="0" t="s">
        <v>1962</v>
      </c>
      <c r="C1191" s="0" t="s">
        <v>34</v>
      </c>
      <c r="D1191" s="7" t="n">
        <v>19964</v>
      </c>
      <c r="E1191" s="8" t="n">
        <v>0.00999649368863955</v>
      </c>
      <c r="F1191" s="4" t="n">
        <f aca="false">D1191*E1191</f>
        <v>199.57</v>
      </c>
      <c r="G1191" s="7" t="n">
        <v>1050</v>
      </c>
      <c r="H1191" s="9" t="n">
        <f aca="false">IF(G1191&gt;0,D1191/G1191,"")</f>
        <v>19.0133333333333</v>
      </c>
      <c r="I1191" s="10" t="n">
        <v>46317</v>
      </c>
      <c r="K1191" s="10"/>
      <c r="M1191" s="7"/>
      <c r="N1191" s="8"/>
      <c r="O1191" s="4"/>
    </row>
    <row r="1192" customFormat="false" ht="15" hidden="false" customHeight="false" outlineLevel="0" collapsed="false">
      <c r="A1192" s="0" t="s">
        <v>1963</v>
      </c>
      <c r="C1192" s="0" t="s">
        <v>285</v>
      </c>
      <c r="D1192" s="7" t="n">
        <v>3991</v>
      </c>
      <c r="E1192" s="8" t="n">
        <v>0.05</v>
      </c>
      <c r="F1192" s="4" t="n">
        <f aca="false">D1192*E1192</f>
        <v>199.55</v>
      </c>
      <c r="G1192" s="7" t="n">
        <v>362</v>
      </c>
      <c r="H1192" s="9" t="n">
        <f aca="false">IF(G1192&gt;0,D1192/G1192,"")</f>
        <v>11.024861878453</v>
      </c>
      <c r="I1192" s="10" t="n">
        <v>46171</v>
      </c>
      <c r="K1192" s="10"/>
      <c r="M1192" s="7"/>
      <c r="N1192" s="8"/>
      <c r="O1192" s="4"/>
    </row>
    <row r="1193" customFormat="false" ht="15" hidden="false" customHeight="false" outlineLevel="0" collapsed="false">
      <c r="A1193" s="0" t="s">
        <v>1964</v>
      </c>
      <c r="C1193" s="0" t="s">
        <v>31</v>
      </c>
      <c r="D1193" s="7" t="n">
        <v>90670</v>
      </c>
      <c r="E1193" s="8" t="n">
        <v>0.00219984559391199</v>
      </c>
      <c r="F1193" s="4" t="n">
        <f aca="false">D1193*E1193</f>
        <v>199.46</v>
      </c>
      <c r="G1193" s="7" t="n">
        <v>1015</v>
      </c>
      <c r="H1193" s="9" t="n">
        <f aca="false">IF(G1193&gt;0,D1193/G1193,"")</f>
        <v>89.3300492610837</v>
      </c>
      <c r="I1193" s="10" t="n">
        <v>46195</v>
      </c>
      <c r="K1193" s="10"/>
      <c r="M1193" s="7"/>
      <c r="N1193" s="8"/>
      <c r="O1193" s="4"/>
    </row>
    <row r="1194" customFormat="false" ht="15" hidden="false" customHeight="false" outlineLevel="0" collapsed="false">
      <c r="A1194" s="0" t="s">
        <v>1965</v>
      </c>
      <c r="C1194" s="0" t="s">
        <v>360</v>
      </c>
      <c r="D1194" s="7" t="n">
        <v>6816</v>
      </c>
      <c r="E1194" s="8" t="n">
        <v>0.0292444248826291</v>
      </c>
      <c r="F1194" s="4" t="n">
        <f aca="false">D1194*E1194</f>
        <v>199.33</v>
      </c>
      <c r="G1194" s="7" t="n">
        <v>568</v>
      </c>
      <c r="H1194" s="9" t="n">
        <f aca="false">IF(G1194&gt;0,D1194/G1194,"")</f>
        <v>12</v>
      </c>
      <c r="I1194" s="10" t="n">
        <v>46261</v>
      </c>
      <c r="J1194" s="3" t="s">
        <v>1966</v>
      </c>
      <c r="K1194" s="10" t="n">
        <v>44234</v>
      </c>
      <c r="L1194" s="3" t="s">
        <v>14</v>
      </c>
      <c r="M1194" s="7" t="n">
        <v>150</v>
      </c>
      <c r="N1194" s="8" t="n">
        <v>0.1098</v>
      </c>
      <c r="O1194" s="4" t="n">
        <f aca="false">M1194*N1194</f>
        <v>16.47</v>
      </c>
    </row>
    <row r="1195" customFormat="false" ht="15" hidden="false" customHeight="false" outlineLevel="0" collapsed="false">
      <c r="A1195" s="0" t="s">
        <v>1967</v>
      </c>
      <c r="C1195" s="0" t="s">
        <v>360</v>
      </c>
      <c r="D1195" s="7" t="n">
        <v>183</v>
      </c>
      <c r="E1195" s="8" t="n">
        <v>1.08918032786885</v>
      </c>
      <c r="F1195" s="4" t="n">
        <f aca="false">D1195*E1195</f>
        <v>199.32</v>
      </c>
      <c r="G1195" s="7" t="n">
        <v>2</v>
      </c>
      <c r="H1195" s="9" t="n">
        <f aca="false">IF(G1195&gt;0,D1195/G1195,"")</f>
        <v>91.5</v>
      </c>
      <c r="I1195" s="10" t="n">
        <v>46260</v>
      </c>
      <c r="K1195" s="10"/>
      <c r="M1195" s="7"/>
      <c r="N1195" s="8"/>
      <c r="O1195" s="4"/>
    </row>
    <row r="1196" customFormat="false" ht="15" hidden="false" customHeight="false" outlineLevel="0" collapsed="false">
      <c r="A1196" s="0" t="s">
        <v>1968</v>
      </c>
      <c r="C1196" s="0" t="s">
        <v>31</v>
      </c>
      <c r="D1196" s="7" t="n">
        <v>32130</v>
      </c>
      <c r="E1196" s="8" t="n">
        <v>0.00620012449424214</v>
      </c>
      <c r="F1196" s="4" t="n">
        <f aca="false">D1196*E1196</f>
        <v>199.21</v>
      </c>
      <c r="G1196" s="7" t="n">
        <v>271</v>
      </c>
      <c r="H1196" s="9" t="n">
        <f aca="false">IF(G1196&gt;0,D1196/G1196,"")</f>
        <v>118.560885608856</v>
      </c>
      <c r="I1196" s="10" t="n">
        <v>46253</v>
      </c>
      <c r="K1196" s="10"/>
      <c r="M1196" s="7"/>
      <c r="N1196" s="8"/>
      <c r="O1196" s="4"/>
    </row>
    <row r="1197" customFormat="false" ht="15" hidden="false" customHeight="false" outlineLevel="0" collapsed="false">
      <c r="A1197" s="0" t="s">
        <v>1969</v>
      </c>
      <c r="C1197" s="0" t="s">
        <v>38</v>
      </c>
      <c r="D1197" s="7" t="n">
        <v>46284</v>
      </c>
      <c r="E1197" s="8" t="n">
        <v>0.00430019013049866</v>
      </c>
      <c r="F1197" s="4" t="n">
        <f aca="false">D1197*E1197</f>
        <v>199.03</v>
      </c>
      <c r="G1197" s="7" t="n">
        <v>9052</v>
      </c>
      <c r="H1197" s="9" t="n">
        <f aca="false">IF(G1197&gt;0,D1197/G1197,"")</f>
        <v>5.11312417145382</v>
      </c>
      <c r="I1197" s="10" t="n">
        <v>46314</v>
      </c>
      <c r="J1197" s="3" t="s">
        <v>1970</v>
      </c>
      <c r="K1197" s="10" t="n">
        <v>45630</v>
      </c>
      <c r="L1197" s="3" t="s">
        <v>18</v>
      </c>
      <c r="M1197" s="7" t="n">
        <v>90000</v>
      </c>
      <c r="N1197" s="8" t="n">
        <v>0.0043</v>
      </c>
      <c r="O1197" s="4" t="n">
        <f aca="false">M1197*N1197</f>
        <v>387</v>
      </c>
    </row>
    <row r="1198" customFormat="false" ht="15" hidden="false" customHeight="false" outlineLevel="0" collapsed="false">
      <c r="A1198" s="0" t="s">
        <v>1971</v>
      </c>
      <c r="C1198" s="0" t="s">
        <v>609</v>
      </c>
      <c r="D1198" s="7" t="n">
        <v>471</v>
      </c>
      <c r="E1198" s="8" t="n">
        <v>0.4223991507431</v>
      </c>
      <c r="F1198" s="4" t="n">
        <f aca="false">D1198*E1198</f>
        <v>198.95</v>
      </c>
      <c r="G1198" s="7" t="n">
        <v>27</v>
      </c>
      <c r="H1198" s="9" t="n">
        <f aca="false">IF(G1198&gt;0,D1198/G1198,"")</f>
        <v>17.4444444444444</v>
      </c>
      <c r="I1198" s="10" t="n">
        <v>46183</v>
      </c>
      <c r="J1198" s="3" t="s">
        <v>1576</v>
      </c>
      <c r="K1198" s="10" t="n">
        <v>46196</v>
      </c>
      <c r="L1198" s="3" t="s">
        <v>16</v>
      </c>
      <c r="M1198" s="7" t="n">
        <v>475</v>
      </c>
      <c r="N1198" s="8" t="n">
        <v>0.4224</v>
      </c>
      <c r="O1198" s="4" t="n">
        <f aca="false">M1198*N1198</f>
        <v>200.64</v>
      </c>
    </row>
    <row r="1199" customFormat="false" ht="15" hidden="false" customHeight="false" outlineLevel="0" collapsed="false">
      <c r="A1199" s="0" t="s">
        <v>1972</v>
      </c>
      <c r="C1199" s="0" t="s">
        <v>438</v>
      </c>
      <c r="D1199" s="7" t="n">
        <v>532</v>
      </c>
      <c r="E1199" s="8" t="n">
        <v>0.37390977443609</v>
      </c>
      <c r="F1199" s="4" t="n">
        <f aca="false">D1199*E1199</f>
        <v>198.92</v>
      </c>
      <c r="G1199" s="7" t="n">
        <v>4</v>
      </c>
      <c r="H1199" s="9" t="n">
        <f aca="false">IF(G1199&gt;0,D1199/G1199,"")</f>
        <v>133</v>
      </c>
      <c r="I1199" s="10" t="n">
        <v>46252</v>
      </c>
      <c r="J1199" s="3" t="s">
        <v>1459</v>
      </c>
      <c r="K1199" s="10" t="n">
        <v>45883</v>
      </c>
      <c r="L1199" s="3" t="s">
        <v>27</v>
      </c>
      <c r="M1199" s="7" t="n">
        <v>500</v>
      </c>
      <c r="N1199" s="8" t="n">
        <v>0.3858</v>
      </c>
      <c r="O1199" s="4" t="n">
        <f aca="false">M1199*N1199</f>
        <v>192.9</v>
      </c>
    </row>
    <row r="1200" customFormat="false" ht="15" hidden="false" customHeight="false" outlineLevel="0" collapsed="false">
      <c r="A1200" s="0" t="s">
        <v>1973</v>
      </c>
      <c r="C1200" s="0" t="s">
        <v>33</v>
      </c>
      <c r="D1200" s="7" t="n">
        <v>221</v>
      </c>
      <c r="E1200" s="8" t="n">
        <v>0.900090497737557</v>
      </c>
      <c r="F1200" s="4" t="n">
        <f aca="false">D1200*E1200</f>
        <v>198.92</v>
      </c>
      <c r="G1200" s="7" t="n">
        <v>6</v>
      </c>
      <c r="H1200" s="9" t="n">
        <f aca="false">IF(G1200&gt;0,D1200/G1200,"")</f>
        <v>36.8333333333333</v>
      </c>
      <c r="I1200" s="10" t="n">
        <v>46190</v>
      </c>
      <c r="J1200" s="3" t="s">
        <v>1974</v>
      </c>
      <c r="K1200" s="10" t="n">
        <v>45287</v>
      </c>
      <c r="L1200" s="3" t="s">
        <v>14</v>
      </c>
      <c r="M1200" s="7" t="n">
        <v>200</v>
      </c>
      <c r="N1200" s="8" t="n">
        <v>0.8417</v>
      </c>
      <c r="O1200" s="4" t="n">
        <f aca="false">M1200*N1200</f>
        <v>168.34</v>
      </c>
    </row>
    <row r="1201" customFormat="false" ht="15" hidden="false" customHeight="false" outlineLevel="0" collapsed="false">
      <c r="A1201" s="0" t="s">
        <v>1975</v>
      </c>
      <c r="C1201" s="0" t="s">
        <v>298</v>
      </c>
      <c r="D1201" s="7" t="n">
        <v>4103</v>
      </c>
      <c r="E1201" s="8" t="n">
        <v>0.0484694126249086</v>
      </c>
      <c r="F1201" s="4" t="n">
        <f aca="false">D1201*E1201</f>
        <v>198.87</v>
      </c>
      <c r="G1201" s="7" t="n">
        <v>1687</v>
      </c>
      <c r="H1201" s="9" t="n">
        <f aca="false">IF(G1201&gt;0,D1201/G1201,"")</f>
        <v>2.43212803793717</v>
      </c>
      <c r="I1201" s="10" t="n">
        <v>46308</v>
      </c>
      <c r="J1201" s="3" t="s">
        <v>240</v>
      </c>
      <c r="K1201" s="10" t="n">
        <v>46265</v>
      </c>
      <c r="L1201" s="3" t="s">
        <v>14</v>
      </c>
      <c r="M1201" s="7" t="n">
        <v>1000</v>
      </c>
      <c r="N1201" s="8" t="n">
        <v>0.2187</v>
      </c>
      <c r="O1201" s="4" t="n">
        <f aca="false">M1201*N1201</f>
        <v>218.7</v>
      </c>
    </row>
    <row r="1202" customFormat="false" ht="15" hidden="false" customHeight="false" outlineLevel="0" collapsed="false">
      <c r="A1202" s="0" t="s">
        <v>1976</v>
      </c>
      <c r="C1202" s="0" t="s">
        <v>225</v>
      </c>
      <c r="D1202" s="7" t="n">
        <v>6</v>
      </c>
      <c r="E1202" s="8" t="n">
        <v>33.1216666666667</v>
      </c>
      <c r="F1202" s="4" t="n">
        <f aca="false">D1202*E1202</f>
        <v>198.73</v>
      </c>
      <c r="G1202" s="7" t="n">
        <v>3</v>
      </c>
      <c r="H1202" s="9" t="n">
        <f aca="false">IF(G1202&gt;0,D1202/G1202,"")</f>
        <v>2</v>
      </c>
      <c r="I1202" s="10" t="n">
        <v>46036</v>
      </c>
      <c r="J1202" s="3" t="s">
        <v>1977</v>
      </c>
      <c r="K1202" s="10" t="n">
        <v>45659</v>
      </c>
      <c r="L1202" s="3" t="s">
        <v>14</v>
      </c>
      <c r="M1202" s="7" t="n">
        <v>50</v>
      </c>
      <c r="N1202" s="8" t="n">
        <v>33.1222</v>
      </c>
      <c r="O1202" s="4" t="n">
        <f aca="false">M1202*N1202</f>
        <v>1656.11</v>
      </c>
    </row>
    <row r="1203" customFormat="false" ht="15" hidden="false" customHeight="false" outlineLevel="0" collapsed="false">
      <c r="A1203" s="0" t="s">
        <v>1978</v>
      </c>
      <c r="C1203" s="0" t="s">
        <v>360</v>
      </c>
      <c r="D1203" s="7" t="n">
        <v>5693</v>
      </c>
      <c r="E1203" s="8" t="n">
        <v>0.0348937291410504</v>
      </c>
      <c r="F1203" s="4" t="n">
        <f aca="false">D1203*E1203</f>
        <v>198.65</v>
      </c>
      <c r="G1203" s="7" t="n">
        <v>31</v>
      </c>
      <c r="H1203" s="9" t="n">
        <f aca="false">IF(G1203&gt;0,D1203/G1203,"")</f>
        <v>183.645161290323</v>
      </c>
      <c r="I1203" s="10" t="n">
        <v>46111</v>
      </c>
      <c r="K1203" s="10"/>
      <c r="M1203" s="7"/>
      <c r="N1203" s="8"/>
      <c r="O1203" s="4"/>
    </row>
    <row r="1204" customFormat="false" ht="15" hidden="false" customHeight="false" outlineLevel="0" collapsed="false">
      <c r="A1204" s="0" t="s">
        <v>1979</v>
      </c>
      <c r="C1204" s="0" t="s">
        <v>298</v>
      </c>
      <c r="D1204" s="7" t="n">
        <v>181</v>
      </c>
      <c r="E1204" s="8" t="n">
        <v>1.09718232044199</v>
      </c>
      <c r="F1204" s="4" t="n">
        <f aca="false">D1204*E1204</f>
        <v>198.59</v>
      </c>
      <c r="G1204" s="7" t="n">
        <v>48</v>
      </c>
      <c r="H1204" s="9" t="n">
        <f aca="false">IF(G1204&gt;0,D1204/G1204,"")</f>
        <v>3.77083333333333</v>
      </c>
      <c r="I1204" s="10" t="n">
        <v>46163</v>
      </c>
      <c r="J1204" s="3" t="s">
        <v>1980</v>
      </c>
      <c r="K1204" s="10" t="n">
        <v>45272</v>
      </c>
      <c r="L1204" s="3" t="s">
        <v>15</v>
      </c>
      <c r="M1204" s="7" t="n">
        <v>200</v>
      </c>
      <c r="N1204" s="8" t="n">
        <v>1.09719</v>
      </c>
      <c r="O1204" s="4" t="n">
        <f aca="false">M1204*N1204</f>
        <v>219.438</v>
      </c>
    </row>
    <row r="1205" customFormat="false" ht="15" hidden="false" customHeight="false" outlineLevel="0" collapsed="false">
      <c r="A1205" s="0" t="s">
        <v>1981</v>
      </c>
      <c r="C1205" s="0" t="s">
        <v>34</v>
      </c>
      <c r="D1205" s="7" t="n">
        <v>1996</v>
      </c>
      <c r="E1205" s="8" t="n">
        <v>0.0994589178356714</v>
      </c>
      <c r="F1205" s="4" t="n">
        <f aca="false">D1205*E1205</f>
        <v>198.52</v>
      </c>
      <c r="G1205" s="7" t="n">
        <v>118</v>
      </c>
      <c r="H1205" s="9" t="n">
        <f aca="false">IF(G1205&gt;0,D1205/G1205,"")</f>
        <v>16.9152542372881</v>
      </c>
      <c r="I1205" s="10" t="n">
        <v>46290</v>
      </c>
      <c r="K1205" s="10"/>
      <c r="M1205" s="7"/>
      <c r="N1205" s="8"/>
      <c r="O1205" s="4"/>
    </row>
    <row r="1206" customFormat="false" ht="15" hidden="false" customHeight="false" outlineLevel="0" collapsed="false">
      <c r="A1206" s="0" t="s">
        <v>1982</v>
      </c>
      <c r="C1206" s="0" t="s">
        <v>41</v>
      </c>
      <c r="D1206" s="7" t="n">
        <v>13523</v>
      </c>
      <c r="E1206" s="8" t="n">
        <v>0.0146794350366043</v>
      </c>
      <c r="F1206" s="4" t="n">
        <f aca="false">D1206*E1206</f>
        <v>198.51</v>
      </c>
      <c r="G1206" s="7" t="n">
        <v>10</v>
      </c>
      <c r="H1206" s="9" t="n">
        <f aca="false">IF(G1206&gt;0,D1206/G1206,"")</f>
        <v>1352.3</v>
      </c>
      <c r="I1206" s="10" t="n">
        <v>45987</v>
      </c>
      <c r="K1206" s="10"/>
      <c r="M1206" s="7"/>
      <c r="N1206" s="8"/>
      <c r="O1206" s="4"/>
    </row>
    <row r="1207" customFormat="false" ht="15" hidden="false" customHeight="false" outlineLevel="0" collapsed="false">
      <c r="A1207" s="0" t="s">
        <v>1983</v>
      </c>
      <c r="C1207" s="0" t="s">
        <v>360</v>
      </c>
      <c r="D1207" s="7" t="n">
        <v>5250</v>
      </c>
      <c r="E1207" s="8" t="n">
        <v>0.0378</v>
      </c>
      <c r="F1207" s="4" t="n">
        <f aca="false">D1207*E1207</f>
        <v>198.45</v>
      </c>
      <c r="G1207" s="7" t="n">
        <v>50</v>
      </c>
      <c r="H1207" s="9" t="n">
        <f aca="false">IF(G1207&gt;0,D1207/G1207,"")</f>
        <v>105</v>
      </c>
      <c r="I1207" s="10" t="n">
        <v>46146</v>
      </c>
      <c r="J1207" s="3" t="s">
        <v>90</v>
      </c>
      <c r="K1207" s="10" t="n">
        <v>46055</v>
      </c>
      <c r="L1207" s="3" t="s">
        <v>16</v>
      </c>
      <c r="M1207" s="7" t="n">
        <v>5300</v>
      </c>
      <c r="N1207" s="8" t="n">
        <v>0.0378</v>
      </c>
      <c r="O1207" s="4" t="n">
        <f aca="false">M1207*N1207</f>
        <v>200.34</v>
      </c>
    </row>
    <row r="1208" customFormat="false" ht="15" hidden="false" customHeight="false" outlineLevel="0" collapsed="false">
      <c r="A1208" s="0" t="s">
        <v>1984</v>
      </c>
      <c r="C1208" s="0" t="s">
        <v>36</v>
      </c>
      <c r="D1208" s="7" t="n">
        <v>787</v>
      </c>
      <c r="E1208" s="8" t="n">
        <v>0.252134688691233</v>
      </c>
      <c r="F1208" s="4" t="n">
        <f aca="false">D1208*E1208</f>
        <v>198.43</v>
      </c>
      <c r="G1208" s="7" t="n">
        <v>51</v>
      </c>
      <c r="H1208" s="9" t="n">
        <f aca="false">IF(G1208&gt;0,D1208/G1208,"")</f>
        <v>15.4313725490196</v>
      </c>
      <c r="I1208" s="10" t="n">
        <v>46171</v>
      </c>
      <c r="K1208" s="10"/>
      <c r="M1208" s="7"/>
      <c r="N1208" s="8"/>
      <c r="O1208" s="4"/>
    </row>
    <row r="1209" customFormat="false" ht="15" hidden="false" customHeight="false" outlineLevel="0" collapsed="false">
      <c r="A1209" s="0" t="s">
        <v>1985</v>
      </c>
      <c r="C1209" s="0" t="s">
        <v>360</v>
      </c>
      <c r="D1209" s="7" t="n">
        <v>11594</v>
      </c>
      <c r="E1209" s="8" t="n">
        <v>0.0171105744350526</v>
      </c>
      <c r="F1209" s="4" t="n">
        <f aca="false">D1209*E1209</f>
        <v>198.38</v>
      </c>
      <c r="G1209" s="7" t="n">
        <v>3163</v>
      </c>
      <c r="H1209" s="9" t="n">
        <f aca="false">IF(G1209&gt;0,D1209/G1209,"")</f>
        <v>3.66550742965539</v>
      </c>
      <c r="I1209" s="10" t="n">
        <v>46301</v>
      </c>
      <c r="J1209" s="3" t="s">
        <v>1986</v>
      </c>
      <c r="K1209" s="10" t="n">
        <v>46052</v>
      </c>
      <c r="L1209" s="3" t="s">
        <v>16</v>
      </c>
      <c r="M1209" s="7" t="n">
        <v>14492</v>
      </c>
      <c r="N1209" s="8" t="n">
        <v>0.0171</v>
      </c>
      <c r="O1209" s="4" t="n">
        <f aca="false">M1209*N1209</f>
        <v>247.8132</v>
      </c>
    </row>
    <row r="1210" customFormat="false" ht="15" hidden="false" customHeight="false" outlineLevel="0" collapsed="false">
      <c r="A1210" s="0" t="s">
        <v>1987</v>
      </c>
      <c r="C1210" s="0" t="s">
        <v>360</v>
      </c>
      <c r="D1210" s="7" t="n">
        <v>25890</v>
      </c>
      <c r="E1210" s="8" t="n">
        <v>0.00766010042487447</v>
      </c>
      <c r="F1210" s="4" t="n">
        <f aca="false">D1210*E1210</f>
        <v>198.32</v>
      </c>
      <c r="G1210" s="7" t="n">
        <v>4835</v>
      </c>
      <c r="H1210" s="9" t="n">
        <f aca="false">IF(G1210&gt;0,D1210/G1210,"")</f>
        <v>5.35470527404343</v>
      </c>
      <c r="I1210" s="10" t="n">
        <v>46301</v>
      </c>
      <c r="J1210" s="3" t="s">
        <v>1213</v>
      </c>
      <c r="K1210" s="10" t="n">
        <v>45554</v>
      </c>
      <c r="L1210" s="3" t="s">
        <v>15</v>
      </c>
      <c r="M1210" s="7" t="n">
        <v>31680</v>
      </c>
      <c r="N1210" s="8" t="n">
        <v>0.00766</v>
      </c>
      <c r="O1210" s="4" t="n">
        <f aca="false">M1210*N1210</f>
        <v>242.6688</v>
      </c>
    </row>
    <row r="1211" customFormat="false" ht="15" hidden="false" customHeight="false" outlineLevel="0" collapsed="false">
      <c r="A1211" s="0" t="s">
        <v>1988</v>
      </c>
      <c r="C1211" s="0" t="s">
        <v>360</v>
      </c>
      <c r="D1211" s="7" t="n">
        <v>1301</v>
      </c>
      <c r="E1211" s="8" t="n">
        <v>0.152428900845504</v>
      </c>
      <c r="F1211" s="4" t="n">
        <f aca="false">D1211*E1211</f>
        <v>198.31</v>
      </c>
      <c r="G1211" s="7" t="n">
        <v>30</v>
      </c>
      <c r="H1211" s="9" t="n">
        <f aca="false">IF(G1211&gt;0,D1211/G1211,"")</f>
        <v>43.3666666666667</v>
      </c>
      <c r="I1211" s="10" t="n">
        <v>46279</v>
      </c>
      <c r="J1211" s="3" t="s">
        <v>1054</v>
      </c>
      <c r="K1211" s="10" t="n">
        <v>46224</v>
      </c>
      <c r="L1211" s="3" t="s">
        <v>16</v>
      </c>
      <c r="M1211" s="7" t="n">
        <v>1320</v>
      </c>
      <c r="N1211" s="8" t="n">
        <v>0.1521</v>
      </c>
      <c r="O1211" s="4" t="n">
        <f aca="false">M1211*N1211</f>
        <v>200.772</v>
      </c>
    </row>
    <row r="1212" customFormat="false" ht="15" hidden="false" customHeight="false" outlineLevel="0" collapsed="false">
      <c r="A1212" s="0" t="s">
        <v>1989</v>
      </c>
      <c r="C1212" s="0" t="s">
        <v>1017</v>
      </c>
      <c r="D1212" s="7" t="n">
        <v>1370</v>
      </c>
      <c r="E1212" s="8" t="n">
        <v>0.144751824817518</v>
      </c>
      <c r="F1212" s="4" t="n">
        <f aca="false">D1212*E1212</f>
        <v>198.31</v>
      </c>
      <c r="G1212" s="7" t="n">
        <v>250</v>
      </c>
      <c r="H1212" s="9" t="n">
        <f aca="false">IF(G1212&gt;0,D1212/G1212,"")</f>
        <v>5.48</v>
      </c>
      <c r="I1212" s="10" t="n">
        <v>46217</v>
      </c>
      <c r="J1212" s="3" t="s">
        <v>1990</v>
      </c>
      <c r="K1212" s="10" t="n">
        <v>46078</v>
      </c>
      <c r="L1212" s="3" t="s">
        <v>15</v>
      </c>
      <c r="M1212" s="7" t="n">
        <v>1620</v>
      </c>
      <c r="N1212" s="8" t="n">
        <v>0.14475</v>
      </c>
      <c r="O1212" s="4" t="n">
        <f aca="false">M1212*N1212</f>
        <v>234.495</v>
      </c>
    </row>
    <row r="1213" customFormat="false" ht="15" hidden="false" customHeight="false" outlineLevel="0" collapsed="false">
      <c r="A1213" s="0" t="s">
        <v>1991</v>
      </c>
      <c r="C1213" s="0" t="s">
        <v>31</v>
      </c>
      <c r="D1213" s="7" t="n">
        <v>3882</v>
      </c>
      <c r="E1213" s="8" t="n">
        <v>0.0510510046367852</v>
      </c>
      <c r="F1213" s="4" t="n">
        <f aca="false">D1213*E1213</f>
        <v>198.18</v>
      </c>
      <c r="G1213" s="7" t="n">
        <v>22</v>
      </c>
      <c r="H1213" s="9" t="n">
        <f aca="false">IF(G1213&gt;0,D1213/G1213,"")</f>
        <v>176.454545454545</v>
      </c>
      <c r="I1213" s="10" t="n">
        <v>46226</v>
      </c>
      <c r="K1213" s="10"/>
      <c r="M1213" s="7"/>
      <c r="N1213" s="8"/>
      <c r="O1213" s="4"/>
    </row>
    <row r="1214" customFormat="false" ht="15" hidden="false" customHeight="false" outlineLevel="0" collapsed="false">
      <c r="A1214" s="0" t="s">
        <v>1992</v>
      </c>
      <c r="C1214" s="0" t="s">
        <v>41</v>
      </c>
      <c r="D1214" s="7" t="n">
        <v>36286</v>
      </c>
      <c r="E1214" s="8" t="n">
        <v>0.00545995700821253</v>
      </c>
      <c r="F1214" s="4" t="n">
        <f aca="false">D1214*E1214</f>
        <v>198.12</v>
      </c>
      <c r="G1214" s="7" t="n">
        <v>142</v>
      </c>
      <c r="H1214" s="9" t="n">
        <f aca="false">IF(G1214&gt;0,D1214/G1214,"")</f>
        <v>255.535211267606</v>
      </c>
      <c r="I1214" s="10" t="n">
        <v>46147</v>
      </c>
      <c r="K1214" s="10"/>
      <c r="M1214" s="7"/>
      <c r="N1214" s="8"/>
      <c r="O1214" s="4"/>
    </row>
    <row r="1215" customFormat="false" ht="15" hidden="false" customHeight="false" outlineLevel="0" collapsed="false">
      <c r="A1215" s="0" t="s">
        <v>1993</v>
      </c>
      <c r="C1215" s="0" t="s">
        <v>275</v>
      </c>
      <c r="D1215" s="7" t="n">
        <v>48</v>
      </c>
      <c r="E1215" s="8" t="n">
        <v>4.1275</v>
      </c>
      <c r="F1215" s="4" t="n">
        <f aca="false">D1215*E1215</f>
        <v>198.12</v>
      </c>
      <c r="G1215" s="7" t="n">
        <v>12</v>
      </c>
      <c r="H1215" s="9" t="n">
        <f aca="false">IF(G1215&gt;0,D1215/G1215,"")</f>
        <v>4</v>
      </c>
      <c r="I1215" s="10" t="n">
        <v>46160</v>
      </c>
      <c r="J1215" s="3" t="s">
        <v>1041</v>
      </c>
      <c r="K1215" s="10" t="n">
        <v>46125</v>
      </c>
      <c r="L1215" s="3" t="s">
        <v>14</v>
      </c>
      <c r="M1215" s="7" t="n">
        <v>60</v>
      </c>
      <c r="N1215" s="8" t="n">
        <v>4.1275</v>
      </c>
      <c r="O1215" s="4" t="n">
        <f aca="false">M1215*N1215</f>
        <v>247.65</v>
      </c>
    </row>
    <row r="1216" customFormat="false" ht="15" hidden="false" customHeight="false" outlineLevel="0" collapsed="false">
      <c r="A1216" s="0" t="s">
        <v>1994</v>
      </c>
      <c r="C1216" s="0" t="s">
        <v>1039</v>
      </c>
      <c r="D1216" s="7" t="n">
        <v>524</v>
      </c>
      <c r="E1216" s="8" t="n">
        <v>0.378015267175573</v>
      </c>
      <c r="F1216" s="4" t="n">
        <f aca="false">D1216*E1216</f>
        <v>198.08</v>
      </c>
      <c r="G1216" s="7" t="n">
        <v>72</v>
      </c>
      <c r="H1216" s="9" t="n">
        <f aca="false">IF(G1216&gt;0,D1216/G1216,"")</f>
        <v>7.27777777777778</v>
      </c>
      <c r="I1216" s="10" t="n">
        <v>46317</v>
      </c>
      <c r="J1216" s="3" t="s">
        <v>1995</v>
      </c>
      <c r="K1216" s="10" t="n">
        <v>45720</v>
      </c>
      <c r="L1216" s="3" t="s">
        <v>313</v>
      </c>
      <c r="M1216" s="7" t="n">
        <v>632</v>
      </c>
      <c r="N1216" s="8" t="n">
        <v>0.378</v>
      </c>
      <c r="O1216" s="4" t="n">
        <f aca="false">M1216*N1216</f>
        <v>238.896</v>
      </c>
    </row>
    <row r="1217" customFormat="false" ht="15" hidden="false" customHeight="false" outlineLevel="0" collapsed="false">
      <c r="A1217" s="0" t="s">
        <v>1996</v>
      </c>
      <c r="D1217" s="7" t="n">
        <v>13907</v>
      </c>
      <c r="E1217" s="8" t="n">
        <v>0.0142410296972748</v>
      </c>
      <c r="F1217" s="4" t="n">
        <f aca="false">D1217*E1217</f>
        <v>198.05</v>
      </c>
      <c r="G1217" s="7" t="n">
        <v>26</v>
      </c>
      <c r="H1217" s="9" t="n">
        <f aca="false">IF(G1217&gt;0,D1217/G1217,"")</f>
        <v>534.884615384615</v>
      </c>
      <c r="I1217" s="10" t="n">
        <v>46276</v>
      </c>
      <c r="K1217" s="10"/>
      <c r="M1217" s="7"/>
      <c r="N1217" s="8"/>
      <c r="O1217" s="4"/>
    </row>
    <row r="1218" customFormat="false" ht="15" hidden="false" customHeight="false" outlineLevel="0" collapsed="false">
      <c r="A1218" s="0" t="s">
        <v>1997</v>
      </c>
      <c r="C1218" s="0" t="s">
        <v>889</v>
      </c>
      <c r="D1218" s="7" t="n">
        <v>1063</v>
      </c>
      <c r="E1218" s="8" t="n">
        <v>0.186302916274694</v>
      </c>
      <c r="F1218" s="4" t="n">
        <f aca="false">D1218*E1218</f>
        <v>198.04</v>
      </c>
      <c r="G1218" s="7" t="n">
        <v>37</v>
      </c>
      <c r="H1218" s="9" t="n">
        <f aca="false">IF(G1218&gt;0,D1218/G1218,"")</f>
        <v>28.7297297297297</v>
      </c>
      <c r="I1218" s="10" t="n">
        <v>45974</v>
      </c>
      <c r="J1218" s="3" t="s">
        <v>852</v>
      </c>
      <c r="K1218" s="10" t="n">
        <v>45883</v>
      </c>
      <c r="L1218" s="3" t="s">
        <v>15</v>
      </c>
      <c r="M1218" s="7" t="n">
        <v>1100</v>
      </c>
      <c r="N1218" s="8" t="n">
        <v>0.1863</v>
      </c>
      <c r="O1218" s="4" t="n">
        <f aca="false">M1218*N1218</f>
        <v>204.93</v>
      </c>
    </row>
    <row r="1219" customFormat="false" ht="15" hidden="false" customHeight="false" outlineLevel="0" collapsed="false">
      <c r="A1219" s="0" t="s">
        <v>1998</v>
      </c>
      <c r="C1219" s="0" t="s">
        <v>31</v>
      </c>
      <c r="D1219" s="7" t="n">
        <v>2391</v>
      </c>
      <c r="E1219" s="8" t="n">
        <v>0.0828063571727311</v>
      </c>
      <c r="F1219" s="4" t="n">
        <f aca="false">D1219*E1219</f>
        <v>197.99</v>
      </c>
      <c r="G1219" s="7" t="n">
        <v>200</v>
      </c>
      <c r="H1219" s="9" t="n">
        <f aca="false">IF(G1219&gt;0,D1219/G1219,"")</f>
        <v>11.955</v>
      </c>
      <c r="I1219" s="10" t="n">
        <v>46146</v>
      </c>
      <c r="K1219" s="10"/>
      <c r="M1219" s="7"/>
      <c r="N1219" s="8"/>
      <c r="O1219" s="4"/>
    </row>
    <row r="1220" customFormat="false" ht="15" hidden="false" customHeight="false" outlineLevel="0" collapsed="false">
      <c r="A1220" s="0" t="s">
        <v>1999</v>
      </c>
      <c r="C1220" s="0" t="s">
        <v>37</v>
      </c>
      <c r="D1220" s="7" t="n">
        <v>4893</v>
      </c>
      <c r="E1220" s="8" t="n">
        <v>0.0404496219088494</v>
      </c>
      <c r="F1220" s="4" t="n">
        <f aca="false">D1220*E1220</f>
        <v>197.92</v>
      </c>
      <c r="G1220" s="7" t="n">
        <v>57</v>
      </c>
      <c r="H1220" s="9" t="n">
        <f aca="false">IF(G1220&gt;0,D1220/G1220,"")</f>
        <v>85.8421052631579</v>
      </c>
      <c r="I1220" s="10" t="n">
        <v>46300</v>
      </c>
      <c r="J1220" s="3" t="s">
        <v>1936</v>
      </c>
      <c r="K1220" s="10" t="n">
        <v>45057</v>
      </c>
      <c r="L1220" s="3" t="s">
        <v>15</v>
      </c>
      <c r="M1220" s="7" t="n">
        <v>5000</v>
      </c>
      <c r="N1220" s="8" t="n">
        <v>0.04045</v>
      </c>
      <c r="O1220" s="4" t="n">
        <f aca="false">M1220*N1220</f>
        <v>202.25</v>
      </c>
    </row>
    <row r="1221" customFormat="false" ht="15" hidden="false" customHeight="false" outlineLevel="0" collapsed="false">
      <c r="A1221" s="0" t="s">
        <v>2000</v>
      </c>
      <c r="C1221" s="0" t="s">
        <v>285</v>
      </c>
      <c r="D1221" s="7" t="n">
        <v>626</v>
      </c>
      <c r="E1221" s="8" t="n">
        <v>0.316006389776358</v>
      </c>
      <c r="F1221" s="4" t="n">
        <f aca="false">D1221*E1221</f>
        <v>197.82</v>
      </c>
      <c r="G1221" s="7" t="n">
        <v>22</v>
      </c>
      <c r="H1221" s="9" t="n">
        <f aca="false">IF(G1221&gt;0,D1221/G1221,"")</f>
        <v>28.4545454545455</v>
      </c>
      <c r="I1221" s="10" t="n">
        <v>46013</v>
      </c>
      <c r="J1221" s="3" t="s">
        <v>2001</v>
      </c>
      <c r="K1221" s="10" t="n">
        <v>45553</v>
      </c>
      <c r="L1221" s="3" t="s">
        <v>15</v>
      </c>
      <c r="M1221" s="7" t="n">
        <v>751</v>
      </c>
      <c r="N1221" s="8" t="n">
        <v>0.316</v>
      </c>
      <c r="O1221" s="4" t="n">
        <f aca="false">M1221*N1221</f>
        <v>237.316</v>
      </c>
    </row>
    <row r="1222" customFormat="false" ht="15" hidden="false" customHeight="false" outlineLevel="0" collapsed="false">
      <c r="A1222" s="0" t="s">
        <v>2002</v>
      </c>
      <c r="C1222" s="0" t="s">
        <v>1714</v>
      </c>
      <c r="D1222" s="7" t="n">
        <v>3532</v>
      </c>
      <c r="E1222" s="8" t="n">
        <v>0.0559994337485844</v>
      </c>
      <c r="F1222" s="4" t="n">
        <f aca="false">D1222*E1222</f>
        <v>197.79</v>
      </c>
      <c r="G1222" s="7" t="n">
        <v>15</v>
      </c>
      <c r="H1222" s="9" t="n">
        <f aca="false">IF(G1222&gt;0,D1222/G1222,"")</f>
        <v>235.466666666667</v>
      </c>
      <c r="I1222" s="10" t="n">
        <v>46104</v>
      </c>
      <c r="J1222" s="3" t="s">
        <v>2003</v>
      </c>
      <c r="K1222" s="10" t="n">
        <v>45259</v>
      </c>
      <c r="L1222" s="3" t="s">
        <v>21</v>
      </c>
      <c r="M1222" s="7" t="n">
        <v>3572</v>
      </c>
      <c r="N1222" s="8" t="n">
        <v>0.056</v>
      </c>
      <c r="O1222" s="4" t="n">
        <f aca="false">M1222*N1222</f>
        <v>200.032</v>
      </c>
    </row>
    <row r="1223" customFormat="false" ht="15" hidden="false" customHeight="false" outlineLevel="0" collapsed="false">
      <c r="A1223" s="0" t="s">
        <v>2004</v>
      </c>
      <c r="C1223" s="0" t="s">
        <v>95</v>
      </c>
      <c r="D1223" s="7" t="n">
        <v>62000</v>
      </c>
      <c r="E1223" s="8" t="n">
        <v>0.00319</v>
      </c>
      <c r="F1223" s="4" t="n">
        <f aca="false">D1223*E1223</f>
        <v>197.78</v>
      </c>
      <c r="G1223" s="7" t="n">
        <v>2000</v>
      </c>
      <c r="H1223" s="9" t="n">
        <f aca="false">IF(G1223&gt;0,D1223/G1223,"")</f>
        <v>31</v>
      </c>
      <c r="I1223" s="10" t="n">
        <v>46106</v>
      </c>
      <c r="J1223" s="3" t="s">
        <v>238</v>
      </c>
      <c r="K1223" s="10" t="n">
        <v>45689</v>
      </c>
      <c r="L1223" s="3" t="s">
        <v>15</v>
      </c>
      <c r="M1223" s="7" t="n">
        <v>66800</v>
      </c>
      <c r="N1223" s="8" t="n">
        <v>0.00319</v>
      </c>
      <c r="O1223" s="4" t="n">
        <f aca="false">M1223*N1223</f>
        <v>213.092</v>
      </c>
    </row>
    <row r="1224" customFormat="false" ht="15" hidden="false" customHeight="false" outlineLevel="0" collapsed="false">
      <c r="A1224" s="0" t="s">
        <v>2005</v>
      </c>
      <c r="C1224" s="0" t="s">
        <v>45</v>
      </c>
      <c r="D1224" s="7" t="n">
        <v>89</v>
      </c>
      <c r="E1224" s="8" t="n">
        <v>2.22202247191011</v>
      </c>
      <c r="F1224" s="4" t="n">
        <f aca="false">D1224*E1224</f>
        <v>197.76</v>
      </c>
      <c r="G1224" s="7" t="n">
        <v>61</v>
      </c>
      <c r="H1224" s="9" t="n">
        <f aca="false">IF(G1224&gt;0,D1224/G1224,"")</f>
        <v>1.45901639344262</v>
      </c>
      <c r="I1224" s="10" t="n">
        <v>46099</v>
      </c>
      <c r="J1224" s="3" t="s">
        <v>1863</v>
      </c>
      <c r="K1224" s="10" t="n">
        <v>45958</v>
      </c>
      <c r="L1224" s="3" t="s">
        <v>14</v>
      </c>
      <c r="M1224" s="7" t="n">
        <v>175</v>
      </c>
      <c r="N1224" s="8" t="n">
        <v>2.222</v>
      </c>
      <c r="O1224" s="4" t="n">
        <f aca="false">M1224*N1224</f>
        <v>388.85</v>
      </c>
    </row>
    <row r="1225" customFormat="false" ht="15" hidden="false" customHeight="false" outlineLevel="0" collapsed="false">
      <c r="A1225" s="0" t="s">
        <v>2006</v>
      </c>
      <c r="C1225" s="0" t="s">
        <v>370</v>
      </c>
      <c r="D1225" s="7" t="n">
        <v>964</v>
      </c>
      <c r="E1225" s="8" t="n">
        <v>0.205</v>
      </c>
      <c r="F1225" s="4" t="n">
        <f aca="false">D1225*E1225</f>
        <v>197.62</v>
      </c>
      <c r="G1225" s="7" t="n">
        <v>9</v>
      </c>
      <c r="H1225" s="9" t="n">
        <f aca="false">IF(G1225&gt;0,D1225/G1225,"")</f>
        <v>107.111111111111</v>
      </c>
      <c r="I1225" s="10" t="n">
        <v>46008</v>
      </c>
      <c r="J1225" s="3" t="s">
        <v>2007</v>
      </c>
      <c r="K1225" s="10" t="n">
        <v>45041</v>
      </c>
      <c r="L1225" s="3" t="s">
        <v>21</v>
      </c>
      <c r="M1225" s="7" t="n">
        <v>1000</v>
      </c>
      <c r="N1225" s="8" t="n">
        <v>0.205</v>
      </c>
      <c r="O1225" s="4" t="n">
        <f aca="false">M1225*N1225</f>
        <v>205</v>
      </c>
    </row>
    <row r="1226" customFormat="false" ht="15" hidden="false" customHeight="false" outlineLevel="0" collapsed="false">
      <c r="A1226" s="0" t="s">
        <v>2008</v>
      </c>
      <c r="C1226" s="0" t="s">
        <v>31</v>
      </c>
      <c r="D1226" s="7" t="n">
        <v>27767</v>
      </c>
      <c r="E1226" s="8" t="n">
        <v>0.00711131919184644</v>
      </c>
      <c r="F1226" s="4" t="n">
        <f aca="false">D1226*E1226</f>
        <v>197.46</v>
      </c>
      <c r="G1226" s="7" t="n">
        <v>1489</v>
      </c>
      <c r="H1226" s="9" t="n">
        <f aca="false">IF(G1226&gt;0,D1226/G1226,"")</f>
        <v>18.6480859637341</v>
      </c>
      <c r="I1226" s="10" t="n">
        <v>46308</v>
      </c>
      <c r="J1226" s="3" t="s">
        <v>278</v>
      </c>
      <c r="K1226" s="10" t="n">
        <v>45967</v>
      </c>
      <c r="L1226" s="3" t="s">
        <v>16</v>
      </c>
      <c r="M1226" s="7" t="n">
        <v>22390</v>
      </c>
      <c r="N1226" s="8" t="n">
        <v>0.00721</v>
      </c>
      <c r="O1226" s="4" t="n">
        <f aca="false">M1226*N1226</f>
        <v>161.4319</v>
      </c>
    </row>
    <row r="1227" customFormat="false" ht="15" hidden="false" customHeight="false" outlineLevel="0" collapsed="false">
      <c r="A1227" s="0" t="s">
        <v>2009</v>
      </c>
      <c r="C1227" s="0" t="s">
        <v>31</v>
      </c>
      <c r="D1227" s="7" t="n">
        <v>7299</v>
      </c>
      <c r="E1227" s="8" t="n">
        <v>0.0270406905055487</v>
      </c>
      <c r="F1227" s="4" t="n">
        <f aca="false">D1227*E1227</f>
        <v>197.37</v>
      </c>
      <c r="G1227" s="7" t="n">
        <v>35</v>
      </c>
      <c r="H1227" s="9" t="n">
        <f aca="false">IF(G1227&gt;0,D1227/G1227,"")</f>
        <v>208.542857142857</v>
      </c>
      <c r="I1227" s="10" t="n">
        <v>46066</v>
      </c>
      <c r="J1227" s="3" t="s">
        <v>1140</v>
      </c>
      <c r="K1227" s="10" t="n">
        <v>45614</v>
      </c>
      <c r="L1227" s="3" t="s">
        <v>15</v>
      </c>
      <c r="M1227" s="7" t="n">
        <v>7400</v>
      </c>
      <c r="N1227" s="8" t="n">
        <v>0.02704</v>
      </c>
      <c r="O1227" s="4" t="n">
        <f aca="false">M1227*N1227</f>
        <v>200.096</v>
      </c>
    </row>
    <row r="1228" customFormat="false" ht="15" hidden="false" customHeight="false" outlineLevel="0" collapsed="false">
      <c r="A1228" s="0" t="s">
        <v>2010</v>
      </c>
      <c r="D1228" s="7" t="n">
        <v>643</v>
      </c>
      <c r="E1228" s="8" t="n">
        <v>0.306842923794712</v>
      </c>
      <c r="F1228" s="4" t="n">
        <f aca="false">D1228*E1228</f>
        <v>197.3</v>
      </c>
      <c r="G1228" s="7" t="n">
        <v>2</v>
      </c>
      <c r="H1228" s="9" t="n">
        <f aca="false">IF(G1228&gt;0,D1228/G1228,"")</f>
        <v>321.5</v>
      </c>
      <c r="I1228" s="10" t="n">
        <v>46140</v>
      </c>
      <c r="J1228" s="3" t="s">
        <v>1459</v>
      </c>
      <c r="K1228" s="10" t="n">
        <v>45883</v>
      </c>
      <c r="L1228" s="3" t="s">
        <v>27</v>
      </c>
      <c r="M1228" s="7" t="n">
        <v>500</v>
      </c>
      <c r="N1228" s="8" t="n">
        <v>0.3946</v>
      </c>
      <c r="O1228" s="4" t="n">
        <f aca="false">M1228*N1228</f>
        <v>197.3</v>
      </c>
    </row>
    <row r="1229" customFormat="false" ht="15" hidden="false" customHeight="false" outlineLevel="0" collapsed="false">
      <c r="A1229" s="0" t="s">
        <v>2011</v>
      </c>
      <c r="C1229" s="0" t="s">
        <v>31</v>
      </c>
      <c r="D1229" s="7" t="n">
        <v>8573</v>
      </c>
      <c r="E1229" s="8" t="n">
        <v>0.0230141140790855</v>
      </c>
      <c r="F1229" s="4" t="n">
        <f aca="false">D1229*E1229</f>
        <v>197.3</v>
      </c>
      <c r="G1229" s="7" t="n">
        <v>2812</v>
      </c>
      <c r="H1229" s="9" t="n">
        <f aca="false">IF(G1229&gt;0,D1229/G1229,"")</f>
        <v>3.04871977240398</v>
      </c>
      <c r="I1229" s="10" t="n">
        <v>46302</v>
      </c>
      <c r="J1229" s="3" t="s">
        <v>478</v>
      </c>
      <c r="K1229" s="10" t="n">
        <v>46185</v>
      </c>
      <c r="L1229" s="3" t="s">
        <v>16</v>
      </c>
      <c r="M1229" s="7" t="n">
        <v>9988</v>
      </c>
      <c r="N1229" s="8" t="n">
        <v>0.023</v>
      </c>
      <c r="O1229" s="4" t="n">
        <f aca="false">M1229*N1229</f>
        <v>229.724</v>
      </c>
    </row>
    <row r="1230" customFormat="false" ht="15" hidden="false" customHeight="false" outlineLevel="0" collapsed="false">
      <c r="A1230" s="0" t="s">
        <v>2012</v>
      </c>
      <c r="C1230" s="0" t="s">
        <v>37</v>
      </c>
      <c r="D1230" s="7" t="n">
        <v>36400</v>
      </c>
      <c r="E1230" s="8" t="n">
        <v>0.00542032967032967</v>
      </c>
      <c r="F1230" s="4" t="n">
        <f aca="false">D1230*E1230</f>
        <v>197.3</v>
      </c>
      <c r="G1230" s="7" t="n">
        <v>250</v>
      </c>
      <c r="H1230" s="9" t="n">
        <f aca="false">IF(G1230&gt;0,D1230/G1230,"")</f>
        <v>145.6</v>
      </c>
      <c r="I1230" s="10" t="n">
        <v>46238</v>
      </c>
      <c r="J1230" s="3" t="s">
        <v>1936</v>
      </c>
      <c r="K1230" s="10" t="n">
        <v>45057</v>
      </c>
      <c r="L1230" s="3" t="s">
        <v>15</v>
      </c>
      <c r="M1230" s="7" t="n">
        <v>36950</v>
      </c>
      <c r="N1230" s="8" t="n">
        <v>0.00542</v>
      </c>
      <c r="O1230" s="4" t="n">
        <f aca="false">M1230*N1230</f>
        <v>200.269</v>
      </c>
    </row>
    <row r="1231" customFormat="false" ht="15" hidden="false" customHeight="false" outlineLevel="0" collapsed="false">
      <c r="A1231" s="0" t="s">
        <v>2013</v>
      </c>
      <c r="C1231" s="0" t="s">
        <v>40</v>
      </c>
      <c r="D1231" s="7" t="n">
        <v>144</v>
      </c>
      <c r="E1231" s="8" t="n">
        <v>1.36916666666667</v>
      </c>
      <c r="F1231" s="4" t="n">
        <f aca="false">D1231*E1231</f>
        <v>197.16</v>
      </c>
      <c r="G1231" s="7" t="n">
        <v>2</v>
      </c>
      <c r="H1231" s="9" t="n">
        <f aca="false">IF(G1231&gt;0,D1231/G1231,"")</f>
        <v>72</v>
      </c>
      <c r="I1231" s="10" t="n">
        <v>46268</v>
      </c>
      <c r="J1231" s="3" t="s">
        <v>2014</v>
      </c>
      <c r="K1231" s="10" t="n">
        <v>44246</v>
      </c>
      <c r="L1231" s="3" t="s">
        <v>18</v>
      </c>
      <c r="M1231" s="7" t="n">
        <v>161</v>
      </c>
      <c r="N1231" s="8" t="n">
        <v>1.3692</v>
      </c>
      <c r="O1231" s="4" t="n">
        <f aca="false">M1231*N1231</f>
        <v>220.4412</v>
      </c>
    </row>
    <row r="1232" customFormat="false" ht="15" hidden="false" customHeight="false" outlineLevel="0" collapsed="false">
      <c r="A1232" s="0" t="s">
        <v>2015</v>
      </c>
      <c r="C1232" s="0" t="s">
        <v>37</v>
      </c>
      <c r="D1232" s="7" t="n">
        <v>4335</v>
      </c>
      <c r="E1232" s="8" t="n">
        <v>0.0454602076124568</v>
      </c>
      <c r="F1232" s="4" t="n">
        <f aca="false">D1232*E1232</f>
        <v>197.07</v>
      </c>
      <c r="G1232" s="7" t="n">
        <v>35</v>
      </c>
      <c r="H1232" s="9" t="n">
        <f aca="false">IF(G1232&gt;0,D1232/G1232,"")</f>
        <v>123.857142857143</v>
      </c>
      <c r="I1232" s="10" t="n">
        <v>46293</v>
      </c>
      <c r="J1232" s="3" t="s">
        <v>1936</v>
      </c>
      <c r="K1232" s="10" t="n">
        <v>45057</v>
      </c>
      <c r="L1232" s="3" t="s">
        <v>15</v>
      </c>
      <c r="M1232" s="7" t="n">
        <v>4400</v>
      </c>
      <c r="N1232" s="8" t="n">
        <v>0.04546</v>
      </c>
      <c r="O1232" s="4" t="n">
        <f aca="false">M1232*N1232</f>
        <v>200.024</v>
      </c>
    </row>
    <row r="1233" customFormat="false" ht="15" hidden="false" customHeight="false" outlineLevel="0" collapsed="false">
      <c r="A1233" s="0" t="s">
        <v>2016</v>
      </c>
      <c r="C1233" s="0" t="s">
        <v>741</v>
      </c>
      <c r="D1233" s="7" t="n">
        <v>1123</v>
      </c>
      <c r="E1233" s="8" t="n">
        <v>0.175325022261799</v>
      </c>
      <c r="F1233" s="4" t="n">
        <f aca="false">D1233*E1233</f>
        <v>196.89</v>
      </c>
      <c r="G1233" s="7" t="n">
        <v>16</v>
      </c>
      <c r="H1233" s="9" t="n">
        <f aca="false">IF(G1233&gt;0,D1233/G1233,"")</f>
        <v>70.1875</v>
      </c>
      <c r="I1233" s="10" t="n">
        <v>46129</v>
      </c>
      <c r="J1233" s="3" t="s">
        <v>1891</v>
      </c>
      <c r="K1233" s="10" t="n">
        <v>46140</v>
      </c>
      <c r="L1233" s="3" t="s">
        <v>27</v>
      </c>
      <c r="M1233" s="7" t="n">
        <v>250</v>
      </c>
      <c r="N1233" s="8" t="n">
        <v>0.1793</v>
      </c>
      <c r="O1233" s="4" t="n">
        <f aca="false">M1233*N1233</f>
        <v>44.825</v>
      </c>
    </row>
    <row r="1234" customFormat="false" ht="15" hidden="false" customHeight="false" outlineLevel="0" collapsed="false">
      <c r="A1234" s="0" t="s">
        <v>2017</v>
      </c>
      <c r="C1234" s="0" t="s">
        <v>298</v>
      </c>
      <c r="D1234" s="7" t="n">
        <v>2321</v>
      </c>
      <c r="E1234" s="8" t="n">
        <v>0.0848039638087031</v>
      </c>
      <c r="F1234" s="4" t="n">
        <f aca="false">D1234*E1234</f>
        <v>196.83</v>
      </c>
      <c r="G1234" s="7" t="n">
        <v>100</v>
      </c>
      <c r="H1234" s="9" t="n">
        <f aca="false">IF(G1234&gt;0,D1234/G1234,"")</f>
        <v>23.21</v>
      </c>
      <c r="I1234" s="10" t="n">
        <v>46294</v>
      </c>
      <c r="J1234" s="3" t="s">
        <v>457</v>
      </c>
      <c r="K1234" s="10" t="n">
        <v>45866</v>
      </c>
      <c r="L1234" s="3" t="s">
        <v>16</v>
      </c>
      <c r="M1234" s="7" t="n">
        <v>2966</v>
      </c>
      <c r="N1234" s="8" t="n">
        <v>0.0848</v>
      </c>
      <c r="O1234" s="4" t="n">
        <f aca="false">M1234*N1234</f>
        <v>251.5168</v>
      </c>
    </row>
    <row r="1235" customFormat="false" ht="15" hidden="false" customHeight="false" outlineLevel="0" collapsed="false">
      <c r="A1235" s="0" t="s">
        <v>2018</v>
      </c>
      <c r="C1235" s="0" t="s">
        <v>1714</v>
      </c>
      <c r="D1235" s="7" t="n">
        <v>2400</v>
      </c>
      <c r="E1235" s="8" t="n">
        <v>0.082</v>
      </c>
      <c r="F1235" s="4" t="n">
        <f aca="false">D1235*E1235</f>
        <v>196.8</v>
      </c>
      <c r="G1235" s="7" t="n">
        <v>15</v>
      </c>
      <c r="H1235" s="9" t="n">
        <f aca="false">IF(G1235&gt;0,D1235/G1235,"")</f>
        <v>160</v>
      </c>
      <c r="I1235" s="10" t="n">
        <v>46104</v>
      </c>
      <c r="J1235" s="3" t="s">
        <v>2003</v>
      </c>
      <c r="K1235" s="10" t="n">
        <v>45259</v>
      </c>
      <c r="L1235" s="3" t="s">
        <v>21</v>
      </c>
      <c r="M1235" s="7" t="n">
        <v>2440</v>
      </c>
      <c r="N1235" s="8" t="n">
        <v>0.082</v>
      </c>
      <c r="O1235" s="4" t="n">
        <f aca="false">M1235*N1235</f>
        <v>200.08</v>
      </c>
    </row>
    <row r="1236" customFormat="false" ht="15" hidden="false" customHeight="false" outlineLevel="0" collapsed="false">
      <c r="A1236" s="0" t="s">
        <v>2019</v>
      </c>
      <c r="C1236" s="0" t="s">
        <v>225</v>
      </c>
      <c r="D1236" s="7" t="n">
        <v>3</v>
      </c>
      <c r="E1236" s="8" t="n">
        <v>65.5966666666667</v>
      </c>
      <c r="F1236" s="4" t="n">
        <f aca="false">D1236*E1236</f>
        <v>196.79</v>
      </c>
      <c r="G1236" s="7" t="n">
        <v>2</v>
      </c>
      <c r="H1236" s="9" t="n">
        <f aca="false">IF(G1236&gt;0,D1236/G1236,"")</f>
        <v>1.5</v>
      </c>
      <c r="I1236" s="10" t="n">
        <v>46121</v>
      </c>
      <c r="J1236" s="3" t="s">
        <v>1231</v>
      </c>
      <c r="K1236" s="10" t="n">
        <v>44686</v>
      </c>
      <c r="L1236" s="3" t="s">
        <v>14</v>
      </c>
      <c r="M1236" s="7" t="n">
        <v>55</v>
      </c>
      <c r="N1236" s="8" t="n">
        <v>65.59517</v>
      </c>
      <c r="O1236" s="4" t="n">
        <f aca="false">M1236*N1236</f>
        <v>3607.73435</v>
      </c>
    </row>
    <row r="1237" customFormat="false" ht="15" hidden="false" customHeight="false" outlineLevel="0" collapsed="false">
      <c r="A1237" s="0" t="s">
        <v>2020</v>
      </c>
      <c r="C1237" s="0" t="s">
        <v>698</v>
      </c>
      <c r="D1237" s="7" t="n">
        <v>1046</v>
      </c>
      <c r="E1237" s="8" t="n">
        <v>0.188097514340344</v>
      </c>
      <c r="F1237" s="4" t="n">
        <f aca="false">D1237*E1237</f>
        <v>196.75</v>
      </c>
      <c r="G1237" s="7" t="n">
        <v>133</v>
      </c>
      <c r="H1237" s="9" t="n">
        <f aca="false">IF(G1237&gt;0,D1237/G1237,"")</f>
        <v>7.86466165413534</v>
      </c>
      <c r="I1237" s="10" t="n">
        <v>46237</v>
      </c>
      <c r="J1237" s="3" t="s">
        <v>747</v>
      </c>
      <c r="K1237" s="10" t="n">
        <v>45985</v>
      </c>
      <c r="L1237" s="3" t="s">
        <v>14</v>
      </c>
      <c r="M1237" s="7" t="n">
        <v>1179</v>
      </c>
      <c r="N1237" s="8" t="n">
        <v>0.1881</v>
      </c>
      <c r="O1237" s="4" t="n">
        <f aca="false">M1237*N1237</f>
        <v>221.7699</v>
      </c>
    </row>
    <row r="1238" customFormat="false" ht="15" hidden="false" customHeight="false" outlineLevel="0" collapsed="false">
      <c r="A1238" s="0" t="s">
        <v>2021</v>
      </c>
      <c r="C1238" s="0" t="s">
        <v>1714</v>
      </c>
      <c r="D1238" s="7" t="n">
        <v>591</v>
      </c>
      <c r="E1238" s="8" t="n">
        <v>0.332808798646362</v>
      </c>
      <c r="F1238" s="4" t="n">
        <f aca="false">D1238*E1238</f>
        <v>196.69</v>
      </c>
      <c r="G1238" s="7" t="n">
        <v>35</v>
      </c>
      <c r="H1238" s="9" t="n">
        <f aca="false">IF(G1238&gt;0,D1238/G1238,"")</f>
        <v>16.8857142857143</v>
      </c>
      <c r="I1238" s="10" t="n">
        <v>46280</v>
      </c>
      <c r="J1238" s="3" t="s">
        <v>1724</v>
      </c>
      <c r="K1238" s="10" t="n">
        <v>45273</v>
      </c>
      <c r="L1238" s="3" t="s">
        <v>15</v>
      </c>
      <c r="M1238" s="7" t="n">
        <v>637</v>
      </c>
      <c r="N1238" s="8" t="n">
        <v>0.33281</v>
      </c>
      <c r="O1238" s="4" t="n">
        <f aca="false">M1238*N1238</f>
        <v>211.99997</v>
      </c>
    </row>
    <row r="1239" customFormat="false" ht="15" hidden="false" customHeight="false" outlineLevel="0" collapsed="false">
      <c r="A1239" s="0" t="s">
        <v>2022</v>
      </c>
      <c r="C1239" s="0" t="s">
        <v>38</v>
      </c>
      <c r="D1239" s="7" t="n">
        <v>591</v>
      </c>
      <c r="E1239" s="8" t="n">
        <v>0.332758037225042</v>
      </c>
      <c r="F1239" s="4" t="n">
        <f aca="false">D1239*E1239</f>
        <v>196.66</v>
      </c>
      <c r="G1239" s="7" t="n">
        <v>1</v>
      </c>
      <c r="H1239" s="9" t="n">
        <f aca="false">IF(G1239&gt;0,D1239/G1239,"")</f>
        <v>591</v>
      </c>
      <c r="I1239" s="10" t="n">
        <v>46041</v>
      </c>
      <c r="J1239" s="3" t="s">
        <v>1192</v>
      </c>
      <c r="K1239" s="10" t="n">
        <v>45736</v>
      </c>
      <c r="L1239" s="3" t="s">
        <v>26</v>
      </c>
      <c r="M1239" s="7" t="n">
        <v>229</v>
      </c>
      <c r="N1239" s="8" t="n">
        <v>0.4</v>
      </c>
      <c r="O1239" s="4" t="n">
        <f aca="false">M1239*N1239</f>
        <v>91.6</v>
      </c>
    </row>
    <row r="1240" customFormat="false" ht="15" hidden="false" customHeight="false" outlineLevel="0" collapsed="false">
      <c r="A1240" s="0" t="s">
        <v>2023</v>
      </c>
      <c r="C1240" s="0" t="s">
        <v>37</v>
      </c>
      <c r="D1240" s="7" t="n">
        <v>5137</v>
      </c>
      <c r="E1240" s="8" t="n">
        <v>0.0382694179482188</v>
      </c>
      <c r="F1240" s="4" t="n">
        <f aca="false">D1240*E1240</f>
        <v>196.59</v>
      </c>
      <c r="G1240" s="7" t="n">
        <v>113</v>
      </c>
      <c r="H1240" s="9" t="n">
        <f aca="false">IF(G1240&gt;0,D1240/G1240,"")</f>
        <v>45.4601769911504</v>
      </c>
      <c r="I1240" s="10" t="n">
        <v>46317</v>
      </c>
      <c r="J1240" s="3" t="s">
        <v>1936</v>
      </c>
      <c r="K1240" s="10" t="n">
        <v>45057</v>
      </c>
      <c r="L1240" s="3" t="s">
        <v>15</v>
      </c>
      <c r="M1240" s="7" t="n">
        <v>5250</v>
      </c>
      <c r="N1240" s="8" t="n">
        <v>0.03827</v>
      </c>
      <c r="O1240" s="4" t="n">
        <f aca="false">M1240*N1240</f>
        <v>200.9175</v>
      </c>
    </row>
    <row r="1241" customFormat="false" ht="15" hidden="false" customHeight="false" outlineLevel="0" collapsed="false">
      <c r="A1241" s="0" t="s">
        <v>2024</v>
      </c>
      <c r="C1241" s="0" t="s">
        <v>889</v>
      </c>
      <c r="D1241" s="7" t="n">
        <v>2496</v>
      </c>
      <c r="E1241" s="8" t="n">
        <v>0.078681891025641</v>
      </c>
      <c r="F1241" s="4" t="n">
        <f aca="false">D1241*E1241</f>
        <v>196.39</v>
      </c>
      <c r="G1241" s="7" t="n">
        <v>106</v>
      </c>
      <c r="H1241" s="9" t="n">
        <f aca="false">IF(G1241&gt;0,D1241/G1241,"")</f>
        <v>23.5471698113208</v>
      </c>
      <c r="I1241" s="10" t="n">
        <v>46119</v>
      </c>
      <c r="J1241" s="3" t="s">
        <v>852</v>
      </c>
      <c r="K1241" s="10" t="n">
        <v>45883</v>
      </c>
      <c r="L1241" s="3" t="s">
        <v>15</v>
      </c>
      <c r="M1241" s="7" t="n">
        <v>2602</v>
      </c>
      <c r="N1241" s="8" t="n">
        <v>0.07868</v>
      </c>
      <c r="O1241" s="4" t="n">
        <f aca="false">M1241*N1241</f>
        <v>204.72536</v>
      </c>
    </row>
    <row r="1242" customFormat="false" ht="15" hidden="false" customHeight="false" outlineLevel="0" collapsed="false">
      <c r="A1242" s="0" t="s">
        <v>2025</v>
      </c>
      <c r="C1242" s="0" t="s">
        <v>41</v>
      </c>
      <c r="D1242" s="7" t="n">
        <v>594</v>
      </c>
      <c r="E1242" s="8" t="n">
        <v>0.330606060606061</v>
      </c>
      <c r="F1242" s="4" t="n">
        <f aca="false">D1242*E1242</f>
        <v>196.38</v>
      </c>
      <c r="G1242" s="7" t="n">
        <v>100</v>
      </c>
      <c r="H1242" s="9" t="n">
        <f aca="false">IF(G1242&gt;0,D1242/G1242,"")</f>
        <v>5.94</v>
      </c>
      <c r="I1242" s="10" t="n">
        <v>46233</v>
      </c>
      <c r="J1242" s="3" t="s">
        <v>2026</v>
      </c>
      <c r="K1242" s="10" t="n">
        <v>45167</v>
      </c>
      <c r="L1242" s="3" t="s">
        <v>16</v>
      </c>
      <c r="M1242" s="7" t="n">
        <v>867</v>
      </c>
      <c r="N1242" s="8" t="n">
        <v>0.3306</v>
      </c>
      <c r="O1242" s="4" t="n">
        <f aca="false">M1242*N1242</f>
        <v>286.6302</v>
      </c>
    </row>
    <row r="1243" customFormat="false" ht="15" hidden="false" customHeight="false" outlineLevel="0" collapsed="false">
      <c r="A1243" s="0" t="s">
        <v>2027</v>
      </c>
      <c r="C1243" s="0" t="s">
        <v>34</v>
      </c>
      <c r="D1243" s="7" t="n">
        <v>10089</v>
      </c>
      <c r="E1243" s="8" t="n">
        <v>0.0194508871047676</v>
      </c>
      <c r="F1243" s="4" t="n">
        <f aca="false">D1243*E1243</f>
        <v>196.24</v>
      </c>
      <c r="G1243" s="7" t="n">
        <v>49</v>
      </c>
      <c r="H1243" s="9" t="n">
        <f aca="false">IF(G1243&gt;0,D1243/G1243,"")</f>
        <v>205.897959183673</v>
      </c>
      <c r="I1243" s="10" t="n">
        <v>46204</v>
      </c>
      <c r="J1243" s="3" t="s">
        <v>2028</v>
      </c>
      <c r="K1243" s="10" t="n">
        <v>44343</v>
      </c>
      <c r="L1243" s="3" t="s">
        <v>15</v>
      </c>
      <c r="M1243" s="7" t="n">
        <v>10316</v>
      </c>
      <c r="N1243" s="8" t="n">
        <v>0.01958</v>
      </c>
      <c r="O1243" s="4" t="n">
        <v>200.695</v>
      </c>
    </row>
    <row r="1244" customFormat="false" ht="15" hidden="false" customHeight="false" outlineLevel="0" collapsed="false">
      <c r="A1244" s="0" t="s">
        <v>2029</v>
      </c>
      <c r="D1244" s="7" t="n">
        <v>770</v>
      </c>
      <c r="E1244" s="8" t="n">
        <v>0.254805194805195</v>
      </c>
      <c r="F1244" s="4" t="n">
        <f aca="false">D1244*E1244</f>
        <v>196.2</v>
      </c>
      <c r="G1244" s="7" t="n">
        <v>5</v>
      </c>
      <c r="H1244" s="9" t="n">
        <f aca="false">IF(G1244&gt;0,D1244/G1244,"")</f>
        <v>154</v>
      </c>
      <c r="I1244" s="10" t="n">
        <v>46232</v>
      </c>
      <c r="J1244" s="3" t="s">
        <v>2030</v>
      </c>
      <c r="K1244" s="10" t="n">
        <v>45890</v>
      </c>
      <c r="L1244" s="3" t="s">
        <v>19</v>
      </c>
      <c r="M1244" s="7" t="n">
        <v>50</v>
      </c>
      <c r="N1244" s="8" t="n">
        <v>0.5951</v>
      </c>
      <c r="O1244" s="4" t="n">
        <f aca="false">M1244*N1244</f>
        <v>29.755</v>
      </c>
    </row>
    <row r="1245" customFormat="false" ht="15" hidden="false" customHeight="false" outlineLevel="0" collapsed="false">
      <c r="A1245" s="0" t="s">
        <v>2031</v>
      </c>
      <c r="C1245" s="0" t="s">
        <v>37</v>
      </c>
      <c r="D1245" s="7" t="n">
        <v>772</v>
      </c>
      <c r="E1245" s="8" t="n">
        <v>0.254093264248705</v>
      </c>
      <c r="F1245" s="4" t="n">
        <f aca="false">D1245*E1245</f>
        <v>196.16</v>
      </c>
      <c r="G1245" s="7" t="n">
        <v>30</v>
      </c>
      <c r="H1245" s="9" t="n">
        <f aca="false">IF(G1245&gt;0,D1245/G1245,"")</f>
        <v>25.7333333333333</v>
      </c>
      <c r="I1245" s="10" t="n">
        <v>46147</v>
      </c>
      <c r="J1245" s="3" t="s">
        <v>947</v>
      </c>
      <c r="K1245" s="10" t="n">
        <v>45469</v>
      </c>
      <c r="L1245" s="3" t="s">
        <v>15</v>
      </c>
      <c r="M1245" s="7" t="n">
        <v>835</v>
      </c>
      <c r="N1245" s="8" t="n">
        <v>0.25409</v>
      </c>
      <c r="O1245" s="4" t="n">
        <f aca="false">M1245*N1245</f>
        <v>212.16515</v>
      </c>
    </row>
    <row r="1246" customFormat="false" ht="15" hidden="false" customHeight="false" outlineLevel="0" collapsed="false">
      <c r="A1246" s="0" t="s">
        <v>2032</v>
      </c>
      <c r="C1246" s="0" t="s">
        <v>40</v>
      </c>
      <c r="D1246" s="7" t="n">
        <v>7972</v>
      </c>
      <c r="E1246" s="8" t="n">
        <v>0.0246011038635223</v>
      </c>
      <c r="F1246" s="4" t="n">
        <f aca="false">D1246*E1246</f>
        <v>196.12</v>
      </c>
      <c r="G1246" s="7" t="n">
        <v>541</v>
      </c>
      <c r="H1246" s="9" t="n">
        <f aca="false">IF(G1246&gt;0,D1246/G1246,"")</f>
        <v>14.735674676525</v>
      </c>
      <c r="I1246" s="10" t="n">
        <v>46273</v>
      </c>
      <c r="J1246" s="3" t="s">
        <v>1851</v>
      </c>
      <c r="K1246" s="10" t="n">
        <v>44804</v>
      </c>
      <c r="L1246" s="3" t="s">
        <v>18</v>
      </c>
      <c r="M1246" s="7" t="n">
        <v>9335</v>
      </c>
      <c r="N1246" s="8" t="n">
        <v>0.0246</v>
      </c>
      <c r="O1246" s="4" t="n">
        <f aca="false">M1246*N1246</f>
        <v>229.641</v>
      </c>
    </row>
    <row r="1247" customFormat="false" ht="15" hidden="false" customHeight="false" outlineLevel="0" collapsed="false">
      <c r="A1247" s="0" t="s">
        <v>2033</v>
      </c>
      <c r="C1247" s="0" t="s">
        <v>31</v>
      </c>
      <c r="D1247" s="7" t="n">
        <v>4010</v>
      </c>
      <c r="E1247" s="8" t="n">
        <v>0.0489027431421446</v>
      </c>
      <c r="F1247" s="4" t="n">
        <f aca="false">D1247*E1247</f>
        <v>196.1</v>
      </c>
      <c r="G1247" s="7" t="n">
        <v>379</v>
      </c>
      <c r="H1247" s="9" t="n">
        <f aca="false">IF(G1247&gt;0,D1247/G1247,"")</f>
        <v>10.5804749340369</v>
      </c>
      <c r="I1247" s="10" t="n">
        <v>46308</v>
      </c>
      <c r="K1247" s="10"/>
      <c r="M1247" s="7"/>
      <c r="N1247" s="8"/>
      <c r="O1247" s="4"/>
    </row>
    <row r="1248" customFormat="false" ht="15" hidden="false" customHeight="false" outlineLevel="0" collapsed="false">
      <c r="A1248" s="0" t="s">
        <v>2034</v>
      </c>
      <c r="C1248" s="0" t="s">
        <v>340</v>
      </c>
      <c r="D1248" s="7" t="n">
        <v>54618</v>
      </c>
      <c r="E1248" s="8" t="n">
        <v>0.00358837745798089</v>
      </c>
      <c r="F1248" s="4" t="n">
        <f aca="false">D1248*E1248</f>
        <v>195.99</v>
      </c>
      <c r="G1248" s="7" t="n">
        <v>4085</v>
      </c>
      <c r="H1248" s="9" t="n">
        <f aca="false">IF(G1248&gt;0,D1248/G1248,"")</f>
        <v>13.3703794369645</v>
      </c>
      <c r="I1248" s="10" t="n">
        <v>46308</v>
      </c>
      <c r="J1248" s="3" t="s">
        <v>1684</v>
      </c>
      <c r="K1248" s="10" t="n">
        <v>45755</v>
      </c>
      <c r="L1248" s="3" t="s">
        <v>15</v>
      </c>
      <c r="M1248" s="7" t="n">
        <v>60525</v>
      </c>
      <c r="N1248" s="8" t="n">
        <v>0.00359</v>
      </c>
      <c r="O1248" s="4" t="n">
        <f aca="false">M1248*N1248</f>
        <v>217.28475</v>
      </c>
    </row>
    <row r="1249" customFormat="false" ht="15" hidden="false" customHeight="false" outlineLevel="0" collapsed="false">
      <c r="A1249" s="0" t="s">
        <v>2035</v>
      </c>
      <c r="C1249" s="0" t="s">
        <v>438</v>
      </c>
      <c r="D1249" s="7" t="n">
        <v>426</v>
      </c>
      <c r="E1249" s="8" t="n">
        <v>0.46</v>
      </c>
      <c r="F1249" s="4" t="n">
        <f aca="false">D1249*E1249</f>
        <v>195.96</v>
      </c>
      <c r="G1249" s="7" t="n">
        <v>11</v>
      </c>
      <c r="H1249" s="9" t="n">
        <f aca="false">IF(G1249&gt;0,D1249/G1249,"")</f>
        <v>38.7272727272727</v>
      </c>
      <c r="I1249" s="10" t="n">
        <v>46315</v>
      </c>
      <c r="J1249" s="3" t="s">
        <v>2036</v>
      </c>
      <c r="K1249" s="10" t="n">
        <v>45196</v>
      </c>
      <c r="L1249" s="3" t="s">
        <v>1878</v>
      </c>
      <c r="M1249" s="7" t="n">
        <v>500</v>
      </c>
      <c r="N1249" s="8" t="n">
        <v>0.46</v>
      </c>
      <c r="O1249" s="4" t="n">
        <f aca="false">M1249*N1249</f>
        <v>230</v>
      </c>
    </row>
    <row r="1250" customFormat="false" ht="15" hidden="false" customHeight="false" outlineLevel="0" collapsed="false">
      <c r="A1250" s="0" t="s">
        <v>2037</v>
      </c>
      <c r="C1250" s="0" t="s">
        <v>360</v>
      </c>
      <c r="D1250" s="7" t="n">
        <v>5220</v>
      </c>
      <c r="E1250" s="8" t="n">
        <v>0.0375402298850575</v>
      </c>
      <c r="F1250" s="4" t="n">
        <f aca="false">D1250*E1250</f>
        <v>195.96</v>
      </c>
      <c r="G1250" s="7" t="n">
        <v>25</v>
      </c>
      <c r="H1250" s="9" t="n">
        <f aca="false">IF(G1250&gt;0,D1250/G1250,"")</f>
        <v>208.8</v>
      </c>
      <c r="I1250" s="10" t="n">
        <v>46203</v>
      </c>
      <c r="J1250" s="3" t="s">
        <v>2038</v>
      </c>
      <c r="K1250" s="10" t="n">
        <v>45236</v>
      </c>
      <c r="L1250" s="3" t="s">
        <v>15</v>
      </c>
      <c r="M1250" s="7" t="n">
        <v>5555</v>
      </c>
      <c r="N1250" s="8" t="n">
        <v>0.03754</v>
      </c>
      <c r="O1250" s="4" t="n">
        <f aca="false">M1250*N1250</f>
        <v>208.5347</v>
      </c>
    </row>
    <row r="1251" customFormat="false" ht="15" hidden="false" customHeight="false" outlineLevel="0" collapsed="false">
      <c r="A1251" s="0" t="s">
        <v>2039</v>
      </c>
      <c r="C1251" s="0" t="s">
        <v>43</v>
      </c>
      <c r="D1251" s="7" t="n">
        <v>487</v>
      </c>
      <c r="E1251" s="8" t="n">
        <v>0.402135523613963</v>
      </c>
      <c r="F1251" s="4" t="n">
        <f aca="false">D1251*E1251</f>
        <v>195.84</v>
      </c>
      <c r="G1251" s="7" t="n">
        <v>18</v>
      </c>
      <c r="H1251" s="9" t="n">
        <f aca="false">IF(G1251&gt;0,D1251/G1251,"")</f>
        <v>27.0555555555556</v>
      </c>
      <c r="I1251" s="10" t="n">
        <v>46255</v>
      </c>
      <c r="J1251" s="3" t="s">
        <v>167</v>
      </c>
      <c r="K1251" s="10" t="n">
        <v>44750</v>
      </c>
      <c r="L1251" s="3" t="s">
        <v>14</v>
      </c>
      <c r="M1251" s="7" t="n">
        <v>610</v>
      </c>
      <c r="N1251" s="8" t="n">
        <v>0</v>
      </c>
      <c r="O1251" s="4" t="n">
        <v>245.5104</v>
      </c>
    </row>
    <row r="1252" customFormat="false" ht="15" hidden="false" customHeight="false" outlineLevel="0" collapsed="false">
      <c r="A1252" s="0" t="s">
        <v>2040</v>
      </c>
      <c r="C1252" s="0" t="s">
        <v>855</v>
      </c>
      <c r="D1252" s="7" t="n">
        <v>19767</v>
      </c>
      <c r="E1252" s="8" t="n">
        <v>0.00989932716143067</v>
      </c>
      <c r="F1252" s="4" t="n">
        <f aca="false">D1252*E1252</f>
        <v>195.68</v>
      </c>
      <c r="G1252" s="7" t="n">
        <v>12</v>
      </c>
      <c r="H1252" s="9" t="n">
        <f aca="false">IF(G1252&gt;0,D1252/G1252,"")</f>
        <v>1647.25</v>
      </c>
      <c r="I1252" s="10" t="n">
        <v>46282</v>
      </c>
      <c r="K1252" s="10"/>
      <c r="M1252" s="7"/>
      <c r="N1252" s="8"/>
      <c r="O1252" s="4"/>
    </row>
    <row r="1253" customFormat="false" ht="15" hidden="false" customHeight="false" outlineLevel="0" collapsed="false">
      <c r="A1253" s="0" t="s">
        <v>2041</v>
      </c>
      <c r="C1253" s="0" t="s">
        <v>855</v>
      </c>
      <c r="D1253" s="7" t="n">
        <v>23017</v>
      </c>
      <c r="E1253" s="8" t="n">
        <v>0.00850023895381675</v>
      </c>
      <c r="F1253" s="4" t="n">
        <f aca="false">D1253*E1253</f>
        <v>195.65</v>
      </c>
      <c r="G1253" s="7" t="n">
        <v>106</v>
      </c>
      <c r="H1253" s="9" t="n">
        <f aca="false">IF(G1253&gt;0,D1253/G1253,"")</f>
        <v>217.141509433962</v>
      </c>
      <c r="I1253" s="10" t="n">
        <v>46091</v>
      </c>
      <c r="K1253" s="10"/>
      <c r="M1253" s="7"/>
      <c r="N1253" s="8"/>
      <c r="O1253" s="4"/>
    </row>
    <row r="1254" customFormat="false" ht="15" hidden="false" customHeight="false" outlineLevel="0" collapsed="false">
      <c r="A1254" s="0" t="s">
        <v>2042</v>
      </c>
      <c r="C1254" s="0" t="s">
        <v>360</v>
      </c>
      <c r="D1254" s="7" t="n">
        <v>2224</v>
      </c>
      <c r="E1254" s="8" t="n">
        <v>0.0879451438848921</v>
      </c>
      <c r="F1254" s="4" t="n">
        <f aca="false">D1254*E1254</f>
        <v>195.59</v>
      </c>
      <c r="G1254" s="7" t="n">
        <v>84</v>
      </c>
      <c r="H1254" s="9" t="n">
        <f aca="false">IF(G1254&gt;0,D1254/G1254,"")</f>
        <v>26.4761904761905</v>
      </c>
      <c r="I1254" s="10" t="n">
        <v>46161</v>
      </c>
      <c r="J1254" s="3" t="s">
        <v>2043</v>
      </c>
      <c r="K1254" s="10" t="n">
        <v>46104</v>
      </c>
      <c r="L1254" s="3" t="s">
        <v>16</v>
      </c>
      <c r="M1254" s="7" t="n">
        <v>2300</v>
      </c>
      <c r="N1254" s="8" t="n">
        <v>0.0873</v>
      </c>
      <c r="O1254" s="4" t="n">
        <f aca="false">M1254*N1254</f>
        <v>200.79</v>
      </c>
    </row>
    <row r="1255" customFormat="false" ht="15" hidden="false" customHeight="false" outlineLevel="0" collapsed="false">
      <c r="A1255" s="0" t="s">
        <v>2044</v>
      </c>
      <c r="C1255" s="0" t="s">
        <v>31</v>
      </c>
      <c r="D1255" s="7" t="n">
        <v>1385</v>
      </c>
      <c r="E1255" s="8" t="n">
        <v>0.141162454873646</v>
      </c>
      <c r="F1255" s="4" t="n">
        <f aca="false">D1255*E1255</f>
        <v>195.51</v>
      </c>
      <c r="G1255" s="7" t="n">
        <v>20</v>
      </c>
      <c r="H1255" s="9" t="n">
        <f aca="false">IF(G1255&gt;0,D1255/G1255,"")</f>
        <v>69.25</v>
      </c>
      <c r="I1255" s="10" t="n">
        <v>46251</v>
      </c>
      <c r="K1255" s="10"/>
      <c r="M1255" s="7"/>
      <c r="N1255" s="8"/>
      <c r="O1255" s="4"/>
    </row>
    <row r="1256" customFormat="false" ht="15" hidden="false" customHeight="false" outlineLevel="0" collapsed="false">
      <c r="A1256" s="0" t="s">
        <v>2045</v>
      </c>
      <c r="C1256" s="0" t="s">
        <v>398</v>
      </c>
      <c r="D1256" s="7" t="n">
        <v>4561</v>
      </c>
      <c r="E1256" s="8" t="n">
        <v>0.0428590221442666</v>
      </c>
      <c r="F1256" s="4" t="n">
        <f aca="false">D1256*E1256</f>
        <v>195.48</v>
      </c>
      <c r="G1256" s="7" t="n">
        <v>358</v>
      </c>
      <c r="H1256" s="9" t="n">
        <f aca="false">IF(G1256&gt;0,D1256/G1256,"")</f>
        <v>12.7402234636872</v>
      </c>
      <c r="I1256" s="10" t="n">
        <v>46309</v>
      </c>
      <c r="J1256" s="3" t="s">
        <v>2046</v>
      </c>
      <c r="K1256" s="10" t="n">
        <v>44770</v>
      </c>
      <c r="L1256" s="3" t="s">
        <v>15</v>
      </c>
      <c r="M1256" s="7" t="n">
        <v>8266</v>
      </c>
      <c r="N1256" s="8" t="n">
        <v>0.04286</v>
      </c>
      <c r="O1256" s="4" t="n">
        <f aca="false">M1256*N1256</f>
        <v>354.28076</v>
      </c>
    </row>
    <row r="1257" customFormat="false" ht="15" hidden="false" customHeight="false" outlineLevel="0" collapsed="false">
      <c r="A1257" s="0" t="s">
        <v>2047</v>
      </c>
      <c r="C1257" s="0" t="s">
        <v>31</v>
      </c>
      <c r="D1257" s="7" t="n">
        <v>3989</v>
      </c>
      <c r="E1257" s="8" t="n">
        <v>0.0489997493106042</v>
      </c>
      <c r="F1257" s="4" t="n">
        <f aca="false">D1257*E1257</f>
        <v>195.46</v>
      </c>
      <c r="G1257" s="7" t="n">
        <v>189</v>
      </c>
      <c r="H1257" s="9" t="n">
        <f aca="false">IF(G1257&gt;0,D1257/G1257,"")</f>
        <v>21.1058201058201</v>
      </c>
      <c r="I1257" s="10" t="n">
        <v>46282</v>
      </c>
      <c r="J1257" s="3" t="s">
        <v>2048</v>
      </c>
      <c r="K1257" s="10" t="n">
        <v>45750</v>
      </c>
      <c r="L1257" s="3" t="s">
        <v>25</v>
      </c>
      <c r="M1257" s="7" t="n">
        <v>5000</v>
      </c>
      <c r="N1257" s="8" t="n">
        <v>0.049</v>
      </c>
      <c r="O1257" s="4" t="n">
        <f aca="false">M1257*N1257</f>
        <v>245</v>
      </c>
    </row>
    <row r="1258" customFormat="false" ht="15" hidden="false" customHeight="false" outlineLevel="0" collapsed="false">
      <c r="A1258" s="0" t="s">
        <v>2049</v>
      </c>
      <c r="C1258" s="0" t="s">
        <v>100</v>
      </c>
      <c r="D1258" s="7" t="n">
        <v>372</v>
      </c>
      <c r="E1258" s="8" t="n">
        <v>0.525322580645161</v>
      </c>
      <c r="F1258" s="4" t="n">
        <f aca="false">D1258*E1258</f>
        <v>195.42</v>
      </c>
      <c r="G1258" s="7" t="n">
        <v>270</v>
      </c>
      <c r="H1258" s="9" t="n">
        <f aca="false">IF(G1258&gt;0,D1258/G1258,"")</f>
        <v>1.37777777777778</v>
      </c>
      <c r="I1258" s="10" t="n">
        <v>46281</v>
      </c>
      <c r="K1258" s="10"/>
      <c r="M1258" s="7"/>
      <c r="N1258" s="8"/>
      <c r="O1258" s="4"/>
    </row>
    <row r="1259" customFormat="false" ht="15" hidden="false" customHeight="false" outlineLevel="0" collapsed="false">
      <c r="A1259" s="0" t="s">
        <v>2050</v>
      </c>
      <c r="C1259" s="0" t="s">
        <v>285</v>
      </c>
      <c r="D1259" s="7" t="n">
        <v>19534</v>
      </c>
      <c r="E1259" s="8" t="n">
        <v>0.01</v>
      </c>
      <c r="F1259" s="4" t="n">
        <f aca="false">D1259*E1259</f>
        <v>195.34</v>
      </c>
      <c r="G1259" s="7" t="n">
        <v>4106</v>
      </c>
      <c r="H1259" s="9" t="n">
        <f aca="false">IF(G1259&gt;0,D1259/G1259,"")</f>
        <v>4.75742815392109</v>
      </c>
      <c r="I1259" s="10" t="n">
        <v>46282</v>
      </c>
      <c r="J1259" s="3" t="s">
        <v>455</v>
      </c>
      <c r="K1259" s="10" t="n">
        <v>45689</v>
      </c>
      <c r="L1259" s="3" t="s">
        <v>20</v>
      </c>
      <c r="M1259" s="7" t="n">
        <v>23500</v>
      </c>
      <c r="N1259" s="8" t="n">
        <v>0.01055</v>
      </c>
      <c r="O1259" s="4" t="n">
        <f aca="false">M1259*N1259</f>
        <v>247.925</v>
      </c>
    </row>
    <row r="1260" customFormat="false" ht="15" hidden="false" customHeight="false" outlineLevel="0" collapsed="false">
      <c r="A1260" s="0" t="s">
        <v>2051</v>
      </c>
      <c r="C1260" s="0" t="s">
        <v>31</v>
      </c>
      <c r="D1260" s="7" t="n">
        <v>11292</v>
      </c>
      <c r="E1260" s="8" t="n">
        <v>0.0172892313142048</v>
      </c>
      <c r="F1260" s="4" t="n">
        <f aca="false">D1260*E1260</f>
        <v>195.23</v>
      </c>
      <c r="G1260" s="7" t="n">
        <v>7482</v>
      </c>
      <c r="H1260" s="9" t="n">
        <f aca="false">IF(G1260&gt;0,D1260/G1260,"")</f>
        <v>1.50922213311949</v>
      </c>
      <c r="I1260" s="10" t="n">
        <v>46317</v>
      </c>
      <c r="J1260" s="3" t="s">
        <v>2052</v>
      </c>
      <c r="K1260" s="10" t="n">
        <v>44608</v>
      </c>
      <c r="L1260" s="3" t="s">
        <v>19</v>
      </c>
      <c r="M1260" s="7" t="n">
        <v>23286</v>
      </c>
      <c r="N1260" s="8" t="n">
        <v>0</v>
      </c>
      <c r="O1260" s="4" t="n">
        <v>667.9351</v>
      </c>
    </row>
    <row r="1261" customFormat="false" ht="15" hidden="false" customHeight="false" outlineLevel="0" collapsed="false">
      <c r="A1261" s="0" t="s">
        <v>2053</v>
      </c>
      <c r="C1261" s="0" t="s">
        <v>370</v>
      </c>
      <c r="D1261" s="7" t="n">
        <v>2599</v>
      </c>
      <c r="E1261" s="8" t="n">
        <v>0.0749980761831474</v>
      </c>
      <c r="F1261" s="4" t="n">
        <f aca="false">D1261*E1261</f>
        <v>194.92</v>
      </c>
      <c r="G1261" s="7" t="n">
        <v>165</v>
      </c>
      <c r="H1261" s="9" t="n">
        <f aca="false">IF(G1261&gt;0,D1261/G1261,"")</f>
        <v>15.7515151515152</v>
      </c>
      <c r="I1261" s="10" t="n">
        <v>46273</v>
      </c>
      <c r="J1261" s="3" t="s">
        <v>2054</v>
      </c>
      <c r="K1261" s="10" t="n">
        <v>45176</v>
      </c>
      <c r="L1261" s="3" t="s">
        <v>21</v>
      </c>
      <c r="M1261" s="7" t="n">
        <v>2500</v>
      </c>
      <c r="N1261" s="8" t="n">
        <v>0.075</v>
      </c>
      <c r="O1261" s="4" t="n">
        <f aca="false">M1261*N1261</f>
        <v>187.5</v>
      </c>
    </row>
    <row r="1262" customFormat="false" ht="15" hidden="false" customHeight="false" outlineLevel="0" collapsed="false">
      <c r="A1262" s="0" t="s">
        <v>2055</v>
      </c>
      <c r="C1262" s="0" t="s">
        <v>33</v>
      </c>
      <c r="D1262" s="7" t="n">
        <v>76</v>
      </c>
      <c r="E1262" s="8" t="n">
        <v>2.56328947368421</v>
      </c>
      <c r="F1262" s="4" t="n">
        <f aca="false">D1262*E1262</f>
        <v>194.81</v>
      </c>
      <c r="G1262" s="7" t="n">
        <v>17</v>
      </c>
      <c r="H1262" s="9" t="n">
        <f aca="false">IF(G1262&gt;0,D1262/G1262,"")</f>
        <v>4.47058823529412</v>
      </c>
      <c r="I1262" s="10" t="n">
        <v>46009</v>
      </c>
      <c r="J1262" s="3" t="s">
        <v>2056</v>
      </c>
      <c r="K1262" s="10" t="n">
        <v>44341</v>
      </c>
      <c r="L1262" s="3" t="s">
        <v>18</v>
      </c>
      <c r="M1262" s="7" t="n">
        <v>193</v>
      </c>
      <c r="N1262" s="8" t="n">
        <v>2.5632</v>
      </c>
      <c r="O1262" s="4" t="n">
        <f aca="false">M1262*N1262</f>
        <v>494.6976</v>
      </c>
    </row>
    <row r="1263" customFormat="false" ht="15" hidden="false" customHeight="false" outlineLevel="0" collapsed="false">
      <c r="A1263" s="0" t="s">
        <v>2057</v>
      </c>
      <c r="C1263" s="0" t="s">
        <v>41</v>
      </c>
      <c r="D1263" s="7" t="n">
        <v>25358</v>
      </c>
      <c r="E1263" s="8" t="n">
        <v>0.0076796277308936</v>
      </c>
      <c r="F1263" s="4" t="n">
        <f aca="false">D1263*E1263</f>
        <v>194.74</v>
      </c>
      <c r="G1263" s="7" t="n">
        <v>305</v>
      </c>
      <c r="H1263" s="9" t="n">
        <f aca="false">IF(G1263&gt;0,D1263/G1263,"")</f>
        <v>83.1409836065574</v>
      </c>
      <c r="I1263" s="10" t="n">
        <v>46317</v>
      </c>
      <c r="K1263" s="10"/>
      <c r="M1263" s="7"/>
      <c r="N1263" s="8"/>
      <c r="O1263" s="4"/>
    </row>
    <row r="1264" customFormat="false" ht="15" hidden="false" customHeight="false" outlineLevel="0" collapsed="false">
      <c r="A1264" s="0" t="s">
        <v>2058</v>
      </c>
      <c r="D1264" s="7" t="n">
        <v>2247</v>
      </c>
      <c r="E1264" s="8" t="n">
        <v>0.086617712505563</v>
      </c>
      <c r="F1264" s="4" t="n">
        <f aca="false">D1264*E1264</f>
        <v>194.63</v>
      </c>
      <c r="G1264" s="7" t="n">
        <v>4</v>
      </c>
      <c r="H1264" s="9" t="n">
        <f aca="false">IF(G1264&gt;0,D1264/G1264,"")</f>
        <v>561.75</v>
      </c>
      <c r="I1264" s="10" t="n">
        <v>46316</v>
      </c>
      <c r="J1264" s="3" t="s">
        <v>1240</v>
      </c>
      <c r="K1264" s="10" t="n">
        <v>44622</v>
      </c>
      <c r="L1264" s="3" t="s">
        <v>15</v>
      </c>
      <c r="M1264" s="7" t="n">
        <v>0</v>
      </c>
      <c r="N1264" s="8" t="n">
        <v>0.14999</v>
      </c>
      <c r="O1264" s="4" t="n">
        <v>0</v>
      </c>
    </row>
    <row r="1265" customFormat="false" ht="15" hidden="false" customHeight="false" outlineLevel="0" collapsed="false">
      <c r="A1265" s="0" t="s">
        <v>2059</v>
      </c>
      <c r="C1265" s="0" t="s">
        <v>889</v>
      </c>
      <c r="D1265" s="7" t="n">
        <v>1967</v>
      </c>
      <c r="E1265" s="8" t="n">
        <v>0.0988815455007626</v>
      </c>
      <c r="F1265" s="4" t="n">
        <f aca="false">D1265*E1265</f>
        <v>194.5</v>
      </c>
      <c r="G1265" s="7" t="n">
        <v>463</v>
      </c>
      <c r="H1265" s="9" t="n">
        <f aca="false">IF(G1265&gt;0,D1265/G1265,"")</f>
        <v>4.24838012958963</v>
      </c>
      <c r="I1265" s="10" t="n">
        <v>46301</v>
      </c>
      <c r="J1265" s="3" t="s">
        <v>1959</v>
      </c>
      <c r="K1265" s="10" t="n">
        <v>46164</v>
      </c>
      <c r="L1265" s="3" t="s">
        <v>15</v>
      </c>
      <c r="M1265" s="7" t="n">
        <v>2430</v>
      </c>
      <c r="N1265" s="8" t="n">
        <v>0.09888</v>
      </c>
      <c r="O1265" s="4" t="n">
        <f aca="false">M1265*N1265</f>
        <v>240.2784</v>
      </c>
    </row>
    <row r="1266" customFormat="false" ht="15" hidden="false" customHeight="false" outlineLevel="0" collapsed="false">
      <c r="A1266" s="0" t="s">
        <v>2060</v>
      </c>
      <c r="C1266" s="0" t="s">
        <v>360</v>
      </c>
      <c r="D1266" s="7" t="n">
        <v>3703</v>
      </c>
      <c r="E1266" s="8" t="n">
        <v>0.0525114771806643</v>
      </c>
      <c r="F1266" s="4" t="n">
        <f aca="false">D1266*E1266</f>
        <v>194.45</v>
      </c>
      <c r="G1266" s="7" t="n">
        <v>25</v>
      </c>
      <c r="H1266" s="9" t="n">
        <f aca="false">IF(G1266&gt;0,D1266/G1266,"")</f>
        <v>148.12</v>
      </c>
      <c r="I1266" s="10" t="n">
        <v>46190</v>
      </c>
      <c r="J1266" s="3" t="s">
        <v>1767</v>
      </c>
      <c r="K1266" s="10" t="n">
        <v>44291</v>
      </c>
      <c r="L1266" s="3" t="s">
        <v>15</v>
      </c>
      <c r="M1266" s="7" t="n">
        <v>4000</v>
      </c>
      <c r="N1266" s="8" t="n">
        <v>0.05251</v>
      </c>
      <c r="O1266" s="4" t="n">
        <f aca="false">M1266*N1266</f>
        <v>210.04</v>
      </c>
    </row>
    <row r="1267" customFormat="false" ht="15" hidden="false" customHeight="false" outlineLevel="0" collapsed="false">
      <c r="A1267" s="0" t="s">
        <v>2061</v>
      </c>
      <c r="C1267" s="0" t="s">
        <v>31</v>
      </c>
      <c r="D1267" s="7" t="n">
        <v>27769</v>
      </c>
      <c r="E1267" s="8" t="n">
        <v>0.00699989196586121</v>
      </c>
      <c r="F1267" s="4" t="n">
        <f aca="false">D1267*E1267</f>
        <v>194.38</v>
      </c>
      <c r="G1267" s="7" t="n">
        <v>21</v>
      </c>
      <c r="H1267" s="9" t="n">
        <f aca="false">IF(G1267&gt;0,D1267/G1267,"")</f>
        <v>1322.33333333333</v>
      </c>
      <c r="I1267" s="10" t="n">
        <v>46203</v>
      </c>
      <c r="K1267" s="10"/>
      <c r="M1267" s="7"/>
      <c r="N1267" s="8"/>
      <c r="O1267" s="4"/>
    </row>
    <row r="1268" customFormat="false" ht="15" hidden="false" customHeight="false" outlineLevel="0" collapsed="false">
      <c r="A1268" s="0" t="s">
        <v>2062</v>
      </c>
      <c r="C1268" s="0" t="s">
        <v>31</v>
      </c>
      <c r="D1268" s="7" t="n">
        <v>6303</v>
      </c>
      <c r="E1268" s="8" t="n">
        <v>0.0308075519593844</v>
      </c>
      <c r="F1268" s="4" t="n">
        <f aca="false">D1268*E1268</f>
        <v>194.18</v>
      </c>
      <c r="G1268" s="7" t="n">
        <v>73</v>
      </c>
      <c r="H1268" s="9" t="n">
        <f aca="false">IF(G1268&gt;0,D1268/G1268,"")</f>
        <v>86.3424657534247</v>
      </c>
      <c r="I1268" s="10" t="n">
        <v>46195</v>
      </c>
      <c r="J1268" s="3" t="s">
        <v>2001</v>
      </c>
      <c r="K1268" s="10" t="n">
        <v>45553</v>
      </c>
      <c r="L1268" s="3" t="s">
        <v>15</v>
      </c>
      <c r="M1268" s="7" t="n">
        <v>6935</v>
      </c>
      <c r="N1268" s="8" t="n">
        <v>0.03081</v>
      </c>
      <c r="O1268" s="4" t="n">
        <f aca="false">M1268*N1268</f>
        <v>213.66735</v>
      </c>
    </row>
    <row r="1269" customFormat="false" ht="15" hidden="false" customHeight="false" outlineLevel="0" collapsed="false">
      <c r="A1269" s="0" t="s">
        <v>2063</v>
      </c>
      <c r="D1269" s="7" t="n">
        <v>41225</v>
      </c>
      <c r="E1269" s="8" t="n">
        <v>0.00470976349302608</v>
      </c>
      <c r="F1269" s="4" t="n">
        <f aca="false">D1269*E1269</f>
        <v>194.16</v>
      </c>
      <c r="G1269" s="7" t="n">
        <v>134</v>
      </c>
      <c r="H1269" s="9" t="n">
        <f aca="false">IF(G1269&gt;0,D1269/G1269,"")</f>
        <v>307.649253731343</v>
      </c>
      <c r="I1269" s="10" t="n">
        <v>46294</v>
      </c>
      <c r="K1269" s="10"/>
      <c r="M1269" s="7"/>
      <c r="N1269" s="8"/>
      <c r="O1269" s="4"/>
    </row>
    <row r="1270" customFormat="false" ht="15" hidden="false" customHeight="false" outlineLevel="0" collapsed="false">
      <c r="A1270" s="0" t="s">
        <v>2064</v>
      </c>
      <c r="C1270" s="0" t="s">
        <v>95</v>
      </c>
      <c r="D1270" s="7" t="n">
        <v>1540</v>
      </c>
      <c r="E1270" s="8" t="n">
        <v>0.126</v>
      </c>
      <c r="F1270" s="4" t="n">
        <f aca="false">D1270*E1270</f>
        <v>194.04</v>
      </c>
      <c r="G1270" s="7" t="n">
        <v>60</v>
      </c>
      <c r="H1270" s="9" t="n">
        <f aca="false">IF(G1270&gt;0,D1270/G1270,"")</f>
        <v>25.6666666666667</v>
      </c>
      <c r="I1270" s="10" t="n">
        <v>46104</v>
      </c>
      <c r="J1270" s="3" t="s">
        <v>639</v>
      </c>
      <c r="K1270" s="10" t="n">
        <v>46038</v>
      </c>
      <c r="L1270" s="3" t="s">
        <v>25</v>
      </c>
      <c r="M1270" s="7" t="n">
        <v>1600</v>
      </c>
      <c r="N1270" s="8" t="n">
        <v>0.126</v>
      </c>
      <c r="O1270" s="4" t="n">
        <f aca="false">M1270*N1270</f>
        <v>201.6</v>
      </c>
    </row>
    <row r="1271" customFormat="false" ht="15" hidden="false" customHeight="false" outlineLevel="0" collapsed="false">
      <c r="A1271" s="0" t="s">
        <v>2065</v>
      </c>
      <c r="C1271" s="0" t="s">
        <v>41</v>
      </c>
      <c r="D1271" s="7" t="n">
        <v>2925</v>
      </c>
      <c r="E1271" s="8" t="n">
        <v>0.0663282051282051</v>
      </c>
      <c r="F1271" s="4" t="n">
        <f aca="false">D1271*E1271</f>
        <v>194.01</v>
      </c>
      <c r="G1271" s="7" t="n">
        <v>50</v>
      </c>
      <c r="H1271" s="9" t="n">
        <f aca="false">IF(G1271&gt;0,D1271/G1271,"")</f>
        <v>58.5</v>
      </c>
      <c r="I1271" s="10" t="n">
        <v>46140</v>
      </c>
      <c r="K1271" s="10"/>
      <c r="M1271" s="7"/>
      <c r="N1271" s="8"/>
      <c r="O1271" s="4"/>
    </row>
    <row r="1272" customFormat="false" ht="15" hidden="false" customHeight="false" outlineLevel="0" collapsed="false">
      <c r="A1272" s="0" t="s">
        <v>2066</v>
      </c>
      <c r="C1272" s="0" t="s">
        <v>31</v>
      </c>
      <c r="D1272" s="7" t="n">
        <v>3382</v>
      </c>
      <c r="E1272" s="8" t="n">
        <v>0.0573595505617978</v>
      </c>
      <c r="F1272" s="4" t="n">
        <f aca="false">D1272*E1272</f>
        <v>193.99</v>
      </c>
      <c r="G1272" s="7" t="n">
        <v>100</v>
      </c>
      <c r="H1272" s="9" t="n">
        <f aca="false">IF(G1272&gt;0,D1272/G1272,"")</f>
        <v>33.82</v>
      </c>
      <c r="I1272" s="10" t="n">
        <v>46259</v>
      </c>
      <c r="J1272" s="3" t="s">
        <v>1140</v>
      </c>
      <c r="K1272" s="10" t="n">
        <v>45614</v>
      </c>
      <c r="L1272" s="3" t="s">
        <v>15</v>
      </c>
      <c r="M1272" s="7" t="n">
        <v>3500</v>
      </c>
      <c r="N1272" s="8" t="n">
        <v>0.05736</v>
      </c>
      <c r="O1272" s="4" t="n">
        <f aca="false">M1272*N1272</f>
        <v>200.76</v>
      </c>
    </row>
    <row r="1273" customFormat="false" ht="15" hidden="false" customHeight="false" outlineLevel="0" collapsed="false">
      <c r="A1273" s="0" t="s">
        <v>2067</v>
      </c>
      <c r="C1273" s="0" t="s">
        <v>37</v>
      </c>
      <c r="D1273" s="7" t="n">
        <v>8440</v>
      </c>
      <c r="E1273" s="8" t="n">
        <v>0.0229810426540284</v>
      </c>
      <c r="F1273" s="4" t="n">
        <f aca="false">D1273*E1273</f>
        <v>193.96</v>
      </c>
      <c r="G1273" s="7" t="n">
        <v>135</v>
      </c>
      <c r="H1273" s="9" t="n">
        <f aca="false">IF(G1273&gt;0,D1273/G1273,"")</f>
        <v>62.5185185185185</v>
      </c>
      <c r="I1273" s="10" t="n">
        <v>46304</v>
      </c>
      <c r="J1273" s="3" t="s">
        <v>1936</v>
      </c>
      <c r="K1273" s="10" t="n">
        <v>45057</v>
      </c>
      <c r="L1273" s="3" t="s">
        <v>15</v>
      </c>
      <c r="M1273" s="7" t="n">
        <v>8750</v>
      </c>
      <c r="N1273" s="8" t="n">
        <v>0.02298</v>
      </c>
      <c r="O1273" s="4" t="n">
        <f aca="false">M1273*N1273</f>
        <v>201.075</v>
      </c>
    </row>
    <row r="1274" customFormat="false" ht="15" hidden="false" customHeight="false" outlineLevel="0" collapsed="false">
      <c r="A1274" s="0" t="s">
        <v>2068</v>
      </c>
      <c r="C1274" s="0" t="s">
        <v>37</v>
      </c>
      <c r="D1274" s="7" t="n">
        <v>2147</v>
      </c>
      <c r="E1274" s="8" t="n">
        <v>0.09026082906381</v>
      </c>
      <c r="F1274" s="4" t="n">
        <f aca="false">D1274*E1274</f>
        <v>193.79</v>
      </c>
      <c r="G1274" s="7" t="n">
        <v>35</v>
      </c>
      <c r="H1274" s="9" t="n">
        <f aca="false">IF(G1274&gt;0,D1274/G1274,"")</f>
        <v>61.3428571428571</v>
      </c>
      <c r="I1274" s="10" t="n">
        <v>46304</v>
      </c>
      <c r="J1274" s="3" t="s">
        <v>1936</v>
      </c>
      <c r="K1274" s="10" t="n">
        <v>45057</v>
      </c>
      <c r="L1274" s="3" t="s">
        <v>15</v>
      </c>
      <c r="M1274" s="7" t="n">
        <v>2205</v>
      </c>
      <c r="N1274" s="8" t="n">
        <v>0.09026</v>
      </c>
      <c r="O1274" s="4" t="n">
        <f aca="false">M1274*N1274</f>
        <v>199.0233</v>
      </c>
    </row>
    <row r="1275" customFormat="false" ht="15" hidden="false" customHeight="false" outlineLevel="0" collapsed="false">
      <c r="A1275" s="0" t="s">
        <v>2069</v>
      </c>
      <c r="C1275" s="0" t="s">
        <v>31</v>
      </c>
      <c r="D1275" s="7" t="n">
        <v>91858</v>
      </c>
      <c r="E1275" s="8" t="n">
        <v>0.00210901609005204</v>
      </c>
      <c r="F1275" s="4" t="n">
        <f aca="false">D1275*E1275</f>
        <v>193.73</v>
      </c>
      <c r="G1275" s="7" t="n">
        <v>700</v>
      </c>
      <c r="H1275" s="9" t="n">
        <f aca="false">IF(G1275&gt;0,D1275/G1275,"")</f>
        <v>131.225714285714</v>
      </c>
      <c r="I1275" s="10" t="n">
        <v>46247</v>
      </c>
      <c r="K1275" s="10"/>
      <c r="M1275" s="7"/>
      <c r="N1275" s="8"/>
      <c r="O1275" s="4"/>
    </row>
    <row r="1276" customFormat="false" ht="15" hidden="false" customHeight="false" outlineLevel="0" collapsed="false">
      <c r="A1276" s="0" t="s">
        <v>2070</v>
      </c>
      <c r="C1276" s="0" t="s">
        <v>40</v>
      </c>
      <c r="D1276" s="7" t="n">
        <v>389</v>
      </c>
      <c r="E1276" s="8" t="n">
        <v>0.497892030848329</v>
      </c>
      <c r="F1276" s="4" t="n">
        <f aca="false">D1276*E1276</f>
        <v>193.68</v>
      </c>
      <c r="G1276" s="7" t="n">
        <v>52</v>
      </c>
      <c r="H1276" s="9" t="n">
        <f aca="false">IF(G1276&gt;0,D1276/G1276,"")</f>
        <v>7.48076923076923</v>
      </c>
      <c r="I1276" s="10" t="n">
        <v>46280</v>
      </c>
      <c r="J1276" s="3" t="s">
        <v>2071</v>
      </c>
      <c r="K1276" s="10" t="n">
        <v>44285</v>
      </c>
      <c r="L1276" s="3" t="s">
        <v>18</v>
      </c>
      <c r="M1276" s="7" t="n">
        <v>536</v>
      </c>
      <c r="N1276" s="8" t="n">
        <v>0.4979</v>
      </c>
      <c r="O1276" s="4" t="n">
        <f aca="false">M1276*N1276</f>
        <v>266.8744</v>
      </c>
    </row>
    <row r="1277" customFormat="false" ht="15" hidden="false" customHeight="false" outlineLevel="0" collapsed="false">
      <c r="A1277" s="0" t="s">
        <v>2072</v>
      </c>
      <c r="C1277" s="0" t="s">
        <v>85</v>
      </c>
      <c r="D1277" s="7" t="n">
        <v>281</v>
      </c>
      <c r="E1277" s="8" t="n">
        <v>0.688540925266904</v>
      </c>
      <c r="F1277" s="4" t="n">
        <f aca="false">D1277*E1277</f>
        <v>193.48</v>
      </c>
      <c r="G1277" s="7" t="n">
        <v>135</v>
      </c>
      <c r="H1277" s="9" t="n">
        <f aca="false">IF(G1277&gt;0,D1277/G1277,"")</f>
        <v>2.08148148148148</v>
      </c>
      <c r="I1277" s="10" t="n">
        <v>46147</v>
      </c>
      <c r="J1277" s="3" t="s">
        <v>2073</v>
      </c>
      <c r="K1277" s="10" t="n">
        <v>46231</v>
      </c>
      <c r="L1277" s="3" t="s">
        <v>16</v>
      </c>
      <c r="M1277" s="7" t="n">
        <v>656</v>
      </c>
      <c r="N1277" s="8" t="n">
        <v>0.23228658</v>
      </c>
      <c r="O1277" s="4" t="n">
        <f aca="false">M1277*N1277</f>
        <v>152.37999648</v>
      </c>
    </row>
    <row r="1278" customFormat="false" ht="15" hidden="false" customHeight="false" outlineLevel="0" collapsed="false">
      <c r="A1278" s="0" t="s">
        <v>2074</v>
      </c>
      <c r="C1278" s="0" t="s">
        <v>36</v>
      </c>
      <c r="D1278" s="7" t="n">
        <v>241</v>
      </c>
      <c r="E1278" s="8" t="n">
        <v>0.802116182572614</v>
      </c>
      <c r="F1278" s="4" t="n">
        <f aca="false">D1278*E1278</f>
        <v>193.31</v>
      </c>
      <c r="G1278" s="7" t="n">
        <v>6</v>
      </c>
      <c r="H1278" s="9" t="n">
        <f aca="false">IF(G1278&gt;0,D1278/G1278,"")</f>
        <v>40.1666666666667</v>
      </c>
      <c r="I1278" s="10" t="n">
        <v>46126</v>
      </c>
      <c r="J1278" s="3" t="s">
        <v>2075</v>
      </c>
      <c r="K1278" s="10" t="n">
        <v>44333</v>
      </c>
      <c r="L1278" s="3" t="s">
        <v>19</v>
      </c>
      <c r="M1278" s="7" t="n">
        <v>503</v>
      </c>
      <c r="N1278" s="8" t="n">
        <v>0.8021</v>
      </c>
      <c r="O1278" s="4" t="n">
        <f aca="false">M1278*N1278</f>
        <v>403.4563</v>
      </c>
    </row>
    <row r="1279" customFormat="false" ht="15" hidden="false" customHeight="false" outlineLevel="0" collapsed="false">
      <c r="A1279" s="0" t="s">
        <v>2076</v>
      </c>
      <c r="C1279" s="0" t="s">
        <v>398</v>
      </c>
      <c r="D1279" s="7" t="n">
        <v>3928</v>
      </c>
      <c r="E1279" s="8" t="n">
        <v>0.0491929735234216</v>
      </c>
      <c r="F1279" s="4" t="n">
        <f aca="false">D1279*E1279</f>
        <v>193.23</v>
      </c>
      <c r="G1279" s="7" t="n">
        <v>91</v>
      </c>
      <c r="H1279" s="9" t="n">
        <f aca="false">IF(G1279&gt;0,D1279/G1279,"")</f>
        <v>43.1648351648352</v>
      </c>
      <c r="I1279" s="10" t="n">
        <v>46286</v>
      </c>
      <c r="J1279" s="3" t="s">
        <v>2077</v>
      </c>
      <c r="K1279" s="10" t="n">
        <v>45457</v>
      </c>
      <c r="L1279" s="3" t="s">
        <v>16</v>
      </c>
      <c r="M1279" s="7" t="n">
        <v>5000</v>
      </c>
      <c r="N1279" s="8" t="n">
        <v>0.0492</v>
      </c>
      <c r="O1279" s="4" t="n">
        <f aca="false">M1279*N1279</f>
        <v>246</v>
      </c>
    </row>
    <row r="1280" customFormat="false" ht="15" hidden="false" customHeight="false" outlineLevel="0" collapsed="false">
      <c r="A1280" s="0" t="s">
        <v>2078</v>
      </c>
      <c r="C1280" s="0" t="s">
        <v>889</v>
      </c>
      <c r="D1280" s="7" t="n">
        <v>670</v>
      </c>
      <c r="E1280" s="8" t="n">
        <v>0.288268656716418</v>
      </c>
      <c r="F1280" s="4" t="n">
        <f aca="false">D1280*E1280</f>
        <v>193.14</v>
      </c>
      <c r="G1280" s="7" t="n">
        <v>35</v>
      </c>
      <c r="H1280" s="9" t="n">
        <f aca="false">IF(G1280&gt;0,D1280/G1280,"")</f>
        <v>19.1428571428571</v>
      </c>
      <c r="I1280" s="10" t="n">
        <v>46108</v>
      </c>
      <c r="J1280" s="3" t="s">
        <v>1942</v>
      </c>
      <c r="K1280" s="10" t="n">
        <v>44259</v>
      </c>
      <c r="L1280" s="3" t="s">
        <v>15</v>
      </c>
      <c r="M1280" s="7" t="n">
        <v>750</v>
      </c>
      <c r="N1280" s="8" t="n">
        <v>0.27006</v>
      </c>
      <c r="O1280" s="4" t="n">
        <f aca="false">M1280*N1280</f>
        <v>202.545</v>
      </c>
    </row>
    <row r="1281" customFormat="false" ht="15" hidden="false" customHeight="false" outlineLevel="0" collapsed="false">
      <c r="A1281" s="0" t="s">
        <v>2079</v>
      </c>
      <c r="C1281" s="0" t="s">
        <v>34</v>
      </c>
      <c r="D1281" s="7" t="n">
        <v>1626</v>
      </c>
      <c r="E1281" s="8" t="n">
        <v>0.118776137761378</v>
      </c>
      <c r="F1281" s="4" t="n">
        <f aca="false">D1281*E1281</f>
        <v>193.13</v>
      </c>
      <c r="G1281" s="7" t="n">
        <v>195</v>
      </c>
      <c r="H1281" s="9" t="n">
        <f aca="false">IF(G1281&gt;0,D1281/G1281,"")</f>
        <v>8.33846153846154</v>
      </c>
      <c r="I1281" s="10" t="n">
        <v>46265</v>
      </c>
      <c r="K1281" s="10"/>
      <c r="M1281" s="7"/>
      <c r="N1281" s="8"/>
      <c r="O1281" s="4"/>
    </row>
    <row r="1282" customFormat="false" ht="15" hidden="false" customHeight="false" outlineLevel="0" collapsed="false">
      <c r="A1282" s="0" t="s">
        <v>2080</v>
      </c>
      <c r="C1282" s="0" t="s">
        <v>31</v>
      </c>
      <c r="D1282" s="7" t="n">
        <v>71526</v>
      </c>
      <c r="E1282" s="8" t="n">
        <v>0.00269985739451388</v>
      </c>
      <c r="F1282" s="4" t="n">
        <f aca="false">D1282*E1282</f>
        <v>193.11</v>
      </c>
      <c r="G1282" s="7" t="n">
        <v>18493</v>
      </c>
      <c r="H1282" s="9" t="n">
        <f aca="false">IF(G1282&gt;0,D1282/G1282,"")</f>
        <v>3.86773373708971</v>
      </c>
      <c r="I1282" s="10" t="n">
        <v>46311</v>
      </c>
      <c r="J1282" s="3" t="s">
        <v>1565</v>
      </c>
      <c r="K1282" s="10" t="n">
        <v>45516</v>
      </c>
      <c r="L1282" s="3" t="s">
        <v>16</v>
      </c>
      <c r="M1282" s="7" t="n">
        <v>100000</v>
      </c>
      <c r="N1282" s="8" t="n">
        <v>0.0027</v>
      </c>
      <c r="O1282" s="4" t="n">
        <f aca="false">M1282*N1282</f>
        <v>270</v>
      </c>
    </row>
    <row r="1283" customFormat="false" ht="15" hidden="false" customHeight="false" outlineLevel="0" collapsed="false">
      <c r="A1283" s="0" t="s">
        <v>2081</v>
      </c>
      <c r="C1283" s="0" t="s">
        <v>285</v>
      </c>
      <c r="D1283" s="7" t="n">
        <v>26200</v>
      </c>
      <c r="E1283" s="8" t="n">
        <v>0.00736946564885496</v>
      </c>
      <c r="F1283" s="4" t="n">
        <f aca="false">D1283*E1283</f>
        <v>193.08</v>
      </c>
      <c r="G1283" s="7" t="n">
        <v>250</v>
      </c>
      <c r="H1283" s="9" t="n">
        <f aca="false">IF(G1283&gt;0,D1283/G1283,"")</f>
        <v>104.8</v>
      </c>
      <c r="I1283" s="10" t="n">
        <v>46310</v>
      </c>
      <c r="J1283" s="3" t="s">
        <v>2082</v>
      </c>
      <c r="K1283" s="10" t="n">
        <v>45702</v>
      </c>
      <c r="L1283" s="3" t="s">
        <v>15</v>
      </c>
      <c r="M1283" s="7" t="n">
        <v>32200</v>
      </c>
      <c r="N1283" s="8" t="n">
        <v>0.00737</v>
      </c>
      <c r="O1283" s="4" t="n">
        <f aca="false">M1283*N1283</f>
        <v>237.314</v>
      </c>
    </row>
    <row r="1284" customFormat="false" ht="15" hidden="false" customHeight="false" outlineLevel="0" collapsed="false">
      <c r="A1284" s="0" t="s">
        <v>2083</v>
      </c>
      <c r="C1284" s="0" t="s">
        <v>41</v>
      </c>
      <c r="D1284" s="7" t="n">
        <v>6889</v>
      </c>
      <c r="E1284" s="8" t="n">
        <v>0.0279997096821019</v>
      </c>
      <c r="F1284" s="4" t="n">
        <f aca="false">D1284*E1284</f>
        <v>192.89</v>
      </c>
      <c r="G1284" s="7" t="n">
        <v>102</v>
      </c>
      <c r="H1284" s="9" t="n">
        <f aca="false">IF(G1284&gt;0,D1284/G1284,"")</f>
        <v>67.5392156862745</v>
      </c>
      <c r="I1284" s="10" t="n">
        <v>46044</v>
      </c>
      <c r="J1284" s="3" t="s">
        <v>178</v>
      </c>
      <c r="K1284" s="10" t="n">
        <v>44301</v>
      </c>
      <c r="L1284" s="3" t="s">
        <v>15</v>
      </c>
      <c r="M1284" s="7" t="n">
        <v>7189</v>
      </c>
      <c r="N1284" s="8" t="n">
        <v>0.028</v>
      </c>
      <c r="O1284" s="4" t="n">
        <f aca="false">M1284*N1284</f>
        <v>201.292</v>
      </c>
    </row>
    <row r="1285" customFormat="false" ht="15" hidden="false" customHeight="false" outlineLevel="0" collapsed="false">
      <c r="A1285" s="0" t="s">
        <v>2084</v>
      </c>
      <c r="C1285" s="0" t="s">
        <v>37</v>
      </c>
      <c r="D1285" s="7" t="n">
        <v>5340</v>
      </c>
      <c r="E1285" s="8" t="n">
        <v>0.036121722846442</v>
      </c>
      <c r="F1285" s="4" t="n">
        <f aca="false">D1285*E1285</f>
        <v>192.89</v>
      </c>
      <c r="G1285" s="7" t="n">
        <v>30</v>
      </c>
      <c r="H1285" s="9" t="n">
        <f aca="false">IF(G1285&gt;0,D1285/G1285,"")</f>
        <v>178</v>
      </c>
      <c r="I1285" s="10" t="n">
        <v>45996</v>
      </c>
      <c r="J1285" s="3" t="s">
        <v>1684</v>
      </c>
      <c r="K1285" s="10" t="n">
        <v>45755</v>
      </c>
      <c r="L1285" s="3" t="s">
        <v>15</v>
      </c>
      <c r="M1285" s="7" t="n">
        <v>5970</v>
      </c>
      <c r="N1285" s="8" t="n">
        <v>0.03612</v>
      </c>
      <c r="O1285" s="4" t="n">
        <f aca="false">M1285*N1285</f>
        <v>215.6364</v>
      </c>
    </row>
    <row r="1286" customFormat="false" ht="15" hidden="false" customHeight="false" outlineLevel="0" collapsed="false">
      <c r="A1286" s="0" t="s">
        <v>2085</v>
      </c>
      <c r="C1286" s="0" t="s">
        <v>31</v>
      </c>
      <c r="D1286" s="7" t="n">
        <v>3934</v>
      </c>
      <c r="E1286" s="8" t="n">
        <v>0.0490010167768175</v>
      </c>
      <c r="F1286" s="4" t="n">
        <f aca="false">D1286*E1286</f>
        <v>192.77</v>
      </c>
      <c r="G1286" s="7" t="n">
        <v>697</v>
      </c>
      <c r="H1286" s="9" t="n">
        <f aca="false">IF(G1286&gt;0,D1286/G1286,"")</f>
        <v>5.6441893830703</v>
      </c>
      <c r="I1286" s="10" t="n">
        <v>46295</v>
      </c>
      <c r="J1286" s="3" t="s">
        <v>2086</v>
      </c>
      <c r="K1286" s="10" t="n">
        <v>45021</v>
      </c>
      <c r="L1286" s="3" t="s">
        <v>19</v>
      </c>
      <c r="M1286" s="7" t="n">
        <v>6000</v>
      </c>
      <c r="N1286" s="8" t="n">
        <v>0.049</v>
      </c>
      <c r="O1286" s="4" t="n">
        <f aca="false">M1286*N1286</f>
        <v>294</v>
      </c>
    </row>
    <row r="1287" customFormat="false" ht="15" hidden="false" customHeight="false" outlineLevel="0" collapsed="false">
      <c r="A1287" s="0" t="s">
        <v>2087</v>
      </c>
      <c r="C1287" s="0" t="s">
        <v>34</v>
      </c>
      <c r="D1287" s="7" t="n">
        <v>29081</v>
      </c>
      <c r="E1287" s="8" t="n">
        <v>0.00662528798872116</v>
      </c>
      <c r="F1287" s="4" t="n">
        <f aca="false">D1287*E1287</f>
        <v>192.67</v>
      </c>
      <c r="G1287" s="7" t="n">
        <v>350</v>
      </c>
      <c r="H1287" s="9" t="n">
        <f aca="false">IF(G1287&gt;0,D1287/G1287,"")</f>
        <v>83.0885714285714</v>
      </c>
      <c r="I1287" s="10" t="n">
        <v>46154</v>
      </c>
      <c r="J1287" s="3" t="s">
        <v>2028</v>
      </c>
      <c r="K1287" s="10" t="n">
        <v>44343</v>
      </c>
      <c r="L1287" s="3" t="s">
        <v>15</v>
      </c>
      <c r="M1287" s="7" t="n">
        <v>30538</v>
      </c>
      <c r="N1287" s="8" t="n">
        <v>0.00726</v>
      </c>
      <c r="O1287" s="4" t="n">
        <v>203.28</v>
      </c>
    </row>
    <row r="1288" customFormat="false" ht="15" hidden="false" customHeight="false" outlineLevel="0" collapsed="false">
      <c r="A1288" s="0" t="s">
        <v>2088</v>
      </c>
      <c r="C1288" s="0" t="s">
        <v>36</v>
      </c>
      <c r="D1288" s="7" t="n">
        <v>15598</v>
      </c>
      <c r="E1288" s="8" t="n">
        <v>0.0123458135658418</v>
      </c>
      <c r="F1288" s="4" t="n">
        <f aca="false">D1288*E1288</f>
        <v>192.57</v>
      </c>
      <c r="G1288" s="7" t="n">
        <v>4913</v>
      </c>
      <c r="H1288" s="9" t="n">
        <f aca="false">IF(G1288&gt;0,D1288/G1288,"")</f>
        <v>3.1748422552412</v>
      </c>
      <c r="I1288" s="10" t="n">
        <v>46304</v>
      </c>
      <c r="J1288" s="3" t="s">
        <v>2089</v>
      </c>
      <c r="K1288" s="10" t="n">
        <v>45883</v>
      </c>
      <c r="L1288" s="3" t="s">
        <v>18</v>
      </c>
      <c r="M1288" s="7" t="n">
        <v>10000</v>
      </c>
      <c r="N1288" s="8" t="n">
        <v>0.016</v>
      </c>
      <c r="O1288" s="4" t="n">
        <f aca="false">M1288*N1288</f>
        <v>160</v>
      </c>
    </row>
    <row r="1289" customFormat="false" ht="15" hidden="false" customHeight="false" outlineLevel="0" collapsed="false">
      <c r="A1289" s="0" t="s">
        <v>2090</v>
      </c>
      <c r="C1289" s="0" t="s">
        <v>889</v>
      </c>
      <c r="D1289" s="7" t="n">
        <v>1530</v>
      </c>
      <c r="E1289" s="8" t="n">
        <v>0.125797385620915</v>
      </c>
      <c r="F1289" s="4" t="n">
        <f aca="false">D1289*E1289</f>
        <v>192.47</v>
      </c>
      <c r="G1289" s="7" t="n">
        <v>50</v>
      </c>
      <c r="H1289" s="9" t="n">
        <f aca="false">IF(G1289&gt;0,D1289/G1289,"")</f>
        <v>30.6</v>
      </c>
      <c r="I1289" s="10" t="n">
        <v>46071</v>
      </c>
      <c r="K1289" s="10"/>
      <c r="M1289" s="7"/>
      <c r="N1289" s="8"/>
      <c r="O1289" s="4"/>
    </row>
    <row r="1290" customFormat="false" ht="15" hidden="false" customHeight="false" outlineLevel="0" collapsed="false">
      <c r="A1290" s="0" t="s">
        <v>2091</v>
      </c>
      <c r="C1290" s="0" t="s">
        <v>889</v>
      </c>
      <c r="D1290" s="7" t="n">
        <v>1231</v>
      </c>
      <c r="E1290" s="8" t="n">
        <v>0.15625507717303</v>
      </c>
      <c r="F1290" s="4" t="n">
        <f aca="false">D1290*E1290</f>
        <v>192.35</v>
      </c>
      <c r="G1290" s="7" t="n">
        <v>89</v>
      </c>
      <c r="H1290" s="9" t="n">
        <f aca="false">IF(G1290&gt;0,D1290/G1290,"")</f>
        <v>13.8314606741573</v>
      </c>
      <c r="I1290" s="10" t="n">
        <v>45965</v>
      </c>
      <c r="J1290" s="3" t="s">
        <v>1228</v>
      </c>
      <c r="K1290" s="10" t="n">
        <v>45852</v>
      </c>
      <c r="L1290" s="3" t="s">
        <v>15</v>
      </c>
      <c r="M1290" s="7" t="n">
        <v>1320</v>
      </c>
      <c r="N1290" s="8" t="n">
        <v>0.15626</v>
      </c>
      <c r="O1290" s="4" t="n">
        <f aca="false">M1290*N1290</f>
        <v>206.2632</v>
      </c>
    </row>
    <row r="1291" customFormat="false" ht="15" hidden="false" customHeight="false" outlineLevel="0" collapsed="false">
      <c r="A1291" s="0" t="s">
        <v>2092</v>
      </c>
      <c r="C1291" s="0" t="s">
        <v>31</v>
      </c>
      <c r="D1291" s="7" t="n">
        <v>9410</v>
      </c>
      <c r="E1291" s="8" t="n">
        <v>0.0204399574920298</v>
      </c>
      <c r="F1291" s="4" t="n">
        <f aca="false">D1291*E1291</f>
        <v>192.34</v>
      </c>
      <c r="G1291" s="7" t="n">
        <v>1018</v>
      </c>
      <c r="H1291" s="9" t="n">
        <f aca="false">IF(G1291&gt;0,D1291/G1291,"")</f>
        <v>9.24361493123772</v>
      </c>
      <c r="I1291" s="10" t="n">
        <v>46301</v>
      </c>
      <c r="J1291" s="3" t="s">
        <v>1110</v>
      </c>
      <c r="K1291" s="10" t="n">
        <v>46009</v>
      </c>
      <c r="L1291" s="3" t="s">
        <v>14</v>
      </c>
      <c r="M1291" s="7" t="n">
        <v>277</v>
      </c>
      <c r="N1291" s="8" t="n">
        <v>0.036</v>
      </c>
      <c r="O1291" s="4" t="n">
        <f aca="false">M1291*N1291</f>
        <v>9.972</v>
      </c>
    </row>
    <row r="1292" customFormat="false" ht="15" hidden="false" customHeight="false" outlineLevel="0" collapsed="false">
      <c r="A1292" s="0" t="s">
        <v>2093</v>
      </c>
      <c r="C1292" s="0" t="s">
        <v>31</v>
      </c>
      <c r="D1292" s="7" t="n">
        <v>87729</v>
      </c>
      <c r="E1292" s="8" t="n">
        <v>0.00219015376899315</v>
      </c>
      <c r="F1292" s="4" t="n">
        <f aca="false">D1292*E1292</f>
        <v>192.14</v>
      </c>
      <c r="G1292" s="7" t="n">
        <v>300</v>
      </c>
      <c r="H1292" s="9" t="n">
        <f aca="false">IF(G1292&gt;0,D1292/G1292,"")</f>
        <v>292.43</v>
      </c>
      <c r="I1292" s="10" t="n">
        <v>46210</v>
      </c>
      <c r="K1292" s="10"/>
      <c r="M1292" s="7"/>
      <c r="N1292" s="8"/>
      <c r="O1292" s="4"/>
    </row>
    <row r="1293" customFormat="false" ht="15" hidden="false" customHeight="false" outlineLevel="0" collapsed="false">
      <c r="A1293" s="0" t="s">
        <v>2094</v>
      </c>
      <c r="C1293" s="0" t="s">
        <v>41</v>
      </c>
      <c r="D1293" s="7" t="n">
        <v>2167</v>
      </c>
      <c r="E1293" s="8" t="n">
        <v>0.0886063682510383</v>
      </c>
      <c r="F1293" s="4" t="n">
        <f aca="false">D1293*E1293</f>
        <v>192.01</v>
      </c>
      <c r="G1293" s="7" t="n">
        <v>3</v>
      </c>
      <c r="H1293" s="9" t="n">
        <f aca="false">IF(G1293&gt;0,D1293/G1293,"")</f>
        <v>722.333333333333</v>
      </c>
      <c r="I1293" s="10" t="n">
        <v>46225</v>
      </c>
      <c r="K1293" s="10"/>
      <c r="M1293" s="7"/>
      <c r="N1293" s="8"/>
      <c r="O1293" s="4"/>
    </row>
    <row r="1294" customFormat="false" ht="15" hidden="false" customHeight="false" outlineLevel="0" collapsed="false">
      <c r="A1294" s="0" t="s">
        <v>2095</v>
      </c>
      <c r="C1294" s="0" t="s">
        <v>41</v>
      </c>
      <c r="D1294" s="7" t="n">
        <v>31930</v>
      </c>
      <c r="E1294" s="8" t="n">
        <v>0.00601064829314125</v>
      </c>
      <c r="F1294" s="4" t="n">
        <f aca="false">D1294*E1294</f>
        <v>191.92</v>
      </c>
      <c r="G1294" s="7" t="n">
        <v>672</v>
      </c>
      <c r="H1294" s="9" t="n">
        <f aca="false">IF(G1294&gt;0,D1294/G1294,"")</f>
        <v>47.514880952381</v>
      </c>
      <c r="I1294" s="10" t="n">
        <v>46171</v>
      </c>
      <c r="K1294" s="10"/>
      <c r="M1294" s="7"/>
      <c r="N1294" s="8"/>
      <c r="O1294" s="4"/>
    </row>
    <row r="1295" customFormat="false" ht="15" hidden="false" customHeight="false" outlineLevel="0" collapsed="false">
      <c r="A1295" s="0" t="s">
        <v>2096</v>
      </c>
      <c r="C1295" s="0" t="s">
        <v>34</v>
      </c>
      <c r="D1295" s="7" t="n">
        <v>1077</v>
      </c>
      <c r="E1295" s="8" t="n">
        <v>0.178198700092851</v>
      </c>
      <c r="F1295" s="4" t="n">
        <f aca="false">D1295*E1295</f>
        <v>191.92</v>
      </c>
      <c r="G1295" s="7" t="n">
        <v>190</v>
      </c>
      <c r="H1295" s="9" t="n">
        <f aca="false">IF(G1295&gt;0,D1295/G1295,"")</f>
        <v>5.66842105263158</v>
      </c>
      <c r="I1295" s="10" t="n">
        <v>46275</v>
      </c>
      <c r="J1295" s="3" t="s">
        <v>2097</v>
      </c>
      <c r="K1295" s="10" t="n">
        <v>44351</v>
      </c>
      <c r="L1295" s="3" t="s">
        <v>16</v>
      </c>
      <c r="M1295" s="7" t="n">
        <v>1500</v>
      </c>
      <c r="N1295" s="8" t="n">
        <v>0.1782</v>
      </c>
      <c r="O1295" s="4" t="n">
        <f aca="false">M1295*N1295</f>
        <v>267.3</v>
      </c>
    </row>
    <row r="1296" customFormat="false" ht="15" hidden="false" customHeight="false" outlineLevel="0" collapsed="false">
      <c r="A1296" s="0" t="s">
        <v>2098</v>
      </c>
      <c r="D1296" s="7" t="n">
        <v>2250</v>
      </c>
      <c r="E1296" s="8" t="n">
        <v>0.0852977777777778</v>
      </c>
      <c r="F1296" s="4" t="n">
        <f aca="false">D1296*E1296</f>
        <v>191.92</v>
      </c>
      <c r="G1296" s="7" t="n">
        <v>100</v>
      </c>
      <c r="H1296" s="9" t="n">
        <f aca="false">IF(G1296&gt;0,D1296/G1296,"")</f>
        <v>22.5</v>
      </c>
      <c r="I1296" s="10" t="n">
        <v>46316</v>
      </c>
      <c r="J1296" s="3" t="s">
        <v>2099</v>
      </c>
      <c r="K1296" s="10" t="n">
        <v>45958</v>
      </c>
      <c r="L1296" s="3" t="s">
        <v>16</v>
      </c>
      <c r="M1296" s="7" t="n">
        <v>2350</v>
      </c>
      <c r="N1296" s="8" t="n">
        <v>0.0853</v>
      </c>
      <c r="O1296" s="4" t="n">
        <f aca="false">M1296*N1296</f>
        <v>200.455</v>
      </c>
    </row>
    <row r="1297" customFormat="false" ht="15" hidden="false" customHeight="false" outlineLevel="0" collapsed="false">
      <c r="A1297" s="0" t="s">
        <v>2100</v>
      </c>
      <c r="C1297" s="0" t="s">
        <v>1714</v>
      </c>
      <c r="D1297" s="7" t="n">
        <v>1728</v>
      </c>
      <c r="E1297" s="8" t="n">
        <v>0.110949074074074</v>
      </c>
      <c r="F1297" s="4" t="n">
        <f aca="false">D1297*E1297</f>
        <v>191.72</v>
      </c>
      <c r="G1297" s="7" t="n">
        <v>79</v>
      </c>
      <c r="H1297" s="9" t="n">
        <f aca="false">IF(G1297&gt;0,D1297/G1297,"")</f>
        <v>21.873417721519</v>
      </c>
      <c r="I1297" s="10" t="n">
        <v>46268</v>
      </c>
      <c r="J1297" s="3" t="s">
        <v>1724</v>
      </c>
      <c r="K1297" s="10" t="n">
        <v>45273</v>
      </c>
      <c r="L1297" s="3" t="s">
        <v>15</v>
      </c>
      <c r="M1297" s="7" t="n">
        <v>2013</v>
      </c>
      <c r="N1297" s="8" t="n">
        <v>0.11094</v>
      </c>
      <c r="O1297" s="4" t="n">
        <f aca="false">M1297*N1297</f>
        <v>223.32222</v>
      </c>
    </row>
    <row r="1298" customFormat="false" ht="15" hidden="false" customHeight="false" outlineLevel="0" collapsed="false">
      <c r="A1298" s="0" t="s">
        <v>2101</v>
      </c>
      <c r="C1298" s="0" t="s">
        <v>34</v>
      </c>
      <c r="D1298" s="7" t="n">
        <v>7190</v>
      </c>
      <c r="E1298" s="8" t="n">
        <v>0.0266550764951321</v>
      </c>
      <c r="F1298" s="4" t="n">
        <f aca="false">D1298*E1298</f>
        <v>191.65</v>
      </c>
      <c r="G1298" s="7" t="n">
        <v>750</v>
      </c>
      <c r="H1298" s="9" t="n">
        <f aca="false">IF(G1298&gt;0,D1298/G1298,"")</f>
        <v>9.58666666666667</v>
      </c>
      <c r="I1298" s="10" t="n">
        <v>46178</v>
      </c>
      <c r="J1298" s="3" t="s">
        <v>1192</v>
      </c>
      <c r="K1298" s="10" t="n">
        <v>45736</v>
      </c>
      <c r="L1298" s="3" t="s">
        <v>26</v>
      </c>
      <c r="M1298" s="7" t="n">
        <v>200</v>
      </c>
      <c r="N1298" s="8" t="n">
        <v>0.063</v>
      </c>
      <c r="O1298" s="4" t="n">
        <f aca="false">M1298*N1298</f>
        <v>12.6</v>
      </c>
    </row>
    <row r="1299" customFormat="false" ht="15" hidden="false" customHeight="false" outlineLevel="0" collapsed="false">
      <c r="A1299" s="0" t="s">
        <v>2102</v>
      </c>
      <c r="C1299" s="0" t="s">
        <v>37</v>
      </c>
      <c r="D1299" s="7" t="n">
        <v>6258</v>
      </c>
      <c r="E1299" s="8" t="n">
        <v>0.030612016618728</v>
      </c>
      <c r="F1299" s="4" t="n">
        <f aca="false">D1299*E1299</f>
        <v>191.57</v>
      </c>
      <c r="G1299" s="7" t="n">
        <v>111</v>
      </c>
      <c r="H1299" s="9" t="n">
        <f aca="false">IF(G1299&gt;0,D1299/G1299,"")</f>
        <v>56.3783783783784</v>
      </c>
      <c r="I1299" s="10" t="n">
        <v>46279</v>
      </c>
      <c r="J1299" s="3" t="s">
        <v>1936</v>
      </c>
      <c r="K1299" s="10" t="n">
        <v>45057</v>
      </c>
      <c r="L1299" s="3" t="s">
        <v>15</v>
      </c>
      <c r="M1299" s="7" t="n">
        <v>6550</v>
      </c>
      <c r="N1299" s="8" t="n">
        <v>0.03061</v>
      </c>
      <c r="O1299" s="4" t="n">
        <f aca="false">M1299*N1299</f>
        <v>200.4955</v>
      </c>
    </row>
    <row r="1300" customFormat="false" ht="15" hidden="false" customHeight="false" outlineLevel="0" collapsed="false">
      <c r="A1300" s="0" t="s">
        <v>2103</v>
      </c>
      <c r="C1300" s="0" t="s">
        <v>1017</v>
      </c>
      <c r="D1300" s="7" t="n">
        <v>758</v>
      </c>
      <c r="E1300" s="8" t="n">
        <v>0.252704485488127</v>
      </c>
      <c r="F1300" s="4" t="n">
        <f aca="false">D1300*E1300</f>
        <v>191.55</v>
      </c>
      <c r="G1300" s="7" t="n">
        <v>120</v>
      </c>
      <c r="H1300" s="9" t="n">
        <f aca="false">IF(G1300&gt;0,D1300/G1300,"")</f>
        <v>6.31666666666667</v>
      </c>
      <c r="I1300" s="10" t="n">
        <v>46087</v>
      </c>
      <c r="J1300" s="3" t="s">
        <v>778</v>
      </c>
      <c r="K1300" s="10" t="n">
        <v>45967</v>
      </c>
      <c r="L1300" s="3" t="s">
        <v>15</v>
      </c>
      <c r="M1300" s="7" t="n">
        <v>878</v>
      </c>
      <c r="N1300" s="8" t="n">
        <v>0.2527</v>
      </c>
      <c r="O1300" s="4" t="n">
        <f aca="false">M1300*N1300</f>
        <v>221.8706</v>
      </c>
    </row>
    <row r="1301" customFormat="false" ht="15" hidden="false" customHeight="false" outlineLevel="0" collapsed="false">
      <c r="A1301" s="0" t="s">
        <v>2104</v>
      </c>
      <c r="C1301" s="0" t="s">
        <v>40</v>
      </c>
      <c r="D1301" s="7" t="n">
        <v>3006</v>
      </c>
      <c r="E1301" s="8" t="n">
        <v>0.0636992681304059</v>
      </c>
      <c r="F1301" s="4" t="n">
        <f aca="false">D1301*E1301</f>
        <v>191.48</v>
      </c>
      <c r="G1301" s="7" t="n">
        <v>20</v>
      </c>
      <c r="H1301" s="9" t="n">
        <f aca="false">IF(G1301&gt;0,D1301/G1301,"")</f>
        <v>150.3</v>
      </c>
      <c r="I1301" s="10" t="n">
        <v>46226</v>
      </c>
      <c r="J1301" s="3" t="s">
        <v>838</v>
      </c>
      <c r="K1301" s="10" t="n">
        <v>44280</v>
      </c>
      <c r="L1301" s="3" t="s">
        <v>18</v>
      </c>
      <c r="M1301" s="7" t="n">
        <v>3200</v>
      </c>
      <c r="N1301" s="8" t="n">
        <v>0.0637</v>
      </c>
      <c r="O1301" s="4" t="n">
        <f aca="false">M1301*N1301</f>
        <v>203.84</v>
      </c>
    </row>
    <row r="1302" customFormat="false" ht="15" hidden="false" customHeight="false" outlineLevel="0" collapsed="false">
      <c r="A1302" s="0" t="s">
        <v>2105</v>
      </c>
      <c r="C1302" s="0" t="s">
        <v>118</v>
      </c>
      <c r="D1302" s="7" t="n">
        <v>5902</v>
      </c>
      <c r="E1302" s="8" t="n">
        <v>0.0324398508980007</v>
      </c>
      <c r="F1302" s="4" t="n">
        <f aca="false">D1302*E1302</f>
        <v>191.46</v>
      </c>
      <c r="G1302" s="7" t="n">
        <v>819</v>
      </c>
      <c r="H1302" s="9" t="n">
        <f aca="false">IF(G1302&gt;0,D1302/G1302,"")</f>
        <v>7.20634920634921</v>
      </c>
      <c r="I1302" s="10" t="n">
        <v>46309</v>
      </c>
      <c r="J1302" s="3" t="s">
        <v>1363</v>
      </c>
      <c r="K1302" s="10" t="n">
        <v>45385</v>
      </c>
      <c r="L1302" s="3" t="s">
        <v>16</v>
      </c>
      <c r="M1302" s="7" t="n">
        <v>7390</v>
      </c>
      <c r="N1302" s="8" t="n">
        <v>0.0325</v>
      </c>
      <c r="O1302" s="4" t="n">
        <f aca="false">M1302*N1302</f>
        <v>240.175</v>
      </c>
    </row>
    <row r="1303" customFormat="false" ht="15" hidden="false" customHeight="false" outlineLevel="0" collapsed="false">
      <c r="A1303" s="0" t="s">
        <v>2106</v>
      </c>
      <c r="C1303" s="0" t="s">
        <v>31</v>
      </c>
      <c r="D1303" s="7" t="n">
        <v>30328</v>
      </c>
      <c r="E1303" s="8" t="n">
        <v>0.00630770245317858</v>
      </c>
      <c r="F1303" s="4" t="n">
        <f aca="false">D1303*E1303</f>
        <v>191.3</v>
      </c>
      <c r="G1303" s="7" t="n">
        <v>125</v>
      </c>
      <c r="H1303" s="9" t="n">
        <f aca="false">IF(G1303&gt;0,D1303/G1303,"")</f>
        <v>242.624</v>
      </c>
      <c r="I1303" s="10" t="n">
        <v>46128</v>
      </c>
      <c r="J1303" s="3" t="s">
        <v>1209</v>
      </c>
      <c r="K1303" s="10" t="n">
        <v>45993</v>
      </c>
      <c r="L1303" s="3" t="s">
        <v>16</v>
      </c>
      <c r="M1303" s="7" t="n">
        <v>25000</v>
      </c>
      <c r="N1303" s="8" t="n">
        <v>0.0061</v>
      </c>
      <c r="O1303" s="4" t="n">
        <f aca="false">M1303*N1303</f>
        <v>152.5</v>
      </c>
    </row>
    <row r="1304" customFormat="false" ht="15" hidden="false" customHeight="false" outlineLevel="0" collapsed="false">
      <c r="A1304" s="0" t="s">
        <v>2107</v>
      </c>
      <c r="C1304" s="0" t="s">
        <v>41</v>
      </c>
      <c r="D1304" s="7" t="n">
        <v>915</v>
      </c>
      <c r="E1304" s="8" t="n">
        <v>0.208950819672131</v>
      </c>
      <c r="F1304" s="4" t="n">
        <f aca="false">D1304*E1304</f>
        <v>191.19</v>
      </c>
      <c r="G1304" s="7" t="n">
        <v>500</v>
      </c>
      <c r="H1304" s="9" t="n">
        <f aca="false">IF(G1304&gt;0,D1304/G1304,"")</f>
        <v>1.83</v>
      </c>
      <c r="I1304" s="10" t="n">
        <v>46083</v>
      </c>
      <c r="J1304" s="3" t="s">
        <v>1684</v>
      </c>
      <c r="K1304" s="10" t="n">
        <v>45755</v>
      </c>
      <c r="L1304" s="3" t="s">
        <v>15</v>
      </c>
      <c r="M1304" s="7" t="n">
        <v>3050</v>
      </c>
      <c r="N1304" s="8" t="n">
        <v>0.20895</v>
      </c>
      <c r="O1304" s="4" t="n">
        <f aca="false">M1304*N1304</f>
        <v>637.2975</v>
      </c>
    </row>
    <row r="1305" customFormat="false" ht="15" hidden="false" customHeight="false" outlineLevel="0" collapsed="false">
      <c r="A1305" s="0" t="s">
        <v>2108</v>
      </c>
      <c r="C1305" s="0" t="s">
        <v>741</v>
      </c>
      <c r="D1305" s="7" t="n">
        <v>1177</v>
      </c>
      <c r="E1305" s="8" t="n">
        <v>0.162412914188615</v>
      </c>
      <c r="F1305" s="4" t="n">
        <f aca="false">D1305*E1305</f>
        <v>191.16</v>
      </c>
      <c r="G1305" s="7" t="n">
        <v>24</v>
      </c>
      <c r="H1305" s="9" t="n">
        <f aca="false">IF(G1305&gt;0,D1305/G1305,"")</f>
        <v>49.0416666666667</v>
      </c>
      <c r="I1305" s="10" t="n">
        <v>46112</v>
      </c>
      <c r="J1305" s="3" t="s">
        <v>1891</v>
      </c>
      <c r="K1305" s="10" t="n">
        <v>46140</v>
      </c>
      <c r="L1305" s="3" t="s">
        <v>27</v>
      </c>
      <c r="M1305" s="7" t="n">
        <v>250</v>
      </c>
      <c r="N1305" s="8" t="n">
        <v>0.1879</v>
      </c>
      <c r="O1305" s="4" t="n">
        <f aca="false">M1305*N1305</f>
        <v>46.975</v>
      </c>
    </row>
    <row r="1306" customFormat="false" ht="15" hidden="false" customHeight="false" outlineLevel="0" collapsed="false">
      <c r="A1306" s="0" t="s">
        <v>2109</v>
      </c>
      <c r="C1306" s="0" t="s">
        <v>41</v>
      </c>
      <c r="D1306" s="7" t="n">
        <v>10759</v>
      </c>
      <c r="E1306" s="8" t="n">
        <v>0.0177590854168603</v>
      </c>
      <c r="F1306" s="4" t="n">
        <f aca="false">D1306*E1306</f>
        <v>191.07</v>
      </c>
      <c r="G1306" s="7" t="n">
        <v>20</v>
      </c>
      <c r="H1306" s="9" t="n">
        <f aca="false">IF(G1306&gt;0,D1306/G1306,"")</f>
        <v>537.95</v>
      </c>
      <c r="I1306" s="10" t="n">
        <v>46044</v>
      </c>
      <c r="K1306" s="10"/>
      <c r="M1306" s="7"/>
      <c r="N1306" s="8"/>
      <c r="O1306" s="4"/>
    </row>
    <row r="1307" customFormat="false" ht="15" hidden="false" customHeight="false" outlineLevel="0" collapsed="false">
      <c r="A1307" s="0" t="s">
        <v>2110</v>
      </c>
      <c r="C1307" s="0" t="s">
        <v>37</v>
      </c>
      <c r="D1307" s="7" t="n">
        <v>960</v>
      </c>
      <c r="E1307" s="8" t="n">
        <v>0.198947916666667</v>
      </c>
      <c r="F1307" s="4" t="n">
        <f aca="false">D1307*E1307</f>
        <v>190.99</v>
      </c>
      <c r="G1307" s="7" t="n">
        <v>160</v>
      </c>
      <c r="H1307" s="9" t="n">
        <f aca="false">IF(G1307&gt;0,D1307/G1307,"")</f>
        <v>6</v>
      </c>
      <c r="I1307" s="10" t="n">
        <v>46043</v>
      </c>
      <c r="J1307" s="3" t="s">
        <v>341</v>
      </c>
      <c r="K1307" s="10" t="n">
        <v>46078</v>
      </c>
      <c r="L1307" s="3" t="s">
        <v>15</v>
      </c>
      <c r="M1307" s="7" t="n">
        <v>15</v>
      </c>
      <c r="N1307" s="8" t="n">
        <v>0.22826</v>
      </c>
      <c r="O1307" s="4" t="n">
        <f aca="false">M1307*N1307</f>
        <v>3.4239</v>
      </c>
    </row>
    <row r="1308" customFormat="false" ht="15" hidden="false" customHeight="false" outlineLevel="0" collapsed="false">
      <c r="A1308" s="0" t="s">
        <v>2111</v>
      </c>
      <c r="C1308" s="0" t="s">
        <v>777</v>
      </c>
      <c r="D1308" s="7" t="n">
        <v>325</v>
      </c>
      <c r="E1308" s="8" t="n">
        <v>0.587661538461539</v>
      </c>
      <c r="F1308" s="4" t="n">
        <f aca="false">D1308*E1308</f>
        <v>190.99</v>
      </c>
      <c r="G1308" s="7" t="n">
        <v>100</v>
      </c>
      <c r="H1308" s="9" t="n">
        <f aca="false">IF(G1308&gt;0,D1308/G1308,"")</f>
        <v>3.25</v>
      </c>
      <c r="I1308" s="10" t="n">
        <v>46154</v>
      </c>
      <c r="J1308" s="3" t="s">
        <v>616</v>
      </c>
      <c r="K1308" s="10" t="n">
        <v>46038</v>
      </c>
      <c r="L1308" s="3" t="s">
        <v>15</v>
      </c>
      <c r="M1308" s="7" t="n">
        <v>425</v>
      </c>
      <c r="N1308" s="8" t="n">
        <v>0.58765</v>
      </c>
      <c r="O1308" s="4" t="n">
        <f aca="false">M1308*N1308</f>
        <v>249.75125</v>
      </c>
    </row>
    <row r="1309" customFormat="false" ht="15" hidden="false" customHeight="false" outlineLevel="0" collapsed="false">
      <c r="A1309" s="0" t="s">
        <v>2112</v>
      </c>
      <c r="C1309" s="0" t="s">
        <v>855</v>
      </c>
      <c r="D1309" s="7" t="n">
        <v>12490</v>
      </c>
      <c r="E1309" s="8" t="n">
        <v>0.0152906325060048</v>
      </c>
      <c r="F1309" s="4" t="n">
        <f aca="false">D1309*E1309</f>
        <v>190.98</v>
      </c>
      <c r="G1309" s="7" t="n">
        <v>10</v>
      </c>
      <c r="H1309" s="9" t="n">
        <f aca="false">IF(G1309&gt;0,D1309/G1309,"")</f>
        <v>1249</v>
      </c>
      <c r="I1309" s="10" t="n">
        <v>46055</v>
      </c>
      <c r="J1309" s="3" t="s">
        <v>1849</v>
      </c>
      <c r="K1309" s="10" t="n">
        <v>44341</v>
      </c>
      <c r="L1309" s="3" t="s">
        <v>15</v>
      </c>
      <c r="M1309" s="7" t="n">
        <v>12500</v>
      </c>
      <c r="N1309" s="8" t="n">
        <v>0.01529</v>
      </c>
      <c r="O1309" s="4" t="n">
        <f aca="false">M1309*N1309</f>
        <v>191.125</v>
      </c>
    </row>
    <row r="1310" customFormat="false" ht="15" hidden="false" customHeight="false" outlineLevel="0" collapsed="false">
      <c r="A1310" s="0" t="s">
        <v>2113</v>
      </c>
      <c r="C1310" s="0" t="s">
        <v>340</v>
      </c>
      <c r="D1310" s="7" t="n">
        <v>9802</v>
      </c>
      <c r="E1310" s="8" t="n">
        <v>0.0194796980208121</v>
      </c>
      <c r="F1310" s="4" t="n">
        <f aca="false">D1310*E1310</f>
        <v>190.94</v>
      </c>
      <c r="G1310" s="7" t="n">
        <v>271</v>
      </c>
      <c r="H1310" s="9" t="n">
        <f aca="false">IF(G1310&gt;0,D1310/G1310,"")</f>
        <v>36.169741697417</v>
      </c>
      <c r="I1310" s="10" t="n">
        <v>46296</v>
      </c>
      <c r="J1310" s="3" t="s">
        <v>1140</v>
      </c>
      <c r="K1310" s="10" t="n">
        <v>45614</v>
      </c>
      <c r="L1310" s="3" t="s">
        <v>15</v>
      </c>
      <c r="M1310" s="7" t="n">
        <v>11520</v>
      </c>
      <c r="N1310" s="8" t="n">
        <v>0.01948</v>
      </c>
      <c r="O1310" s="4" t="n">
        <f aca="false">M1310*N1310</f>
        <v>224.4096</v>
      </c>
    </row>
    <row r="1311" customFormat="false" ht="15" hidden="false" customHeight="false" outlineLevel="0" collapsed="false">
      <c r="A1311" s="0" t="s">
        <v>2114</v>
      </c>
      <c r="C1311" s="0" t="s">
        <v>360</v>
      </c>
      <c r="D1311" s="7" t="n">
        <v>7737</v>
      </c>
      <c r="E1311" s="8" t="n">
        <v>0.0246710611348068</v>
      </c>
      <c r="F1311" s="4" t="n">
        <f aca="false">D1311*E1311</f>
        <v>190.88</v>
      </c>
      <c r="G1311" s="7" t="n">
        <v>20</v>
      </c>
      <c r="H1311" s="9" t="n">
        <f aca="false">IF(G1311&gt;0,D1311/G1311,"")</f>
        <v>386.85</v>
      </c>
      <c r="I1311" s="10" t="n">
        <v>46203</v>
      </c>
      <c r="K1311" s="10"/>
      <c r="M1311" s="7"/>
      <c r="N1311" s="8"/>
      <c r="O1311" s="4"/>
    </row>
    <row r="1312" customFormat="false" ht="15" hidden="false" customHeight="false" outlineLevel="0" collapsed="false">
      <c r="A1312" s="0" t="s">
        <v>2115</v>
      </c>
      <c r="C1312" s="0" t="s">
        <v>33</v>
      </c>
      <c r="D1312" s="7" t="n">
        <v>33610</v>
      </c>
      <c r="E1312" s="8" t="n">
        <v>0.00567807200238024</v>
      </c>
      <c r="F1312" s="4" t="n">
        <f aca="false">D1312*E1312</f>
        <v>190.84</v>
      </c>
      <c r="G1312" s="7" t="n">
        <v>2165</v>
      </c>
      <c r="H1312" s="9" t="n">
        <f aca="false">IF(G1312&gt;0,D1312/G1312,"")</f>
        <v>15.5242494226328</v>
      </c>
      <c r="I1312" s="10" t="n">
        <v>46251</v>
      </c>
      <c r="J1312" s="3" t="s">
        <v>1764</v>
      </c>
      <c r="K1312" s="10" t="n">
        <v>44221</v>
      </c>
      <c r="L1312" s="3" t="s">
        <v>18</v>
      </c>
      <c r="M1312" s="7" t="n">
        <v>19000</v>
      </c>
      <c r="N1312" s="8" t="n">
        <v>0.0052</v>
      </c>
      <c r="O1312" s="4" t="n">
        <f aca="false">M1312*N1312</f>
        <v>98.8</v>
      </c>
    </row>
    <row r="1313" customFormat="false" ht="15" hidden="false" customHeight="false" outlineLevel="0" collapsed="false">
      <c r="A1313" s="0" t="s">
        <v>2116</v>
      </c>
      <c r="C1313" s="0" t="s">
        <v>225</v>
      </c>
      <c r="D1313" s="7" t="n">
        <v>23</v>
      </c>
      <c r="E1313" s="8" t="n">
        <v>8.2904347826087</v>
      </c>
      <c r="F1313" s="4" t="n">
        <f aca="false">D1313*E1313</f>
        <v>190.68</v>
      </c>
      <c r="G1313" s="7" t="n">
        <v>6</v>
      </c>
      <c r="H1313" s="9" t="n">
        <f aca="false">IF(G1313&gt;0,D1313/G1313,"")</f>
        <v>3.83333333333333</v>
      </c>
      <c r="I1313" s="10" t="n">
        <v>46224</v>
      </c>
      <c r="J1313" s="3" t="s">
        <v>2117</v>
      </c>
      <c r="K1313" s="10" t="n">
        <v>45232</v>
      </c>
      <c r="L1313" s="3" t="s">
        <v>14</v>
      </c>
      <c r="M1313" s="7" t="n">
        <v>110</v>
      </c>
      <c r="N1313" s="8" t="n">
        <v>8.2902</v>
      </c>
      <c r="O1313" s="4" t="n">
        <f aca="false">M1313*N1313</f>
        <v>911.922</v>
      </c>
    </row>
    <row r="1314" customFormat="false" ht="15" hidden="false" customHeight="false" outlineLevel="0" collapsed="false">
      <c r="A1314" s="0" t="s">
        <v>2118</v>
      </c>
      <c r="C1314" s="0" t="s">
        <v>1802</v>
      </c>
      <c r="D1314" s="7" t="n">
        <v>115</v>
      </c>
      <c r="E1314" s="8" t="n">
        <v>1.656</v>
      </c>
      <c r="F1314" s="4" t="n">
        <f aca="false">D1314*E1314</f>
        <v>190.44</v>
      </c>
      <c r="G1314" s="7" t="n">
        <v>10</v>
      </c>
      <c r="H1314" s="9" t="n">
        <f aca="false">IF(G1314&gt;0,D1314/G1314,"")</f>
        <v>11.5</v>
      </c>
      <c r="I1314" s="10" t="n">
        <v>46251</v>
      </c>
      <c r="J1314" s="3" t="s">
        <v>2119</v>
      </c>
      <c r="K1314" s="10" t="n">
        <v>44281</v>
      </c>
      <c r="L1314" s="3" t="s">
        <v>14</v>
      </c>
      <c r="M1314" s="7" t="n">
        <v>165</v>
      </c>
      <c r="N1314" s="8" t="n">
        <v>1.656</v>
      </c>
      <c r="O1314" s="4" t="n">
        <f aca="false">M1314*N1314</f>
        <v>273.24</v>
      </c>
    </row>
    <row r="1315" customFormat="false" ht="15" hidden="false" customHeight="false" outlineLevel="0" collapsed="false">
      <c r="A1315" s="0" t="s">
        <v>2120</v>
      </c>
      <c r="C1315" s="0" t="s">
        <v>298</v>
      </c>
      <c r="D1315" s="7" t="n">
        <v>15115</v>
      </c>
      <c r="E1315" s="8" t="n">
        <v>0.0125994045650017</v>
      </c>
      <c r="F1315" s="4" t="n">
        <f aca="false">D1315*E1315</f>
        <v>190.44</v>
      </c>
      <c r="G1315" s="7" t="n">
        <v>2629</v>
      </c>
      <c r="H1315" s="9" t="n">
        <f aca="false">IF(G1315&gt;0,D1315/G1315,"")</f>
        <v>5.74933434766071</v>
      </c>
      <c r="I1315" s="10" t="n">
        <v>46195</v>
      </c>
      <c r="J1315" s="3" t="s">
        <v>80</v>
      </c>
      <c r="K1315" s="10" t="n">
        <v>44887</v>
      </c>
      <c r="L1315" s="3" t="s">
        <v>19</v>
      </c>
      <c r="M1315" s="7" t="n">
        <v>25500</v>
      </c>
      <c r="N1315" s="8" t="n">
        <v>0.0126</v>
      </c>
      <c r="O1315" s="4" t="n">
        <f aca="false">M1315*N1315</f>
        <v>321.3</v>
      </c>
    </row>
    <row r="1316" customFormat="false" ht="15" hidden="false" customHeight="false" outlineLevel="0" collapsed="false">
      <c r="A1316" s="0" t="s">
        <v>2121</v>
      </c>
      <c r="C1316" s="0" t="s">
        <v>855</v>
      </c>
      <c r="D1316" s="7" t="n">
        <v>32834</v>
      </c>
      <c r="E1316" s="8" t="n">
        <v>0.00579978071511238</v>
      </c>
      <c r="F1316" s="4" t="n">
        <f aca="false">D1316*E1316</f>
        <v>190.43</v>
      </c>
      <c r="G1316" s="7" t="n">
        <v>580</v>
      </c>
      <c r="H1316" s="9" t="n">
        <f aca="false">IF(G1316&gt;0,D1316/G1316,"")</f>
        <v>56.6103448275862</v>
      </c>
      <c r="I1316" s="10" t="n">
        <v>46283</v>
      </c>
      <c r="J1316" s="3" t="s">
        <v>618</v>
      </c>
      <c r="K1316" s="10" t="n">
        <v>44729</v>
      </c>
      <c r="L1316" s="3" t="s">
        <v>16</v>
      </c>
      <c r="M1316" s="7" t="n">
        <v>38000</v>
      </c>
      <c r="N1316" s="8" t="n">
        <v>0.0058</v>
      </c>
      <c r="O1316" s="4" t="n">
        <f aca="false">M1316*N1316</f>
        <v>220.4</v>
      </c>
    </row>
    <row r="1317" customFormat="false" ht="15" hidden="false" customHeight="false" outlineLevel="0" collapsed="false">
      <c r="A1317" s="0" t="s">
        <v>2122</v>
      </c>
      <c r="C1317" s="0" t="s">
        <v>31</v>
      </c>
      <c r="D1317" s="7" t="n">
        <v>9631</v>
      </c>
      <c r="E1317" s="8" t="n">
        <v>0.0197674177136331</v>
      </c>
      <c r="F1317" s="4" t="n">
        <f aca="false">D1317*E1317</f>
        <v>190.38</v>
      </c>
      <c r="G1317" s="7" t="n">
        <v>42</v>
      </c>
      <c r="H1317" s="9" t="n">
        <f aca="false">IF(G1317&gt;0,D1317/G1317,"")</f>
        <v>229.309523809524</v>
      </c>
      <c r="I1317" s="10" t="n">
        <v>46182</v>
      </c>
      <c r="K1317" s="10"/>
      <c r="M1317" s="7"/>
      <c r="N1317" s="8"/>
      <c r="O1317" s="4"/>
    </row>
    <row r="1318" customFormat="false" ht="15" hidden="false" customHeight="false" outlineLevel="0" collapsed="false">
      <c r="A1318" s="0" t="s">
        <v>2123</v>
      </c>
      <c r="C1318" s="0" t="s">
        <v>34</v>
      </c>
      <c r="D1318" s="7" t="n">
        <v>2450</v>
      </c>
      <c r="E1318" s="8" t="n">
        <v>0.0776979591836735</v>
      </c>
      <c r="F1318" s="4" t="n">
        <f aca="false">D1318*E1318</f>
        <v>190.36</v>
      </c>
      <c r="G1318" s="7" t="n">
        <v>150</v>
      </c>
      <c r="H1318" s="9" t="n">
        <f aca="false">IF(G1318&gt;0,D1318/G1318,"")</f>
        <v>16.3333333333333</v>
      </c>
      <c r="I1318" s="10" t="n">
        <v>46261</v>
      </c>
      <c r="J1318" s="3" t="s">
        <v>287</v>
      </c>
      <c r="K1318" s="10" t="n">
        <v>45922</v>
      </c>
      <c r="L1318" s="3" t="s">
        <v>16</v>
      </c>
      <c r="M1318" s="7" t="n">
        <v>2600</v>
      </c>
      <c r="N1318" s="8" t="n">
        <v>0.0777</v>
      </c>
      <c r="O1318" s="4" t="n">
        <f aca="false">M1318*N1318</f>
        <v>202.02</v>
      </c>
    </row>
    <row r="1319" customFormat="false" ht="15" hidden="false" customHeight="false" outlineLevel="0" collapsed="false">
      <c r="A1319" s="0" t="s">
        <v>2124</v>
      </c>
      <c r="C1319" s="0" t="s">
        <v>41</v>
      </c>
      <c r="D1319" s="7" t="n">
        <v>12511</v>
      </c>
      <c r="E1319" s="8" t="n">
        <v>0.015211413955719</v>
      </c>
      <c r="F1319" s="4" t="n">
        <f aca="false">D1319*E1319</f>
        <v>190.31</v>
      </c>
      <c r="G1319" s="7" t="n">
        <v>135</v>
      </c>
      <c r="H1319" s="9" t="n">
        <f aca="false">IF(G1319&gt;0,D1319/G1319,"")</f>
        <v>92.6740740740741</v>
      </c>
      <c r="I1319" s="10" t="n">
        <v>46076</v>
      </c>
      <c r="J1319" s="3" t="s">
        <v>2125</v>
      </c>
      <c r="K1319" s="10" t="n">
        <v>44334</v>
      </c>
      <c r="L1319" s="3" t="s">
        <v>15</v>
      </c>
      <c r="M1319" s="7" t="n">
        <v>14220</v>
      </c>
      <c r="N1319" s="8" t="n">
        <v>0.01521</v>
      </c>
      <c r="O1319" s="4" t="n">
        <f aca="false">M1319*N1319</f>
        <v>216.2862</v>
      </c>
    </row>
    <row r="1320" customFormat="false" ht="15" hidden="false" customHeight="false" outlineLevel="0" collapsed="false">
      <c r="A1320" s="0" t="s">
        <v>2126</v>
      </c>
      <c r="C1320" s="0" t="s">
        <v>340</v>
      </c>
      <c r="D1320" s="7" t="n">
        <v>70737</v>
      </c>
      <c r="E1320" s="8" t="n">
        <v>0.00268996423371079</v>
      </c>
      <c r="F1320" s="4" t="n">
        <f aca="false">D1320*E1320</f>
        <v>190.28</v>
      </c>
      <c r="G1320" s="7" t="n">
        <v>16055</v>
      </c>
      <c r="H1320" s="9" t="n">
        <f aca="false">IF(G1320&gt;0,D1320/G1320,"")</f>
        <v>4.40591715976331</v>
      </c>
      <c r="I1320" s="10" t="n">
        <v>46217</v>
      </c>
      <c r="J1320" s="3" t="s">
        <v>1225</v>
      </c>
      <c r="K1320" s="10" t="n">
        <v>45153</v>
      </c>
      <c r="L1320" s="3" t="s">
        <v>15</v>
      </c>
      <c r="M1320" s="7" t="n">
        <v>87600</v>
      </c>
      <c r="N1320" s="8" t="n">
        <v>0.00269</v>
      </c>
      <c r="O1320" s="4" t="n">
        <f aca="false">M1320*N1320</f>
        <v>235.644</v>
      </c>
    </row>
    <row r="1321" customFormat="false" ht="15" hidden="false" customHeight="false" outlineLevel="0" collapsed="false">
      <c r="A1321" s="0" t="s">
        <v>2127</v>
      </c>
      <c r="C1321" s="0" t="s">
        <v>340</v>
      </c>
      <c r="D1321" s="7" t="n">
        <v>9990</v>
      </c>
      <c r="E1321" s="8" t="n">
        <v>0.019041041041041</v>
      </c>
      <c r="F1321" s="4" t="n">
        <f aca="false">D1321*E1321</f>
        <v>190.22</v>
      </c>
      <c r="G1321" s="7" t="n">
        <v>65</v>
      </c>
      <c r="H1321" s="9" t="n">
        <f aca="false">IF(G1321&gt;0,D1321/G1321,"")</f>
        <v>153.692307692308</v>
      </c>
      <c r="I1321" s="10" t="n">
        <v>46311</v>
      </c>
      <c r="J1321" s="3" t="s">
        <v>1140</v>
      </c>
      <c r="K1321" s="10" t="n">
        <v>45614</v>
      </c>
      <c r="L1321" s="3" t="s">
        <v>15</v>
      </c>
      <c r="M1321" s="7" t="n">
        <v>11275</v>
      </c>
      <c r="N1321" s="8" t="n">
        <v>0.01904</v>
      </c>
      <c r="O1321" s="4" t="n">
        <f aca="false">M1321*N1321</f>
        <v>214.676</v>
      </c>
    </row>
    <row r="1322" customFormat="false" ht="15" hidden="false" customHeight="false" outlineLevel="0" collapsed="false">
      <c r="A1322" s="0" t="s">
        <v>2128</v>
      </c>
      <c r="C1322" s="0" t="s">
        <v>744</v>
      </c>
      <c r="D1322" s="7" t="n">
        <v>48</v>
      </c>
      <c r="E1322" s="8" t="n">
        <v>3.9625</v>
      </c>
      <c r="F1322" s="4" t="n">
        <f aca="false">D1322*E1322</f>
        <v>190.2</v>
      </c>
      <c r="G1322" s="7" t="n">
        <v>2</v>
      </c>
      <c r="H1322" s="9" t="n">
        <f aca="false">IF(G1322&gt;0,D1322/G1322,"")</f>
        <v>24</v>
      </c>
      <c r="I1322" s="10" t="n">
        <v>46258</v>
      </c>
      <c r="J1322" s="3" t="s">
        <v>675</v>
      </c>
      <c r="K1322" s="10" t="n">
        <v>45471</v>
      </c>
      <c r="L1322" s="3" t="s">
        <v>14</v>
      </c>
      <c r="M1322" s="7" t="n">
        <v>22</v>
      </c>
      <c r="N1322" s="8" t="n">
        <v>8.6454</v>
      </c>
      <c r="O1322" s="4" t="n">
        <f aca="false">M1322*N1322</f>
        <v>190.1988</v>
      </c>
    </row>
    <row r="1323" customFormat="false" ht="15" hidden="false" customHeight="false" outlineLevel="0" collapsed="false">
      <c r="A1323" s="0" t="s">
        <v>2129</v>
      </c>
      <c r="C1323" s="0" t="s">
        <v>360</v>
      </c>
      <c r="D1323" s="7" t="n">
        <v>52909</v>
      </c>
      <c r="E1323" s="8" t="n">
        <v>0.00359239448865032</v>
      </c>
      <c r="F1323" s="4" t="n">
        <f aca="false">D1323*E1323</f>
        <v>190.07</v>
      </c>
      <c r="G1323" s="7" t="n">
        <v>5118</v>
      </c>
      <c r="H1323" s="9" t="n">
        <f aca="false">IF(G1323&gt;0,D1323/G1323,"")</f>
        <v>10.3378272762798</v>
      </c>
      <c r="I1323" s="10" t="n">
        <v>46247</v>
      </c>
      <c r="J1323" s="3" t="s">
        <v>675</v>
      </c>
      <c r="K1323" s="10" t="n">
        <v>45471</v>
      </c>
      <c r="L1323" s="3" t="s">
        <v>14</v>
      </c>
      <c r="M1323" s="7" t="n">
        <v>500</v>
      </c>
      <c r="N1323" s="8" t="n">
        <v>0.1462</v>
      </c>
      <c r="O1323" s="4" t="n">
        <f aca="false">M1323*N1323</f>
        <v>73.1</v>
      </c>
    </row>
    <row r="1324" customFormat="false" ht="15" hidden="false" customHeight="false" outlineLevel="0" collapsed="false">
      <c r="A1324" s="0" t="s">
        <v>2130</v>
      </c>
      <c r="C1324" s="0" t="s">
        <v>37</v>
      </c>
      <c r="D1324" s="7" t="n">
        <v>8796</v>
      </c>
      <c r="E1324" s="8" t="n">
        <v>0.0215893587994543</v>
      </c>
      <c r="F1324" s="4" t="n">
        <f aca="false">D1324*E1324</f>
        <v>189.9</v>
      </c>
      <c r="G1324" s="7" t="n">
        <v>174</v>
      </c>
      <c r="H1324" s="9" t="n">
        <f aca="false">IF(G1324&gt;0,D1324/G1324,"")</f>
        <v>50.551724137931</v>
      </c>
      <c r="I1324" s="10" t="n">
        <v>46254</v>
      </c>
      <c r="J1324" s="3" t="s">
        <v>1936</v>
      </c>
      <c r="K1324" s="10" t="n">
        <v>45057</v>
      </c>
      <c r="L1324" s="3" t="s">
        <v>15</v>
      </c>
      <c r="M1324" s="7" t="n">
        <v>9300</v>
      </c>
      <c r="N1324" s="8" t="n">
        <v>0.02159</v>
      </c>
      <c r="O1324" s="4" t="n">
        <f aca="false">M1324*N1324</f>
        <v>200.787</v>
      </c>
    </row>
    <row r="1325" customFormat="false" ht="15" hidden="false" customHeight="false" outlineLevel="0" collapsed="false">
      <c r="A1325" s="0" t="s">
        <v>2131</v>
      </c>
      <c r="C1325" s="0" t="s">
        <v>39</v>
      </c>
      <c r="D1325" s="7" t="n">
        <v>181</v>
      </c>
      <c r="E1325" s="8" t="n">
        <v>1.04845303867403</v>
      </c>
      <c r="F1325" s="4" t="n">
        <f aca="false">D1325*E1325</f>
        <v>189.77</v>
      </c>
      <c r="G1325" s="7" t="n">
        <v>18</v>
      </c>
      <c r="H1325" s="9" t="n">
        <f aca="false">IF(G1325&gt;0,D1325/G1325,"")</f>
        <v>10.0555555555556</v>
      </c>
      <c r="I1325" s="10" t="n">
        <v>46308</v>
      </c>
      <c r="J1325" s="3" t="s">
        <v>464</v>
      </c>
      <c r="K1325" s="10" t="n">
        <v>44729</v>
      </c>
      <c r="L1325" s="3" t="s">
        <v>465</v>
      </c>
      <c r="M1325" s="7" t="n">
        <v>240</v>
      </c>
      <c r="N1325" s="8" t="n">
        <v>1.0485</v>
      </c>
      <c r="O1325" s="4" t="n">
        <f aca="false">M1325*N1325</f>
        <v>251.64</v>
      </c>
    </row>
    <row r="1326" customFormat="false" ht="15" hidden="false" customHeight="false" outlineLevel="0" collapsed="false">
      <c r="A1326" s="0" t="s">
        <v>2132</v>
      </c>
      <c r="C1326" s="0" t="s">
        <v>31</v>
      </c>
      <c r="D1326" s="7" t="n">
        <v>6278</v>
      </c>
      <c r="E1326" s="8" t="n">
        <v>0.0302102580439631</v>
      </c>
      <c r="F1326" s="4" t="n">
        <f aca="false">D1326*E1326</f>
        <v>189.66</v>
      </c>
      <c r="G1326" s="7" t="n">
        <v>225</v>
      </c>
      <c r="H1326" s="9" t="n">
        <f aca="false">IF(G1326&gt;0,D1326/G1326,"")</f>
        <v>27.9022222222222</v>
      </c>
      <c r="I1326" s="10" t="n">
        <v>46248</v>
      </c>
      <c r="J1326" s="3" t="s">
        <v>1915</v>
      </c>
      <c r="K1326" s="10" t="n">
        <v>45736</v>
      </c>
      <c r="L1326" s="3" t="s">
        <v>19</v>
      </c>
      <c r="M1326" s="7" t="n">
        <v>29</v>
      </c>
      <c r="N1326" s="8" t="n">
        <v>0.51724</v>
      </c>
      <c r="O1326" s="4" t="n">
        <f aca="false">M1326*N1326</f>
        <v>14.99996</v>
      </c>
    </row>
    <row r="1327" customFormat="false" ht="15" hidden="false" customHeight="false" outlineLevel="0" collapsed="false">
      <c r="A1327" s="0" t="s">
        <v>2133</v>
      </c>
      <c r="C1327" s="0" t="s">
        <v>40</v>
      </c>
      <c r="D1327" s="7" t="n">
        <v>24619</v>
      </c>
      <c r="E1327" s="8" t="n">
        <v>0.00770055648076689</v>
      </c>
      <c r="F1327" s="4" t="n">
        <f aca="false">D1327*E1327</f>
        <v>189.58</v>
      </c>
      <c r="G1327" s="7" t="n">
        <v>10567</v>
      </c>
      <c r="H1327" s="9" t="n">
        <f aca="false">IF(G1327&gt;0,D1327/G1327,"")</f>
        <v>2.32980032175641</v>
      </c>
      <c r="I1327" s="10" t="n">
        <v>46282</v>
      </c>
      <c r="J1327" s="3" t="s">
        <v>2134</v>
      </c>
      <c r="K1327" s="10" t="n">
        <v>44824</v>
      </c>
      <c r="L1327" s="3" t="s">
        <v>18</v>
      </c>
      <c r="M1327" s="7" t="n">
        <v>50000</v>
      </c>
      <c r="N1327" s="8" t="n">
        <v>0.0077</v>
      </c>
      <c r="O1327" s="4" t="n">
        <f aca="false">M1327*N1327</f>
        <v>385</v>
      </c>
    </row>
    <row r="1328" customFormat="false" ht="15" hidden="false" customHeight="false" outlineLevel="0" collapsed="false">
      <c r="A1328" s="0" t="s">
        <v>2135</v>
      </c>
      <c r="C1328" s="0" t="s">
        <v>979</v>
      </c>
      <c r="D1328" s="7" t="n">
        <v>230</v>
      </c>
      <c r="E1328" s="8" t="n">
        <v>0.823869565217391</v>
      </c>
      <c r="F1328" s="4" t="n">
        <f aca="false">D1328*E1328</f>
        <v>189.49</v>
      </c>
      <c r="G1328" s="7" t="n">
        <v>120</v>
      </c>
      <c r="H1328" s="9" t="n">
        <f aca="false">IF(G1328&gt;0,D1328/G1328,"")</f>
        <v>1.91666666666667</v>
      </c>
      <c r="I1328" s="10" t="n">
        <v>46304</v>
      </c>
      <c r="J1328" s="3" t="s">
        <v>1910</v>
      </c>
      <c r="K1328" s="10" t="n">
        <v>46188</v>
      </c>
      <c r="L1328" s="3" t="s">
        <v>28</v>
      </c>
      <c r="M1328" s="7" t="n">
        <v>35</v>
      </c>
      <c r="N1328" s="8" t="n">
        <v>2.3949</v>
      </c>
      <c r="O1328" s="4" t="n">
        <f aca="false">M1328*N1328</f>
        <v>83.8215</v>
      </c>
    </row>
    <row r="1329" customFormat="false" ht="15" hidden="false" customHeight="false" outlineLevel="0" collapsed="false">
      <c r="A1329" s="0" t="s">
        <v>2136</v>
      </c>
      <c r="D1329" s="7" t="n">
        <v>170</v>
      </c>
      <c r="E1329" s="8" t="n">
        <v>1.11388235294118</v>
      </c>
      <c r="F1329" s="4" t="n">
        <f aca="false">D1329*E1329</f>
        <v>189.36</v>
      </c>
      <c r="G1329" s="7" t="n">
        <v>30</v>
      </c>
      <c r="H1329" s="9" t="n">
        <f aca="false">IF(G1329&gt;0,D1329/G1329,"")</f>
        <v>5.66666666666667</v>
      </c>
      <c r="I1329" s="10" t="n">
        <v>46225</v>
      </c>
      <c r="J1329" s="3" t="s">
        <v>467</v>
      </c>
      <c r="K1329" s="10" t="n">
        <v>45967</v>
      </c>
      <c r="L1329" s="3" t="s">
        <v>14</v>
      </c>
      <c r="M1329" s="7" t="n">
        <v>200</v>
      </c>
      <c r="N1329" s="8" t="n">
        <v>1.11388</v>
      </c>
      <c r="O1329" s="4" t="n">
        <f aca="false">M1329*N1329</f>
        <v>222.776</v>
      </c>
    </row>
    <row r="1330" customFormat="false" ht="15" hidden="false" customHeight="false" outlineLevel="0" collapsed="false">
      <c r="A1330" s="0" t="s">
        <v>2137</v>
      </c>
      <c r="C1330" s="0" t="s">
        <v>889</v>
      </c>
      <c r="D1330" s="7" t="n">
        <v>2213</v>
      </c>
      <c r="E1330" s="8" t="n">
        <v>0.0855399909624944</v>
      </c>
      <c r="F1330" s="4" t="n">
        <f aca="false">D1330*E1330</f>
        <v>189.3</v>
      </c>
      <c r="G1330" s="7" t="n">
        <v>157</v>
      </c>
      <c r="H1330" s="9" t="n">
        <f aca="false">IF(G1330&gt;0,D1330/G1330,"")</f>
        <v>14.0955414012739</v>
      </c>
      <c r="I1330" s="10" t="n">
        <v>46087</v>
      </c>
      <c r="J1330" s="3" t="s">
        <v>778</v>
      </c>
      <c r="K1330" s="10" t="n">
        <v>45967</v>
      </c>
      <c r="L1330" s="3" t="s">
        <v>15</v>
      </c>
      <c r="M1330" s="7" t="n">
        <v>2370</v>
      </c>
      <c r="N1330" s="8" t="n">
        <v>0.08554</v>
      </c>
      <c r="O1330" s="4" t="n">
        <f aca="false">M1330*N1330</f>
        <v>202.7298</v>
      </c>
    </row>
    <row r="1331" customFormat="false" ht="15" hidden="false" customHeight="false" outlineLevel="0" collapsed="false">
      <c r="A1331" s="0" t="s">
        <v>2138</v>
      </c>
      <c r="C1331" s="0" t="s">
        <v>118</v>
      </c>
      <c r="D1331" s="7" t="n">
        <v>5113</v>
      </c>
      <c r="E1331" s="8" t="n">
        <v>0.0370213182084882</v>
      </c>
      <c r="F1331" s="4" t="n">
        <f aca="false">D1331*E1331</f>
        <v>189.29</v>
      </c>
      <c r="G1331" s="7" t="n">
        <v>608</v>
      </c>
      <c r="H1331" s="9" t="n">
        <f aca="false">IF(G1331&gt;0,D1331/G1331,"")</f>
        <v>8.40953947368421</v>
      </c>
      <c r="I1331" s="10" t="n">
        <v>46308</v>
      </c>
      <c r="J1331" s="3" t="s">
        <v>2139</v>
      </c>
      <c r="K1331" s="10" t="n">
        <v>45435</v>
      </c>
      <c r="L1331" s="3" t="s">
        <v>15</v>
      </c>
      <c r="M1331" s="7" t="n">
        <v>7050</v>
      </c>
      <c r="N1331" s="8" t="n">
        <v>0.03702</v>
      </c>
      <c r="O1331" s="4" t="n">
        <f aca="false">M1331*N1331</f>
        <v>260.991</v>
      </c>
    </row>
    <row r="1332" customFormat="false" ht="15" hidden="false" customHeight="false" outlineLevel="0" collapsed="false">
      <c r="A1332" s="0" t="s">
        <v>2140</v>
      </c>
      <c r="C1332" s="0" t="s">
        <v>889</v>
      </c>
      <c r="D1332" s="7" t="n">
        <v>4824</v>
      </c>
      <c r="E1332" s="8" t="n">
        <v>0.0391977611940299</v>
      </c>
      <c r="F1332" s="4" t="n">
        <f aca="false">D1332*E1332</f>
        <v>189.09</v>
      </c>
      <c r="G1332" s="7" t="n">
        <v>67</v>
      </c>
      <c r="H1332" s="9" t="n">
        <f aca="false">IF(G1332&gt;0,D1332/G1332,"")</f>
        <v>72</v>
      </c>
      <c r="I1332" s="10" t="n">
        <v>46254</v>
      </c>
      <c r="J1332" s="3" t="s">
        <v>1844</v>
      </c>
      <c r="K1332" s="10" t="n">
        <v>44198</v>
      </c>
      <c r="L1332" s="3" t="s">
        <v>15</v>
      </c>
      <c r="M1332" s="7" t="n">
        <v>5150</v>
      </c>
      <c r="N1332" s="8" t="n">
        <v>0.0392</v>
      </c>
      <c r="O1332" s="4" t="n">
        <f aca="false">M1332*N1332</f>
        <v>201.88</v>
      </c>
    </row>
    <row r="1333" customFormat="false" ht="15" hidden="false" customHeight="false" outlineLevel="0" collapsed="false">
      <c r="A1333" s="0" t="s">
        <v>2141</v>
      </c>
      <c r="C1333" s="0" t="s">
        <v>438</v>
      </c>
      <c r="D1333" s="7" t="n">
        <v>557</v>
      </c>
      <c r="E1333" s="8" t="n">
        <v>0.339461400359066</v>
      </c>
      <c r="F1333" s="4" t="n">
        <f aca="false">D1333*E1333</f>
        <v>189.08</v>
      </c>
      <c r="G1333" s="7" t="n">
        <v>65</v>
      </c>
      <c r="H1333" s="9" t="n">
        <f aca="false">IF(G1333&gt;0,D1333/G1333,"")</f>
        <v>8.56923076923077</v>
      </c>
      <c r="I1333" s="10" t="n">
        <v>46178</v>
      </c>
      <c r="J1333" s="3" t="s">
        <v>2142</v>
      </c>
      <c r="K1333" s="10" t="n">
        <v>45975</v>
      </c>
      <c r="L1333" s="3" t="s">
        <v>27</v>
      </c>
      <c r="M1333" s="7" t="n">
        <v>250</v>
      </c>
      <c r="N1333" s="8" t="n">
        <v>0.3566</v>
      </c>
      <c r="O1333" s="4" t="n">
        <f aca="false">M1333*N1333</f>
        <v>89.15</v>
      </c>
    </row>
    <row r="1334" customFormat="false" ht="15" hidden="false" customHeight="false" outlineLevel="0" collapsed="false">
      <c r="A1334" s="0" t="s">
        <v>2143</v>
      </c>
      <c r="C1334" s="0" t="s">
        <v>855</v>
      </c>
      <c r="D1334" s="7" t="n">
        <v>8400</v>
      </c>
      <c r="E1334" s="8" t="n">
        <v>0.0225</v>
      </c>
      <c r="F1334" s="4" t="n">
        <f aca="false">D1334*E1334</f>
        <v>189</v>
      </c>
      <c r="G1334" s="7" t="n">
        <v>275</v>
      </c>
      <c r="H1334" s="9" t="n">
        <f aca="false">IF(G1334&gt;0,D1334/G1334,"")</f>
        <v>30.5454545454545</v>
      </c>
      <c r="I1334" s="10" t="n">
        <v>46086</v>
      </c>
      <c r="K1334" s="10"/>
      <c r="M1334" s="7"/>
      <c r="N1334" s="8"/>
      <c r="O1334" s="4"/>
    </row>
    <row r="1335" customFormat="false" ht="15" hidden="false" customHeight="false" outlineLevel="0" collapsed="false">
      <c r="A1335" s="0" t="s">
        <v>2144</v>
      </c>
      <c r="C1335" s="0" t="s">
        <v>37</v>
      </c>
      <c r="D1335" s="7" t="n">
        <v>6184</v>
      </c>
      <c r="E1335" s="8" t="n">
        <v>0.0305498059508409</v>
      </c>
      <c r="F1335" s="4" t="n">
        <f aca="false">D1335*E1335</f>
        <v>188.92</v>
      </c>
      <c r="G1335" s="7" t="n">
        <v>196</v>
      </c>
      <c r="H1335" s="9" t="n">
        <f aca="false">IF(G1335&gt;0,D1335/G1335,"")</f>
        <v>31.5510204081633</v>
      </c>
      <c r="I1335" s="10" t="n">
        <v>46304</v>
      </c>
      <c r="J1335" s="3" t="s">
        <v>1936</v>
      </c>
      <c r="K1335" s="10" t="n">
        <v>45057</v>
      </c>
      <c r="L1335" s="3" t="s">
        <v>15</v>
      </c>
      <c r="M1335" s="7" t="n">
        <v>6550</v>
      </c>
      <c r="N1335" s="8" t="n">
        <v>0.03055</v>
      </c>
      <c r="O1335" s="4" t="n">
        <f aca="false">M1335*N1335</f>
        <v>200.1025</v>
      </c>
    </row>
    <row r="1336" customFormat="false" ht="15" hidden="false" customHeight="false" outlineLevel="0" collapsed="false">
      <c r="A1336" s="0" t="s">
        <v>2145</v>
      </c>
      <c r="C1336" s="0" t="s">
        <v>360</v>
      </c>
      <c r="D1336" s="7" t="n">
        <v>26023</v>
      </c>
      <c r="E1336" s="8" t="n">
        <v>0.00725973177573685</v>
      </c>
      <c r="F1336" s="4" t="n">
        <f aca="false">D1336*E1336</f>
        <v>188.92</v>
      </c>
      <c r="G1336" s="7" t="n">
        <v>5100</v>
      </c>
      <c r="H1336" s="9" t="n">
        <f aca="false">IF(G1336&gt;0,D1336/G1336,"")</f>
        <v>5.10254901960784</v>
      </c>
      <c r="I1336" s="10" t="n">
        <v>46233</v>
      </c>
      <c r="J1336" s="3" t="s">
        <v>1213</v>
      </c>
      <c r="K1336" s="10" t="n">
        <v>45554</v>
      </c>
      <c r="L1336" s="3" t="s">
        <v>15</v>
      </c>
      <c r="M1336" s="7" t="n">
        <v>31200</v>
      </c>
      <c r="N1336" s="8" t="n">
        <v>0.00726</v>
      </c>
      <c r="O1336" s="4" t="n">
        <f aca="false">M1336*N1336</f>
        <v>226.512</v>
      </c>
    </row>
    <row r="1337" customFormat="false" ht="15" hidden="false" customHeight="false" outlineLevel="0" collapsed="false">
      <c r="A1337" s="0" t="s">
        <v>2146</v>
      </c>
      <c r="C1337" s="0" t="s">
        <v>615</v>
      </c>
      <c r="D1337" s="7" t="n">
        <v>1867</v>
      </c>
      <c r="E1337" s="8" t="n">
        <v>0.101119442956615</v>
      </c>
      <c r="F1337" s="4" t="n">
        <f aca="false">D1337*E1337</f>
        <v>188.79</v>
      </c>
      <c r="G1337" s="7" t="n">
        <v>10</v>
      </c>
      <c r="H1337" s="9" t="n">
        <f aca="false">IF(G1337&gt;0,D1337/G1337,"")</f>
        <v>186.7</v>
      </c>
      <c r="I1337" s="10" t="n">
        <v>46247</v>
      </c>
      <c r="J1337" s="3" t="s">
        <v>249</v>
      </c>
      <c r="K1337" s="10" t="n">
        <v>44314</v>
      </c>
      <c r="L1337" s="3" t="s">
        <v>15</v>
      </c>
      <c r="M1337" s="7" t="n">
        <v>2027</v>
      </c>
      <c r="N1337" s="8" t="n">
        <v>0.1026</v>
      </c>
      <c r="O1337" s="4" t="n">
        <v>205.2</v>
      </c>
    </row>
    <row r="1338" customFormat="false" ht="15" hidden="false" customHeight="false" outlineLevel="0" collapsed="false">
      <c r="A1338" s="0" t="s">
        <v>2147</v>
      </c>
      <c r="C1338" s="0" t="s">
        <v>45</v>
      </c>
      <c r="D1338" s="7" t="n">
        <v>331</v>
      </c>
      <c r="E1338" s="8" t="n">
        <v>0.570090634441088</v>
      </c>
      <c r="F1338" s="4" t="n">
        <f aca="false">D1338*E1338</f>
        <v>188.7</v>
      </c>
      <c r="G1338" s="7" t="n">
        <v>4</v>
      </c>
      <c r="H1338" s="9" t="n">
        <f aca="false">IF(G1338&gt;0,D1338/G1338,"")</f>
        <v>82.75</v>
      </c>
      <c r="I1338" s="10" t="n">
        <v>46076</v>
      </c>
      <c r="J1338" s="3" t="s">
        <v>1255</v>
      </c>
      <c r="K1338" s="10" t="n">
        <v>44824</v>
      </c>
      <c r="L1338" s="3" t="s">
        <v>23</v>
      </c>
      <c r="M1338" s="7" t="n">
        <v>500</v>
      </c>
      <c r="N1338" s="8" t="n">
        <v>0.5701</v>
      </c>
      <c r="O1338" s="4" t="n">
        <f aca="false">M1338*N1338</f>
        <v>285.05</v>
      </c>
    </row>
    <row r="1339" customFormat="false" ht="15" hidden="false" customHeight="false" outlineLevel="0" collapsed="false">
      <c r="A1339" s="0" t="s">
        <v>2148</v>
      </c>
      <c r="C1339" s="0" t="s">
        <v>1101</v>
      </c>
      <c r="D1339" s="7" t="n">
        <v>24</v>
      </c>
      <c r="E1339" s="8" t="n">
        <v>7.86</v>
      </c>
      <c r="F1339" s="4" t="n">
        <f aca="false">D1339*E1339</f>
        <v>188.64</v>
      </c>
      <c r="G1339" s="7" t="n">
        <v>21</v>
      </c>
      <c r="H1339" s="9" t="n">
        <f aca="false">IF(G1339&gt;0,D1339/G1339,"")</f>
        <v>1.14285714285714</v>
      </c>
      <c r="I1339" s="10" t="n">
        <v>46178</v>
      </c>
      <c r="J1339" s="3" t="s">
        <v>833</v>
      </c>
      <c r="K1339" s="10" t="n">
        <v>46171</v>
      </c>
      <c r="L1339" s="3" t="s">
        <v>834</v>
      </c>
      <c r="M1339" s="7" t="n">
        <v>25</v>
      </c>
      <c r="N1339" s="8" t="n">
        <v>7.86</v>
      </c>
      <c r="O1339" s="4" t="n">
        <f aca="false">M1339*N1339</f>
        <v>196.5</v>
      </c>
    </row>
    <row r="1340" customFormat="false" ht="15" hidden="false" customHeight="false" outlineLevel="0" collapsed="false">
      <c r="A1340" s="0" t="s">
        <v>2149</v>
      </c>
      <c r="C1340" s="0" t="s">
        <v>855</v>
      </c>
      <c r="D1340" s="7" t="n">
        <v>17609</v>
      </c>
      <c r="E1340" s="8" t="n">
        <v>0.0107002101198251</v>
      </c>
      <c r="F1340" s="4" t="n">
        <f aca="false">D1340*E1340</f>
        <v>188.42</v>
      </c>
      <c r="G1340" s="7" t="n">
        <v>140</v>
      </c>
      <c r="H1340" s="9" t="n">
        <f aca="false">IF(G1340&gt;0,D1340/G1340,"")</f>
        <v>125.778571428571</v>
      </c>
      <c r="I1340" s="10" t="n">
        <v>46119</v>
      </c>
      <c r="J1340" s="3" t="s">
        <v>2150</v>
      </c>
      <c r="K1340" s="10" t="n">
        <v>44199</v>
      </c>
      <c r="L1340" s="3" t="s">
        <v>16</v>
      </c>
      <c r="M1340" s="7" t="n">
        <v>19000</v>
      </c>
      <c r="N1340" s="8" t="n">
        <v>0.0107</v>
      </c>
      <c r="O1340" s="4" t="n">
        <f aca="false">M1340*N1340</f>
        <v>203.3</v>
      </c>
    </row>
    <row r="1341" customFormat="false" ht="15" hidden="false" customHeight="false" outlineLevel="0" collapsed="false">
      <c r="A1341" s="0" t="s">
        <v>2151</v>
      </c>
      <c r="C1341" s="0" t="s">
        <v>31</v>
      </c>
      <c r="D1341" s="7" t="n">
        <v>58793</v>
      </c>
      <c r="E1341" s="8" t="n">
        <v>0.0032034425867025</v>
      </c>
      <c r="F1341" s="4" t="n">
        <f aca="false">D1341*E1341</f>
        <v>188.34</v>
      </c>
      <c r="G1341" s="7" t="n">
        <v>15137</v>
      </c>
      <c r="H1341" s="9" t="n">
        <f aca="false">IF(G1341&gt;0,D1341/G1341,"")</f>
        <v>3.88405892845346</v>
      </c>
      <c r="I1341" s="10" t="n">
        <v>46316</v>
      </c>
      <c r="J1341" s="3" t="s">
        <v>940</v>
      </c>
      <c r="K1341" s="10" t="n">
        <v>46231</v>
      </c>
      <c r="L1341" s="3" t="s">
        <v>16</v>
      </c>
      <c r="M1341" s="7" t="n">
        <v>58964</v>
      </c>
      <c r="N1341" s="8" t="n">
        <v>0.0032</v>
      </c>
      <c r="O1341" s="4" t="n">
        <f aca="false">M1341*N1341</f>
        <v>188.6848</v>
      </c>
    </row>
    <row r="1342" customFormat="false" ht="15" hidden="false" customHeight="false" outlineLevel="0" collapsed="false">
      <c r="A1342" s="0" t="s">
        <v>2152</v>
      </c>
      <c r="C1342" s="0" t="s">
        <v>31</v>
      </c>
      <c r="D1342" s="7" t="n">
        <v>85977</v>
      </c>
      <c r="E1342" s="8" t="n">
        <v>0.00219000430347651</v>
      </c>
      <c r="F1342" s="4" t="n">
        <f aca="false">D1342*E1342</f>
        <v>188.29</v>
      </c>
      <c r="G1342" s="7" t="n">
        <v>543</v>
      </c>
      <c r="H1342" s="9" t="n">
        <f aca="false">IF(G1342&gt;0,D1342/G1342,"")</f>
        <v>158.337016574586</v>
      </c>
      <c r="I1342" s="10" t="n">
        <v>46252</v>
      </c>
      <c r="K1342" s="10"/>
      <c r="M1342" s="7"/>
      <c r="N1342" s="8"/>
      <c r="O1342" s="4"/>
    </row>
    <row r="1343" customFormat="false" ht="15" hidden="false" customHeight="false" outlineLevel="0" collapsed="false">
      <c r="A1343" s="0" t="s">
        <v>2153</v>
      </c>
      <c r="C1343" s="0" t="s">
        <v>31</v>
      </c>
      <c r="D1343" s="7" t="n">
        <v>35518</v>
      </c>
      <c r="E1343" s="8" t="n">
        <v>0.00530012951179684</v>
      </c>
      <c r="F1343" s="4" t="n">
        <f aca="false">D1343*E1343</f>
        <v>188.25</v>
      </c>
      <c r="G1343" s="7" t="n">
        <v>3769</v>
      </c>
      <c r="H1343" s="9" t="n">
        <f aca="false">IF(G1343&gt;0,D1343/G1343,"")</f>
        <v>9.42371981958079</v>
      </c>
      <c r="I1343" s="10" t="n">
        <v>46308</v>
      </c>
      <c r="J1343" s="3" t="s">
        <v>2154</v>
      </c>
      <c r="K1343" s="10" t="n">
        <v>44337</v>
      </c>
      <c r="L1343" s="3" t="s">
        <v>16</v>
      </c>
      <c r="M1343" s="7" t="n">
        <v>53059</v>
      </c>
      <c r="N1343" s="8" t="n">
        <v>0.0053</v>
      </c>
      <c r="O1343" s="4" t="n">
        <f aca="false">M1343*N1343</f>
        <v>281.2127</v>
      </c>
    </row>
    <row r="1344" customFormat="false" ht="15" hidden="false" customHeight="false" outlineLevel="0" collapsed="false">
      <c r="A1344" s="0" t="s">
        <v>2155</v>
      </c>
      <c r="C1344" s="0" t="s">
        <v>31</v>
      </c>
      <c r="D1344" s="7" t="n">
        <v>24697</v>
      </c>
      <c r="E1344" s="8" t="n">
        <v>0.007621573470462</v>
      </c>
      <c r="F1344" s="4" t="n">
        <f aca="false">D1344*E1344</f>
        <v>188.23</v>
      </c>
      <c r="G1344" s="7" t="n">
        <v>647</v>
      </c>
      <c r="H1344" s="9" t="n">
        <f aca="false">IF(G1344&gt;0,D1344/G1344,"")</f>
        <v>38.1715610510046</v>
      </c>
      <c r="I1344" s="10" t="n">
        <v>46248</v>
      </c>
      <c r="J1344" s="3" t="s">
        <v>2156</v>
      </c>
      <c r="K1344" s="10" t="n">
        <v>44831</v>
      </c>
      <c r="L1344" s="3" t="s">
        <v>19</v>
      </c>
      <c r="M1344" s="7" t="n">
        <v>3165</v>
      </c>
      <c r="N1344" s="8" t="n">
        <v>0</v>
      </c>
      <c r="O1344" s="4" t="n">
        <v>46.8</v>
      </c>
    </row>
    <row r="1345" customFormat="false" ht="15" hidden="false" customHeight="false" outlineLevel="0" collapsed="false">
      <c r="A1345" s="0" t="s">
        <v>2157</v>
      </c>
      <c r="C1345" s="0" t="s">
        <v>340</v>
      </c>
      <c r="D1345" s="7" t="n">
        <v>28720</v>
      </c>
      <c r="E1345" s="8" t="n">
        <v>0.00654979108635098</v>
      </c>
      <c r="F1345" s="4" t="n">
        <f aca="false">D1345*E1345</f>
        <v>188.11</v>
      </c>
      <c r="G1345" s="7" t="n">
        <v>2970</v>
      </c>
      <c r="H1345" s="9" t="n">
        <f aca="false">IF(G1345&gt;0,D1345/G1345,"")</f>
        <v>9.67003367003367</v>
      </c>
      <c r="I1345" s="10" t="n">
        <v>46269</v>
      </c>
      <c r="J1345" s="3" t="s">
        <v>1140</v>
      </c>
      <c r="K1345" s="10" t="n">
        <v>45614</v>
      </c>
      <c r="L1345" s="3" t="s">
        <v>15</v>
      </c>
      <c r="M1345" s="7" t="n">
        <v>31730</v>
      </c>
      <c r="N1345" s="8" t="n">
        <v>0.00655</v>
      </c>
      <c r="O1345" s="4" t="n">
        <f aca="false">M1345*N1345</f>
        <v>207.8315</v>
      </c>
    </row>
    <row r="1346" customFormat="false" ht="15" hidden="false" customHeight="false" outlineLevel="0" collapsed="false">
      <c r="A1346" s="0" t="s">
        <v>2158</v>
      </c>
      <c r="C1346" s="0" t="s">
        <v>31</v>
      </c>
      <c r="D1346" s="7" t="n">
        <v>3897</v>
      </c>
      <c r="E1346" s="8" t="n">
        <v>0.0481729535540159</v>
      </c>
      <c r="F1346" s="4" t="n">
        <f aca="false">D1346*E1346</f>
        <v>187.73</v>
      </c>
      <c r="G1346" s="7" t="n">
        <v>16</v>
      </c>
      <c r="H1346" s="9" t="n">
        <f aca="false">IF(G1346&gt;0,D1346/G1346,"")</f>
        <v>243.5625</v>
      </c>
      <c r="I1346" s="10" t="n">
        <v>46239</v>
      </c>
      <c r="K1346" s="10"/>
      <c r="M1346" s="7"/>
      <c r="N1346" s="8"/>
      <c r="O1346" s="4"/>
    </row>
    <row r="1347" customFormat="false" ht="15" hidden="false" customHeight="false" outlineLevel="0" collapsed="false">
      <c r="A1347" s="0" t="s">
        <v>2159</v>
      </c>
      <c r="C1347" s="0" t="s">
        <v>855</v>
      </c>
      <c r="D1347" s="7" t="n">
        <v>35002</v>
      </c>
      <c r="E1347" s="8" t="n">
        <v>0.00534969430318268</v>
      </c>
      <c r="F1347" s="4" t="n">
        <f aca="false">D1347*E1347</f>
        <v>187.25</v>
      </c>
      <c r="G1347" s="7" t="n">
        <v>1650</v>
      </c>
      <c r="H1347" s="9" t="n">
        <f aca="false">IF(G1347&gt;0,D1347/G1347,"")</f>
        <v>21.2133333333333</v>
      </c>
      <c r="I1347" s="10" t="n">
        <v>46251</v>
      </c>
      <c r="K1347" s="10"/>
      <c r="M1347" s="7"/>
      <c r="N1347" s="8"/>
      <c r="O1347" s="4"/>
    </row>
    <row r="1348" customFormat="false" ht="15" hidden="false" customHeight="false" outlineLevel="0" collapsed="false">
      <c r="A1348" s="0" t="s">
        <v>2160</v>
      </c>
      <c r="C1348" s="0" t="s">
        <v>118</v>
      </c>
      <c r="D1348" s="7" t="n">
        <v>4076</v>
      </c>
      <c r="E1348" s="8" t="n">
        <v>0.0459224730127576</v>
      </c>
      <c r="F1348" s="4" t="n">
        <f aca="false">D1348*E1348</f>
        <v>187.18</v>
      </c>
      <c r="G1348" s="7" t="n">
        <v>1082</v>
      </c>
      <c r="H1348" s="9" t="n">
        <f aca="false">IF(G1348&gt;0,D1348/G1348,"")</f>
        <v>3.76709796672828</v>
      </c>
      <c r="I1348" s="10" t="n">
        <v>46309</v>
      </c>
      <c r="J1348" s="3" t="s">
        <v>1140</v>
      </c>
      <c r="K1348" s="10" t="n">
        <v>45614</v>
      </c>
      <c r="L1348" s="3" t="s">
        <v>15</v>
      </c>
      <c r="M1348" s="7" t="n">
        <v>5475</v>
      </c>
      <c r="N1348" s="8" t="n">
        <v>0.04594</v>
      </c>
      <c r="O1348" s="4" t="n">
        <f aca="false">M1348*N1348</f>
        <v>251.5215</v>
      </c>
    </row>
    <row r="1349" customFormat="false" ht="15" hidden="false" customHeight="false" outlineLevel="0" collapsed="false">
      <c r="A1349" s="0" t="s">
        <v>2161</v>
      </c>
      <c r="C1349" s="0" t="s">
        <v>295</v>
      </c>
      <c r="D1349" s="7" t="n">
        <v>3069</v>
      </c>
      <c r="E1349" s="8" t="n">
        <v>0.0609677419354839</v>
      </c>
      <c r="F1349" s="4" t="n">
        <f aca="false">D1349*E1349</f>
        <v>187.11</v>
      </c>
      <c r="G1349" s="7" t="n">
        <v>14</v>
      </c>
      <c r="H1349" s="9" t="n">
        <f aca="false">IF(G1349&gt;0,D1349/G1349,"")</f>
        <v>219.214285714286</v>
      </c>
      <c r="I1349" s="10" t="n">
        <v>46181</v>
      </c>
      <c r="J1349" s="3" t="s">
        <v>2162</v>
      </c>
      <c r="K1349" s="10" t="n">
        <v>44222</v>
      </c>
      <c r="L1349" s="3" t="s">
        <v>15</v>
      </c>
      <c r="M1349" s="7" t="n">
        <v>3524</v>
      </c>
      <c r="N1349" s="8" t="n">
        <v>0.06097</v>
      </c>
      <c r="O1349" s="4" t="n">
        <f aca="false">M1349*N1349</f>
        <v>214.85828</v>
      </c>
    </row>
    <row r="1350" customFormat="false" ht="15" hidden="false" customHeight="false" outlineLevel="0" collapsed="false">
      <c r="A1350" s="0" t="s">
        <v>2163</v>
      </c>
      <c r="C1350" s="0" t="s">
        <v>33</v>
      </c>
      <c r="D1350" s="7" t="n">
        <v>1025</v>
      </c>
      <c r="E1350" s="8" t="n">
        <v>0.182517073170732</v>
      </c>
      <c r="F1350" s="4" t="n">
        <f aca="false">D1350*E1350</f>
        <v>187.08</v>
      </c>
      <c r="G1350" s="7" t="n">
        <v>608</v>
      </c>
      <c r="H1350" s="9" t="n">
        <f aca="false">IF(G1350&gt;0,D1350/G1350,"")</f>
        <v>1.68585526315789</v>
      </c>
      <c r="I1350" s="10" t="n">
        <v>46283</v>
      </c>
      <c r="J1350" s="3" t="s">
        <v>276</v>
      </c>
      <c r="K1350" s="10" t="n">
        <v>46225</v>
      </c>
      <c r="L1350" s="3" t="s">
        <v>14</v>
      </c>
      <c r="M1350" s="7" t="n">
        <v>1000</v>
      </c>
      <c r="N1350" s="8" t="n">
        <v>0.1823</v>
      </c>
      <c r="O1350" s="4" t="n">
        <f aca="false">M1350*N1350</f>
        <v>182.3</v>
      </c>
    </row>
    <row r="1351" customFormat="false" ht="15" hidden="false" customHeight="false" outlineLevel="0" collapsed="false">
      <c r="A1351" s="0" t="s">
        <v>2164</v>
      </c>
      <c r="C1351" s="0" t="s">
        <v>33</v>
      </c>
      <c r="D1351" s="7" t="n">
        <v>89</v>
      </c>
      <c r="E1351" s="8" t="n">
        <v>2.10202247191011</v>
      </c>
      <c r="F1351" s="4" t="n">
        <f aca="false">D1351*E1351</f>
        <v>187.08</v>
      </c>
      <c r="G1351" s="7" t="n">
        <v>55</v>
      </c>
      <c r="H1351" s="9" t="n">
        <f aca="false">IF(G1351&gt;0,D1351/G1351,"")</f>
        <v>1.61818181818182</v>
      </c>
      <c r="I1351" s="10" t="n">
        <v>46269</v>
      </c>
      <c r="J1351" s="3" t="s">
        <v>215</v>
      </c>
      <c r="K1351" s="10" t="n">
        <v>46259</v>
      </c>
      <c r="L1351" s="3" t="s">
        <v>18</v>
      </c>
      <c r="M1351" s="7" t="n">
        <v>135</v>
      </c>
      <c r="N1351" s="8" t="n">
        <v>2.1118</v>
      </c>
      <c r="O1351" s="4" t="n">
        <f aca="false">M1351*N1351</f>
        <v>285.093</v>
      </c>
    </row>
    <row r="1352" customFormat="false" ht="15" hidden="false" customHeight="false" outlineLevel="0" collapsed="false">
      <c r="A1352" s="0" t="s">
        <v>2165</v>
      </c>
      <c r="C1352" s="0" t="s">
        <v>275</v>
      </c>
      <c r="D1352" s="7" t="n">
        <v>9</v>
      </c>
      <c r="E1352" s="8" t="n">
        <v>20.7844444444444</v>
      </c>
      <c r="F1352" s="4" t="n">
        <f aca="false">D1352*E1352</f>
        <v>187.06</v>
      </c>
      <c r="G1352" s="7" t="n">
        <v>1</v>
      </c>
      <c r="H1352" s="9" t="n">
        <f aca="false">IF(G1352&gt;0,D1352/G1352,"")</f>
        <v>9</v>
      </c>
      <c r="I1352" s="10" t="n">
        <v>46154</v>
      </c>
      <c r="J1352" s="3" t="s">
        <v>507</v>
      </c>
      <c r="K1352" s="10" t="n">
        <v>45876</v>
      </c>
      <c r="L1352" s="3" t="s">
        <v>14</v>
      </c>
      <c r="M1352" s="7" t="n">
        <v>13</v>
      </c>
      <c r="N1352" s="8" t="n">
        <v>20.785384</v>
      </c>
      <c r="O1352" s="4" t="n">
        <f aca="false">M1352*N1352</f>
        <v>270.209992</v>
      </c>
    </row>
    <row r="1353" customFormat="false" ht="15" hidden="false" customHeight="false" outlineLevel="0" collapsed="false">
      <c r="A1353" s="0" t="s">
        <v>2166</v>
      </c>
      <c r="C1353" s="0" t="s">
        <v>33</v>
      </c>
      <c r="D1353" s="7" t="n">
        <v>2002</v>
      </c>
      <c r="E1353" s="8" t="n">
        <v>0.0933916083916084</v>
      </c>
      <c r="F1353" s="4" t="n">
        <f aca="false">D1353*E1353</f>
        <v>186.97</v>
      </c>
      <c r="G1353" s="7" t="n">
        <v>669</v>
      </c>
      <c r="H1353" s="9" t="n">
        <f aca="false">IF(G1353&gt;0,D1353/G1353,"")</f>
        <v>2.99252615844544</v>
      </c>
      <c r="I1353" s="10" t="n">
        <v>46251</v>
      </c>
      <c r="J1353" s="3" t="s">
        <v>230</v>
      </c>
      <c r="K1353" s="10" t="n">
        <v>46303</v>
      </c>
      <c r="L1353" s="3" t="s">
        <v>18</v>
      </c>
      <c r="M1353" s="7" t="n">
        <v>870</v>
      </c>
      <c r="N1353" s="8" t="n">
        <v>0.0991</v>
      </c>
      <c r="O1353" s="4" t="n">
        <f aca="false">M1353*N1353</f>
        <v>86.217</v>
      </c>
    </row>
    <row r="1354" customFormat="false" ht="15" hidden="false" customHeight="false" outlineLevel="0" collapsed="false">
      <c r="A1354" s="0" t="s">
        <v>2167</v>
      </c>
      <c r="C1354" s="0" t="s">
        <v>36</v>
      </c>
      <c r="D1354" s="7" t="n">
        <v>7978</v>
      </c>
      <c r="E1354" s="8" t="n">
        <v>0.0234056154424668</v>
      </c>
      <c r="F1354" s="4" t="n">
        <f aca="false">D1354*E1354</f>
        <v>186.73</v>
      </c>
      <c r="G1354" s="7" t="n">
        <v>362</v>
      </c>
      <c r="H1354" s="9" t="n">
        <f aca="false">IF(G1354&gt;0,D1354/G1354,"")</f>
        <v>22.0386740331492</v>
      </c>
      <c r="I1354" s="10" t="n">
        <v>46113</v>
      </c>
      <c r="J1354" s="3" t="s">
        <v>1028</v>
      </c>
      <c r="K1354" s="10" t="n">
        <v>45689</v>
      </c>
      <c r="L1354" s="3" t="s">
        <v>18</v>
      </c>
      <c r="M1354" s="7" t="n">
        <v>4200</v>
      </c>
      <c r="N1354" s="8" t="n">
        <v>0.0236</v>
      </c>
      <c r="O1354" s="4" t="n">
        <f aca="false">M1354*N1354</f>
        <v>99.12</v>
      </c>
    </row>
    <row r="1355" customFormat="false" ht="15" hidden="false" customHeight="false" outlineLevel="0" collapsed="false">
      <c r="A1355" s="0" t="s">
        <v>2168</v>
      </c>
      <c r="C1355" s="0" t="s">
        <v>31</v>
      </c>
      <c r="D1355" s="7" t="n">
        <v>1222</v>
      </c>
      <c r="E1355" s="8" t="n">
        <v>0.15278232405892</v>
      </c>
      <c r="F1355" s="4" t="n">
        <f aca="false">D1355*E1355</f>
        <v>186.7</v>
      </c>
      <c r="G1355" s="7" t="n">
        <v>340</v>
      </c>
      <c r="H1355" s="9" t="n">
        <f aca="false">IF(G1355&gt;0,D1355/G1355,"")</f>
        <v>3.59411764705882</v>
      </c>
      <c r="I1355" s="10" t="n">
        <v>46295</v>
      </c>
      <c r="J1355" s="3" t="s">
        <v>2169</v>
      </c>
      <c r="K1355" s="10" t="n">
        <v>45946</v>
      </c>
      <c r="L1355" s="3" t="s">
        <v>19</v>
      </c>
      <c r="M1355" s="7" t="n">
        <v>1500</v>
      </c>
      <c r="N1355" s="8" t="n">
        <v>0.1528</v>
      </c>
      <c r="O1355" s="4" t="n">
        <f aca="false">M1355*N1355</f>
        <v>229.2</v>
      </c>
    </row>
    <row r="1356" customFormat="false" ht="15" hidden="false" customHeight="false" outlineLevel="0" collapsed="false">
      <c r="A1356" s="0" t="s">
        <v>2170</v>
      </c>
      <c r="C1356" s="0" t="s">
        <v>31</v>
      </c>
      <c r="D1356" s="7" t="n">
        <v>66750</v>
      </c>
      <c r="E1356" s="8" t="n">
        <v>0.00279700374531835</v>
      </c>
      <c r="F1356" s="4" t="n">
        <f aca="false">D1356*E1356</f>
        <v>186.7</v>
      </c>
      <c r="G1356" s="7" t="n">
        <v>3321</v>
      </c>
      <c r="H1356" s="9" t="n">
        <f aca="false">IF(G1356&gt;0,D1356/G1356,"")</f>
        <v>20.0993676603433</v>
      </c>
      <c r="I1356" s="10" t="n">
        <v>46310</v>
      </c>
      <c r="K1356" s="10"/>
      <c r="M1356" s="7"/>
      <c r="N1356" s="8"/>
      <c r="O1356" s="4"/>
    </row>
    <row r="1357" customFormat="false" ht="15" hidden="false" customHeight="false" outlineLevel="0" collapsed="false">
      <c r="A1357" s="0" t="s">
        <v>2171</v>
      </c>
      <c r="C1357" s="0" t="s">
        <v>340</v>
      </c>
      <c r="D1357" s="7" t="n">
        <v>57797</v>
      </c>
      <c r="E1357" s="8" t="n">
        <v>0.00323009844801633</v>
      </c>
      <c r="F1357" s="4" t="n">
        <f aca="false">D1357*E1357</f>
        <v>186.69</v>
      </c>
      <c r="G1357" s="7" t="n">
        <v>9140</v>
      </c>
      <c r="H1357" s="9" t="n">
        <f aca="false">IF(G1357&gt;0,D1357/G1357,"")</f>
        <v>6.32352297592998</v>
      </c>
      <c r="I1357" s="10" t="n">
        <v>46317</v>
      </c>
      <c r="J1357" s="3" t="s">
        <v>1684</v>
      </c>
      <c r="K1357" s="10" t="n">
        <v>45755</v>
      </c>
      <c r="L1357" s="3" t="s">
        <v>15</v>
      </c>
      <c r="M1357" s="7" t="n">
        <v>67300</v>
      </c>
      <c r="N1357" s="8" t="n">
        <v>0.00323</v>
      </c>
      <c r="O1357" s="4" t="n">
        <f aca="false">M1357*N1357</f>
        <v>217.379</v>
      </c>
    </row>
    <row r="1358" customFormat="false" ht="15" hidden="false" customHeight="false" outlineLevel="0" collapsed="false">
      <c r="A1358" s="0" t="s">
        <v>2172</v>
      </c>
      <c r="C1358" s="0" t="s">
        <v>34</v>
      </c>
      <c r="D1358" s="7" t="n">
        <v>601</v>
      </c>
      <c r="E1358" s="8" t="n">
        <v>0.310415973377704</v>
      </c>
      <c r="F1358" s="4" t="n">
        <f aca="false">D1358*E1358</f>
        <v>186.56</v>
      </c>
      <c r="G1358" s="7" t="n">
        <v>1</v>
      </c>
      <c r="H1358" s="9" t="n">
        <f aca="false">IF(G1358&gt;0,D1358/G1358,"")</f>
        <v>601</v>
      </c>
      <c r="I1358" s="10" t="n">
        <v>46078</v>
      </c>
      <c r="J1358" s="3" t="s">
        <v>2038</v>
      </c>
      <c r="K1358" s="10" t="n">
        <v>45236</v>
      </c>
      <c r="L1358" s="3" t="s">
        <v>15</v>
      </c>
      <c r="M1358" s="7" t="n">
        <v>950</v>
      </c>
      <c r="N1358" s="8" t="n">
        <v>0.3104</v>
      </c>
      <c r="O1358" s="4" t="n">
        <f aca="false">M1358*N1358</f>
        <v>294.88</v>
      </c>
    </row>
    <row r="1359" customFormat="false" ht="15" hidden="false" customHeight="false" outlineLevel="0" collapsed="false">
      <c r="A1359" s="0" t="s">
        <v>2173</v>
      </c>
      <c r="C1359" s="0" t="s">
        <v>1714</v>
      </c>
      <c r="D1359" s="7" t="n">
        <v>4441</v>
      </c>
      <c r="E1359" s="8" t="n">
        <v>0.0419995496509795</v>
      </c>
      <c r="F1359" s="4" t="n">
        <f aca="false">D1359*E1359</f>
        <v>186.52</v>
      </c>
      <c r="G1359" s="7" t="n">
        <v>129</v>
      </c>
      <c r="H1359" s="9" t="n">
        <f aca="false">IF(G1359&gt;0,D1359/G1359,"")</f>
        <v>34.4263565891473</v>
      </c>
      <c r="I1359" s="10" t="n">
        <v>46315</v>
      </c>
      <c r="J1359" s="3" t="s">
        <v>2003</v>
      </c>
      <c r="K1359" s="10" t="n">
        <v>45259</v>
      </c>
      <c r="L1359" s="3" t="s">
        <v>21</v>
      </c>
      <c r="M1359" s="7" t="n">
        <v>4762</v>
      </c>
      <c r="N1359" s="8" t="n">
        <v>0.042</v>
      </c>
      <c r="O1359" s="4" t="n">
        <f aca="false">M1359*N1359</f>
        <v>200.004</v>
      </c>
    </row>
    <row r="1360" customFormat="false" ht="15" hidden="false" customHeight="false" outlineLevel="0" collapsed="false">
      <c r="A1360" s="0" t="s">
        <v>2174</v>
      </c>
      <c r="C1360" s="0" t="s">
        <v>438</v>
      </c>
      <c r="D1360" s="7" t="n">
        <v>267</v>
      </c>
      <c r="E1360" s="8" t="n">
        <v>0.698576779026217</v>
      </c>
      <c r="F1360" s="4" t="n">
        <f aca="false">D1360*E1360</f>
        <v>186.52</v>
      </c>
      <c r="G1360" s="7" t="n">
        <v>88</v>
      </c>
      <c r="H1360" s="9" t="n">
        <f aca="false">IF(G1360&gt;0,D1360/G1360,"")</f>
        <v>3.03409090909091</v>
      </c>
      <c r="I1360" s="10" t="n">
        <v>46294</v>
      </c>
      <c r="J1360" s="3" t="s">
        <v>2175</v>
      </c>
      <c r="K1360" s="10" t="n">
        <v>46295</v>
      </c>
      <c r="L1360" s="3" t="s">
        <v>1878</v>
      </c>
      <c r="M1360" s="7" t="n">
        <v>250</v>
      </c>
      <c r="N1360" s="8" t="n">
        <v>0.7</v>
      </c>
      <c r="O1360" s="4" t="n">
        <f aca="false">M1360*N1360</f>
        <v>175</v>
      </c>
    </row>
    <row r="1361" customFormat="false" ht="15" hidden="false" customHeight="false" outlineLevel="0" collapsed="false">
      <c r="A1361" s="0" t="s">
        <v>2176</v>
      </c>
      <c r="C1361" s="0" t="s">
        <v>44</v>
      </c>
      <c r="D1361" s="7" t="n">
        <v>6</v>
      </c>
      <c r="E1361" s="8" t="n">
        <v>31.07</v>
      </c>
      <c r="F1361" s="4" t="n">
        <f aca="false">D1361*E1361</f>
        <v>186.42</v>
      </c>
      <c r="G1361" s="7" t="n">
        <v>6</v>
      </c>
      <c r="H1361" s="9" t="n">
        <f aca="false">IF(G1361&gt;0,D1361/G1361,"")</f>
        <v>1</v>
      </c>
      <c r="I1361" s="10" t="n">
        <v>46009</v>
      </c>
      <c r="J1361" s="3" t="s">
        <v>2177</v>
      </c>
      <c r="K1361" s="10" t="n">
        <v>44683</v>
      </c>
      <c r="L1361" s="3" t="s">
        <v>14</v>
      </c>
      <c r="M1361" s="7" t="n">
        <v>11</v>
      </c>
      <c r="N1361" s="8" t="n">
        <v>31.07</v>
      </c>
      <c r="O1361" s="4" t="n">
        <f aca="false">M1361*N1361</f>
        <v>341.77</v>
      </c>
    </row>
    <row r="1362" customFormat="false" ht="15" hidden="false" customHeight="false" outlineLevel="0" collapsed="false">
      <c r="A1362" s="0" t="s">
        <v>2178</v>
      </c>
      <c r="C1362" s="0" t="s">
        <v>225</v>
      </c>
      <c r="D1362" s="7" t="n">
        <v>2</v>
      </c>
      <c r="E1362" s="8" t="n">
        <v>93.175</v>
      </c>
      <c r="F1362" s="4" t="n">
        <f aca="false">D1362*E1362</f>
        <v>186.35</v>
      </c>
      <c r="G1362" s="7" t="n">
        <v>1</v>
      </c>
      <c r="H1362" s="9" t="n">
        <f aca="false">IF(G1362&gt;0,D1362/G1362,"")</f>
        <v>2</v>
      </c>
      <c r="I1362" s="10" t="n">
        <v>46253</v>
      </c>
      <c r="J1362" s="3" t="s">
        <v>2179</v>
      </c>
      <c r="K1362" s="10" t="n">
        <v>45925</v>
      </c>
      <c r="L1362" s="3" t="s">
        <v>14</v>
      </c>
      <c r="M1362" s="7" t="n">
        <v>15</v>
      </c>
      <c r="N1362" s="8" t="n">
        <v>93.176</v>
      </c>
      <c r="O1362" s="4" t="n">
        <f aca="false">M1362*N1362</f>
        <v>1397.64</v>
      </c>
    </row>
    <row r="1363" customFormat="false" ht="15" hidden="false" customHeight="false" outlineLevel="0" collapsed="false">
      <c r="A1363" s="0" t="s">
        <v>2180</v>
      </c>
      <c r="C1363" s="0" t="s">
        <v>41</v>
      </c>
      <c r="D1363" s="7" t="n">
        <v>8317</v>
      </c>
      <c r="E1363" s="8" t="n">
        <v>0.0223999038114705</v>
      </c>
      <c r="F1363" s="4" t="n">
        <f aca="false">D1363*E1363</f>
        <v>186.3</v>
      </c>
      <c r="G1363" s="7" t="n">
        <v>100</v>
      </c>
      <c r="H1363" s="9" t="n">
        <f aca="false">IF(G1363&gt;0,D1363/G1363,"")</f>
        <v>83.17</v>
      </c>
      <c r="I1363" s="10" t="n">
        <v>46311</v>
      </c>
      <c r="J1363" s="3" t="s">
        <v>631</v>
      </c>
      <c r="K1363" s="10" t="n">
        <v>44307</v>
      </c>
      <c r="L1363" s="3" t="s">
        <v>16</v>
      </c>
      <c r="M1363" s="7" t="n">
        <v>8431</v>
      </c>
      <c r="N1363" s="8" t="n">
        <v>0.0224</v>
      </c>
      <c r="O1363" s="4" t="n">
        <f aca="false">M1363*N1363</f>
        <v>188.8544</v>
      </c>
    </row>
    <row r="1364" customFormat="false" ht="15" hidden="false" customHeight="false" outlineLevel="0" collapsed="false">
      <c r="A1364" s="0" t="s">
        <v>2181</v>
      </c>
      <c r="C1364" s="0" t="s">
        <v>32</v>
      </c>
      <c r="D1364" s="7" t="n">
        <v>70867</v>
      </c>
      <c r="E1364" s="8" t="n">
        <v>0.00262788039567076</v>
      </c>
      <c r="F1364" s="4" t="n">
        <f aca="false">D1364*E1364</f>
        <v>186.23</v>
      </c>
      <c r="G1364" s="7" t="n">
        <v>23720</v>
      </c>
      <c r="H1364" s="9" t="n">
        <f aca="false">IF(G1364&gt;0,D1364/G1364,"")</f>
        <v>2.98764755480607</v>
      </c>
      <c r="I1364" s="10" t="n">
        <v>46308</v>
      </c>
      <c r="J1364" s="3" t="s">
        <v>2182</v>
      </c>
      <c r="K1364" s="10" t="n">
        <v>45457</v>
      </c>
      <c r="L1364" s="3" t="s">
        <v>18</v>
      </c>
      <c r="M1364" s="7" t="n">
        <v>97000</v>
      </c>
      <c r="N1364" s="8" t="n">
        <v>0.0029</v>
      </c>
      <c r="O1364" s="4" t="n">
        <f aca="false">M1364*N1364</f>
        <v>281.3</v>
      </c>
    </row>
    <row r="1365" customFormat="false" ht="15" hidden="false" customHeight="false" outlineLevel="0" collapsed="false">
      <c r="A1365" s="0" t="s">
        <v>2183</v>
      </c>
      <c r="C1365" s="0" t="s">
        <v>979</v>
      </c>
      <c r="D1365" s="7" t="n">
        <v>162</v>
      </c>
      <c r="E1365" s="8" t="n">
        <v>1.14901234567901</v>
      </c>
      <c r="F1365" s="4" t="n">
        <f aca="false">D1365*E1365</f>
        <v>186.14</v>
      </c>
      <c r="G1365" s="7" t="n">
        <v>2</v>
      </c>
      <c r="H1365" s="9" t="n">
        <f aca="false">IF(G1365&gt;0,D1365/G1365,"")</f>
        <v>81</v>
      </c>
      <c r="I1365" s="10" t="n">
        <v>46161</v>
      </c>
      <c r="J1365" s="3" t="s">
        <v>2184</v>
      </c>
      <c r="K1365" s="10" t="n">
        <v>44729</v>
      </c>
      <c r="L1365" s="3" t="s">
        <v>18</v>
      </c>
      <c r="M1365" s="7" t="n">
        <v>170</v>
      </c>
      <c r="N1365" s="8" t="n">
        <v>1.149</v>
      </c>
      <c r="O1365" s="4" t="n">
        <f aca="false">M1365*N1365</f>
        <v>195.33</v>
      </c>
    </row>
    <row r="1366" customFormat="false" ht="15" hidden="false" customHeight="false" outlineLevel="0" collapsed="false">
      <c r="A1366" s="0" t="s">
        <v>2185</v>
      </c>
      <c r="C1366" s="0" t="s">
        <v>370</v>
      </c>
      <c r="D1366" s="7" t="n">
        <v>3445</v>
      </c>
      <c r="E1366" s="8" t="n">
        <v>0.0540029027576197</v>
      </c>
      <c r="F1366" s="4" t="n">
        <f aca="false">D1366*E1366</f>
        <v>186.04</v>
      </c>
      <c r="G1366" s="7" t="n">
        <v>235</v>
      </c>
      <c r="H1366" s="9" t="n">
        <f aca="false">IF(G1366&gt;0,D1366/G1366,"")</f>
        <v>14.6595744680851</v>
      </c>
      <c r="I1366" s="10" t="n">
        <v>46304</v>
      </c>
      <c r="J1366" s="3" t="s">
        <v>2186</v>
      </c>
      <c r="K1366" s="10" t="n">
        <v>44309</v>
      </c>
      <c r="L1366" s="3" t="s">
        <v>21</v>
      </c>
      <c r="M1366" s="7" t="n">
        <v>5000</v>
      </c>
      <c r="N1366" s="8" t="n">
        <v>0.054</v>
      </c>
      <c r="O1366" s="4" t="n">
        <f aca="false">M1366*N1366</f>
        <v>270</v>
      </c>
    </row>
    <row r="1367" customFormat="false" ht="15" hidden="false" customHeight="false" outlineLevel="0" collapsed="false">
      <c r="A1367" s="0" t="s">
        <v>2187</v>
      </c>
      <c r="C1367" s="0" t="s">
        <v>1169</v>
      </c>
      <c r="D1367" s="7" t="n">
        <v>183</v>
      </c>
      <c r="E1367" s="8" t="n">
        <v>1.01628415300546</v>
      </c>
      <c r="F1367" s="4" t="n">
        <f aca="false">D1367*E1367</f>
        <v>185.98</v>
      </c>
      <c r="G1367" s="7" t="n">
        <v>5</v>
      </c>
      <c r="H1367" s="9" t="n">
        <f aca="false">IF(G1367&gt;0,D1367/G1367,"")</f>
        <v>36.6</v>
      </c>
      <c r="I1367" s="10" t="n">
        <v>46135</v>
      </c>
      <c r="J1367" s="3" t="s">
        <v>644</v>
      </c>
      <c r="K1367" s="10" t="n">
        <v>44867</v>
      </c>
      <c r="L1367" s="3" t="s">
        <v>19</v>
      </c>
      <c r="M1367" s="7" t="n">
        <v>598</v>
      </c>
      <c r="N1367" s="8" t="n">
        <v>1.0163</v>
      </c>
      <c r="O1367" s="4" t="n">
        <f aca="false">M1367*N1367</f>
        <v>607.7474</v>
      </c>
    </row>
    <row r="1368" customFormat="false" ht="15" hidden="false" customHeight="false" outlineLevel="0" collapsed="false">
      <c r="A1368" s="0" t="s">
        <v>2188</v>
      </c>
      <c r="C1368" s="0" t="s">
        <v>285</v>
      </c>
      <c r="D1368" s="7" t="n">
        <v>735</v>
      </c>
      <c r="E1368" s="8" t="n">
        <v>0.252993197278912</v>
      </c>
      <c r="F1368" s="4" t="n">
        <f aca="false">D1368*E1368</f>
        <v>185.95</v>
      </c>
      <c r="G1368" s="7" t="n">
        <v>20</v>
      </c>
      <c r="H1368" s="9" t="n">
        <f aca="false">IF(G1368&gt;0,D1368/G1368,"")</f>
        <v>36.75</v>
      </c>
      <c r="I1368" s="10" t="n">
        <v>46191</v>
      </c>
      <c r="K1368" s="10"/>
      <c r="M1368" s="7"/>
      <c r="N1368" s="8"/>
      <c r="O1368" s="4"/>
    </row>
    <row r="1369" customFormat="false" ht="15" hidden="false" customHeight="false" outlineLevel="0" collapsed="false">
      <c r="A1369" s="0" t="s">
        <v>2189</v>
      </c>
      <c r="C1369" s="0" t="s">
        <v>31</v>
      </c>
      <c r="D1369" s="7" t="n">
        <v>183</v>
      </c>
      <c r="E1369" s="8" t="n">
        <v>1.01590163934426</v>
      </c>
      <c r="F1369" s="4" t="n">
        <f aca="false">D1369*E1369</f>
        <v>185.91</v>
      </c>
      <c r="G1369" s="7" t="n">
        <v>2</v>
      </c>
      <c r="H1369" s="9" t="n">
        <f aca="false">IF(G1369&gt;0,D1369/G1369,"")</f>
        <v>91.5</v>
      </c>
      <c r="I1369" s="10" t="n">
        <v>46090</v>
      </c>
      <c r="K1369" s="10"/>
      <c r="M1369" s="7"/>
      <c r="N1369" s="8"/>
      <c r="O1369" s="4"/>
    </row>
    <row r="1370" customFormat="false" ht="15" hidden="false" customHeight="false" outlineLevel="0" collapsed="false">
      <c r="A1370" s="0" t="s">
        <v>2190</v>
      </c>
      <c r="C1370" s="0" t="s">
        <v>340</v>
      </c>
      <c r="D1370" s="7" t="n">
        <v>6480</v>
      </c>
      <c r="E1370" s="8" t="n">
        <v>0.0286712962962963</v>
      </c>
      <c r="F1370" s="4" t="n">
        <f aca="false">D1370*E1370</f>
        <v>185.79</v>
      </c>
      <c r="G1370" s="7" t="n">
        <v>635</v>
      </c>
      <c r="H1370" s="9" t="n">
        <f aca="false">IF(G1370&gt;0,D1370/G1370,"")</f>
        <v>10.2047244094488</v>
      </c>
      <c r="I1370" s="10" t="n">
        <v>46244</v>
      </c>
      <c r="J1370" s="3" t="s">
        <v>162</v>
      </c>
      <c r="K1370" s="10" t="n">
        <v>45967</v>
      </c>
      <c r="L1370" s="3" t="s">
        <v>15</v>
      </c>
      <c r="M1370" s="7" t="n">
        <v>7500</v>
      </c>
      <c r="N1370" s="8" t="n">
        <v>0.02867</v>
      </c>
      <c r="O1370" s="4" t="n">
        <f aca="false">M1370*N1370</f>
        <v>215.025</v>
      </c>
    </row>
    <row r="1371" customFormat="false" ht="15" hidden="false" customHeight="false" outlineLevel="0" collapsed="false">
      <c r="A1371" s="0" t="s">
        <v>2191</v>
      </c>
      <c r="C1371" s="0" t="s">
        <v>698</v>
      </c>
      <c r="D1371" s="7" t="n">
        <v>964</v>
      </c>
      <c r="E1371" s="8" t="n">
        <v>0.192697095435685</v>
      </c>
      <c r="F1371" s="4" t="n">
        <f aca="false">D1371*E1371</f>
        <v>185.76</v>
      </c>
      <c r="G1371" s="7" t="n">
        <v>36</v>
      </c>
      <c r="H1371" s="9" t="n">
        <f aca="false">IF(G1371&gt;0,D1371/G1371,"")</f>
        <v>26.7777777777778</v>
      </c>
      <c r="I1371" s="10" t="n">
        <v>46071</v>
      </c>
      <c r="J1371" s="3" t="s">
        <v>768</v>
      </c>
      <c r="K1371" s="10" t="n">
        <v>46014</v>
      </c>
      <c r="L1371" s="3" t="s">
        <v>14</v>
      </c>
      <c r="M1371" s="7" t="n">
        <v>1000</v>
      </c>
      <c r="N1371" s="8" t="n">
        <v>0.1927</v>
      </c>
      <c r="O1371" s="4" t="n">
        <f aca="false">M1371*N1371</f>
        <v>192.7</v>
      </c>
    </row>
    <row r="1372" customFormat="false" ht="15" hidden="false" customHeight="false" outlineLevel="0" collapsed="false">
      <c r="A1372" s="0" t="s">
        <v>2192</v>
      </c>
      <c r="C1372" s="0" t="s">
        <v>40</v>
      </c>
      <c r="D1372" s="7" t="n">
        <v>415</v>
      </c>
      <c r="E1372" s="8" t="n">
        <v>0.447060240963855</v>
      </c>
      <c r="F1372" s="4" t="n">
        <f aca="false">D1372*E1372</f>
        <v>185.53</v>
      </c>
      <c r="G1372" s="7" t="n">
        <v>29</v>
      </c>
      <c r="H1372" s="9" t="n">
        <f aca="false">IF(G1372&gt;0,D1372/G1372,"")</f>
        <v>14.3103448275862</v>
      </c>
      <c r="I1372" s="10" t="n">
        <v>46230</v>
      </c>
      <c r="K1372" s="10"/>
      <c r="M1372" s="7"/>
      <c r="N1372" s="8"/>
      <c r="O1372" s="4"/>
    </row>
    <row r="1373" customFormat="false" ht="15" hidden="false" customHeight="false" outlineLevel="0" collapsed="false">
      <c r="A1373" s="0" t="s">
        <v>2193</v>
      </c>
      <c r="C1373" s="0" t="s">
        <v>398</v>
      </c>
      <c r="D1373" s="7" t="n">
        <v>7617</v>
      </c>
      <c r="E1373" s="8" t="n">
        <v>0.0243573585401077</v>
      </c>
      <c r="F1373" s="4" t="n">
        <f aca="false">D1373*E1373</f>
        <v>185.53</v>
      </c>
      <c r="G1373" s="7" t="n">
        <v>2430</v>
      </c>
      <c r="H1373" s="9" t="n">
        <f aca="false">IF(G1373&gt;0,D1373/G1373,"")</f>
        <v>3.13456790123457</v>
      </c>
      <c r="I1373" s="10" t="n">
        <v>46288</v>
      </c>
      <c r="J1373" s="3" t="s">
        <v>2194</v>
      </c>
      <c r="K1373" s="10" t="n">
        <v>44636</v>
      </c>
      <c r="L1373" s="3" t="s">
        <v>15</v>
      </c>
      <c r="M1373" s="7" t="n">
        <v>15227</v>
      </c>
      <c r="N1373" s="8" t="n">
        <v>0.02436</v>
      </c>
      <c r="O1373" s="4" t="n">
        <f aca="false">M1373*N1373</f>
        <v>370.92972</v>
      </c>
    </row>
    <row r="1374" customFormat="false" ht="15" hidden="false" customHeight="false" outlineLevel="0" collapsed="false">
      <c r="A1374" s="0" t="s">
        <v>2195</v>
      </c>
      <c r="C1374" s="0" t="s">
        <v>715</v>
      </c>
      <c r="D1374" s="7" t="n">
        <v>45238</v>
      </c>
      <c r="E1374" s="8" t="n">
        <v>0.00410009284230072</v>
      </c>
      <c r="F1374" s="4" t="n">
        <f aca="false">D1374*E1374</f>
        <v>185.48</v>
      </c>
      <c r="G1374" s="7" t="n">
        <v>350</v>
      </c>
      <c r="H1374" s="9" t="n">
        <f aca="false">IF(G1374&gt;0,D1374/G1374,"")</f>
        <v>129.251428571429</v>
      </c>
      <c r="I1374" s="10" t="n">
        <v>46147</v>
      </c>
      <c r="J1374" s="3" t="s">
        <v>2196</v>
      </c>
      <c r="K1374" s="10" t="n">
        <v>44291</v>
      </c>
      <c r="L1374" s="3" t="s">
        <v>19</v>
      </c>
      <c r="M1374" s="7" t="n">
        <v>50000</v>
      </c>
      <c r="N1374" s="8" t="n">
        <v>0.0041</v>
      </c>
      <c r="O1374" s="4" t="n">
        <f aca="false">M1374*N1374</f>
        <v>205</v>
      </c>
    </row>
    <row r="1375" customFormat="false" ht="15" hidden="false" customHeight="false" outlineLevel="0" collapsed="false">
      <c r="A1375" s="0" t="s">
        <v>2197</v>
      </c>
      <c r="C1375" s="0" t="s">
        <v>285</v>
      </c>
      <c r="D1375" s="7" t="n">
        <v>19694</v>
      </c>
      <c r="E1375" s="8" t="n">
        <v>0.0094150502691175</v>
      </c>
      <c r="F1375" s="4" t="n">
        <f aca="false">D1375*E1375</f>
        <v>185.42</v>
      </c>
      <c r="G1375" s="7" t="n">
        <v>14474</v>
      </c>
      <c r="H1375" s="9" t="n">
        <f aca="false">IF(G1375&gt;0,D1375/G1375,"")</f>
        <v>1.36064667679978</v>
      </c>
      <c r="I1375" s="10" t="n">
        <v>46283</v>
      </c>
      <c r="J1375" s="3" t="s">
        <v>2198</v>
      </c>
      <c r="K1375" s="10" t="n">
        <v>46254</v>
      </c>
      <c r="L1375" s="3" t="s">
        <v>1295</v>
      </c>
      <c r="M1375" s="7" t="n">
        <v>30000</v>
      </c>
      <c r="N1375" s="8" t="n">
        <v>0.0094</v>
      </c>
      <c r="O1375" s="4" t="n">
        <f aca="false">M1375*N1375</f>
        <v>282</v>
      </c>
    </row>
    <row r="1376" customFormat="false" ht="15" hidden="false" customHeight="false" outlineLevel="0" collapsed="false">
      <c r="A1376" s="0" t="s">
        <v>2199</v>
      </c>
      <c r="C1376" s="0" t="s">
        <v>1714</v>
      </c>
      <c r="D1376" s="7" t="n">
        <v>1299</v>
      </c>
      <c r="E1376" s="8" t="n">
        <v>0.142625096227868</v>
      </c>
      <c r="F1376" s="4" t="n">
        <f aca="false">D1376*E1376</f>
        <v>185.27</v>
      </c>
      <c r="G1376" s="7" t="n">
        <v>250</v>
      </c>
      <c r="H1376" s="9" t="n">
        <f aca="false">IF(G1376&gt;0,D1376/G1376,"")</f>
        <v>5.196</v>
      </c>
      <c r="I1376" s="10" t="n">
        <v>46280</v>
      </c>
      <c r="J1376" s="3" t="s">
        <v>1724</v>
      </c>
      <c r="K1376" s="10" t="n">
        <v>45273</v>
      </c>
      <c r="L1376" s="3" t="s">
        <v>15</v>
      </c>
      <c r="M1376" s="7" t="n">
        <v>1572</v>
      </c>
      <c r="N1376" s="8" t="n">
        <v>0.14263</v>
      </c>
      <c r="O1376" s="4" t="n">
        <f aca="false">M1376*N1376</f>
        <v>224.21436</v>
      </c>
    </row>
    <row r="1377" customFormat="false" ht="15" hidden="false" customHeight="false" outlineLevel="0" collapsed="false">
      <c r="A1377" s="0" t="s">
        <v>2200</v>
      </c>
      <c r="C1377" s="0" t="s">
        <v>37</v>
      </c>
      <c r="D1377" s="7" t="n">
        <v>30606</v>
      </c>
      <c r="E1377" s="8" t="n">
        <v>0.00604816049140691</v>
      </c>
      <c r="F1377" s="4" t="n">
        <f aca="false">D1377*E1377</f>
        <v>185.11</v>
      </c>
      <c r="G1377" s="7" t="n">
        <v>5960</v>
      </c>
      <c r="H1377" s="9" t="n">
        <f aca="false">IF(G1377&gt;0,D1377/G1377,"")</f>
        <v>5.13523489932886</v>
      </c>
      <c r="I1377" s="10" t="n">
        <v>46274</v>
      </c>
      <c r="J1377" s="3" t="s">
        <v>840</v>
      </c>
      <c r="K1377" s="10" t="n">
        <v>45232</v>
      </c>
      <c r="L1377" s="3" t="s">
        <v>15</v>
      </c>
      <c r="M1377" s="7" t="n">
        <v>35100</v>
      </c>
      <c r="N1377" s="8" t="n">
        <v>0.00605</v>
      </c>
      <c r="O1377" s="4" t="n">
        <f aca="false">M1377*N1377</f>
        <v>212.355</v>
      </c>
    </row>
    <row r="1378" customFormat="false" ht="15" hidden="false" customHeight="false" outlineLevel="0" collapsed="false">
      <c r="A1378" s="0" t="s">
        <v>2201</v>
      </c>
      <c r="C1378" s="0" t="s">
        <v>31</v>
      </c>
      <c r="D1378" s="7" t="n">
        <v>26046</v>
      </c>
      <c r="E1378" s="8" t="n">
        <v>0.00710627351608692</v>
      </c>
      <c r="F1378" s="4" t="n">
        <f aca="false">D1378*E1378</f>
        <v>185.09</v>
      </c>
      <c r="G1378" s="7" t="n">
        <v>402</v>
      </c>
      <c r="H1378" s="9" t="n">
        <f aca="false">IF(G1378&gt;0,D1378/G1378,"")</f>
        <v>64.7910447761194</v>
      </c>
      <c r="I1378" s="10" t="n">
        <v>46269</v>
      </c>
      <c r="J1378" s="3" t="s">
        <v>2202</v>
      </c>
      <c r="K1378" s="10" t="n">
        <v>46083</v>
      </c>
      <c r="L1378" s="3" t="s">
        <v>2203</v>
      </c>
      <c r="M1378" s="7" t="n">
        <v>2000</v>
      </c>
      <c r="N1378" s="8" t="n">
        <v>0.0221</v>
      </c>
      <c r="O1378" s="4" t="n">
        <f aca="false">M1378*N1378</f>
        <v>44.2</v>
      </c>
    </row>
    <row r="1379" customFormat="false" ht="15" hidden="false" customHeight="false" outlineLevel="0" collapsed="false">
      <c r="A1379" s="0" t="s">
        <v>2204</v>
      </c>
      <c r="C1379" s="0" t="s">
        <v>34</v>
      </c>
      <c r="D1379" s="7" t="n">
        <v>19430</v>
      </c>
      <c r="E1379" s="8" t="n">
        <v>0.00951878538342769</v>
      </c>
      <c r="F1379" s="4" t="n">
        <f aca="false">D1379*E1379</f>
        <v>184.95</v>
      </c>
      <c r="G1379" s="7" t="n">
        <v>9190</v>
      </c>
      <c r="H1379" s="9" t="n">
        <f aca="false">IF(G1379&gt;0,D1379/G1379,"")</f>
        <v>2.11425462459195</v>
      </c>
      <c r="I1379" s="10" t="n">
        <v>46304</v>
      </c>
      <c r="J1379" s="3" t="s">
        <v>238</v>
      </c>
      <c r="K1379" s="10" t="n">
        <v>45689</v>
      </c>
      <c r="L1379" s="3" t="s">
        <v>15</v>
      </c>
      <c r="M1379" s="7" t="n">
        <v>30200</v>
      </c>
      <c r="N1379" s="8" t="n">
        <v>0.00952</v>
      </c>
      <c r="O1379" s="4" t="n">
        <f aca="false">M1379*N1379</f>
        <v>287.504</v>
      </c>
    </row>
    <row r="1380" customFormat="false" ht="15" hidden="false" customHeight="false" outlineLevel="0" collapsed="false">
      <c r="A1380" s="0" t="s">
        <v>2205</v>
      </c>
      <c r="C1380" s="0" t="s">
        <v>31</v>
      </c>
      <c r="D1380" s="7" t="n">
        <v>9780</v>
      </c>
      <c r="E1380" s="8" t="n">
        <v>0.01890081799591</v>
      </c>
      <c r="F1380" s="4" t="n">
        <f aca="false">D1380*E1380</f>
        <v>184.85</v>
      </c>
      <c r="G1380" s="7" t="n">
        <v>186</v>
      </c>
      <c r="H1380" s="9" t="n">
        <f aca="false">IF(G1380&gt;0,D1380/G1380,"")</f>
        <v>52.5806451612903</v>
      </c>
      <c r="I1380" s="10" t="n">
        <v>46301</v>
      </c>
      <c r="J1380" s="3" t="s">
        <v>278</v>
      </c>
      <c r="K1380" s="10" t="n">
        <v>45967</v>
      </c>
      <c r="L1380" s="3" t="s">
        <v>16</v>
      </c>
      <c r="M1380" s="7" t="n">
        <v>10000</v>
      </c>
      <c r="N1380" s="8" t="n">
        <v>0.0189</v>
      </c>
      <c r="O1380" s="4" t="n">
        <f aca="false">M1380*N1380</f>
        <v>189</v>
      </c>
    </row>
    <row r="1381" customFormat="false" ht="15" hidden="false" customHeight="false" outlineLevel="0" collapsed="false">
      <c r="A1381" s="0" t="s">
        <v>2206</v>
      </c>
      <c r="C1381" s="0" t="s">
        <v>79</v>
      </c>
      <c r="D1381" s="7" t="n">
        <v>1716</v>
      </c>
      <c r="E1381" s="8" t="n">
        <v>0.107703962703963</v>
      </c>
      <c r="F1381" s="4" t="n">
        <f aca="false">D1381*E1381</f>
        <v>184.82</v>
      </c>
      <c r="G1381" s="7" t="n">
        <v>150</v>
      </c>
      <c r="H1381" s="9" t="n">
        <f aca="false">IF(G1381&gt;0,D1381/G1381,"")</f>
        <v>11.44</v>
      </c>
      <c r="I1381" s="10" t="n">
        <v>46281</v>
      </c>
      <c r="K1381" s="10"/>
      <c r="M1381" s="7"/>
      <c r="N1381" s="8"/>
      <c r="O1381" s="4"/>
    </row>
    <row r="1382" customFormat="false" ht="15" hidden="false" customHeight="false" outlineLevel="0" collapsed="false">
      <c r="A1382" s="0" t="s">
        <v>2207</v>
      </c>
      <c r="C1382" s="0" t="s">
        <v>360</v>
      </c>
      <c r="D1382" s="7" t="n">
        <v>35049</v>
      </c>
      <c r="E1382" s="8" t="n">
        <v>0.00526976518588262</v>
      </c>
      <c r="F1382" s="4" t="n">
        <f aca="false">D1382*E1382</f>
        <v>184.7</v>
      </c>
      <c r="G1382" s="7" t="n">
        <v>7011</v>
      </c>
      <c r="H1382" s="9" t="n">
        <f aca="false">IF(G1382&gt;0,D1382/G1382,"")</f>
        <v>4.99914420196834</v>
      </c>
      <c r="I1382" s="10" t="n">
        <v>46301</v>
      </c>
      <c r="J1382" s="3" t="s">
        <v>2208</v>
      </c>
      <c r="K1382" s="10" t="n">
        <v>45040</v>
      </c>
      <c r="L1382" s="3" t="s">
        <v>15</v>
      </c>
      <c r="M1382" s="7" t="n">
        <v>42690</v>
      </c>
      <c r="N1382" s="8" t="n">
        <v>0.00527</v>
      </c>
      <c r="O1382" s="4" t="n">
        <f aca="false">M1382*N1382</f>
        <v>224.9763</v>
      </c>
    </row>
    <row r="1383" customFormat="false" ht="15" hidden="false" customHeight="false" outlineLevel="0" collapsed="false">
      <c r="A1383" s="0" t="s">
        <v>2209</v>
      </c>
      <c r="C1383" s="0" t="s">
        <v>298</v>
      </c>
      <c r="D1383" s="7" t="n">
        <v>457</v>
      </c>
      <c r="E1383" s="8" t="n">
        <v>0.404113785557987</v>
      </c>
      <c r="F1383" s="4" t="n">
        <f aca="false">D1383*E1383</f>
        <v>184.68</v>
      </c>
      <c r="G1383" s="7" t="n">
        <v>175</v>
      </c>
      <c r="H1383" s="9" t="n">
        <f aca="false">IF(G1383&gt;0,D1383/G1383,"")</f>
        <v>2.61142857142857</v>
      </c>
      <c r="I1383" s="10" t="n">
        <v>46259</v>
      </c>
      <c r="J1383" s="3" t="s">
        <v>141</v>
      </c>
      <c r="K1383" s="10" t="n">
        <v>44323</v>
      </c>
      <c r="L1383" s="3" t="s">
        <v>16</v>
      </c>
      <c r="M1383" s="7" t="n">
        <v>1207</v>
      </c>
      <c r="N1383" s="8" t="n">
        <v>0.4041</v>
      </c>
      <c r="O1383" s="4" t="n">
        <f aca="false">M1383*N1383</f>
        <v>487.7487</v>
      </c>
    </row>
    <row r="1384" customFormat="false" ht="15" hidden="false" customHeight="false" outlineLevel="0" collapsed="false">
      <c r="A1384" s="0" t="s">
        <v>2210</v>
      </c>
      <c r="C1384" s="0" t="s">
        <v>855</v>
      </c>
      <c r="D1384" s="7" t="n">
        <v>8500</v>
      </c>
      <c r="E1384" s="8" t="n">
        <v>0.0217</v>
      </c>
      <c r="F1384" s="4" t="n">
        <f aca="false">D1384*E1384</f>
        <v>184.45</v>
      </c>
      <c r="G1384" s="7" t="n">
        <v>150</v>
      </c>
      <c r="H1384" s="9" t="n">
        <f aca="false">IF(G1384&gt;0,D1384/G1384,"")</f>
        <v>56.6666666666667</v>
      </c>
      <c r="I1384" s="10" t="n">
        <v>46247</v>
      </c>
      <c r="J1384" s="3" t="s">
        <v>2211</v>
      </c>
      <c r="K1384" s="10" t="n">
        <v>45706</v>
      </c>
      <c r="L1384" s="3" t="s">
        <v>16</v>
      </c>
      <c r="M1384" s="7" t="n">
        <v>9000</v>
      </c>
      <c r="N1384" s="8" t="n">
        <v>0.0217</v>
      </c>
      <c r="O1384" s="4" t="n">
        <f aca="false">M1384*N1384</f>
        <v>195.3</v>
      </c>
    </row>
    <row r="1385" customFormat="false" ht="15" hidden="false" customHeight="false" outlineLevel="0" collapsed="false">
      <c r="A1385" s="0" t="s">
        <v>2212</v>
      </c>
      <c r="C1385" s="0" t="s">
        <v>31</v>
      </c>
      <c r="D1385" s="7" t="n">
        <v>3076</v>
      </c>
      <c r="E1385" s="8" t="n">
        <v>0.0599512353706112</v>
      </c>
      <c r="F1385" s="4" t="n">
        <f aca="false">D1385*E1385</f>
        <v>184.41</v>
      </c>
      <c r="G1385" s="7" t="n">
        <v>20</v>
      </c>
      <c r="H1385" s="9" t="n">
        <f aca="false">IF(G1385&gt;0,D1385/G1385,"")</f>
        <v>153.8</v>
      </c>
      <c r="I1385" s="10" t="n">
        <v>46097</v>
      </c>
      <c r="K1385" s="10"/>
      <c r="M1385" s="7"/>
      <c r="N1385" s="8"/>
      <c r="O1385" s="4"/>
    </row>
    <row r="1386" customFormat="false" ht="15" hidden="false" customHeight="false" outlineLevel="0" collapsed="false">
      <c r="A1386" s="0" t="s">
        <v>2213</v>
      </c>
      <c r="C1386" s="0" t="s">
        <v>37</v>
      </c>
      <c r="D1386" s="7" t="n">
        <v>2453</v>
      </c>
      <c r="E1386" s="8" t="n">
        <v>0.075071341214839</v>
      </c>
      <c r="F1386" s="4" t="n">
        <f aca="false">D1386*E1386</f>
        <v>184.15</v>
      </c>
      <c r="G1386" s="7" t="n">
        <v>104</v>
      </c>
      <c r="H1386" s="9" t="n">
        <f aca="false">IF(G1386&gt;0,D1386/G1386,"")</f>
        <v>23.5865384615385</v>
      </c>
      <c r="I1386" s="10" t="n">
        <v>46293</v>
      </c>
      <c r="J1386" s="3" t="s">
        <v>1936</v>
      </c>
      <c r="K1386" s="10" t="n">
        <v>45057</v>
      </c>
      <c r="L1386" s="3" t="s">
        <v>15</v>
      </c>
      <c r="M1386" s="7" t="n">
        <v>2680</v>
      </c>
      <c r="N1386" s="8" t="n">
        <v>0.07507</v>
      </c>
      <c r="O1386" s="4" t="n">
        <f aca="false">M1386*N1386</f>
        <v>201.1876</v>
      </c>
    </row>
    <row r="1387" customFormat="false" ht="15" hidden="false" customHeight="false" outlineLevel="0" collapsed="false">
      <c r="A1387" s="0" t="s">
        <v>2214</v>
      </c>
      <c r="C1387" s="0" t="s">
        <v>31</v>
      </c>
      <c r="D1387" s="7" t="n">
        <v>54103</v>
      </c>
      <c r="E1387" s="8" t="n">
        <v>0.00339925697281112</v>
      </c>
      <c r="F1387" s="4" t="n">
        <f aca="false">D1387*E1387</f>
        <v>183.91</v>
      </c>
      <c r="G1387" s="7" t="n">
        <v>29273</v>
      </c>
      <c r="H1387" s="9" t="n">
        <f aca="false">IF(G1387&gt;0,D1387/G1387,"")</f>
        <v>1.84822191097598</v>
      </c>
      <c r="I1387" s="10" t="n">
        <v>46316</v>
      </c>
      <c r="J1387" s="3" t="s">
        <v>2215</v>
      </c>
      <c r="K1387" s="10" t="n">
        <v>44943</v>
      </c>
      <c r="L1387" s="3" t="s">
        <v>16</v>
      </c>
      <c r="M1387" s="7" t="n">
        <v>106150</v>
      </c>
      <c r="N1387" s="8" t="n">
        <v>0.0034</v>
      </c>
      <c r="O1387" s="4" t="n">
        <f aca="false">M1387*N1387</f>
        <v>360.91</v>
      </c>
    </row>
    <row r="1388" customFormat="false" ht="15" hidden="false" customHeight="false" outlineLevel="0" collapsed="false">
      <c r="A1388" s="0" t="s">
        <v>2216</v>
      </c>
      <c r="C1388" s="0" t="s">
        <v>35</v>
      </c>
      <c r="D1388" s="7" t="n">
        <v>404</v>
      </c>
      <c r="E1388" s="8" t="n">
        <v>0.454925742574257</v>
      </c>
      <c r="F1388" s="4" t="n">
        <f aca="false">D1388*E1388</f>
        <v>183.79</v>
      </c>
      <c r="G1388" s="7" t="n">
        <v>3</v>
      </c>
      <c r="H1388" s="9" t="n">
        <f aca="false">IF(G1388&gt;0,D1388/G1388,"")</f>
        <v>134.666666666667</v>
      </c>
      <c r="I1388" s="10" t="n">
        <v>46086</v>
      </c>
      <c r="J1388" s="3" t="s">
        <v>1545</v>
      </c>
      <c r="K1388" s="10" t="n">
        <v>45546</v>
      </c>
      <c r="L1388" s="3" t="s">
        <v>14</v>
      </c>
      <c r="M1388" s="7" t="n">
        <v>1937</v>
      </c>
      <c r="N1388" s="8" t="n">
        <v>0.4549</v>
      </c>
      <c r="O1388" s="4" t="n">
        <f aca="false">M1388*N1388</f>
        <v>881.1413</v>
      </c>
    </row>
    <row r="1389" customFormat="false" ht="15" hidden="false" customHeight="false" outlineLevel="0" collapsed="false">
      <c r="A1389" s="0" t="s">
        <v>2217</v>
      </c>
      <c r="C1389" s="0" t="s">
        <v>398</v>
      </c>
      <c r="D1389" s="7" t="n">
        <v>1678</v>
      </c>
      <c r="E1389" s="8" t="n">
        <v>0.109499404052443</v>
      </c>
      <c r="F1389" s="4" t="n">
        <f aca="false">D1389*E1389</f>
        <v>183.74</v>
      </c>
      <c r="G1389" s="7" t="n">
        <v>9</v>
      </c>
      <c r="H1389" s="9" t="n">
        <f aca="false">IF(G1389&gt;0,D1389/G1389,"")</f>
        <v>186.444444444444</v>
      </c>
      <c r="I1389" s="10" t="n">
        <v>46066</v>
      </c>
      <c r="K1389" s="10"/>
      <c r="M1389" s="7"/>
      <c r="N1389" s="8"/>
      <c r="O1389" s="4"/>
    </row>
    <row r="1390" customFormat="false" ht="15" hidden="false" customHeight="false" outlineLevel="0" collapsed="false">
      <c r="A1390" s="0" t="s">
        <v>2218</v>
      </c>
      <c r="C1390" s="0" t="s">
        <v>741</v>
      </c>
      <c r="D1390" s="7" t="n">
        <v>1659</v>
      </c>
      <c r="E1390" s="8" t="n">
        <v>0.110741410488246</v>
      </c>
      <c r="F1390" s="4" t="n">
        <f aca="false">D1390*E1390</f>
        <v>183.72</v>
      </c>
      <c r="G1390" s="7" t="n">
        <v>20</v>
      </c>
      <c r="H1390" s="9" t="n">
        <f aca="false">IF(G1390&gt;0,D1390/G1390,"")</f>
        <v>82.95</v>
      </c>
      <c r="I1390" s="10" t="n">
        <v>46112</v>
      </c>
      <c r="J1390" s="3" t="s">
        <v>2219</v>
      </c>
      <c r="K1390" s="10" t="n">
        <v>46014</v>
      </c>
      <c r="L1390" s="3" t="s">
        <v>27</v>
      </c>
      <c r="M1390" s="7" t="n">
        <v>750</v>
      </c>
      <c r="N1390" s="8" t="n">
        <v>0.1254</v>
      </c>
      <c r="O1390" s="4" t="n">
        <f aca="false">M1390*N1390</f>
        <v>94.05</v>
      </c>
    </row>
    <row r="1391" customFormat="false" ht="15" hidden="false" customHeight="false" outlineLevel="0" collapsed="false">
      <c r="A1391" s="0" t="s">
        <v>2220</v>
      </c>
      <c r="C1391" s="0" t="s">
        <v>1169</v>
      </c>
      <c r="D1391" s="7" t="n">
        <v>2886</v>
      </c>
      <c r="E1391" s="8" t="n">
        <v>0.0636313236313236</v>
      </c>
      <c r="F1391" s="4" t="n">
        <f aca="false">D1391*E1391</f>
        <v>183.64</v>
      </c>
      <c r="G1391" s="7" t="n">
        <v>10</v>
      </c>
      <c r="H1391" s="9" t="n">
        <f aca="false">IF(G1391&gt;0,D1391/G1391,"")</f>
        <v>288.6</v>
      </c>
      <c r="I1391" s="10" t="n">
        <v>46064</v>
      </c>
      <c r="J1391" s="3" t="s">
        <v>2221</v>
      </c>
      <c r="K1391" s="10" t="n">
        <v>45770</v>
      </c>
      <c r="L1391" s="3" t="s">
        <v>2203</v>
      </c>
      <c r="M1391" s="7" t="n">
        <v>1126</v>
      </c>
      <c r="N1391" s="8" t="n">
        <v>0.0944</v>
      </c>
      <c r="O1391" s="4" t="n">
        <f aca="false">M1391*N1391</f>
        <v>106.2944</v>
      </c>
    </row>
    <row r="1392" customFormat="false" ht="15" hidden="false" customHeight="false" outlineLevel="0" collapsed="false">
      <c r="A1392" s="0" t="s">
        <v>2222</v>
      </c>
      <c r="C1392" s="0" t="s">
        <v>33</v>
      </c>
      <c r="D1392" s="7" t="n">
        <v>503</v>
      </c>
      <c r="E1392" s="8" t="n">
        <v>0.364850894632207</v>
      </c>
      <c r="F1392" s="4" t="n">
        <f aca="false">D1392*E1392</f>
        <v>183.52</v>
      </c>
      <c r="G1392" s="7" t="n">
        <v>466</v>
      </c>
      <c r="H1392" s="9" t="n">
        <f aca="false">IF(G1392&gt;0,D1392/G1392,"")</f>
        <v>1.0793991416309</v>
      </c>
      <c r="I1392" s="10" t="n">
        <v>46212</v>
      </c>
      <c r="J1392" s="3" t="s">
        <v>548</v>
      </c>
      <c r="K1392" s="10" t="n">
        <v>46217</v>
      </c>
      <c r="L1392" s="3" t="s">
        <v>14</v>
      </c>
      <c r="M1392" s="7" t="n">
        <v>500</v>
      </c>
      <c r="N1392" s="8" t="n">
        <v>0.3648</v>
      </c>
      <c r="O1392" s="4" t="n">
        <f aca="false">M1392*N1392</f>
        <v>182.4</v>
      </c>
    </row>
    <row r="1393" customFormat="false" ht="15" hidden="false" customHeight="false" outlineLevel="0" collapsed="false">
      <c r="A1393" s="0" t="s">
        <v>2223</v>
      </c>
      <c r="C1393" s="0" t="s">
        <v>1529</v>
      </c>
      <c r="D1393" s="7" t="n">
        <v>3323</v>
      </c>
      <c r="E1393" s="8" t="n">
        <v>0.0552031297020764</v>
      </c>
      <c r="F1393" s="4" t="n">
        <f aca="false">D1393*E1393</f>
        <v>183.44</v>
      </c>
      <c r="G1393" s="7" t="n">
        <v>172</v>
      </c>
      <c r="H1393" s="9" t="n">
        <f aca="false">IF(G1393&gt;0,D1393/G1393,"")</f>
        <v>19.3197674418605</v>
      </c>
      <c r="I1393" s="10" t="n">
        <v>46293</v>
      </c>
      <c r="K1393" s="10"/>
      <c r="M1393" s="7"/>
      <c r="N1393" s="8"/>
      <c r="O1393" s="4"/>
    </row>
    <row r="1394" customFormat="false" ht="15" hidden="false" customHeight="false" outlineLevel="0" collapsed="false">
      <c r="A1394" s="0" t="s">
        <v>2224</v>
      </c>
      <c r="C1394" s="0" t="s">
        <v>31</v>
      </c>
      <c r="D1394" s="7" t="n">
        <v>3746</v>
      </c>
      <c r="E1394" s="8" t="n">
        <v>0.0488841430859584</v>
      </c>
      <c r="F1394" s="4" t="n">
        <f aca="false">D1394*E1394</f>
        <v>183.12</v>
      </c>
      <c r="G1394" s="7" t="n">
        <v>23</v>
      </c>
      <c r="H1394" s="9" t="n">
        <f aca="false">IF(G1394&gt;0,D1394/G1394,"")</f>
        <v>162.869565217391</v>
      </c>
      <c r="I1394" s="10" t="n">
        <v>46135</v>
      </c>
      <c r="K1394" s="10"/>
      <c r="M1394" s="7"/>
      <c r="N1394" s="8"/>
      <c r="O1394" s="4"/>
    </row>
    <row r="1395" customFormat="false" ht="15" hidden="false" customHeight="false" outlineLevel="0" collapsed="false">
      <c r="A1395" s="0" t="s">
        <v>2225</v>
      </c>
      <c r="C1395" s="0" t="s">
        <v>100</v>
      </c>
      <c r="D1395" s="7" t="n">
        <v>12</v>
      </c>
      <c r="E1395" s="8" t="n">
        <v>15.2591666666667</v>
      </c>
      <c r="F1395" s="4" t="n">
        <f aca="false">D1395*E1395</f>
        <v>183.11</v>
      </c>
      <c r="G1395" s="7" t="n">
        <v>1</v>
      </c>
      <c r="H1395" s="9" t="n">
        <f aca="false">IF(G1395&gt;0,D1395/G1395,"")</f>
        <v>12</v>
      </c>
      <c r="I1395" s="10" t="n">
        <v>46163</v>
      </c>
      <c r="K1395" s="10"/>
      <c r="M1395" s="7"/>
      <c r="N1395" s="8"/>
      <c r="O1395" s="4"/>
    </row>
    <row r="1396" customFormat="false" ht="15" hidden="false" customHeight="false" outlineLevel="0" collapsed="false">
      <c r="A1396" s="0" t="s">
        <v>2226</v>
      </c>
      <c r="C1396" s="0" t="s">
        <v>33</v>
      </c>
      <c r="D1396" s="7" t="n">
        <v>3933</v>
      </c>
      <c r="E1396" s="8" t="n">
        <v>0.046557335367404</v>
      </c>
      <c r="F1396" s="4" t="n">
        <f aca="false">D1396*E1396</f>
        <v>183.11</v>
      </c>
      <c r="G1396" s="7" t="n">
        <v>3641</v>
      </c>
      <c r="H1396" s="9" t="n">
        <f aca="false">IF(G1396&gt;0,D1396/G1396,"")</f>
        <v>1.08019774787146</v>
      </c>
      <c r="I1396" s="10" t="n">
        <v>46296</v>
      </c>
      <c r="J1396" s="3" t="s">
        <v>345</v>
      </c>
      <c r="K1396" s="10" t="n">
        <v>46183</v>
      </c>
      <c r="L1396" s="3" t="s">
        <v>14</v>
      </c>
      <c r="M1396" s="7" t="n">
        <v>6000</v>
      </c>
      <c r="N1396" s="8" t="n">
        <v>0.0463</v>
      </c>
      <c r="O1396" s="4" t="n">
        <f aca="false">M1396*N1396</f>
        <v>277.8</v>
      </c>
    </row>
    <row r="1397" customFormat="false" ht="15" hidden="false" customHeight="false" outlineLevel="0" collapsed="false">
      <c r="A1397" s="0" t="s">
        <v>2227</v>
      </c>
      <c r="C1397" s="0" t="s">
        <v>36</v>
      </c>
      <c r="D1397" s="7" t="n">
        <v>38873</v>
      </c>
      <c r="E1397" s="8" t="n">
        <v>0.00470943842770046</v>
      </c>
      <c r="F1397" s="4" t="n">
        <f aca="false">D1397*E1397</f>
        <v>183.07</v>
      </c>
      <c r="G1397" s="7" t="n">
        <v>715</v>
      </c>
      <c r="H1397" s="9" t="n">
        <f aca="false">IF(G1397&gt;0,D1397/G1397,"")</f>
        <v>54.3678321678322</v>
      </c>
      <c r="I1397" s="10" t="n">
        <v>46247</v>
      </c>
      <c r="J1397" s="3" t="s">
        <v>2228</v>
      </c>
      <c r="K1397" s="10" t="n">
        <v>44328</v>
      </c>
      <c r="L1397" s="3" t="s">
        <v>15</v>
      </c>
      <c r="M1397" s="7" t="n">
        <v>100000</v>
      </c>
      <c r="N1397" s="8" t="n">
        <v>0.00471</v>
      </c>
      <c r="O1397" s="4" t="n">
        <f aca="false">M1397*N1397</f>
        <v>471</v>
      </c>
    </row>
    <row r="1398" customFormat="false" ht="15" hidden="false" customHeight="false" outlineLevel="0" collapsed="false">
      <c r="A1398" s="0" t="s">
        <v>2229</v>
      </c>
      <c r="C1398" s="0" t="s">
        <v>35</v>
      </c>
      <c r="D1398" s="7" t="n">
        <v>244</v>
      </c>
      <c r="E1398" s="8" t="n">
        <v>0.75</v>
      </c>
      <c r="F1398" s="4" t="n">
        <f aca="false">D1398*E1398</f>
        <v>183</v>
      </c>
      <c r="G1398" s="7" t="n">
        <v>42</v>
      </c>
      <c r="H1398" s="9" t="n">
        <f aca="false">IF(G1398&gt;0,D1398/G1398,"")</f>
        <v>5.80952380952381</v>
      </c>
      <c r="I1398" s="10" t="n">
        <v>46316</v>
      </c>
      <c r="J1398" s="3" t="s">
        <v>633</v>
      </c>
      <c r="K1398" s="10" t="n">
        <v>45758</v>
      </c>
      <c r="L1398" s="3" t="s">
        <v>20</v>
      </c>
      <c r="M1398" s="7" t="n">
        <v>335</v>
      </c>
      <c r="N1398" s="8" t="n">
        <v>0.75</v>
      </c>
      <c r="O1398" s="4" t="n">
        <f aca="false">M1398*N1398</f>
        <v>251.25</v>
      </c>
    </row>
    <row r="1399" customFormat="false" ht="15" hidden="false" customHeight="false" outlineLevel="0" collapsed="false">
      <c r="A1399" s="0" t="s">
        <v>2230</v>
      </c>
      <c r="C1399" s="0" t="s">
        <v>31</v>
      </c>
      <c r="D1399" s="7" t="n">
        <v>4898</v>
      </c>
      <c r="E1399" s="8" t="n">
        <v>0.0373050224581462</v>
      </c>
      <c r="F1399" s="4" t="n">
        <f aca="false">D1399*E1399</f>
        <v>182.72</v>
      </c>
      <c r="G1399" s="7" t="n">
        <v>122</v>
      </c>
      <c r="H1399" s="9" t="n">
        <f aca="false">IF(G1399&gt;0,D1399/G1399,"")</f>
        <v>40.1475409836066</v>
      </c>
      <c r="I1399" s="10" t="n">
        <v>46317</v>
      </c>
      <c r="K1399" s="10"/>
      <c r="M1399" s="7"/>
      <c r="N1399" s="8"/>
      <c r="O1399" s="4"/>
    </row>
    <row r="1400" customFormat="false" ht="15" hidden="false" customHeight="false" outlineLevel="0" collapsed="false">
      <c r="A1400" s="0" t="s">
        <v>2231</v>
      </c>
      <c r="C1400" s="0" t="s">
        <v>295</v>
      </c>
      <c r="D1400" s="7" t="n">
        <v>4555</v>
      </c>
      <c r="E1400" s="8" t="n">
        <v>0.0401075740944018</v>
      </c>
      <c r="F1400" s="4" t="n">
        <f aca="false">D1400*E1400</f>
        <v>182.69</v>
      </c>
      <c r="G1400" s="7" t="n">
        <v>2547</v>
      </c>
      <c r="H1400" s="9" t="n">
        <f aca="false">IF(G1400&gt;0,D1400/G1400,"")</f>
        <v>1.78837848449156</v>
      </c>
      <c r="I1400" s="10" t="n">
        <v>46314</v>
      </c>
      <c r="J1400" s="3" t="s">
        <v>2232</v>
      </c>
      <c r="K1400" s="10" t="n">
        <v>45734</v>
      </c>
      <c r="L1400" s="3" t="s">
        <v>19</v>
      </c>
      <c r="M1400" s="7" t="n">
        <v>2000</v>
      </c>
      <c r="N1400" s="8" t="n">
        <v>0.0411</v>
      </c>
      <c r="O1400" s="4" t="n">
        <f aca="false">M1400*N1400</f>
        <v>82.2</v>
      </c>
    </row>
    <row r="1401" customFormat="false" ht="15" hidden="false" customHeight="false" outlineLevel="0" collapsed="false">
      <c r="A1401" s="0" t="s">
        <v>2233</v>
      </c>
      <c r="C1401" s="0" t="s">
        <v>43</v>
      </c>
      <c r="D1401" s="7" t="n">
        <v>103</v>
      </c>
      <c r="E1401" s="8" t="n">
        <v>1.77339805825243</v>
      </c>
      <c r="F1401" s="4" t="n">
        <f aca="false">D1401*E1401</f>
        <v>182.66</v>
      </c>
      <c r="G1401" s="7" t="n">
        <v>56</v>
      </c>
      <c r="H1401" s="9" t="n">
        <f aca="false">IF(G1401&gt;0,D1401/G1401,"")</f>
        <v>1.83928571428571</v>
      </c>
      <c r="I1401" s="10" t="n">
        <v>46237</v>
      </c>
      <c r="J1401" s="3" t="s">
        <v>2234</v>
      </c>
      <c r="K1401" s="10" t="n">
        <v>45517</v>
      </c>
      <c r="L1401" s="3" t="s">
        <v>14</v>
      </c>
      <c r="M1401" s="7" t="n">
        <v>230</v>
      </c>
      <c r="N1401" s="8" t="n">
        <v>1.7733</v>
      </c>
      <c r="O1401" s="4" t="n">
        <f aca="false">M1401*N1401</f>
        <v>407.859</v>
      </c>
    </row>
    <row r="1402" customFormat="false" ht="15" hidden="false" customHeight="false" outlineLevel="0" collapsed="false">
      <c r="A1402" s="0" t="s">
        <v>2235</v>
      </c>
      <c r="C1402" s="0" t="s">
        <v>855</v>
      </c>
      <c r="D1402" s="7" t="n">
        <v>2222</v>
      </c>
      <c r="E1402" s="8" t="n">
        <v>0.0821962196219622</v>
      </c>
      <c r="F1402" s="4" t="n">
        <f aca="false">D1402*E1402</f>
        <v>182.64</v>
      </c>
      <c r="G1402" s="7" t="n">
        <v>3</v>
      </c>
      <c r="H1402" s="9" t="n">
        <f aca="false">IF(G1402&gt;0,D1402/G1402,"")</f>
        <v>740.666666666667</v>
      </c>
      <c r="I1402" s="10" t="n">
        <v>46086</v>
      </c>
      <c r="J1402" s="3" t="s">
        <v>2150</v>
      </c>
      <c r="K1402" s="10" t="n">
        <v>44199</v>
      </c>
      <c r="L1402" s="3" t="s">
        <v>16</v>
      </c>
      <c r="M1402" s="7" t="n">
        <v>2500</v>
      </c>
      <c r="N1402" s="8" t="n">
        <v>0.0822</v>
      </c>
      <c r="O1402" s="4" t="n">
        <f aca="false">M1402*N1402</f>
        <v>205.5</v>
      </c>
    </row>
    <row r="1403" customFormat="false" ht="15" hidden="false" customHeight="false" outlineLevel="0" collapsed="false">
      <c r="A1403" s="0" t="s">
        <v>2236</v>
      </c>
      <c r="C1403" s="0" t="s">
        <v>34</v>
      </c>
      <c r="D1403" s="7" t="n">
        <v>3342</v>
      </c>
      <c r="E1403" s="8" t="n">
        <v>0.0546439257929384</v>
      </c>
      <c r="F1403" s="4" t="n">
        <f aca="false">D1403*E1403</f>
        <v>182.62</v>
      </c>
      <c r="G1403" s="7" t="n">
        <v>25</v>
      </c>
      <c r="H1403" s="9" t="n">
        <f aca="false">IF(G1403&gt;0,D1403/G1403,"")</f>
        <v>133.68</v>
      </c>
      <c r="I1403" s="10" t="n">
        <v>45961</v>
      </c>
      <c r="J1403" s="3" t="s">
        <v>1018</v>
      </c>
      <c r="K1403" s="10" t="n">
        <v>45912</v>
      </c>
      <c r="L1403" s="3" t="s">
        <v>15</v>
      </c>
      <c r="M1403" s="7" t="n">
        <v>3300</v>
      </c>
      <c r="N1403" s="8" t="n">
        <v>0.05474</v>
      </c>
      <c r="O1403" s="4" t="n">
        <f aca="false">M1403*N1403</f>
        <v>180.642</v>
      </c>
    </row>
    <row r="1404" customFormat="false" ht="15" hidden="false" customHeight="false" outlineLevel="0" collapsed="false">
      <c r="A1404" s="0" t="s">
        <v>2237</v>
      </c>
      <c r="C1404" s="0" t="s">
        <v>31</v>
      </c>
      <c r="D1404" s="7" t="n">
        <v>67056</v>
      </c>
      <c r="E1404" s="8" t="n">
        <v>0.00272100930565498</v>
      </c>
      <c r="F1404" s="4" t="n">
        <f aca="false">D1404*E1404</f>
        <v>182.46</v>
      </c>
      <c r="G1404" s="7" t="n">
        <v>1505</v>
      </c>
      <c r="H1404" s="9" t="n">
        <f aca="false">IF(G1404&gt;0,D1404/G1404,"")</f>
        <v>44.5554817275748</v>
      </c>
      <c r="I1404" s="10" t="n">
        <v>46239</v>
      </c>
      <c r="K1404" s="10"/>
      <c r="M1404" s="7"/>
      <c r="N1404" s="8"/>
      <c r="O1404" s="4"/>
    </row>
    <row r="1405" customFormat="false" ht="15" hidden="false" customHeight="false" outlineLevel="0" collapsed="false">
      <c r="A1405" s="0" t="s">
        <v>2238</v>
      </c>
      <c r="C1405" s="0" t="s">
        <v>855</v>
      </c>
      <c r="D1405" s="7" t="n">
        <v>4772</v>
      </c>
      <c r="E1405" s="8" t="n">
        <v>0.0382020117351215</v>
      </c>
      <c r="F1405" s="4" t="n">
        <f aca="false">D1405*E1405</f>
        <v>182.3</v>
      </c>
      <c r="G1405" s="7" t="n">
        <v>89</v>
      </c>
      <c r="H1405" s="9" t="n">
        <f aca="false">IF(G1405&gt;0,D1405/G1405,"")</f>
        <v>53.6179775280899</v>
      </c>
      <c r="I1405" s="10" t="n">
        <v>46302</v>
      </c>
      <c r="J1405" s="3" t="s">
        <v>2239</v>
      </c>
      <c r="K1405" s="10" t="n">
        <v>44281</v>
      </c>
      <c r="L1405" s="3" t="s">
        <v>19</v>
      </c>
      <c r="M1405" s="7" t="n">
        <v>5000</v>
      </c>
      <c r="N1405" s="8" t="n">
        <v>0.0382</v>
      </c>
      <c r="O1405" s="4" t="n">
        <f aca="false">M1405*N1405</f>
        <v>191</v>
      </c>
    </row>
    <row r="1406" customFormat="false" ht="15" hidden="false" customHeight="false" outlineLevel="0" collapsed="false">
      <c r="A1406" s="0" t="s">
        <v>2240</v>
      </c>
      <c r="C1406" s="0" t="s">
        <v>118</v>
      </c>
      <c r="D1406" s="7" t="n">
        <v>576</v>
      </c>
      <c r="E1406" s="8" t="n">
        <v>0.316197916666667</v>
      </c>
      <c r="F1406" s="4" t="n">
        <f aca="false">D1406*E1406</f>
        <v>182.13</v>
      </c>
      <c r="G1406" s="7" t="n">
        <v>431</v>
      </c>
      <c r="H1406" s="9" t="n">
        <f aca="false">IF(G1406&gt;0,D1406/G1406,"")</f>
        <v>1.33642691415313</v>
      </c>
      <c r="I1406" s="10" t="n">
        <v>46230</v>
      </c>
      <c r="J1406" s="3" t="s">
        <v>2241</v>
      </c>
      <c r="K1406" s="10" t="n">
        <v>45946</v>
      </c>
      <c r="L1406" s="3" t="s">
        <v>14</v>
      </c>
      <c r="M1406" s="7" t="n">
        <v>1000</v>
      </c>
      <c r="N1406" s="8" t="n">
        <v>0.3162</v>
      </c>
      <c r="O1406" s="4" t="n">
        <f aca="false">M1406*N1406</f>
        <v>316.2</v>
      </c>
    </row>
    <row r="1407" customFormat="false" ht="15" hidden="false" customHeight="false" outlineLevel="0" collapsed="false">
      <c r="A1407" s="0" t="s">
        <v>2242</v>
      </c>
      <c r="C1407" s="0" t="s">
        <v>744</v>
      </c>
      <c r="D1407" s="7" t="n">
        <v>18</v>
      </c>
      <c r="E1407" s="8" t="n">
        <v>10.1038888888889</v>
      </c>
      <c r="F1407" s="4" t="n">
        <f aca="false">D1407*E1407</f>
        <v>181.87</v>
      </c>
      <c r="G1407" s="7" t="n">
        <v>2</v>
      </c>
      <c r="H1407" s="9" t="n">
        <f aca="false">IF(G1407&gt;0,D1407/G1407,"")</f>
        <v>9</v>
      </c>
      <c r="I1407" s="10" t="n">
        <v>46034</v>
      </c>
      <c r="J1407" s="3" t="s">
        <v>283</v>
      </c>
      <c r="K1407" s="10" t="n">
        <v>46287</v>
      </c>
      <c r="L1407" s="3" t="s">
        <v>14</v>
      </c>
      <c r="M1407" s="7" t="n">
        <v>29</v>
      </c>
      <c r="N1407" s="8" t="n">
        <v>10.7369</v>
      </c>
      <c r="O1407" s="4" t="n">
        <f aca="false">M1407*N1407</f>
        <v>311.3701</v>
      </c>
    </row>
    <row r="1408" customFormat="false" ht="15" hidden="false" customHeight="false" outlineLevel="0" collapsed="false">
      <c r="A1408" s="0" t="s">
        <v>2243</v>
      </c>
      <c r="C1408" s="0" t="s">
        <v>33</v>
      </c>
      <c r="D1408" s="7" t="n">
        <v>966</v>
      </c>
      <c r="E1408" s="8" t="n">
        <v>0.187991718426501</v>
      </c>
      <c r="F1408" s="4" t="n">
        <f aca="false">D1408*E1408</f>
        <v>181.6</v>
      </c>
      <c r="G1408" s="7" t="n">
        <v>822</v>
      </c>
      <c r="H1408" s="9" t="n">
        <f aca="false">IF(G1408&gt;0,D1408/G1408,"")</f>
        <v>1.17518248175182</v>
      </c>
      <c r="I1408" s="10" t="n">
        <v>46288</v>
      </c>
      <c r="J1408" s="3" t="s">
        <v>2244</v>
      </c>
      <c r="K1408" s="10" t="n">
        <v>46098</v>
      </c>
      <c r="L1408" s="3" t="s">
        <v>18</v>
      </c>
      <c r="M1408" s="7" t="n">
        <v>1250</v>
      </c>
      <c r="N1408" s="8" t="n">
        <v>0.188</v>
      </c>
      <c r="O1408" s="4" t="n">
        <f aca="false">M1408*N1408</f>
        <v>235</v>
      </c>
    </row>
    <row r="1409" customFormat="false" ht="15" hidden="false" customHeight="false" outlineLevel="0" collapsed="false">
      <c r="A1409" s="0" t="s">
        <v>2245</v>
      </c>
      <c r="C1409" s="0" t="s">
        <v>777</v>
      </c>
      <c r="D1409" s="7" t="n">
        <v>3250</v>
      </c>
      <c r="E1409" s="8" t="n">
        <v>0.0558676923076923</v>
      </c>
      <c r="F1409" s="4" t="n">
        <f aca="false">D1409*E1409</f>
        <v>181.57</v>
      </c>
      <c r="G1409" s="7" t="n">
        <v>190</v>
      </c>
      <c r="H1409" s="9" t="n">
        <f aca="false">IF(G1409&gt;0,D1409/G1409,"")</f>
        <v>17.1052631578947</v>
      </c>
      <c r="I1409" s="10" t="n">
        <v>45986</v>
      </c>
      <c r="J1409" s="3" t="s">
        <v>1425</v>
      </c>
      <c r="K1409" s="10" t="n">
        <v>45890</v>
      </c>
      <c r="L1409" s="3" t="s">
        <v>15</v>
      </c>
      <c r="M1409" s="7" t="n">
        <v>3440</v>
      </c>
      <c r="N1409" s="8" t="n">
        <v>0.05587</v>
      </c>
      <c r="O1409" s="4" t="n">
        <f aca="false">M1409*N1409</f>
        <v>192.1928</v>
      </c>
    </row>
    <row r="1410" customFormat="false" ht="15" hidden="false" customHeight="false" outlineLevel="0" collapsed="false">
      <c r="A1410" s="0" t="s">
        <v>2246</v>
      </c>
      <c r="C1410" s="0" t="s">
        <v>340</v>
      </c>
      <c r="D1410" s="7" t="n">
        <v>13948</v>
      </c>
      <c r="E1410" s="8" t="n">
        <v>0.0130104674505305</v>
      </c>
      <c r="F1410" s="4" t="n">
        <f aca="false">D1410*E1410</f>
        <v>181.47</v>
      </c>
      <c r="G1410" s="7" t="n">
        <v>5020</v>
      </c>
      <c r="H1410" s="9" t="n">
        <f aca="false">IF(G1410&gt;0,D1410/G1410,"")</f>
        <v>2.77848605577689</v>
      </c>
      <c r="I1410" s="10" t="n">
        <v>46161</v>
      </c>
      <c r="J1410" s="3" t="s">
        <v>162</v>
      </c>
      <c r="K1410" s="10" t="n">
        <v>45967</v>
      </c>
      <c r="L1410" s="3" t="s">
        <v>15</v>
      </c>
      <c r="M1410" s="7" t="n">
        <v>17750</v>
      </c>
      <c r="N1410" s="8" t="n">
        <v>0.0128</v>
      </c>
      <c r="O1410" s="4" t="n">
        <f aca="false">M1410*N1410</f>
        <v>227.2</v>
      </c>
    </row>
    <row r="1411" customFormat="false" ht="15" hidden="false" customHeight="false" outlineLevel="0" collapsed="false">
      <c r="A1411" s="0" t="s">
        <v>2247</v>
      </c>
      <c r="C1411" s="0" t="s">
        <v>979</v>
      </c>
      <c r="D1411" s="7" t="n">
        <v>1718</v>
      </c>
      <c r="E1411" s="8" t="n">
        <v>0.105593713620489</v>
      </c>
      <c r="F1411" s="4" t="n">
        <f aca="false">D1411*E1411</f>
        <v>181.41</v>
      </c>
      <c r="G1411" s="7" t="n">
        <v>380</v>
      </c>
      <c r="H1411" s="9" t="n">
        <f aca="false">IF(G1411&gt;0,D1411/G1411,"")</f>
        <v>4.52105263157895</v>
      </c>
      <c r="I1411" s="10" t="n">
        <v>46287</v>
      </c>
      <c r="J1411" s="3" t="s">
        <v>193</v>
      </c>
      <c r="K1411" s="10" t="n">
        <v>46265</v>
      </c>
      <c r="L1411" s="3" t="s">
        <v>18</v>
      </c>
      <c r="M1411" s="7" t="n">
        <v>1740</v>
      </c>
      <c r="N1411" s="8" t="n">
        <v>0.1016</v>
      </c>
      <c r="O1411" s="4" t="n">
        <f aca="false">M1411*N1411</f>
        <v>176.784</v>
      </c>
    </row>
    <row r="1412" customFormat="false" ht="15" hidden="false" customHeight="false" outlineLevel="0" collapsed="false">
      <c r="A1412" s="0" t="s">
        <v>2248</v>
      </c>
      <c r="C1412" s="0" t="s">
        <v>855</v>
      </c>
      <c r="D1412" s="7" t="n">
        <v>2876</v>
      </c>
      <c r="E1412" s="8" t="n">
        <v>0.0630250347705146</v>
      </c>
      <c r="F1412" s="4" t="n">
        <f aca="false">D1412*E1412</f>
        <v>181.26</v>
      </c>
      <c r="G1412" s="7" t="n">
        <v>200</v>
      </c>
      <c r="H1412" s="9" t="n">
        <f aca="false">IF(G1412&gt;0,D1412/G1412,"")</f>
        <v>14.38</v>
      </c>
      <c r="I1412" s="10" t="n">
        <v>46157</v>
      </c>
      <c r="K1412" s="10"/>
      <c r="M1412" s="7"/>
      <c r="N1412" s="8"/>
      <c r="O1412" s="4"/>
    </row>
    <row r="1413" customFormat="false" ht="15" hidden="false" customHeight="false" outlineLevel="0" collapsed="false">
      <c r="A1413" s="0" t="s">
        <v>2249</v>
      </c>
      <c r="C1413" s="0" t="s">
        <v>45</v>
      </c>
      <c r="D1413" s="7" t="n">
        <v>1201</v>
      </c>
      <c r="E1413" s="8" t="n">
        <v>0.150799333888426</v>
      </c>
      <c r="F1413" s="4" t="n">
        <f aca="false">D1413*E1413</f>
        <v>181.11</v>
      </c>
      <c r="G1413" s="7" t="n">
        <v>13</v>
      </c>
      <c r="H1413" s="9" t="n">
        <f aca="false">IF(G1413&gt;0,D1413/G1413,"")</f>
        <v>92.3846153846154</v>
      </c>
      <c r="I1413" s="10" t="n">
        <v>46056</v>
      </c>
      <c r="J1413" s="3" t="s">
        <v>2250</v>
      </c>
      <c r="K1413" s="10" t="n">
        <v>45197</v>
      </c>
      <c r="L1413" s="3" t="s">
        <v>23</v>
      </c>
      <c r="M1413" s="7" t="n">
        <v>1500</v>
      </c>
      <c r="N1413" s="8" t="n">
        <v>0.1508</v>
      </c>
      <c r="O1413" s="4" t="n">
        <f aca="false">M1413*N1413</f>
        <v>226.2</v>
      </c>
    </row>
    <row r="1414" customFormat="false" ht="15" hidden="false" customHeight="false" outlineLevel="0" collapsed="false">
      <c r="A1414" s="0" t="s">
        <v>2251</v>
      </c>
      <c r="C1414" s="0" t="s">
        <v>100</v>
      </c>
      <c r="D1414" s="7" t="n">
        <v>38</v>
      </c>
      <c r="E1414" s="8" t="n">
        <v>4.76342105263158</v>
      </c>
      <c r="F1414" s="4" t="n">
        <f aca="false">D1414*E1414</f>
        <v>181.01</v>
      </c>
      <c r="G1414" s="7" t="n">
        <v>4</v>
      </c>
      <c r="H1414" s="9" t="n">
        <f aca="false">IF(G1414&gt;0,D1414/G1414,"")</f>
        <v>9.5</v>
      </c>
      <c r="I1414" s="10" t="n">
        <v>46195</v>
      </c>
      <c r="J1414" s="3" t="s">
        <v>652</v>
      </c>
      <c r="K1414" s="10" t="n">
        <v>44288</v>
      </c>
      <c r="L1414" s="3" t="s">
        <v>16</v>
      </c>
      <c r="M1414" s="7" t="n">
        <v>61</v>
      </c>
      <c r="N1414" s="8" t="n">
        <v>4.7633</v>
      </c>
      <c r="O1414" s="4" t="n">
        <f aca="false">M1414*N1414</f>
        <v>290.5613</v>
      </c>
    </row>
    <row r="1415" customFormat="false" ht="15" hidden="false" customHeight="false" outlineLevel="0" collapsed="false">
      <c r="A1415" s="0" t="s">
        <v>2252</v>
      </c>
      <c r="C1415" s="0" t="s">
        <v>40</v>
      </c>
      <c r="D1415" s="7" t="n">
        <v>3078</v>
      </c>
      <c r="E1415" s="8" t="n">
        <v>0.0587134502923977</v>
      </c>
      <c r="F1415" s="4" t="n">
        <f aca="false">D1415*E1415</f>
        <v>180.72</v>
      </c>
      <c r="G1415" s="7" t="n">
        <v>581</v>
      </c>
      <c r="H1415" s="9" t="n">
        <f aca="false">IF(G1415&gt;0,D1415/G1415,"")</f>
        <v>5.29776247848537</v>
      </c>
      <c r="I1415" s="10" t="n">
        <v>46295</v>
      </c>
      <c r="J1415" s="3" t="s">
        <v>373</v>
      </c>
      <c r="K1415" s="10" t="n">
        <v>46275</v>
      </c>
      <c r="L1415" s="3" t="s">
        <v>18</v>
      </c>
      <c r="M1415" s="7" t="n">
        <v>3400</v>
      </c>
      <c r="N1415" s="8" t="n">
        <v>0.0597</v>
      </c>
      <c r="O1415" s="4" t="n">
        <f aca="false">M1415*N1415</f>
        <v>202.98</v>
      </c>
    </row>
    <row r="1416" customFormat="false" ht="15" hidden="false" customHeight="false" outlineLevel="0" collapsed="false">
      <c r="A1416" s="0" t="s">
        <v>2253</v>
      </c>
      <c r="C1416" s="0" t="s">
        <v>360</v>
      </c>
      <c r="D1416" s="7" t="n">
        <v>66739</v>
      </c>
      <c r="E1416" s="8" t="n">
        <v>0.00270651343292528</v>
      </c>
      <c r="F1416" s="4" t="n">
        <f aca="false">D1416*E1416</f>
        <v>180.63</v>
      </c>
      <c r="G1416" s="7" t="n">
        <v>15353</v>
      </c>
      <c r="H1416" s="9" t="n">
        <f aca="false">IF(G1416&gt;0,D1416/G1416,"")</f>
        <v>4.34696801927962</v>
      </c>
      <c r="I1416" s="10" t="n">
        <v>46309</v>
      </c>
      <c r="J1416" s="3" t="s">
        <v>2254</v>
      </c>
      <c r="K1416" s="10" t="n">
        <v>45796</v>
      </c>
      <c r="L1416" s="3" t="s">
        <v>26</v>
      </c>
      <c r="M1416" s="7" t="n">
        <v>20000</v>
      </c>
      <c r="N1416" s="8" t="n">
        <v>0.008</v>
      </c>
      <c r="O1416" s="4" t="n">
        <f aca="false">M1416*N1416</f>
        <v>160</v>
      </c>
    </row>
    <row r="1417" customFormat="false" ht="15" hidden="false" customHeight="false" outlineLevel="0" collapsed="false">
      <c r="A1417" s="0" t="s">
        <v>2255</v>
      </c>
      <c r="C1417" s="0" t="s">
        <v>39</v>
      </c>
      <c r="D1417" s="7" t="n">
        <v>2216</v>
      </c>
      <c r="E1417" s="8" t="n">
        <v>0.0814756317689531</v>
      </c>
      <c r="F1417" s="4" t="n">
        <f aca="false">D1417*E1417</f>
        <v>180.55</v>
      </c>
      <c r="G1417" s="7" t="n">
        <v>375</v>
      </c>
      <c r="H1417" s="9" t="n">
        <f aca="false">IF(G1417&gt;0,D1417/G1417,"")</f>
        <v>5.90933333333333</v>
      </c>
      <c r="I1417" s="10" t="n">
        <v>46315</v>
      </c>
      <c r="J1417" s="3" t="s">
        <v>1326</v>
      </c>
      <c r="K1417" s="10" t="n">
        <v>46177</v>
      </c>
      <c r="L1417" s="3" t="s">
        <v>18</v>
      </c>
      <c r="M1417" s="7" t="n">
        <v>2000</v>
      </c>
      <c r="N1417" s="8" t="n">
        <v>0.0783</v>
      </c>
      <c r="O1417" s="4" t="n">
        <f aca="false">M1417*N1417</f>
        <v>156.6</v>
      </c>
    </row>
    <row r="1418" customFormat="false" ht="15" hidden="false" customHeight="false" outlineLevel="0" collapsed="false">
      <c r="A1418" s="0" t="s">
        <v>2256</v>
      </c>
      <c r="C1418" s="0" t="s">
        <v>398</v>
      </c>
      <c r="D1418" s="7" t="n">
        <v>24730</v>
      </c>
      <c r="E1418" s="8" t="n">
        <v>0.00730084917104731</v>
      </c>
      <c r="F1418" s="4" t="n">
        <f aca="false">D1418*E1418</f>
        <v>180.55</v>
      </c>
      <c r="G1418" s="7" t="n">
        <v>13</v>
      </c>
      <c r="H1418" s="9" t="n">
        <f aca="false">IF(G1418&gt;0,D1418/G1418,"")</f>
        <v>1902.30769230769</v>
      </c>
      <c r="I1418" s="10" t="n">
        <v>46066</v>
      </c>
      <c r="K1418" s="10"/>
      <c r="M1418" s="7"/>
      <c r="N1418" s="8"/>
      <c r="O1418" s="4"/>
    </row>
    <row r="1419" customFormat="false" ht="15" hidden="false" customHeight="false" outlineLevel="0" collapsed="false">
      <c r="A1419" s="0" t="s">
        <v>2257</v>
      </c>
      <c r="C1419" s="0" t="s">
        <v>285</v>
      </c>
      <c r="D1419" s="7" t="n">
        <v>1593</v>
      </c>
      <c r="E1419" s="8" t="n">
        <v>0.113289391086001</v>
      </c>
      <c r="F1419" s="4" t="n">
        <f aca="false">D1419*E1419</f>
        <v>180.47</v>
      </c>
      <c r="G1419" s="7" t="n">
        <v>4</v>
      </c>
      <c r="H1419" s="9" t="n">
        <f aca="false">IF(G1419&gt;0,D1419/G1419,"")</f>
        <v>398.25</v>
      </c>
      <c r="I1419" s="10" t="n">
        <v>45965</v>
      </c>
      <c r="K1419" s="10"/>
      <c r="M1419" s="7"/>
      <c r="N1419" s="8"/>
      <c r="O1419" s="4"/>
    </row>
    <row r="1420" customFormat="false" ht="15" hidden="false" customHeight="false" outlineLevel="0" collapsed="false">
      <c r="A1420" s="0" t="s">
        <v>2258</v>
      </c>
      <c r="C1420" s="0" t="s">
        <v>39</v>
      </c>
      <c r="D1420" s="7" t="n">
        <v>727</v>
      </c>
      <c r="E1420" s="8" t="n">
        <v>0.248225584594223</v>
      </c>
      <c r="F1420" s="4" t="n">
        <f aca="false">D1420*E1420</f>
        <v>180.46</v>
      </c>
      <c r="G1420" s="7" t="n">
        <v>29</v>
      </c>
      <c r="H1420" s="9" t="n">
        <f aca="false">IF(G1420&gt;0,D1420/G1420,"")</f>
        <v>25.0689655172414</v>
      </c>
      <c r="I1420" s="10" t="n">
        <v>46087</v>
      </c>
      <c r="K1420" s="10"/>
      <c r="M1420" s="7"/>
      <c r="N1420" s="8"/>
      <c r="O1420" s="4"/>
    </row>
    <row r="1421" customFormat="false" ht="15" hidden="false" customHeight="false" outlineLevel="0" collapsed="false">
      <c r="A1421" s="0" t="s">
        <v>2259</v>
      </c>
      <c r="C1421" s="0" t="s">
        <v>43</v>
      </c>
      <c r="D1421" s="7" t="n">
        <v>281</v>
      </c>
      <c r="E1421" s="8" t="n">
        <v>0.641743772241993</v>
      </c>
      <c r="F1421" s="4" t="n">
        <f aca="false">D1421*E1421</f>
        <v>180.33</v>
      </c>
      <c r="G1421" s="7" t="n">
        <v>28</v>
      </c>
      <c r="H1421" s="9" t="n">
        <f aca="false">IF(G1421&gt;0,D1421/G1421,"")</f>
        <v>10.0357142857143</v>
      </c>
      <c r="I1421" s="10" t="n">
        <v>45993</v>
      </c>
      <c r="K1421" s="10"/>
      <c r="M1421" s="7"/>
      <c r="N1421" s="8"/>
      <c r="O1421" s="4"/>
    </row>
    <row r="1422" customFormat="false" ht="15" hidden="false" customHeight="false" outlineLevel="0" collapsed="false">
      <c r="A1422" s="0" t="s">
        <v>2260</v>
      </c>
      <c r="C1422" s="0" t="s">
        <v>38</v>
      </c>
      <c r="D1422" s="7" t="n">
        <v>31073</v>
      </c>
      <c r="E1422" s="8" t="n">
        <v>0.00579989058024652</v>
      </c>
      <c r="F1422" s="4" t="n">
        <f aca="false">D1422*E1422</f>
        <v>180.22</v>
      </c>
      <c r="G1422" s="7" t="n">
        <v>560</v>
      </c>
      <c r="H1422" s="9" t="n">
        <f aca="false">IF(G1422&gt;0,D1422/G1422,"")</f>
        <v>55.4875</v>
      </c>
      <c r="I1422" s="10" t="n">
        <v>46269</v>
      </c>
      <c r="J1422" s="3" t="s">
        <v>2261</v>
      </c>
      <c r="K1422" s="10" t="n">
        <v>45777</v>
      </c>
      <c r="L1422" s="3" t="s">
        <v>14</v>
      </c>
      <c r="M1422" s="7" t="n">
        <v>41550</v>
      </c>
      <c r="N1422" s="8" t="n">
        <v>0.0058</v>
      </c>
      <c r="O1422" s="4" t="n">
        <f aca="false">M1422*N1422</f>
        <v>240.99</v>
      </c>
    </row>
    <row r="1423" customFormat="false" ht="15" hidden="false" customHeight="false" outlineLevel="0" collapsed="false">
      <c r="A1423" s="0" t="s">
        <v>2262</v>
      </c>
      <c r="C1423" s="0" t="s">
        <v>889</v>
      </c>
      <c r="D1423" s="7" t="n">
        <v>4442</v>
      </c>
      <c r="E1423" s="8" t="n">
        <v>0.0405200360198109</v>
      </c>
      <c r="F1423" s="4" t="n">
        <f aca="false">D1423*E1423</f>
        <v>179.99</v>
      </c>
      <c r="G1423" s="7" t="n">
        <v>571</v>
      </c>
      <c r="H1423" s="9" t="n">
        <f aca="false">IF(G1423&gt;0,D1423/G1423,"")</f>
        <v>7.77933450087566</v>
      </c>
      <c r="I1423" s="10" t="n">
        <v>46245</v>
      </c>
      <c r="J1423" s="3" t="s">
        <v>2263</v>
      </c>
      <c r="K1423" s="10" t="n">
        <v>45630</v>
      </c>
      <c r="L1423" s="3" t="s">
        <v>15</v>
      </c>
      <c r="M1423" s="7" t="n">
        <v>5510</v>
      </c>
      <c r="N1423" s="8" t="n">
        <v>0.04052</v>
      </c>
      <c r="O1423" s="4" t="n">
        <f aca="false">M1423*N1423</f>
        <v>223.2652</v>
      </c>
    </row>
    <row r="1424" customFormat="false" ht="15" hidden="false" customHeight="false" outlineLevel="0" collapsed="false">
      <c r="A1424" s="0" t="s">
        <v>2264</v>
      </c>
      <c r="C1424" s="0" t="s">
        <v>295</v>
      </c>
      <c r="D1424" s="7" t="n">
        <v>3057</v>
      </c>
      <c r="E1424" s="8" t="n">
        <v>0.0588027477919529</v>
      </c>
      <c r="F1424" s="4" t="n">
        <f aca="false">D1424*E1424</f>
        <v>179.76</v>
      </c>
      <c r="G1424" s="7" t="n">
        <v>65</v>
      </c>
      <c r="H1424" s="9" t="n">
        <f aca="false">IF(G1424&gt;0,D1424/G1424,"")</f>
        <v>47.0307692307692</v>
      </c>
      <c r="I1424" s="10" t="n">
        <v>46308</v>
      </c>
      <c r="K1424" s="10"/>
      <c r="M1424" s="7"/>
      <c r="N1424" s="8"/>
      <c r="O1424" s="4"/>
    </row>
    <row r="1425" customFormat="false" ht="15" hidden="false" customHeight="false" outlineLevel="0" collapsed="false">
      <c r="A1425" s="0" t="s">
        <v>2265</v>
      </c>
      <c r="C1425" s="0" t="s">
        <v>37</v>
      </c>
      <c r="D1425" s="7" t="n">
        <v>5559</v>
      </c>
      <c r="E1425" s="8" t="n">
        <v>0.0323367512142472</v>
      </c>
      <c r="F1425" s="4" t="n">
        <f aca="false">D1425*E1425</f>
        <v>179.76</v>
      </c>
      <c r="G1425" s="7" t="n">
        <v>31</v>
      </c>
      <c r="H1425" s="9" t="n">
        <f aca="false">IF(G1425&gt;0,D1425/G1425,"")</f>
        <v>179.322580645161</v>
      </c>
      <c r="I1425" s="10" t="n">
        <v>46027</v>
      </c>
      <c r="J1425" s="3" t="s">
        <v>1936</v>
      </c>
      <c r="K1425" s="10" t="n">
        <v>45057</v>
      </c>
      <c r="L1425" s="3" t="s">
        <v>15</v>
      </c>
      <c r="M1425" s="7" t="n">
        <v>5720</v>
      </c>
      <c r="N1425" s="8" t="n">
        <v>0.03234</v>
      </c>
      <c r="O1425" s="4" t="n">
        <f aca="false">M1425*N1425</f>
        <v>184.9848</v>
      </c>
    </row>
    <row r="1426" customFormat="false" ht="15" hidden="false" customHeight="false" outlineLevel="0" collapsed="false">
      <c r="A1426" s="0" t="s">
        <v>2266</v>
      </c>
      <c r="C1426" s="0" t="s">
        <v>1039</v>
      </c>
      <c r="D1426" s="7" t="n">
        <v>3660</v>
      </c>
      <c r="E1426" s="8" t="n">
        <v>0.0491010928961749</v>
      </c>
      <c r="F1426" s="4" t="n">
        <f aca="false">D1426*E1426</f>
        <v>179.71</v>
      </c>
      <c r="G1426" s="7" t="n">
        <v>140</v>
      </c>
      <c r="H1426" s="9" t="n">
        <f aca="false">IF(G1426&gt;0,D1426/G1426,"")</f>
        <v>26.1428571428571</v>
      </c>
      <c r="I1426" s="10" t="n">
        <v>46010</v>
      </c>
      <c r="J1426" s="3" t="s">
        <v>2267</v>
      </c>
      <c r="K1426" s="10" t="n">
        <v>45946</v>
      </c>
      <c r="L1426" s="3" t="s">
        <v>16</v>
      </c>
      <c r="M1426" s="7" t="n">
        <v>3800</v>
      </c>
      <c r="N1426" s="8" t="n">
        <v>0.0491</v>
      </c>
      <c r="O1426" s="4" t="n">
        <f aca="false">M1426*N1426</f>
        <v>186.58</v>
      </c>
    </row>
    <row r="1427" customFormat="false" ht="15" hidden="false" customHeight="false" outlineLevel="0" collapsed="false">
      <c r="A1427" s="0" t="s">
        <v>2268</v>
      </c>
      <c r="C1427" s="0" t="s">
        <v>61</v>
      </c>
      <c r="D1427" s="7" t="n">
        <v>28</v>
      </c>
      <c r="E1427" s="8" t="n">
        <v>6.41321428571429</v>
      </c>
      <c r="F1427" s="4" t="n">
        <f aca="false">D1427*E1427</f>
        <v>179.57</v>
      </c>
      <c r="G1427" s="7" t="n">
        <v>12</v>
      </c>
      <c r="H1427" s="9" t="n">
        <f aca="false">IF(G1427&gt;0,D1427/G1427,"")</f>
        <v>2.33333333333333</v>
      </c>
      <c r="I1427" s="10" t="n">
        <v>46139</v>
      </c>
      <c r="J1427" s="3" t="s">
        <v>2269</v>
      </c>
      <c r="K1427" s="10" t="n">
        <v>45642</v>
      </c>
      <c r="L1427" s="3" t="s">
        <v>23</v>
      </c>
      <c r="M1427" s="7" t="n">
        <v>50</v>
      </c>
      <c r="N1427" s="8" t="n">
        <v>6.4132</v>
      </c>
      <c r="O1427" s="4" t="n">
        <f aca="false">M1427*N1427</f>
        <v>320.66</v>
      </c>
    </row>
    <row r="1428" customFormat="false" ht="15" hidden="false" customHeight="false" outlineLevel="0" collapsed="false">
      <c r="A1428" s="0" t="s">
        <v>2270</v>
      </c>
      <c r="C1428" s="0" t="s">
        <v>31</v>
      </c>
      <c r="D1428" s="7" t="n">
        <v>26384</v>
      </c>
      <c r="E1428" s="8" t="n">
        <v>0.00680222862340813</v>
      </c>
      <c r="F1428" s="4" t="n">
        <f aca="false">D1428*E1428</f>
        <v>179.47</v>
      </c>
      <c r="G1428" s="7" t="n">
        <v>546</v>
      </c>
      <c r="H1428" s="9" t="n">
        <f aca="false">IF(G1428&gt;0,D1428/G1428,"")</f>
        <v>48.3223443223443</v>
      </c>
      <c r="I1428" s="10" t="n">
        <v>46189</v>
      </c>
      <c r="K1428" s="10"/>
      <c r="M1428" s="7"/>
      <c r="N1428" s="8"/>
      <c r="O1428" s="4"/>
    </row>
    <row r="1429" customFormat="false" ht="15" hidden="false" customHeight="false" outlineLevel="0" collapsed="false">
      <c r="A1429" s="0" t="s">
        <v>2271</v>
      </c>
      <c r="C1429" s="0" t="s">
        <v>32</v>
      </c>
      <c r="D1429" s="7" t="n">
        <v>5965</v>
      </c>
      <c r="E1429" s="8" t="n">
        <v>0.0300553227158424</v>
      </c>
      <c r="F1429" s="4" t="n">
        <f aca="false">D1429*E1429</f>
        <v>179.28</v>
      </c>
      <c r="G1429" s="7" t="n">
        <v>5871</v>
      </c>
      <c r="H1429" s="9" t="n">
        <f aca="false">IF(G1429&gt;0,D1429/G1429,"")</f>
        <v>1.01601090103901</v>
      </c>
      <c r="I1429" s="10" t="n">
        <v>46314</v>
      </c>
      <c r="J1429" s="3" t="s">
        <v>315</v>
      </c>
      <c r="K1429" s="10" t="n">
        <v>46274</v>
      </c>
      <c r="L1429" s="3" t="s">
        <v>14</v>
      </c>
      <c r="M1429" s="7" t="n">
        <v>10000</v>
      </c>
      <c r="N1429" s="8" t="n">
        <v>0.026</v>
      </c>
      <c r="O1429" s="4" t="n">
        <f aca="false">M1429*N1429</f>
        <v>260</v>
      </c>
    </row>
    <row r="1430" customFormat="false" ht="15" hidden="false" customHeight="false" outlineLevel="0" collapsed="false">
      <c r="A1430" s="0" t="s">
        <v>2272</v>
      </c>
      <c r="C1430" s="0" t="s">
        <v>298</v>
      </c>
      <c r="D1430" s="7" t="n">
        <v>699</v>
      </c>
      <c r="E1430" s="8" t="n">
        <v>0.256480686695279</v>
      </c>
      <c r="F1430" s="4" t="n">
        <f aca="false">D1430*E1430</f>
        <v>179.28</v>
      </c>
      <c r="G1430" s="7" t="n">
        <v>404</v>
      </c>
      <c r="H1430" s="9" t="n">
        <f aca="false">IF(G1430&gt;0,D1430/G1430,"")</f>
        <v>1.73019801980198</v>
      </c>
      <c r="I1430" s="10" t="n">
        <v>46049</v>
      </c>
      <c r="J1430" s="3" t="s">
        <v>1597</v>
      </c>
      <c r="K1430" s="10" t="n">
        <v>45929</v>
      </c>
      <c r="L1430" s="3" t="s">
        <v>19</v>
      </c>
      <c r="M1430" s="7" t="n">
        <v>430</v>
      </c>
      <c r="N1430" s="8" t="n">
        <v>0.2559</v>
      </c>
      <c r="O1430" s="4" t="n">
        <f aca="false">M1430*N1430</f>
        <v>110.037</v>
      </c>
    </row>
    <row r="1431" customFormat="false" ht="15" hidden="false" customHeight="false" outlineLevel="0" collapsed="false">
      <c r="A1431" s="0" t="s">
        <v>2273</v>
      </c>
      <c r="C1431" s="0" t="s">
        <v>583</v>
      </c>
      <c r="D1431" s="7" t="n">
        <v>6266</v>
      </c>
      <c r="E1431" s="8" t="n">
        <v>0.0286019789339291</v>
      </c>
      <c r="F1431" s="4" t="n">
        <f aca="false">D1431*E1431</f>
        <v>179.22</v>
      </c>
      <c r="G1431" s="7" t="n">
        <v>1461</v>
      </c>
      <c r="H1431" s="9" t="n">
        <f aca="false">IF(G1431&gt;0,D1431/G1431,"")</f>
        <v>4.28884325804244</v>
      </c>
      <c r="I1431" s="10" t="n">
        <v>46304</v>
      </c>
      <c r="J1431" s="3" t="s">
        <v>536</v>
      </c>
      <c r="K1431" s="10" t="n">
        <v>45531</v>
      </c>
      <c r="L1431" s="3" t="s">
        <v>16</v>
      </c>
      <c r="M1431" s="7" t="n">
        <v>10000</v>
      </c>
      <c r="N1431" s="8" t="n">
        <v>0.0285</v>
      </c>
      <c r="O1431" s="4" t="n">
        <f aca="false">M1431*N1431</f>
        <v>285</v>
      </c>
    </row>
    <row r="1432" customFormat="false" ht="15" hidden="false" customHeight="false" outlineLevel="0" collapsed="false">
      <c r="A1432" s="0" t="s">
        <v>2274</v>
      </c>
      <c r="C1432" s="0" t="s">
        <v>615</v>
      </c>
      <c r="D1432" s="7" t="n">
        <v>1054</v>
      </c>
      <c r="E1432" s="8" t="n">
        <v>0.17</v>
      </c>
      <c r="F1432" s="4" t="n">
        <f aca="false">D1432*E1432</f>
        <v>179.18</v>
      </c>
      <c r="G1432" s="7" t="n">
        <v>190</v>
      </c>
      <c r="H1432" s="9" t="n">
        <f aca="false">IF(G1432&gt;0,D1432/G1432,"")</f>
        <v>5.54736842105263</v>
      </c>
      <c r="I1432" s="10" t="n">
        <v>46038</v>
      </c>
      <c r="K1432" s="10"/>
      <c r="M1432" s="7"/>
      <c r="N1432" s="8"/>
      <c r="O1432" s="4"/>
    </row>
    <row r="1433" customFormat="false" ht="15" hidden="false" customHeight="false" outlineLevel="0" collapsed="false">
      <c r="A1433" s="0" t="s">
        <v>2275</v>
      </c>
      <c r="C1433" s="0" t="s">
        <v>360</v>
      </c>
      <c r="D1433" s="7" t="n">
        <v>1721</v>
      </c>
      <c r="E1433" s="8" t="n">
        <v>0.104090644973852</v>
      </c>
      <c r="F1433" s="4" t="n">
        <f aca="false">D1433*E1433</f>
        <v>179.14</v>
      </c>
      <c r="G1433" s="7" t="n">
        <v>142</v>
      </c>
      <c r="H1433" s="9" t="n">
        <f aca="false">IF(G1433&gt;0,D1433/G1433,"")</f>
        <v>12.1197183098592</v>
      </c>
      <c r="I1433" s="10" t="n">
        <v>46286</v>
      </c>
      <c r="J1433" s="3" t="s">
        <v>2276</v>
      </c>
      <c r="K1433" s="10" t="n">
        <v>44959</v>
      </c>
      <c r="L1433" s="3" t="s">
        <v>15</v>
      </c>
      <c r="M1433" s="7" t="n">
        <v>2280</v>
      </c>
      <c r="N1433" s="8" t="n">
        <v>0.10409</v>
      </c>
      <c r="O1433" s="4" t="n">
        <f aca="false">M1433*N1433</f>
        <v>237.3252</v>
      </c>
    </row>
    <row r="1434" customFormat="false" ht="15" hidden="false" customHeight="false" outlineLevel="0" collapsed="false">
      <c r="A1434" s="0" t="s">
        <v>2277</v>
      </c>
      <c r="C1434" s="0" t="s">
        <v>118</v>
      </c>
      <c r="D1434" s="7" t="n">
        <v>1609</v>
      </c>
      <c r="E1434" s="8" t="n">
        <v>0.111286513362337</v>
      </c>
      <c r="F1434" s="4" t="n">
        <f aca="false">D1434*E1434</f>
        <v>179.06</v>
      </c>
      <c r="G1434" s="7" t="n">
        <v>250</v>
      </c>
      <c r="H1434" s="9" t="n">
        <f aca="false">IF(G1434&gt;0,D1434/G1434,"")</f>
        <v>6.436</v>
      </c>
      <c r="I1434" s="10" t="n">
        <v>46279</v>
      </c>
      <c r="J1434" s="3" t="s">
        <v>2278</v>
      </c>
      <c r="K1434" s="10" t="n">
        <v>45702</v>
      </c>
      <c r="L1434" s="3" t="s">
        <v>14</v>
      </c>
      <c r="M1434" s="7" t="n">
        <v>500</v>
      </c>
      <c r="N1434" s="8" t="n">
        <v>0.2465</v>
      </c>
      <c r="O1434" s="4" t="n">
        <f aca="false">M1434*N1434</f>
        <v>123.25</v>
      </c>
    </row>
    <row r="1435" customFormat="false" ht="15" hidden="false" customHeight="false" outlineLevel="0" collapsed="false">
      <c r="A1435" s="0" t="s">
        <v>2279</v>
      </c>
      <c r="C1435" s="0" t="s">
        <v>32</v>
      </c>
      <c r="D1435" s="7" t="n">
        <v>4814</v>
      </c>
      <c r="E1435" s="8" t="n">
        <v>0.0371956792687993</v>
      </c>
      <c r="F1435" s="4" t="n">
        <f aca="false">D1435*E1435</f>
        <v>179.06</v>
      </c>
      <c r="G1435" s="7" t="n">
        <v>833</v>
      </c>
      <c r="H1435" s="9" t="n">
        <f aca="false">IF(G1435&gt;0,D1435/G1435,"")</f>
        <v>5.77911164465786</v>
      </c>
      <c r="I1435" s="10" t="n">
        <v>46309</v>
      </c>
      <c r="J1435" s="3" t="s">
        <v>2071</v>
      </c>
      <c r="K1435" s="10" t="n">
        <v>44285</v>
      </c>
      <c r="L1435" s="3" t="s">
        <v>18</v>
      </c>
      <c r="M1435" s="7" t="n">
        <v>13875</v>
      </c>
      <c r="N1435" s="8" t="n">
        <v>0.0371</v>
      </c>
      <c r="O1435" s="4" t="n">
        <f aca="false">M1435*N1435</f>
        <v>514.7625</v>
      </c>
    </row>
    <row r="1436" customFormat="false" ht="15" hidden="false" customHeight="false" outlineLevel="0" collapsed="false">
      <c r="A1436" s="0" t="s">
        <v>2280</v>
      </c>
      <c r="C1436" s="0" t="s">
        <v>37</v>
      </c>
      <c r="D1436" s="7" t="n">
        <v>3780</v>
      </c>
      <c r="E1436" s="8" t="n">
        <v>0.0473518518518519</v>
      </c>
      <c r="F1436" s="4" t="n">
        <f aca="false">D1436*E1436</f>
        <v>178.99</v>
      </c>
      <c r="G1436" s="7" t="n">
        <v>210</v>
      </c>
      <c r="H1436" s="9" t="n">
        <f aca="false">IF(G1436&gt;0,D1436/G1436,"")</f>
        <v>18</v>
      </c>
      <c r="I1436" s="10" t="n">
        <v>46062</v>
      </c>
      <c r="J1436" s="3" t="s">
        <v>1936</v>
      </c>
      <c r="K1436" s="10" t="n">
        <v>45057</v>
      </c>
      <c r="L1436" s="3" t="s">
        <v>15</v>
      </c>
      <c r="M1436" s="7" t="n">
        <v>4250</v>
      </c>
      <c r="N1436" s="8" t="n">
        <v>0.04735</v>
      </c>
      <c r="O1436" s="4" t="n">
        <f aca="false">M1436*N1436</f>
        <v>201.2375</v>
      </c>
    </row>
    <row r="1437" customFormat="false" ht="15" hidden="false" customHeight="false" outlineLevel="0" collapsed="false">
      <c r="A1437" s="0" t="s">
        <v>2281</v>
      </c>
      <c r="C1437" s="0" t="s">
        <v>855</v>
      </c>
      <c r="D1437" s="7" t="n">
        <v>5112</v>
      </c>
      <c r="E1437" s="8" t="n">
        <v>0.035</v>
      </c>
      <c r="F1437" s="4" t="n">
        <f aca="false">D1437*E1437</f>
        <v>178.92</v>
      </c>
      <c r="G1437" s="7" t="n">
        <v>50</v>
      </c>
      <c r="H1437" s="9" t="n">
        <f aca="false">IF(G1437&gt;0,D1437/G1437,"")</f>
        <v>102.24</v>
      </c>
      <c r="I1437" s="10" t="n">
        <v>46279</v>
      </c>
      <c r="J1437" s="3" t="s">
        <v>2282</v>
      </c>
      <c r="K1437" s="10" t="n">
        <v>44361</v>
      </c>
      <c r="L1437" s="3" t="s">
        <v>16</v>
      </c>
      <c r="M1437" s="7" t="n">
        <v>5284</v>
      </c>
      <c r="N1437" s="8" t="n">
        <v>0.035</v>
      </c>
      <c r="O1437" s="4" t="n">
        <f aca="false">M1437*N1437</f>
        <v>184.94</v>
      </c>
    </row>
    <row r="1438" customFormat="false" ht="15" hidden="false" customHeight="false" outlineLevel="0" collapsed="false">
      <c r="A1438" s="0" t="s">
        <v>2283</v>
      </c>
      <c r="C1438" s="0" t="s">
        <v>741</v>
      </c>
      <c r="D1438" s="7" t="n">
        <v>975</v>
      </c>
      <c r="E1438" s="8" t="n">
        <v>0.183446153846154</v>
      </c>
      <c r="F1438" s="4" t="n">
        <f aca="false">D1438*E1438</f>
        <v>178.86</v>
      </c>
      <c r="G1438" s="7" t="n">
        <v>14</v>
      </c>
      <c r="H1438" s="9" t="n">
        <f aca="false">IF(G1438&gt;0,D1438/G1438,"")</f>
        <v>69.6428571428571</v>
      </c>
      <c r="I1438" s="10" t="n">
        <v>46219</v>
      </c>
      <c r="J1438" s="3" t="s">
        <v>1891</v>
      </c>
      <c r="K1438" s="10" t="n">
        <v>46140</v>
      </c>
      <c r="L1438" s="3" t="s">
        <v>27</v>
      </c>
      <c r="M1438" s="7" t="n">
        <v>300</v>
      </c>
      <c r="N1438" s="8" t="n">
        <v>0.2003</v>
      </c>
      <c r="O1438" s="4" t="n">
        <f aca="false">M1438*N1438</f>
        <v>60.09</v>
      </c>
    </row>
    <row r="1439" customFormat="false" ht="15" hidden="false" customHeight="false" outlineLevel="0" collapsed="false">
      <c r="A1439" s="0" t="s">
        <v>2284</v>
      </c>
      <c r="C1439" s="0" t="s">
        <v>765</v>
      </c>
      <c r="D1439" s="7" t="n">
        <v>5513</v>
      </c>
      <c r="E1439" s="8" t="n">
        <v>0.0324052240159623</v>
      </c>
      <c r="F1439" s="4" t="n">
        <f aca="false">D1439*E1439</f>
        <v>178.65</v>
      </c>
      <c r="G1439" s="7" t="n">
        <v>386</v>
      </c>
      <c r="H1439" s="9" t="n">
        <f aca="false">IF(G1439&gt;0,D1439/G1439,"")</f>
        <v>14.2823834196891</v>
      </c>
      <c r="I1439" s="10" t="n">
        <v>46308</v>
      </c>
      <c r="J1439" s="3" t="s">
        <v>631</v>
      </c>
      <c r="K1439" s="10" t="n">
        <v>44307</v>
      </c>
      <c r="L1439" s="3" t="s">
        <v>16</v>
      </c>
      <c r="M1439" s="7" t="n">
        <v>6607</v>
      </c>
      <c r="N1439" s="8" t="n">
        <v>0.0324</v>
      </c>
      <c r="O1439" s="4" t="n">
        <f aca="false">M1439*N1439</f>
        <v>214.0668</v>
      </c>
    </row>
    <row r="1440" customFormat="false" ht="15" hidden="false" customHeight="false" outlineLevel="0" collapsed="false">
      <c r="A1440" s="0" t="s">
        <v>2285</v>
      </c>
      <c r="C1440" s="0" t="s">
        <v>889</v>
      </c>
      <c r="D1440" s="7" t="n">
        <v>952</v>
      </c>
      <c r="E1440" s="8" t="n">
        <v>0.187573529411765</v>
      </c>
      <c r="F1440" s="4" t="n">
        <f aca="false">D1440*E1440</f>
        <v>178.57</v>
      </c>
      <c r="G1440" s="7" t="n">
        <v>10</v>
      </c>
      <c r="H1440" s="9" t="n">
        <f aca="false">IF(G1440&gt;0,D1440/G1440,"")</f>
        <v>95.2</v>
      </c>
      <c r="I1440" s="10" t="n">
        <v>46268</v>
      </c>
      <c r="K1440" s="10"/>
      <c r="M1440" s="7"/>
      <c r="N1440" s="8"/>
      <c r="O1440" s="4"/>
    </row>
    <row r="1441" customFormat="false" ht="15" hidden="false" customHeight="false" outlineLevel="0" collapsed="false">
      <c r="A1441" s="0" t="s">
        <v>2286</v>
      </c>
      <c r="C1441" s="0" t="s">
        <v>36</v>
      </c>
      <c r="D1441" s="7" t="n">
        <v>2036</v>
      </c>
      <c r="E1441" s="8" t="n">
        <v>0.0876866404715128</v>
      </c>
      <c r="F1441" s="4" t="n">
        <f aca="false">D1441*E1441</f>
        <v>178.53</v>
      </c>
      <c r="G1441" s="7" t="n">
        <v>720</v>
      </c>
      <c r="H1441" s="9" t="n">
        <f aca="false">IF(G1441&gt;0,D1441/G1441,"")</f>
        <v>2.82777777777778</v>
      </c>
      <c r="I1441" s="10" t="n">
        <v>46310</v>
      </c>
      <c r="J1441" s="3" t="s">
        <v>793</v>
      </c>
      <c r="K1441" s="10" t="n">
        <v>46196</v>
      </c>
      <c r="L1441" s="3" t="s">
        <v>14</v>
      </c>
      <c r="M1441" s="7" t="n">
        <v>2500</v>
      </c>
      <c r="N1441" s="8" t="n">
        <v>0.0874</v>
      </c>
      <c r="O1441" s="4" t="n">
        <f aca="false">M1441*N1441</f>
        <v>218.5</v>
      </c>
    </row>
    <row r="1442" customFormat="false" ht="15" hidden="false" customHeight="false" outlineLevel="0" collapsed="false">
      <c r="A1442" s="0" t="s">
        <v>2287</v>
      </c>
      <c r="C1442" s="0" t="s">
        <v>100</v>
      </c>
      <c r="D1442" s="7" t="n">
        <v>114</v>
      </c>
      <c r="E1442" s="8" t="n">
        <v>1.56114035087719</v>
      </c>
      <c r="F1442" s="4" t="n">
        <f aca="false">D1442*E1442</f>
        <v>177.97</v>
      </c>
      <c r="G1442" s="7" t="n">
        <v>4</v>
      </c>
      <c r="H1442" s="9" t="n">
        <f aca="false">IF(G1442&gt;0,D1442/G1442,"")</f>
        <v>28.5</v>
      </c>
      <c r="I1442" s="10" t="n">
        <v>45961</v>
      </c>
      <c r="J1442" s="3" t="s">
        <v>2288</v>
      </c>
      <c r="K1442" s="10" t="n">
        <v>44915</v>
      </c>
      <c r="L1442" s="3" t="s">
        <v>16</v>
      </c>
      <c r="M1442" s="7" t="n">
        <v>300</v>
      </c>
      <c r="N1442" s="8" t="n">
        <v>1.5611</v>
      </c>
      <c r="O1442" s="4" t="n">
        <f aca="false">M1442*N1442</f>
        <v>468.33</v>
      </c>
    </row>
    <row r="1443" customFormat="false" ht="15" hidden="false" customHeight="false" outlineLevel="0" collapsed="false">
      <c r="A1443" s="0" t="s">
        <v>2289</v>
      </c>
      <c r="C1443" s="0" t="s">
        <v>61</v>
      </c>
      <c r="D1443" s="7" t="n">
        <v>2078</v>
      </c>
      <c r="E1443" s="8" t="n">
        <v>0.0856400384985563</v>
      </c>
      <c r="F1443" s="4" t="n">
        <f aca="false">D1443*E1443</f>
        <v>177.96</v>
      </c>
      <c r="G1443" s="7" t="n">
        <v>179</v>
      </c>
      <c r="H1443" s="9" t="n">
        <f aca="false">IF(G1443&gt;0,D1443/G1443,"")</f>
        <v>11.608938547486</v>
      </c>
      <c r="I1443" s="10" t="n">
        <v>46310</v>
      </c>
      <c r="J1443" s="3" t="s">
        <v>2290</v>
      </c>
      <c r="K1443" s="10" t="n">
        <v>44580</v>
      </c>
      <c r="L1443" s="3" t="s">
        <v>23</v>
      </c>
      <c r="M1443" s="7" t="n">
        <v>2494</v>
      </c>
      <c r="N1443" s="8" t="n">
        <v>0</v>
      </c>
      <c r="O1443" s="4" t="n">
        <v>215.28</v>
      </c>
    </row>
    <row r="1444" customFormat="false" ht="15" hidden="false" customHeight="false" outlineLevel="0" collapsed="false">
      <c r="A1444" s="0" t="s">
        <v>2291</v>
      </c>
      <c r="C1444" s="0" t="s">
        <v>889</v>
      </c>
      <c r="D1444" s="7" t="n">
        <v>10797</v>
      </c>
      <c r="E1444" s="8" t="n">
        <v>0.0164712420116699</v>
      </c>
      <c r="F1444" s="4" t="n">
        <f aca="false">D1444*E1444</f>
        <v>177.84</v>
      </c>
      <c r="G1444" s="7" t="n">
        <v>455</v>
      </c>
      <c r="H1444" s="9" t="n">
        <f aca="false">IF(G1444&gt;0,D1444/G1444,"")</f>
        <v>23.7296703296703</v>
      </c>
      <c r="I1444" s="10" t="n">
        <v>46290</v>
      </c>
      <c r="K1444" s="10"/>
      <c r="M1444" s="7"/>
      <c r="N1444" s="8"/>
      <c r="O1444" s="4"/>
    </row>
    <row r="1445" customFormat="false" ht="15" hidden="false" customHeight="false" outlineLevel="0" collapsed="false">
      <c r="A1445" s="0" t="s">
        <v>2292</v>
      </c>
      <c r="C1445" s="0" t="s">
        <v>36</v>
      </c>
      <c r="D1445" s="7" t="n">
        <v>3034</v>
      </c>
      <c r="E1445" s="8" t="n">
        <v>0.0586025049439684</v>
      </c>
      <c r="F1445" s="4" t="n">
        <f aca="false">D1445*E1445</f>
        <v>177.8</v>
      </c>
      <c r="G1445" s="7" t="n">
        <v>105</v>
      </c>
      <c r="H1445" s="9" t="n">
        <f aca="false">IF(G1445&gt;0,D1445/G1445,"")</f>
        <v>28.8952380952381</v>
      </c>
      <c r="I1445" s="10" t="n">
        <v>46237</v>
      </c>
      <c r="J1445" s="3" t="s">
        <v>114</v>
      </c>
      <c r="K1445" s="10" t="n">
        <v>46224</v>
      </c>
      <c r="L1445" s="3" t="s">
        <v>18</v>
      </c>
      <c r="M1445" s="7" t="n">
        <v>3039</v>
      </c>
      <c r="N1445" s="8" t="n">
        <v>0.0586</v>
      </c>
      <c r="O1445" s="4" t="n">
        <f aca="false">M1445*N1445</f>
        <v>178.0854</v>
      </c>
    </row>
    <row r="1446" customFormat="false" ht="15" hidden="false" customHeight="false" outlineLevel="0" collapsed="false">
      <c r="A1446" s="0" t="s">
        <v>2293</v>
      </c>
      <c r="C1446" s="0" t="s">
        <v>34</v>
      </c>
      <c r="D1446" s="7" t="n">
        <v>7115</v>
      </c>
      <c r="E1446" s="8" t="n">
        <v>0.0249838369641602</v>
      </c>
      <c r="F1446" s="4" t="n">
        <f aca="false">D1446*E1446</f>
        <v>177.76</v>
      </c>
      <c r="G1446" s="7" t="n">
        <v>3835</v>
      </c>
      <c r="H1446" s="9" t="n">
        <f aca="false">IF(G1446&gt;0,D1446/G1446,"")</f>
        <v>1.85528031290743</v>
      </c>
      <c r="I1446" s="10" t="n">
        <v>46282</v>
      </c>
      <c r="J1446" s="3" t="s">
        <v>2294</v>
      </c>
      <c r="K1446" s="10" t="n">
        <v>46220</v>
      </c>
      <c r="L1446" s="3" t="s">
        <v>15</v>
      </c>
      <c r="M1446" s="7" t="n">
        <v>2300</v>
      </c>
      <c r="N1446" s="8" t="n">
        <v>0.02444</v>
      </c>
      <c r="O1446" s="4" t="n">
        <f aca="false">M1446*N1446</f>
        <v>56.212</v>
      </c>
    </row>
    <row r="1447" customFormat="false" ht="15" hidden="false" customHeight="false" outlineLevel="0" collapsed="false">
      <c r="A1447" s="0" t="s">
        <v>2295</v>
      </c>
      <c r="C1447" s="0" t="s">
        <v>360</v>
      </c>
      <c r="D1447" s="7" t="n">
        <v>13895</v>
      </c>
      <c r="E1447" s="8" t="n">
        <v>0.0127923713566031</v>
      </c>
      <c r="F1447" s="4" t="n">
        <f aca="false">D1447*E1447</f>
        <v>177.75</v>
      </c>
      <c r="G1447" s="7" t="n">
        <v>2700</v>
      </c>
      <c r="H1447" s="9" t="n">
        <f aca="false">IF(G1447&gt;0,D1447/G1447,"")</f>
        <v>5.1462962962963</v>
      </c>
      <c r="I1447" s="10" t="n">
        <v>46317</v>
      </c>
      <c r="J1447" s="3" t="s">
        <v>2296</v>
      </c>
      <c r="K1447" s="10" t="n">
        <v>45923</v>
      </c>
      <c r="L1447" s="3" t="s">
        <v>154</v>
      </c>
      <c r="M1447" s="7" t="n">
        <v>657</v>
      </c>
      <c r="N1447" s="8" t="n">
        <v>0.042</v>
      </c>
      <c r="O1447" s="4" t="n">
        <f aca="false">M1447*N1447</f>
        <v>27.594</v>
      </c>
    </row>
    <row r="1448" customFormat="false" ht="15" hidden="false" customHeight="false" outlineLevel="0" collapsed="false">
      <c r="A1448" s="0" t="s">
        <v>2297</v>
      </c>
      <c r="C1448" s="0" t="s">
        <v>889</v>
      </c>
      <c r="D1448" s="7" t="n">
        <v>1463</v>
      </c>
      <c r="E1448" s="8" t="n">
        <v>0.121449077238551</v>
      </c>
      <c r="F1448" s="4" t="n">
        <f aca="false">D1448*E1448</f>
        <v>177.68</v>
      </c>
      <c r="G1448" s="7" t="n">
        <v>150</v>
      </c>
      <c r="H1448" s="9" t="n">
        <f aca="false">IF(G1448&gt;0,D1448/G1448,"")</f>
        <v>9.75333333333333</v>
      </c>
      <c r="I1448" s="10" t="n">
        <v>46266</v>
      </c>
      <c r="J1448" s="3" t="s">
        <v>1052</v>
      </c>
      <c r="K1448" s="10" t="n">
        <v>45223</v>
      </c>
      <c r="L1448" s="3" t="s">
        <v>15</v>
      </c>
      <c r="M1448" s="7" t="n">
        <v>1850</v>
      </c>
      <c r="N1448" s="8" t="n">
        <v>0.12146</v>
      </c>
      <c r="O1448" s="4" t="n">
        <f aca="false">M1448*N1448</f>
        <v>224.701</v>
      </c>
    </row>
    <row r="1449" customFormat="false" ht="15" hidden="false" customHeight="false" outlineLevel="0" collapsed="false">
      <c r="A1449" s="0" t="s">
        <v>2298</v>
      </c>
      <c r="C1449" s="0" t="s">
        <v>37</v>
      </c>
      <c r="D1449" s="7" t="n">
        <v>7716</v>
      </c>
      <c r="E1449" s="8" t="n">
        <v>0.0230184033177812</v>
      </c>
      <c r="F1449" s="4" t="n">
        <f aca="false">D1449*E1449</f>
        <v>177.61</v>
      </c>
      <c r="G1449" s="7" t="n">
        <v>165</v>
      </c>
      <c r="H1449" s="9" t="n">
        <f aca="false">IF(G1449&gt;0,D1449/G1449,"")</f>
        <v>46.7636363636364</v>
      </c>
      <c r="I1449" s="10" t="n">
        <v>46192</v>
      </c>
      <c r="J1449" s="3" t="s">
        <v>1936</v>
      </c>
      <c r="K1449" s="10" t="n">
        <v>45057</v>
      </c>
      <c r="L1449" s="3" t="s">
        <v>15</v>
      </c>
      <c r="M1449" s="7" t="n">
        <v>8700</v>
      </c>
      <c r="N1449" s="8" t="n">
        <v>0.02302</v>
      </c>
      <c r="O1449" s="4" t="n">
        <f aca="false">M1449*N1449</f>
        <v>200.274</v>
      </c>
    </row>
    <row r="1450" customFormat="false" ht="15" hidden="false" customHeight="false" outlineLevel="0" collapsed="false">
      <c r="A1450" s="0" t="s">
        <v>2299</v>
      </c>
      <c r="C1450" s="0" t="s">
        <v>33</v>
      </c>
      <c r="D1450" s="7" t="n">
        <v>201</v>
      </c>
      <c r="E1450" s="8" t="n">
        <v>0.88363184079602</v>
      </c>
      <c r="F1450" s="4" t="n">
        <f aca="false">D1450*E1450</f>
        <v>177.61</v>
      </c>
      <c r="G1450" s="7" t="n">
        <v>4</v>
      </c>
      <c r="H1450" s="9" t="n">
        <f aca="false">IF(G1450&gt;0,D1450/G1450,"")</f>
        <v>50.25</v>
      </c>
      <c r="I1450" s="10" t="n">
        <v>46296</v>
      </c>
      <c r="J1450" s="3" t="s">
        <v>230</v>
      </c>
      <c r="K1450" s="10" t="n">
        <v>46303</v>
      </c>
      <c r="L1450" s="3" t="s">
        <v>18</v>
      </c>
      <c r="M1450" s="7" t="n">
        <v>190</v>
      </c>
      <c r="N1450" s="8" t="n">
        <v>0.8333</v>
      </c>
      <c r="O1450" s="4" t="n">
        <f aca="false">M1450*N1450</f>
        <v>158.327</v>
      </c>
    </row>
    <row r="1451" customFormat="false" ht="15" hidden="false" customHeight="false" outlineLevel="0" collapsed="false">
      <c r="A1451" s="0" t="s">
        <v>2300</v>
      </c>
      <c r="C1451" s="0" t="s">
        <v>36</v>
      </c>
      <c r="D1451" s="7" t="n">
        <v>12974</v>
      </c>
      <c r="E1451" s="8" t="n">
        <v>0.0136804377986743</v>
      </c>
      <c r="F1451" s="4" t="n">
        <f aca="false">D1451*E1451</f>
        <v>177.49</v>
      </c>
      <c r="G1451" s="7" t="n">
        <v>8172</v>
      </c>
      <c r="H1451" s="9" t="n">
        <f aca="false">IF(G1451&gt;0,D1451/G1451,"")</f>
        <v>1.58761625061185</v>
      </c>
      <c r="I1451" s="10" t="n">
        <v>46308</v>
      </c>
      <c r="J1451" s="3" t="s">
        <v>709</v>
      </c>
      <c r="K1451" s="10" t="n">
        <v>46080</v>
      </c>
      <c r="L1451" s="3" t="s">
        <v>14</v>
      </c>
      <c r="M1451" s="7" t="n">
        <v>4000</v>
      </c>
      <c r="N1451" s="8" t="n">
        <v>0.0277</v>
      </c>
      <c r="O1451" s="4" t="n">
        <f aca="false">M1451*N1451</f>
        <v>110.8</v>
      </c>
    </row>
    <row r="1452" customFormat="false" ht="15" hidden="false" customHeight="false" outlineLevel="0" collapsed="false">
      <c r="A1452" s="0" t="s">
        <v>2301</v>
      </c>
      <c r="C1452" s="0" t="s">
        <v>118</v>
      </c>
      <c r="D1452" s="7" t="n">
        <v>354</v>
      </c>
      <c r="E1452" s="8" t="n">
        <v>0.501242937853107</v>
      </c>
      <c r="F1452" s="4" t="n">
        <f aca="false">D1452*E1452</f>
        <v>177.44</v>
      </c>
      <c r="G1452" s="7" t="n">
        <v>20</v>
      </c>
      <c r="H1452" s="9" t="n">
        <f aca="false">IF(G1452&gt;0,D1452/G1452,"")</f>
        <v>17.7</v>
      </c>
      <c r="I1452" s="10" t="n">
        <v>46260</v>
      </c>
      <c r="J1452" s="3" t="s">
        <v>1425</v>
      </c>
      <c r="K1452" s="10" t="n">
        <v>45890</v>
      </c>
      <c r="L1452" s="3" t="s">
        <v>15</v>
      </c>
      <c r="M1452" s="7" t="n">
        <v>374</v>
      </c>
      <c r="N1452" s="8" t="n">
        <v>0.50123</v>
      </c>
      <c r="O1452" s="4" t="n">
        <f aca="false">M1452*N1452</f>
        <v>187.46002</v>
      </c>
    </row>
    <row r="1453" customFormat="false" ht="15" hidden="false" customHeight="false" outlineLevel="0" collapsed="false">
      <c r="A1453" s="0" t="s">
        <v>2302</v>
      </c>
      <c r="C1453" s="0" t="s">
        <v>360</v>
      </c>
      <c r="D1453" s="7" t="n">
        <v>6474</v>
      </c>
      <c r="E1453" s="8" t="n">
        <v>0.0274003707136237</v>
      </c>
      <c r="F1453" s="4" t="n">
        <f aca="false">D1453*E1453</f>
        <v>177.39</v>
      </c>
      <c r="G1453" s="7" t="n">
        <v>3875</v>
      </c>
      <c r="H1453" s="9" t="n">
        <f aca="false">IF(G1453&gt;0,D1453/G1453,"")</f>
        <v>1.67070967741935</v>
      </c>
      <c r="I1453" s="10" t="n">
        <v>46175</v>
      </c>
      <c r="J1453" s="3" t="s">
        <v>2303</v>
      </c>
      <c r="K1453" s="10" t="n">
        <v>46098</v>
      </c>
      <c r="L1453" s="3" t="s">
        <v>16</v>
      </c>
      <c r="M1453" s="7" t="n">
        <v>7300</v>
      </c>
      <c r="N1453" s="8" t="n">
        <v>0.0274</v>
      </c>
      <c r="O1453" s="4" t="n">
        <f aca="false">M1453*N1453</f>
        <v>200.02</v>
      </c>
    </row>
    <row r="1454" customFormat="false" ht="15" hidden="false" customHeight="false" outlineLevel="0" collapsed="false">
      <c r="A1454" s="0" t="s">
        <v>2304</v>
      </c>
      <c r="C1454" s="0" t="s">
        <v>225</v>
      </c>
      <c r="D1454" s="7" t="n">
        <v>7</v>
      </c>
      <c r="E1454" s="8" t="n">
        <v>25.2814285714286</v>
      </c>
      <c r="F1454" s="4" t="n">
        <f aca="false">D1454*E1454</f>
        <v>176.97</v>
      </c>
      <c r="G1454" s="7" t="n">
        <v>3</v>
      </c>
      <c r="H1454" s="9" t="n">
        <f aca="false">IF(G1454&gt;0,D1454/G1454,"")</f>
        <v>2.33333333333333</v>
      </c>
      <c r="I1454" s="10" t="n">
        <v>46036</v>
      </c>
      <c r="J1454" s="3" t="s">
        <v>2305</v>
      </c>
      <c r="K1454" s="10" t="n">
        <v>45888</v>
      </c>
      <c r="L1454" s="3" t="s">
        <v>14</v>
      </c>
      <c r="M1454" s="7" t="n">
        <v>15</v>
      </c>
      <c r="N1454" s="8" t="n">
        <v>25.2807</v>
      </c>
      <c r="O1454" s="4" t="n">
        <f aca="false">M1454*N1454</f>
        <v>379.2105</v>
      </c>
    </row>
    <row r="1455" customFormat="false" ht="15" hidden="false" customHeight="false" outlineLevel="0" collapsed="false">
      <c r="A1455" s="0" t="s">
        <v>2306</v>
      </c>
      <c r="C1455" s="0" t="s">
        <v>44</v>
      </c>
      <c r="D1455" s="7" t="n">
        <v>24</v>
      </c>
      <c r="E1455" s="8" t="n">
        <v>7.36958333333333</v>
      </c>
      <c r="F1455" s="4" t="n">
        <f aca="false">D1455*E1455</f>
        <v>176.87</v>
      </c>
      <c r="G1455" s="7" t="n">
        <v>6</v>
      </c>
      <c r="H1455" s="9" t="n">
        <f aca="false">IF(G1455&gt;0,D1455/G1455,"")</f>
        <v>4</v>
      </c>
      <c r="I1455" s="10" t="n">
        <v>46006</v>
      </c>
      <c r="J1455" s="3" t="s">
        <v>2307</v>
      </c>
      <c r="K1455" s="10" t="n">
        <v>44965</v>
      </c>
      <c r="L1455" s="3" t="s">
        <v>14</v>
      </c>
      <c r="M1455" s="7" t="n">
        <v>50</v>
      </c>
      <c r="N1455" s="8" t="n">
        <v>7.1904</v>
      </c>
      <c r="O1455" s="4" t="n">
        <f aca="false">M1455*N1455</f>
        <v>359.52</v>
      </c>
    </row>
    <row r="1456" customFormat="false" ht="15" hidden="false" customHeight="false" outlineLevel="0" collapsed="false">
      <c r="A1456" s="0" t="s">
        <v>2308</v>
      </c>
      <c r="C1456" s="0" t="s">
        <v>934</v>
      </c>
      <c r="D1456" s="7" t="n">
        <v>5053</v>
      </c>
      <c r="E1456" s="8" t="n">
        <v>0.0349990104888185</v>
      </c>
      <c r="F1456" s="4" t="n">
        <f aca="false">D1456*E1456</f>
        <v>176.85</v>
      </c>
      <c r="G1456" s="7" t="n">
        <v>21</v>
      </c>
      <c r="H1456" s="9" t="n">
        <f aca="false">IF(G1456&gt;0,D1456/G1456,"")</f>
        <v>240.619047619048</v>
      </c>
      <c r="I1456" s="10" t="n">
        <v>46188</v>
      </c>
      <c r="K1456" s="10"/>
      <c r="M1456" s="7"/>
      <c r="N1456" s="8"/>
      <c r="O1456" s="4"/>
    </row>
    <row r="1457" customFormat="false" ht="15" hidden="false" customHeight="false" outlineLevel="0" collapsed="false">
      <c r="A1457" s="0" t="s">
        <v>2309</v>
      </c>
      <c r="C1457" s="0" t="s">
        <v>37</v>
      </c>
      <c r="D1457" s="7" t="n">
        <v>454</v>
      </c>
      <c r="E1457" s="8" t="n">
        <v>0.389493392070485</v>
      </c>
      <c r="F1457" s="4" t="n">
        <f aca="false">D1457*E1457</f>
        <v>176.83</v>
      </c>
      <c r="G1457" s="7" t="n">
        <v>10</v>
      </c>
      <c r="H1457" s="9" t="n">
        <f aca="false">IF(G1457&gt;0,D1457/G1457,"")</f>
        <v>45.4</v>
      </c>
      <c r="I1457" s="10" t="n">
        <v>46185</v>
      </c>
      <c r="K1457" s="10"/>
      <c r="M1457" s="7"/>
      <c r="N1457" s="8"/>
      <c r="O1457" s="4"/>
    </row>
    <row r="1458" customFormat="false" ht="15" hidden="false" customHeight="false" outlineLevel="0" collapsed="false">
      <c r="A1458" s="0" t="s">
        <v>2310</v>
      </c>
      <c r="C1458" s="0" t="s">
        <v>31</v>
      </c>
      <c r="D1458" s="7" t="n">
        <v>40772</v>
      </c>
      <c r="E1458" s="8" t="n">
        <v>0.0043367997645443</v>
      </c>
      <c r="F1458" s="4" t="n">
        <f aca="false">D1458*E1458</f>
        <v>176.82</v>
      </c>
      <c r="G1458" s="7" t="n">
        <v>298</v>
      </c>
      <c r="H1458" s="9" t="n">
        <f aca="false">IF(G1458&gt;0,D1458/G1458,"")</f>
        <v>136.818791946309</v>
      </c>
      <c r="I1458" s="10" t="n">
        <v>46175</v>
      </c>
      <c r="J1458" s="3" t="s">
        <v>317</v>
      </c>
      <c r="K1458" s="10" t="n">
        <v>44860</v>
      </c>
      <c r="L1458" s="3" t="s">
        <v>15</v>
      </c>
      <c r="M1458" s="7" t="n">
        <v>45012</v>
      </c>
      <c r="N1458" s="8" t="n">
        <v>0.00433</v>
      </c>
      <c r="O1458" s="4" t="n">
        <f aca="false">M1458*N1458</f>
        <v>194.90196</v>
      </c>
    </row>
    <row r="1459" customFormat="false" ht="15" hidden="false" customHeight="false" outlineLevel="0" collapsed="false">
      <c r="A1459" s="0" t="s">
        <v>2311</v>
      </c>
      <c r="C1459" s="0" t="s">
        <v>889</v>
      </c>
      <c r="D1459" s="7" t="n">
        <v>6725</v>
      </c>
      <c r="E1459" s="8" t="n">
        <v>0.0262795539033457</v>
      </c>
      <c r="F1459" s="4" t="n">
        <f aca="false">D1459*E1459</f>
        <v>176.73</v>
      </c>
      <c r="G1459" s="7" t="n">
        <v>75</v>
      </c>
      <c r="H1459" s="9" t="n">
        <f aca="false">IF(G1459&gt;0,D1459/G1459,"")</f>
        <v>89.6666666666667</v>
      </c>
      <c r="I1459" s="10" t="n">
        <v>46290</v>
      </c>
      <c r="J1459" s="3" t="s">
        <v>2312</v>
      </c>
      <c r="K1459" s="10" t="n">
        <v>45134</v>
      </c>
      <c r="L1459" s="3" t="s">
        <v>15</v>
      </c>
      <c r="M1459" s="7" t="n">
        <v>8350</v>
      </c>
      <c r="N1459" s="8" t="n">
        <v>0.02628</v>
      </c>
      <c r="O1459" s="4" t="n">
        <f aca="false">M1459*N1459</f>
        <v>219.438</v>
      </c>
    </row>
    <row r="1460" customFormat="false" ht="15" hidden="false" customHeight="false" outlineLevel="0" collapsed="false">
      <c r="A1460" s="0" t="s">
        <v>2313</v>
      </c>
      <c r="C1460" s="0" t="s">
        <v>31</v>
      </c>
      <c r="D1460" s="7" t="n">
        <v>38255</v>
      </c>
      <c r="E1460" s="8" t="n">
        <v>0.00461978826297216</v>
      </c>
      <c r="F1460" s="4" t="n">
        <f aca="false">D1460*E1460</f>
        <v>176.73</v>
      </c>
      <c r="G1460" s="7" t="n">
        <v>125</v>
      </c>
      <c r="H1460" s="9" t="n">
        <f aca="false">IF(G1460&gt;0,D1460/G1460,"")</f>
        <v>306.04</v>
      </c>
      <c r="I1460" s="10" t="n">
        <v>46293</v>
      </c>
      <c r="K1460" s="10"/>
      <c r="M1460" s="7"/>
      <c r="N1460" s="8"/>
      <c r="O1460" s="4"/>
    </row>
    <row r="1461" customFormat="false" ht="15" hidden="false" customHeight="false" outlineLevel="0" collapsed="false">
      <c r="A1461" s="0" t="s">
        <v>2314</v>
      </c>
      <c r="C1461" s="0" t="s">
        <v>45</v>
      </c>
      <c r="D1461" s="7" t="n">
        <v>1248</v>
      </c>
      <c r="E1461" s="8" t="n">
        <v>0.141498397435897</v>
      </c>
      <c r="F1461" s="4" t="n">
        <f aca="false">D1461*E1461</f>
        <v>176.59</v>
      </c>
      <c r="G1461" s="7" t="n">
        <v>102</v>
      </c>
      <c r="H1461" s="9" t="n">
        <f aca="false">IF(G1461&gt;0,D1461/G1461,"")</f>
        <v>12.2352941176471</v>
      </c>
      <c r="I1461" s="10" t="n">
        <v>46147</v>
      </c>
      <c r="J1461" s="3" t="s">
        <v>1423</v>
      </c>
      <c r="K1461" s="10" t="n">
        <v>45786</v>
      </c>
      <c r="L1461" s="3" t="s">
        <v>23</v>
      </c>
      <c r="M1461" s="7" t="n">
        <v>1500</v>
      </c>
      <c r="N1461" s="8" t="n">
        <v>0.1415</v>
      </c>
      <c r="O1461" s="4" t="n">
        <f aca="false">M1461*N1461</f>
        <v>212.25</v>
      </c>
    </row>
    <row r="1462" customFormat="false" ht="15" hidden="false" customHeight="false" outlineLevel="0" collapsed="false">
      <c r="A1462" s="0" t="s">
        <v>2315</v>
      </c>
      <c r="C1462" s="0" t="s">
        <v>2316</v>
      </c>
      <c r="D1462" s="7" t="n">
        <v>6361</v>
      </c>
      <c r="E1462" s="8" t="n">
        <v>0.0277582141172772</v>
      </c>
      <c r="F1462" s="4" t="n">
        <f aca="false">D1462*E1462</f>
        <v>176.57</v>
      </c>
      <c r="G1462" s="7" t="n">
        <v>10</v>
      </c>
      <c r="H1462" s="9" t="n">
        <f aca="false">IF(G1462&gt;0,D1462/G1462,"")</f>
        <v>636.1</v>
      </c>
      <c r="I1462" s="10" t="n">
        <v>46216</v>
      </c>
      <c r="K1462" s="10"/>
      <c r="M1462" s="7"/>
      <c r="N1462" s="8"/>
      <c r="O1462" s="4"/>
    </row>
    <row r="1463" customFormat="false" ht="15" hidden="false" customHeight="false" outlineLevel="0" collapsed="false">
      <c r="A1463" s="0" t="s">
        <v>2317</v>
      </c>
      <c r="C1463" s="0" t="s">
        <v>360</v>
      </c>
      <c r="D1463" s="7" t="n">
        <v>5692</v>
      </c>
      <c r="E1463" s="8" t="n">
        <v>0.0309996486296557</v>
      </c>
      <c r="F1463" s="4" t="n">
        <f aca="false">D1463*E1463</f>
        <v>176.45</v>
      </c>
      <c r="G1463" s="7" t="n">
        <v>927</v>
      </c>
      <c r="H1463" s="9" t="n">
        <f aca="false">IF(G1463&gt;0,D1463/G1463,"")</f>
        <v>6.14023732470334</v>
      </c>
      <c r="I1463" s="10" t="n">
        <v>46112</v>
      </c>
      <c r="J1463" s="3" t="s">
        <v>1011</v>
      </c>
      <c r="K1463" s="10" t="n">
        <v>46003</v>
      </c>
      <c r="L1463" s="3" t="s">
        <v>16</v>
      </c>
      <c r="M1463" s="7" t="n">
        <v>6500</v>
      </c>
      <c r="N1463" s="8" t="n">
        <v>0.031</v>
      </c>
      <c r="O1463" s="4" t="n">
        <f aca="false">M1463*N1463</f>
        <v>201.5</v>
      </c>
    </row>
    <row r="1464" customFormat="false" ht="15" hidden="false" customHeight="false" outlineLevel="0" collapsed="false">
      <c r="A1464" s="0" t="s">
        <v>2318</v>
      </c>
      <c r="C1464" s="0" t="s">
        <v>41</v>
      </c>
      <c r="D1464" s="7" t="n">
        <v>13068</v>
      </c>
      <c r="E1464" s="8" t="n">
        <v>0.0135001530456076</v>
      </c>
      <c r="F1464" s="4" t="n">
        <f aca="false">D1464*E1464</f>
        <v>176.42</v>
      </c>
      <c r="G1464" s="7" t="n">
        <v>125</v>
      </c>
      <c r="H1464" s="9" t="n">
        <f aca="false">IF(G1464&gt;0,D1464/G1464,"")</f>
        <v>104.544</v>
      </c>
      <c r="I1464" s="10" t="n">
        <v>46211</v>
      </c>
      <c r="K1464" s="10"/>
      <c r="M1464" s="7"/>
      <c r="N1464" s="8"/>
      <c r="O1464" s="4"/>
    </row>
    <row r="1465" customFormat="false" ht="15" hidden="false" customHeight="false" outlineLevel="0" collapsed="false">
      <c r="A1465" s="0" t="s">
        <v>2319</v>
      </c>
      <c r="C1465" s="0" t="s">
        <v>34</v>
      </c>
      <c r="D1465" s="7" t="n">
        <v>2024</v>
      </c>
      <c r="E1465" s="8" t="n">
        <v>0.0871393280632411</v>
      </c>
      <c r="F1465" s="4" t="n">
        <f aca="false">D1465*E1465</f>
        <v>176.37</v>
      </c>
      <c r="G1465" s="7" t="n">
        <v>323</v>
      </c>
      <c r="H1465" s="9" t="n">
        <f aca="false">IF(G1465&gt;0,D1465/G1465,"")</f>
        <v>6.26625386996904</v>
      </c>
      <c r="I1465" s="10" t="n">
        <v>46259</v>
      </c>
      <c r="J1465" s="3" t="s">
        <v>1318</v>
      </c>
      <c r="K1465" s="10" t="n">
        <v>46213</v>
      </c>
      <c r="L1465" s="3" t="s">
        <v>16</v>
      </c>
      <c r="M1465" s="7" t="n">
        <v>1940</v>
      </c>
      <c r="N1465" s="8" t="n">
        <v>0.0774</v>
      </c>
      <c r="O1465" s="4" t="n">
        <f aca="false">M1465*N1465</f>
        <v>150.156</v>
      </c>
    </row>
    <row r="1466" customFormat="false" ht="15" hidden="false" customHeight="false" outlineLevel="0" collapsed="false">
      <c r="A1466" s="0" t="s">
        <v>2320</v>
      </c>
      <c r="C1466" s="0" t="s">
        <v>85</v>
      </c>
      <c r="D1466" s="7" t="n">
        <v>4583</v>
      </c>
      <c r="E1466" s="8" t="n">
        <v>0.0383918830460397</v>
      </c>
      <c r="F1466" s="4" t="n">
        <f aca="false">D1466*E1466</f>
        <v>175.95</v>
      </c>
      <c r="G1466" s="7" t="n">
        <v>4140</v>
      </c>
      <c r="H1466" s="9" t="n">
        <f aca="false">IF(G1466&gt;0,D1466/G1466,"")</f>
        <v>1.10700483091787</v>
      </c>
      <c r="I1466" s="10" t="n">
        <v>46302</v>
      </c>
      <c r="J1466" s="3" t="s">
        <v>2321</v>
      </c>
      <c r="K1466" s="10" t="n">
        <v>46094</v>
      </c>
      <c r="L1466" s="3" t="s">
        <v>16</v>
      </c>
      <c r="M1466" s="7" t="n">
        <v>3280</v>
      </c>
      <c r="N1466" s="8" t="n">
        <v>0.0342378</v>
      </c>
      <c r="O1466" s="4" t="n">
        <f aca="false">M1466*N1466</f>
        <v>112.299984</v>
      </c>
    </row>
    <row r="1467" customFormat="false" ht="15" hidden="false" customHeight="false" outlineLevel="0" collapsed="false">
      <c r="A1467" s="0" t="s">
        <v>2322</v>
      </c>
      <c r="C1467" s="0" t="s">
        <v>1169</v>
      </c>
      <c r="D1467" s="7" t="n">
        <v>5885</v>
      </c>
      <c r="E1467" s="8" t="n">
        <v>0.0298249787595582</v>
      </c>
      <c r="F1467" s="4" t="n">
        <f aca="false">D1467*E1467</f>
        <v>175.52</v>
      </c>
      <c r="G1467" s="7" t="n">
        <v>250</v>
      </c>
      <c r="H1467" s="9" t="n">
        <f aca="false">IF(G1467&gt;0,D1467/G1467,"")</f>
        <v>23.54</v>
      </c>
      <c r="I1467" s="10" t="n">
        <v>46133</v>
      </c>
      <c r="J1467" s="3" t="s">
        <v>926</v>
      </c>
      <c r="K1467" s="10" t="n">
        <v>46009</v>
      </c>
      <c r="L1467" s="3" t="s">
        <v>21</v>
      </c>
      <c r="M1467" s="7" t="n">
        <v>4500</v>
      </c>
      <c r="N1467" s="8" t="n">
        <v>0.023</v>
      </c>
      <c r="O1467" s="4" t="n">
        <f aca="false">M1467*N1467</f>
        <v>103.5</v>
      </c>
    </row>
    <row r="1468" customFormat="false" ht="15" hidden="false" customHeight="false" outlineLevel="0" collapsed="false">
      <c r="A1468" s="0" t="s">
        <v>2323</v>
      </c>
      <c r="C1468" s="0" t="s">
        <v>35</v>
      </c>
      <c r="D1468" s="7" t="n">
        <v>71</v>
      </c>
      <c r="E1468" s="8" t="n">
        <v>2.47183098591549</v>
      </c>
      <c r="F1468" s="4" t="n">
        <f aca="false">D1468*E1468</f>
        <v>175.5</v>
      </c>
      <c r="G1468" s="7" t="n">
        <v>54</v>
      </c>
      <c r="H1468" s="9" t="n">
        <f aca="false">IF(G1468&gt;0,D1468/G1468,"")</f>
        <v>1.31481481481481</v>
      </c>
      <c r="I1468" s="10" t="n">
        <v>46294</v>
      </c>
      <c r="J1468" s="3" t="s">
        <v>1196</v>
      </c>
      <c r="K1468" s="10" t="n">
        <v>45940</v>
      </c>
      <c r="L1468" s="3" t="s">
        <v>14</v>
      </c>
      <c r="M1468" s="7" t="n">
        <v>123</v>
      </c>
      <c r="N1468" s="8" t="n">
        <v>2.4718</v>
      </c>
      <c r="O1468" s="4" t="n">
        <f aca="false">M1468*N1468</f>
        <v>304.0314</v>
      </c>
    </row>
    <row r="1469" customFormat="false" ht="15" hidden="false" customHeight="false" outlineLevel="0" collapsed="false">
      <c r="A1469" s="0" t="s">
        <v>2324</v>
      </c>
      <c r="C1469" s="0" t="s">
        <v>1169</v>
      </c>
      <c r="D1469" s="7" t="n">
        <v>3374</v>
      </c>
      <c r="E1469" s="8" t="n">
        <v>0.0520035566093657</v>
      </c>
      <c r="F1469" s="4" t="n">
        <f aca="false">D1469*E1469</f>
        <v>175.46</v>
      </c>
      <c r="G1469" s="7" t="n">
        <v>173</v>
      </c>
      <c r="H1469" s="9" t="n">
        <f aca="false">IF(G1469&gt;0,D1469/G1469,"")</f>
        <v>19.5028901734104</v>
      </c>
      <c r="I1469" s="10" t="n">
        <v>46133</v>
      </c>
      <c r="J1469" s="3" t="s">
        <v>926</v>
      </c>
      <c r="K1469" s="10" t="n">
        <v>46009</v>
      </c>
      <c r="L1469" s="3" t="s">
        <v>21</v>
      </c>
      <c r="M1469" s="7" t="n">
        <v>2000</v>
      </c>
      <c r="N1469" s="8" t="n">
        <v>0.052</v>
      </c>
      <c r="O1469" s="4" t="n">
        <f aca="false">M1469*N1469</f>
        <v>104</v>
      </c>
    </row>
    <row r="1470" customFormat="false" ht="15" hidden="false" customHeight="false" outlineLevel="0" collapsed="false">
      <c r="A1470" s="0" t="s">
        <v>2325</v>
      </c>
      <c r="C1470" s="0" t="s">
        <v>31</v>
      </c>
      <c r="D1470" s="7" t="n">
        <v>4010</v>
      </c>
      <c r="E1470" s="8" t="n">
        <v>0.0437506234413965</v>
      </c>
      <c r="F1470" s="4" t="n">
        <f aca="false">D1470*E1470</f>
        <v>175.44</v>
      </c>
      <c r="G1470" s="7" t="n">
        <v>54</v>
      </c>
      <c r="H1470" s="9" t="n">
        <f aca="false">IF(G1470&gt;0,D1470/G1470,"")</f>
        <v>74.2592592592593</v>
      </c>
      <c r="I1470" s="10" t="n">
        <v>46317</v>
      </c>
      <c r="J1470" s="3" t="s">
        <v>2239</v>
      </c>
      <c r="K1470" s="10" t="n">
        <v>44281</v>
      </c>
      <c r="L1470" s="3" t="s">
        <v>19</v>
      </c>
      <c r="M1470" s="7" t="n">
        <v>5000</v>
      </c>
      <c r="N1470" s="8" t="n">
        <v>0.0438</v>
      </c>
      <c r="O1470" s="4" t="n">
        <f aca="false">M1470*N1470</f>
        <v>219</v>
      </c>
    </row>
    <row r="1471" customFormat="false" ht="15" hidden="false" customHeight="false" outlineLevel="0" collapsed="false">
      <c r="A1471" s="0" t="s">
        <v>2326</v>
      </c>
      <c r="C1471" s="0" t="s">
        <v>360</v>
      </c>
      <c r="D1471" s="7" t="n">
        <v>545</v>
      </c>
      <c r="E1471" s="8" t="n">
        <v>0.321798165137615</v>
      </c>
      <c r="F1471" s="4" t="n">
        <f aca="false">D1471*E1471</f>
        <v>175.38</v>
      </c>
      <c r="G1471" s="7" t="n">
        <v>100</v>
      </c>
      <c r="H1471" s="9" t="n">
        <f aca="false">IF(G1471&gt;0,D1471/G1471,"")</f>
        <v>5.45</v>
      </c>
      <c r="I1471" s="10" t="n">
        <v>45986</v>
      </c>
      <c r="J1471" s="3" t="s">
        <v>2099</v>
      </c>
      <c r="K1471" s="10" t="n">
        <v>45958</v>
      </c>
      <c r="L1471" s="3" t="s">
        <v>16</v>
      </c>
      <c r="M1471" s="7" t="n">
        <v>625</v>
      </c>
      <c r="N1471" s="8" t="n">
        <v>0.3218</v>
      </c>
      <c r="O1471" s="4" t="n">
        <f aca="false">M1471*N1471</f>
        <v>201.125</v>
      </c>
    </row>
    <row r="1472" customFormat="false" ht="15" hidden="false" customHeight="false" outlineLevel="0" collapsed="false">
      <c r="A1472" s="0" t="s">
        <v>2327</v>
      </c>
      <c r="D1472" s="7" t="n">
        <v>78</v>
      </c>
      <c r="E1472" s="8" t="n">
        <v>2.24807692307692</v>
      </c>
      <c r="F1472" s="4" t="n">
        <f aca="false">D1472*E1472</f>
        <v>175.35</v>
      </c>
      <c r="G1472" s="7" t="n">
        <v>6</v>
      </c>
      <c r="H1472" s="9" t="n">
        <f aca="false">IF(G1472&gt;0,D1472/G1472,"")</f>
        <v>13</v>
      </c>
      <c r="I1472" s="10" t="n">
        <v>46274</v>
      </c>
      <c r="J1472" s="3" t="s">
        <v>995</v>
      </c>
      <c r="K1472" s="10" t="n">
        <v>44692</v>
      </c>
      <c r="L1472" s="3" t="s">
        <v>14</v>
      </c>
      <c r="M1472" s="7" t="n">
        <v>100</v>
      </c>
      <c r="N1472" s="8" t="n">
        <v>2.2484</v>
      </c>
      <c r="O1472" s="4" t="n">
        <f aca="false">M1472*N1472</f>
        <v>224.84</v>
      </c>
    </row>
    <row r="1473" customFormat="false" ht="15" hidden="false" customHeight="false" outlineLevel="0" collapsed="false">
      <c r="A1473" s="0" t="s">
        <v>2328</v>
      </c>
      <c r="C1473" s="0" t="s">
        <v>31</v>
      </c>
      <c r="D1473" s="7" t="n">
        <v>1360</v>
      </c>
      <c r="E1473" s="8" t="n">
        <v>0.128897058823529</v>
      </c>
      <c r="F1473" s="4" t="n">
        <f aca="false">D1473*E1473</f>
        <v>175.3</v>
      </c>
      <c r="G1473" s="7" t="n">
        <v>270</v>
      </c>
      <c r="H1473" s="9" t="n">
        <f aca="false">IF(G1473&gt;0,D1473/G1473,"")</f>
        <v>5.03703703703704</v>
      </c>
      <c r="I1473" s="10" t="n">
        <v>46122</v>
      </c>
      <c r="K1473" s="10"/>
      <c r="M1473" s="7"/>
      <c r="N1473" s="8"/>
      <c r="O1473" s="4"/>
    </row>
    <row r="1474" customFormat="false" ht="15" hidden="false" customHeight="false" outlineLevel="0" collapsed="false">
      <c r="A1474" s="0" t="s">
        <v>2329</v>
      </c>
      <c r="C1474" s="0" t="s">
        <v>855</v>
      </c>
      <c r="D1474" s="7" t="n">
        <v>32758</v>
      </c>
      <c r="E1474" s="8" t="n">
        <v>0.00534983820746077</v>
      </c>
      <c r="F1474" s="4" t="n">
        <f aca="false">D1474*E1474</f>
        <v>175.25</v>
      </c>
      <c r="G1474" s="7" t="n">
        <v>1300</v>
      </c>
      <c r="H1474" s="9" t="n">
        <f aca="false">IF(G1474&gt;0,D1474/G1474,"")</f>
        <v>25.1984615384615</v>
      </c>
      <c r="I1474" s="10" t="n">
        <v>46302</v>
      </c>
      <c r="K1474" s="10"/>
      <c r="M1474" s="7"/>
      <c r="N1474" s="8"/>
      <c r="O1474" s="4"/>
    </row>
    <row r="1475" customFormat="false" ht="15" hidden="false" customHeight="false" outlineLevel="0" collapsed="false">
      <c r="A1475" s="0" t="s">
        <v>2330</v>
      </c>
      <c r="C1475" s="0" t="s">
        <v>31</v>
      </c>
      <c r="D1475" s="7" t="n">
        <v>2826</v>
      </c>
      <c r="E1475" s="8" t="n">
        <v>0.0619992922859165</v>
      </c>
      <c r="F1475" s="4" t="n">
        <f aca="false">D1475*E1475</f>
        <v>175.21</v>
      </c>
      <c r="G1475" s="7" t="n">
        <v>1043</v>
      </c>
      <c r="H1475" s="9" t="n">
        <f aca="false">IF(G1475&gt;0,D1475/G1475,"")</f>
        <v>2.70949185043145</v>
      </c>
      <c r="I1475" s="10" t="n">
        <v>46300</v>
      </c>
      <c r="J1475" s="3" t="s">
        <v>2331</v>
      </c>
      <c r="K1475" s="10" t="n">
        <v>44873</v>
      </c>
      <c r="L1475" s="3" t="s">
        <v>25</v>
      </c>
      <c r="M1475" s="7" t="n">
        <v>5000</v>
      </c>
      <c r="N1475" s="8" t="n">
        <v>0.062</v>
      </c>
      <c r="O1475" s="4" t="n">
        <f aca="false">M1475*N1475</f>
        <v>310</v>
      </c>
    </row>
    <row r="1476" customFormat="false" ht="15" hidden="false" customHeight="false" outlineLevel="0" collapsed="false">
      <c r="A1476" s="0" t="s">
        <v>2332</v>
      </c>
      <c r="C1476" s="0" t="s">
        <v>31</v>
      </c>
      <c r="D1476" s="7" t="n">
        <v>38026</v>
      </c>
      <c r="E1476" s="8" t="n">
        <v>0.00460711092410456</v>
      </c>
      <c r="F1476" s="4" t="n">
        <f aca="false">D1476*E1476</f>
        <v>175.19</v>
      </c>
      <c r="G1476" s="7" t="n">
        <v>705</v>
      </c>
      <c r="H1476" s="9" t="n">
        <f aca="false">IF(G1476&gt;0,D1476/G1476,"")</f>
        <v>53.9375886524823</v>
      </c>
      <c r="I1476" s="10" t="n">
        <v>46310</v>
      </c>
      <c r="K1476" s="10"/>
      <c r="M1476" s="7"/>
      <c r="N1476" s="8"/>
      <c r="O1476" s="4"/>
    </row>
    <row r="1477" customFormat="false" ht="15" hidden="false" customHeight="false" outlineLevel="0" collapsed="false">
      <c r="A1477" s="0" t="s">
        <v>2333</v>
      </c>
      <c r="C1477" s="0" t="s">
        <v>31</v>
      </c>
      <c r="D1477" s="7" t="n">
        <v>701</v>
      </c>
      <c r="E1477" s="8" t="n">
        <v>0.249871611982882</v>
      </c>
      <c r="F1477" s="4" t="n">
        <f aca="false">D1477*E1477</f>
        <v>175.16</v>
      </c>
      <c r="G1477" s="7" t="n">
        <v>21</v>
      </c>
      <c r="H1477" s="9" t="n">
        <f aca="false">IF(G1477&gt;0,D1477/G1477,"")</f>
        <v>33.3809523809524</v>
      </c>
      <c r="I1477" s="10" t="n">
        <v>46254</v>
      </c>
      <c r="K1477" s="10"/>
      <c r="M1477" s="7"/>
      <c r="N1477" s="8"/>
      <c r="O1477" s="4"/>
    </row>
    <row r="1478" customFormat="false" ht="15" hidden="false" customHeight="false" outlineLevel="0" collapsed="false">
      <c r="A1478" s="0" t="s">
        <v>2334</v>
      </c>
      <c r="C1478" s="0" t="s">
        <v>34</v>
      </c>
      <c r="D1478" s="7" t="n">
        <v>1330</v>
      </c>
      <c r="E1478" s="8" t="n">
        <v>0.131684210526316</v>
      </c>
      <c r="F1478" s="4" t="n">
        <f aca="false">D1478*E1478</f>
        <v>175.14</v>
      </c>
      <c r="G1478" s="7" t="n">
        <v>44</v>
      </c>
      <c r="H1478" s="9" t="n">
        <f aca="false">IF(G1478&gt;0,D1478/G1478,"")</f>
        <v>30.2272727272727</v>
      </c>
      <c r="I1478" s="10" t="n">
        <v>46286</v>
      </c>
      <c r="J1478" s="3" t="s">
        <v>2335</v>
      </c>
      <c r="K1478" s="10" t="n">
        <v>44705</v>
      </c>
      <c r="L1478" s="3" t="s">
        <v>15</v>
      </c>
      <c r="M1478" s="7" t="n">
        <v>1649</v>
      </c>
      <c r="N1478" s="8" t="n">
        <v>0.15072</v>
      </c>
      <c r="O1478" s="4" t="n">
        <v>223.21632</v>
      </c>
    </row>
    <row r="1479" customFormat="false" ht="15" hidden="false" customHeight="false" outlineLevel="0" collapsed="false">
      <c r="A1479" s="0" t="s">
        <v>2336</v>
      </c>
      <c r="C1479" s="0" t="s">
        <v>31</v>
      </c>
      <c r="D1479" s="7" t="n">
        <v>24848</v>
      </c>
      <c r="E1479" s="8" t="n">
        <v>0.00704000321957502</v>
      </c>
      <c r="F1479" s="4" t="n">
        <f aca="false">D1479*E1479</f>
        <v>174.93</v>
      </c>
      <c r="G1479" s="7" t="n">
        <v>545</v>
      </c>
      <c r="H1479" s="9" t="n">
        <f aca="false">IF(G1479&gt;0,D1479/G1479,"")</f>
        <v>45.5926605504587</v>
      </c>
      <c r="I1479" s="10" t="n">
        <v>46304</v>
      </c>
      <c r="K1479" s="10"/>
      <c r="M1479" s="7"/>
      <c r="N1479" s="8"/>
      <c r="O1479" s="4"/>
    </row>
    <row r="1480" customFormat="false" ht="15" hidden="false" customHeight="false" outlineLevel="0" collapsed="false">
      <c r="A1480" s="0" t="s">
        <v>2337</v>
      </c>
      <c r="C1480" s="0" t="s">
        <v>41</v>
      </c>
      <c r="D1480" s="7" t="n">
        <v>23316</v>
      </c>
      <c r="E1480" s="8" t="n">
        <v>0.0075</v>
      </c>
      <c r="F1480" s="4" t="n">
        <f aca="false">D1480*E1480</f>
        <v>174.87</v>
      </c>
      <c r="G1480" s="7" t="n">
        <v>150</v>
      </c>
      <c r="H1480" s="9" t="n">
        <f aca="false">IF(G1480&gt;0,D1480/G1480,"")</f>
        <v>155.44</v>
      </c>
      <c r="I1480" s="10" t="n">
        <v>46154</v>
      </c>
      <c r="J1480" s="3" t="s">
        <v>2338</v>
      </c>
      <c r="K1480" s="10" t="n">
        <v>44272</v>
      </c>
      <c r="L1480" s="3" t="s">
        <v>16</v>
      </c>
      <c r="M1480" s="7" t="n">
        <v>27335</v>
      </c>
      <c r="N1480" s="8" t="n">
        <v>0.0075</v>
      </c>
      <c r="O1480" s="4" t="n">
        <f aca="false">M1480*N1480</f>
        <v>205.0125</v>
      </c>
    </row>
    <row r="1481" customFormat="false" ht="15" hidden="false" customHeight="false" outlineLevel="0" collapsed="false">
      <c r="A1481" s="0" t="s">
        <v>2339</v>
      </c>
      <c r="C1481" s="0" t="s">
        <v>298</v>
      </c>
      <c r="D1481" s="7" t="n">
        <v>7840</v>
      </c>
      <c r="E1481" s="8" t="n">
        <v>0.0223022959183674</v>
      </c>
      <c r="F1481" s="4" t="n">
        <f aca="false">D1481*E1481</f>
        <v>174.85</v>
      </c>
      <c r="G1481" s="7" t="n">
        <v>2192</v>
      </c>
      <c r="H1481" s="9" t="n">
        <f aca="false">IF(G1481&gt;0,D1481/G1481,"")</f>
        <v>3.57664233576642</v>
      </c>
      <c r="I1481" s="10" t="n">
        <v>46308</v>
      </c>
      <c r="J1481" s="3" t="s">
        <v>80</v>
      </c>
      <c r="K1481" s="10" t="n">
        <v>44887</v>
      </c>
      <c r="L1481" s="3" t="s">
        <v>19</v>
      </c>
      <c r="M1481" s="7" t="n">
        <v>25000</v>
      </c>
      <c r="N1481" s="8" t="n">
        <v>0.0223</v>
      </c>
      <c r="O1481" s="4" t="n">
        <f aca="false">M1481*N1481</f>
        <v>557.5</v>
      </c>
    </row>
    <row r="1482" customFormat="false" ht="15" hidden="false" customHeight="false" outlineLevel="0" collapsed="false">
      <c r="A1482" s="0" t="s">
        <v>2340</v>
      </c>
      <c r="C1482" s="0" t="s">
        <v>34</v>
      </c>
      <c r="D1482" s="7" t="n">
        <v>1017</v>
      </c>
      <c r="E1482" s="8" t="n">
        <v>0.171799410029499</v>
      </c>
      <c r="F1482" s="4" t="n">
        <f aca="false">D1482*E1482</f>
        <v>174.72</v>
      </c>
      <c r="G1482" s="7" t="n">
        <v>2</v>
      </c>
      <c r="H1482" s="9" t="n">
        <f aca="false">IF(G1482&gt;0,D1482/G1482,"")</f>
        <v>508.5</v>
      </c>
      <c r="I1482" s="10" t="n">
        <v>46003</v>
      </c>
      <c r="J1482" s="3" t="s">
        <v>457</v>
      </c>
      <c r="K1482" s="10" t="n">
        <v>45866</v>
      </c>
      <c r="L1482" s="3" t="s">
        <v>16</v>
      </c>
      <c r="M1482" s="7" t="n">
        <v>1045</v>
      </c>
      <c r="N1482" s="8" t="n">
        <v>0.1718</v>
      </c>
      <c r="O1482" s="4" t="n">
        <f aca="false">M1482*N1482</f>
        <v>179.531</v>
      </c>
    </row>
    <row r="1483" customFormat="false" ht="15" hidden="false" customHeight="false" outlineLevel="0" collapsed="false">
      <c r="A1483" s="0" t="s">
        <v>2341</v>
      </c>
      <c r="C1483" s="0" t="s">
        <v>38</v>
      </c>
      <c r="D1483" s="7" t="n">
        <v>4569</v>
      </c>
      <c r="E1483" s="8" t="n">
        <v>0.0381768439483476</v>
      </c>
      <c r="F1483" s="4" t="n">
        <f aca="false">D1483*E1483</f>
        <v>174.43</v>
      </c>
      <c r="G1483" s="7" t="n">
        <v>1390</v>
      </c>
      <c r="H1483" s="9" t="n">
        <f aca="false">IF(G1483&gt;0,D1483/G1483,"")</f>
        <v>3.28705035971223</v>
      </c>
      <c r="I1483" s="10" t="n">
        <v>46216</v>
      </c>
      <c r="J1483" s="3" t="s">
        <v>2342</v>
      </c>
      <c r="K1483" s="10" t="n">
        <v>46290</v>
      </c>
      <c r="L1483" s="3" t="s">
        <v>15</v>
      </c>
      <c r="M1483" s="7" t="n">
        <v>6900</v>
      </c>
      <c r="N1483" s="8" t="n">
        <v>0.029</v>
      </c>
      <c r="O1483" s="4" t="n">
        <f aca="false">M1483*N1483</f>
        <v>200.1</v>
      </c>
    </row>
    <row r="1484" customFormat="false" ht="15" hidden="false" customHeight="false" outlineLevel="0" collapsed="false">
      <c r="A1484" s="0" t="s">
        <v>2343</v>
      </c>
      <c r="C1484" s="0" t="s">
        <v>41</v>
      </c>
      <c r="D1484" s="7" t="n">
        <v>7786</v>
      </c>
      <c r="E1484" s="8" t="n">
        <v>0.0224004623683535</v>
      </c>
      <c r="F1484" s="4" t="n">
        <f aca="false">D1484*E1484</f>
        <v>174.41</v>
      </c>
      <c r="G1484" s="7" t="n">
        <v>14</v>
      </c>
      <c r="H1484" s="9" t="n">
        <f aca="false">IF(G1484&gt;0,D1484/G1484,"")</f>
        <v>556.142857142857</v>
      </c>
      <c r="I1484" s="10" t="n">
        <v>46154</v>
      </c>
      <c r="J1484" s="3" t="s">
        <v>1563</v>
      </c>
      <c r="K1484" s="10" t="n">
        <v>45768</v>
      </c>
      <c r="L1484" s="3" t="s">
        <v>16</v>
      </c>
      <c r="M1484" s="7" t="n">
        <v>9000</v>
      </c>
      <c r="N1484" s="8" t="n">
        <v>0.0224</v>
      </c>
      <c r="O1484" s="4" t="n">
        <f aca="false">M1484*N1484</f>
        <v>201.6</v>
      </c>
    </row>
    <row r="1485" customFormat="false" ht="15" hidden="false" customHeight="false" outlineLevel="0" collapsed="false">
      <c r="A1485" s="0" t="s">
        <v>2344</v>
      </c>
      <c r="C1485" s="0" t="s">
        <v>79</v>
      </c>
      <c r="D1485" s="7" t="n">
        <v>3260</v>
      </c>
      <c r="E1485" s="8" t="n">
        <v>0.0534969325153374</v>
      </c>
      <c r="F1485" s="4" t="n">
        <f aca="false">D1485*E1485</f>
        <v>174.4</v>
      </c>
      <c r="G1485" s="7" t="n">
        <v>65</v>
      </c>
      <c r="H1485" s="9" t="n">
        <f aca="false">IF(G1485&gt;0,D1485/G1485,"")</f>
        <v>50.1538461538462</v>
      </c>
      <c r="I1485" s="10" t="n">
        <v>46254</v>
      </c>
      <c r="K1485" s="10"/>
      <c r="M1485" s="7"/>
      <c r="N1485" s="8"/>
      <c r="O1485" s="4"/>
    </row>
    <row r="1486" customFormat="false" ht="15" hidden="false" customHeight="false" outlineLevel="0" collapsed="false">
      <c r="A1486" s="0" t="s">
        <v>2345</v>
      </c>
      <c r="C1486" s="0" t="s">
        <v>40</v>
      </c>
      <c r="D1486" s="7" t="n">
        <v>5331</v>
      </c>
      <c r="E1486" s="8" t="n">
        <v>0.0327011817670231</v>
      </c>
      <c r="F1486" s="4" t="n">
        <f aca="false">D1486*E1486</f>
        <v>174.33</v>
      </c>
      <c r="G1486" s="7" t="n">
        <v>647</v>
      </c>
      <c r="H1486" s="9" t="n">
        <f aca="false">IF(G1486&gt;0,D1486/G1486,"")</f>
        <v>8.23956723338485</v>
      </c>
      <c r="I1486" s="10" t="n">
        <v>46247</v>
      </c>
      <c r="J1486" s="3" t="s">
        <v>2346</v>
      </c>
      <c r="K1486" s="10" t="n">
        <v>45265</v>
      </c>
      <c r="L1486" s="3" t="s">
        <v>18</v>
      </c>
      <c r="M1486" s="7" t="n">
        <v>6200</v>
      </c>
      <c r="N1486" s="8" t="n">
        <v>0.0327</v>
      </c>
      <c r="O1486" s="4" t="n">
        <f aca="false">M1486*N1486</f>
        <v>202.74</v>
      </c>
    </row>
    <row r="1487" customFormat="false" ht="15" hidden="false" customHeight="false" outlineLevel="0" collapsed="false">
      <c r="A1487" s="0" t="s">
        <v>2347</v>
      </c>
      <c r="C1487" s="0" t="s">
        <v>43</v>
      </c>
      <c r="D1487" s="7" t="n">
        <v>1168</v>
      </c>
      <c r="E1487" s="8" t="n">
        <v>0.149195205479452</v>
      </c>
      <c r="F1487" s="4" t="n">
        <f aca="false">D1487*E1487</f>
        <v>174.26</v>
      </c>
      <c r="G1487" s="7" t="n">
        <v>161</v>
      </c>
      <c r="H1487" s="9" t="n">
        <f aca="false">IF(G1487&gt;0,D1487/G1487,"")</f>
        <v>7.25465838509317</v>
      </c>
      <c r="I1487" s="10" t="n">
        <v>46233</v>
      </c>
      <c r="J1487" s="3" t="s">
        <v>2348</v>
      </c>
      <c r="K1487" s="10" t="n">
        <v>45789</v>
      </c>
      <c r="L1487" s="3" t="s">
        <v>14</v>
      </c>
      <c r="M1487" s="7" t="n">
        <v>2700</v>
      </c>
      <c r="N1487" s="8" t="n">
        <v>0.1492</v>
      </c>
      <c r="O1487" s="4" t="n">
        <f aca="false">M1487*N1487</f>
        <v>402.84</v>
      </c>
    </row>
    <row r="1488" customFormat="false" ht="15" hidden="false" customHeight="false" outlineLevel="0" collapsed="false">
      <c r="A1488" s="0" t="s">
        <v>2349</v>
      </c>
      <c r="C1488" s="0" t="s">
        <v>37</v>
      </c>
      <c r="D1488" s="7" t="n">
        <v>7150</v>
      </c>
      <c r="E1488" s="8" t="n">
        <v>0.0243692307692308</v>
      </c>
      <c r="F1488" s="4" t="n">
        <f aca="false">D1488*E1488</f>
        <v>174.24</v>
      </c>
      <c r="G1488" s="7" t="n">
        <v>350</v>
      </c>
      <c r="H1488" s="9" t="n">
        <f aca="false">IF(G1488&gt;0,D1488/G1488,"")</f>
        <v>20.4285714285714</v>
      </c>
      <c r="I1488" s="10" t="n">
        <v>46304</v>
      </c>
      <c r="J1488" s="3" t="s">
        <v>1936</v>
      </c>
      <c r="K1488" s="10" t="n">
        <v>45057</v>
      </c>
      <c r="L1488" s="3" t="s">
        <v>15</v>
      </c>
      <c r="M1488" s="7" t="n">
        <v>8105</v>
      </c>
      <c r="N1488" s="8" t="n">
        <v>0.02437</v>
      </c>
      <c r="O1488" s="4" t="n">
        <f aca="false">M1488*N1488</f>
        <v>197.51885</v>
      </c>
    </row>
    <row r="1489" customFormat="false" ht="15" hidden="false" customHeight="false" outlineLevel="0" collapsed="false">
      <c r="A1489" s="0" t="s">
        <v>2350</v>
      </c>
      <c r="C1489" s="0" t="s">
        <v>855</v>
      </c>
      <c r="D1489" s="7" t="n">
        <v>4647</v>
      </c>
      <c r="E1489" s="8" t="n">
        <v>0.0374930062405853</v>
      </c>
      <c r="F1489" s="4" t="n">
        <f aca="false">D1489*E1489</f>
        <v>174.23</v>
      </c>
      <c r="G1489" s="7" t="n">
        <v>10</v>
      </c>
      <c r="H1489" s="9" t="n">
        <f aca="false">IF(G1489&gt;0,D1489/G1489,"")</f>
        <v>464.7</v>
      </c>
      <c r="I1489" s="10" t="n">
        <v>46052</v>
      </c>
      <c r="K1489" s="10"/>
      <c r="M1489" s="7"/>
      <c r="N1489" s="8"/>
      <c r="O1489" s="4"/>
    </row>
    <row r="1490" customFormat="false" ht="15" hidden="false" customHeight="false" outlineLevel="0" collapsed="false">
      <c r="A1490" s="0" t="s">
        <v>2351</v>
      </c>
      <c r="C1490" s="0" t="s">
        <v>41</v>
      </c>
      <c r="D1490" s="7" t="n">
        <v>2903</v>
      </c>
      <c r="E1490" s="8" t="n">
        <v>0.06</v>
      </c>
      <c r="F1490" s="4" t="n">
        <f aca="false">D1490*E1490</f>
        <v>174.18</v>
      </c>
      <c r="G1490" s="7" t="n">
        <v>22</v>
      </c>
      <c r="H1490" s="9" t="n">
        <f aca="false">IF(G1490&gt;0,D1490/G1490,"")</f>
        <v>131.954545454545</v>
      </c>
      <c r="I1490" s="10" t="n">
        <v>46154</v>
      </c>
      <c r="J1490" s="3" t="s">
        <v>1023</v>
      </c>
      <c r="K1490" s="10" t="n">
        <v>44666</v>
      </c>
      <c r="L1490" s="3" t="s">
        <v>25</v>
      </c>
      <c r="M1490" s="7" t="n">
        <v>3000</v>
      </c>
      <c r="N1490" s="8" t="n">
        <v>0.06</v>
      </c>
      <c r="O1490" s="4" t="n">
        <f aca="false">M1490*N1490</f>
        <v>180</v>
      </c>
    </row>
    <row r="1491" customFormat="false" ht="15" hidden="false" customHeight="false" outlineLevel="0" collapsed="false">
      <c r="A1491" s="0" t="s">
        <v>2352</v>
      </c>
      <c r="C1491" s="0" t="s">
        <v>889</v>
      </c>
      <c r="D1491" s="7" t="n">
        <v>1731</v>
      </c>
      <c r="E1491" s="8" t="n">
        <v>0.100560369728481</v>
      </c>
      <c r="F1491" s="4" t="n">
        <f aca="false">D1491*E1491</f>
        <v>174.07</v>
      </c>
      <c r="G1491" s="7" t="n">
        <v>80</v>
      </c>
      <c r="H1491" s="9" t="n">
        <f aca="false">IF(G1491&gt;0,D1491/G1491,"")</f>
        <v>21.6375</v>
      </c>
      <c r="I1491" s="10" t="n">
        <v>46230</v>
      </c>
      <c r="J1491" s="3" t="s">
        <v>2353</v>
      </c>
      <c r="K1491" s="10" t="n">
        <v>44246</v>
      </c>
      <c r="L1491" s="3" t="s">
        <v>15</v>
      </c>
      <c r="M1491" s="7" t="n">
        <v>2000</v>
      </c>
      <c r="N1491" s="8" t="n">
        <v>0.10056</v>
      </c>
      <c r="O1491" s="4" t="n">
        <f aca="false">M1491*N1491</f>
        <v>201.12</v>
      </c>
    </row>
    <row r="1492" customFormat="false" ht="15" hidden="false" customHeight="false" outlineLevel="0" collapsed="false">
      <c r="A1492" s="0" t="s">
        <v>2354</v>
      </c>
      <c r="C1492" s="0" t="s">
        <v>38</v>
      </c>
      <c r="D1492" s="7" t="n">
        <v>4395</v>
      </c>
      <c r="E1492" s="8" t="n">
        <v>0.0395972696245734</v>
      </c>
      <c r="F1492" s="4" t="n">
        <f aca="false">D1492*E1492</f>
        <v>174.03</v>
      </c>
      <c r="G1492" s="7" t="n">
        <v>1412</v>
      </c>
      <c r="H1492" s="9" t="n">
        <f aca="false">IF(G1492&gt;0,D1492/G1492,"")</f>
        <v>3.11260623229462</v>
      </c>
      <c r="I1492" s="10" t="n">
        <v>46315</v>
      </c>
      <c r="J1492" s="3" t="s">
        <v>548</v>
      </c>
      <c r="K1492" s="10" t="n">
        <v>46217</v>
      </c>
      <c r="L1492" s="3" t="s">
        <v>14</v>
      </c>
      <c r="M1492" s="7" t="n">
        <v>5000</v>
      </c>
      <c r="N1492" s="8" t="n">
        <v>0.0396</v>
      </c>
      <c r="O1492" s="4" t="n">
        <f aca="false">M1492*N1492</f>
        <v>198</v>
      </c>
    </row>
    <row r="1493" customFormat="false" ht="15" hidden="false" customHeight="false" outlineLevel="0" collapsed="false">
      <c r="A1493" s="0" t="s">
        <v>2355</v>
      </c>
      <c r="C1493" s="0" t="s">
        <v>295</v>
      </c>
      <c r="D1493" s="7" t="n">
        <v>4483</v>
      </c>
      <c r="E1493" s="8" t="n">
        <v>0.0387798349319652</v>
      </c>
      <c r="F1493" s="4" t="n">
        <f aca="false">D1493*E1493</f>
        <v>173.85</v>
      </c>
      <c r="G1493" s="7" t="n">
        <v>450</v>
      </c>
      <c r="H1493" s="9" t="n">
        <f aca="false">IF(G1493&gt;0,D1493/G1493,"")</f>
        <v>9.96222222222222</v>
      </c>
      <c r="I1493" s="10" t="n">
        <v>46232</v>
      </c>
      <c r="K1493" s="10"/>
      <c r="M1493" s="7"/>
      <c r="N1493" s="8"/>
      <c r="O1493" s="4"/>
    </row>
    <row r="1494" customFormat="false" ht="15" hidden="false" customHeight="false" outlineLevel="0" collapsed="false">
      <c r="A1494" s="0" t="s">
        <v>2356</v>
      </c>
      <c r="C1494" s="0" t="s">
        <v>31</v>
      </c>
      <c r="D1494" s="7" t="n">
        <v>4346</v>
      </c>
      <c r="E1494" s="8" t="n">
        <v>0.04</v>
      </c>
      <c r="F1494" s="4" t="n">
        <f aca="false">D1494*E1494</f>
        <v>173.84</v>
      </c>
      <c r="G1494" s="7" t="n">
        <v>3</v>
      </c>
      <c r="H1494" s="9" t="n">
        <f aca="false">IF(G1494&gt;0,D1494/G1494,"")</f>
        <v>1448.66666666667</v>
      </c>
      <c r="I1494" s="10" t="n">
        <v>45966</v>
      </c>
      <c r="K1494" s="10"/>
      <c r="M1494" s="7"/>
      <c r="N1494" s="8"/>
      <c r="O1494" s="4"/>
    </row>
    <row r="1495" customFormat="false" ht="15" hidden="false" customHeight="false" outlineLevel="0" collapsed="false">
      <c r="A1495" s="0" t="s">
        <v>2357</v>
      </c>
      <c r="C1495" s="0" t="s">
        <v>615</v>
      </c>
      <c r="D1495" s="7" t="n">
        <v>7350</v>
      </c>
      <c r="E1495" s="8" t="n">
        <v>0.0236489795918367</v>
      </c>
      <c r="F1495" s="4" t="n">
        <f aca="false">D1495*E1495</f>
        <v>173.82</v>
      </c>
      <c r="G1495" s="7" t="n">
        <v>81</v>
      </c>
      <c r="H1495" s="9" t="n">
        <f aca="false">IF(G1495&gt;0,D1495/G1495,"")</f>
        <v>90.7407407407408</v>
      </c>
      <c r="I1495" s="10" t="n">
        <v>46232</v>
      </c>
      <c r="J1495" s="3" t="s">
        <v>2358</v>
      </c>
      <c r="K1495" s="10" t="n">
        <v>44272</v>
      </c>
      <c r="L1495" s="3" t="s">
        <v>15</v>
      </c>
      <c r="M1495" s="7" t="n">
        <v>8500</v>
      </c>
      <c r="N1495" s="8" t="n">
        <v>0.02365</v>
      </c>
      <c r="O1495" s="4" t="n">
        <f aca="false">M1495*N1495</f>
        <v>201.025</v>
      </c>
    </row>
    <row r="1496" customFormat="false" ht="15" hidden="false" customHeight="false" outlineLevel="0" collapsed="false">
      <c r="A1496" s="0" t="s">
        <v>2359</v>
      </c>
      <c r="C1496" s="0" t="s">
        <v>438</v>
      </c>
      <c r="D1496" s="7" t="n">
        <v>321</v>
      </c>
      <c r="E1496" s="8" t="n">
        <v>0.541370716510903</v>
      </c>
      <c r="F1496" s="4" t="n">
        <f aca="false">D1496*E1496</f>
        <v>173.78</v>
      </c>
      <c r="G1496" s="7" t="n">
        <v>33</v>
      </c>
      <c r="H1496" s="9" t="n">
        <f aca="false">IF(G1496&gt;0,D1496/G1496,"")</f>
        <v>9.72727272727273</v>
      </c>
      <c r="I1496" s="10" t="n">
        <v>46202</v>
      </c>
      <c r="J1496" s="3" t="s">
        <v>2142</v>
      </c>
      <c r="K1496" s="10" t="n">
        <v>45975</v>
      </c>
      <c r="L1496" s="3" t="s">
        <v>27</v>
      </c>
      <c r="M1496" s="7" t="n">
        <v>250</v>
      </c>
      <c r="N1496" s="8" t="n">
        <v>0.4969</v>
      </c>
      <c r="O1496" s="4" t="n">
        <f aca="false">M1496*N1496</f>
        <v>124.225</v>
      </c>
    </row>
    <row r="1497" customFormat="false" ht="15" hidden="false" customHeight="false" outlineLevel="0" collapsed="false">
      <c r="A1497" s="0" t="s">
        <v>2360</v>
      </c>
      <c r="C1497" s="0" t="s">
        <v>41</v>
      </c>
      <c r="D1497" s="7" t="n">
        <v>12590</v>
      </c>
      <c r="E1497" s="8" t="n">
        <v>0.0137998411437649</v>
      </c>
      <c r="F1497" s="4" t="n">
        <f aca="false">D1497*E1497</f>
        <v>173.74</v>
      </c>
      <c r="G1497" s="7" t="n">
        <v>910</v>
      </c>
      <c r="H1497" s="9" t="n">
        <f aca="false">IF(G1497&gt;0,D1497/G1497,"")</f>
        <v>13.8351648351648</v>
      </c>
      <c r="I1497" s="10" t="n">
        <v>46210</v>
      </c>
      <c r="J1497" s="3" t="s">
        <v>2361</v>
      </c>
      <c r="K1497" s="10" t="n">
        <v>45891</v>
      </c>
      <c r="L1497" s="3" t="s">
        <v>16</v>
      </c>
      <c r="M1497" s="7" t="n">
        <v>13500</v>
      </c>
      <c r="N1497" s="8" t="n">
        <v>0.0138</v>
      </c>
      <c r="O1497" s="4" t="n">
        <f aca="false">M1497*N1497</f>
        <v>186.3</v>
      </c>
    </row>
    <row r="1498" customFormat="false" ht="15" hidden="false" customHeight="false" outlineLevel="0" collapsed="false">
      <c r="A1498" s="0" t="s">
        <v>2362</v>
      </c>
      <c r="C1498" s="0" t="s">
        <v>33</v>
      </c>
      <c r="D1498" s="7" t="n">
        <v>108</v>
      </c>
      <c r="E1498" s="8" t="n">
        <v>1.6075</v>
      </c>
      <c r="F1498" s="4" t="n">
        <f aca="false">D1498*E1498</f>
        <v>173.61</v>
      </c>
      <c r="G1498" s="7" t="n">
        <v>25</v>
      </c>
      <c r="H1498" s="9" t="n">
        <f aca="false">IF(G1498&gt;0,D1498/G1498,"")</f>
        <v>4.32</v>
      </c>
      <c r="I1498" s="10" t="n">
        <v>46059</v>
      </c>
      <c r="J1498" s="3" t="s">
        <v>1554</v>
      </c>
      <c r="K1498" s="10" t="n">
        <v>44315</v>
      </c>
      <c r="L1498" s="3" t="s">
        <v>18</v>
      </c>
      <c r="M1498" s="7" t="n">
        <v>145</v>
      </c>
      <c r="N1498" s="8" t="n">
        <v>1.6076</v>
      </c>
      <c r="O1498" s="4" t="n">
        <f aca="false">M1498*N1498</f>
        <v>233.102</v>
      </c>
    </row>
    <row r="1499" customFormat="false" ht="15" hidden="false" customHeight="false" outlineLevel="0" collapsed="false">
      <c r="A1499" s="0" t="s">
        <v>2363</v>
      </c>
      <c r="C1499" s="0" t="s">
        <v>1169</v>
      </c>
      <c r="D1499" s="7" t="n">
        <v>2989</v>
      </c>
      <c r="E1499" s="8" t="n">
        <v>0.0579993308798929</v>
      </c>
      <c r="F1499" s="4" t="n">
        <f aca="false">D1499*E1499</f>
        <v>173.36</v>
      </c>
      <c r="G1499" s="7" t="n">
        <v>49</v>
      </c>
      <c r="H1499" s="9" t="n">
        <f aca="false">IF(G1499&gt;0,D1499/G1499,"")</f>
        <v>61</v>
      </c>
      <c r="I1499" s="10" t="n">
        <v>46252</v>
      </c>
      <c r="J1499" s="3" t="s">
        <v>926</v>
      </c>
      <c r="K1499" s="10" t="n">
        <v>46009</v>
      </c>
      <c r="L1499" s="3" t="s">
        <v>21</v>
      </c>
      <c r="M1499" s="7" t="n">
        <v>1725</v>
      </c>
      <c r="N1499" s="8" t="n">
        <v>0.058</v>
      </c>
      <c r="O1499" s="4" t="n">
        <f aca="false">M1499*N1499</f>
        <v>100.05</v>
      </c>
    </row>
    <row r="1500" customFormat="false" ht="15" hidden="false" customHeight="false" outlineLevel="0" collapsed="false">
      <c r="A1500" s="0" t="s">
        <v>2364</v>
      </c>
      <c r="C1500" s="0" t="s">
        <v>285</v>
      </c>
      <c r="D1500" s="7" t="n">
        <v>1232</v>
      </c>
      <c r="E1500" s="8" t="n">
        <v>0.140625</v>
      </c>
      <c r="F1500" s="4" t="n">
        <f aca="false">D1500*E1500</f>
        <v>173.25</v>
      </c>
      <c r="G1500" s="7" t="n">
        <v>150</v>
      </c>
      <c r="H1500" s="9" t="n">
        <f aca="false">IF(G1500&gt;0,D1500/G1500,"")</f>
        <v>8.21333333333333</v>
      </c>
      <c r="I1500" s="10" t="n">
        <v>46224</v>
      </c>
      <c r="K1500" s="10"/>
      <c r="M1500" s="7"/>
      <c r="N1500" s="8"/>
      <c r="O1500" s="4"/>
    </row>
    <row r="1501" customFormat="false" ht="15" hidden="false" customHeight="false" outlineLevel="0" collapsed="false">
      <c r="A1501" s="0" t="s">
        <v>2365</v>
      </c>
      <c r="C1501" s="0" t="s">
        <v>40</v>
      </c>
      <c r="D1501" s="7" t="n">
        <v>18936</v>
      </c>
      <c r="E1501" s="8" t="n">
        <v>0.00914237431347698</v>
      </c>
      <c r="F1501" s="4" t="n">
        <f aca="false">D1501*E1501</f>
        <v>173.12</v>
      </c>
      <c r="G1501" s="7" t="n">
        <v>10581</v>
      </c>
      <c r="H1501" s="9" t="n">
        <f aca="false">IF(G1501&gt;0,D1501/G1501,"")</f>
        <v>1.78962290898781</v>
      </c>
      <c r="I1501" s="10" t="n">
        <v>46308</v>
      </c>
      <c r="J1501" s="3" t="s">
        <v>2366</v>
      </c>
      <c r="K1501" s="10" t="n">
        <v>46155</v>
      </c>
      <c r="L1501" s="3" t="s">
        <v>16</v>
      </c>
      <c r="M1501" s="7" t="n">
        <v>22000</v>
      </c>
      <c r="N1501" s="8" t="n">
        <v>0.0091</v>
      </c>
      <c r="O1501" s="4" t="n">
        <f aca="false">M1501*N1501</f>
        <v>200.2</v>
      </c>
    </row>
    <row r="1502" customFormat="false" ht="15" hidden="false" customHeight="false" outlineLevel="0" collapsed="false">
      <c r="A1502" s="0" t="s">
        <v>2367</v>
      </c>
      <c r="C1502" s="0" t="s">
        <v>36</v>
      </c>
      <c r="D1502" s="7" t="n">
        <v>3501</v>
      </c>
      <c r="E1502" s="8" t="n">
        <v>0.0493973150528421</v>
      </c>
      <c r="F1502" s="4" t="n">
        <f aca="false">D1502*E1502</f>
        <v>172.94</v>
      </c>
      <c r="G1502" s="7" t="n">
        <v>195</v>
      </c>
      <c r="H1502" s="9" t="n">
        <f aca="false">IF(G1502&gt;0,D1502/G1502,"")</f>
        <v>17.9538461538462</v>
      </c>
      <c r="I1502" s="10" t="n">
        <v>46241</v>
      </c>
      <c r="J1502" s="3" t="s">
        <v>2368</v>
      </c>
      <c r="K1502" s="10" t="n">
        <v>45379</v>
      </c>
      <c r="L1502" s="3" t="s">
        <v>18</v>
      </c>
      <c r="M1502" s="7" t="n">
        <v>5921</v>
      </c>
      <c r="N1502" s="8" t="n">
        <v>0.0494</v>
      </c>
      <c r="O1502" s="4" t="n">
        <f aca="false">M1502*N1502</f>
        <v>292.4974</v>
      </c>
    </row>
    <row r="1503" customFormat="false" ht="15" hidden="false" customHeight="false" outlineLevel="0" collapsed="false">
      <c r="A1503" s="0" t="s">
        <v>2369</v>
      </c>
      <c r="C1503" s="0" t="s">
        <v>35</v>
      </c>
      <c r="D1503" s="7" t="n">
        <v>100</v>
      </c>
      <c r="E1503" s="8" t="n">
        <v>1.7286</v>
      </c>
      <c r="F1503" s="4" t="n">
        <f aca="false">D1503*E1503</f>
        <v>172.86</v>
      </c>
      <c r="G1503" s="7" t="n">
        <v>80</v>
      </c>
      <c r="H1503" s="9" t="n">
        <f aca="false">IF(G1503&gt;0,D1503/G1503,"")</f>
        <v>1.25</v>
      </c>
      <c r="I1503" s="10" t="n">
        <v>46090</v>
      </c>
      <c r="J1503" s="3" t="s">
        <v>709</v>
      </c>
      <c r="K1503" s="10" t="n">
        <v>46080</v>
      </c>
      <c r="L1503" s="3" t="s">
        <v>14</v>
      </c>
      <c r="M1503" s="7" t="n">
        <v>138</v>
      </c>
      <c r="N1503" s="8" t="n">
        <v>1.7286</v>
      </c>
      <c r="O1503" s="4" t="n">
        <f aca="false">M1503*N1503</f>
        <v>238.5468</v>
      </c>
    </row>
    <row r="1504" customFormat="false" ht="15" hidden="false" customHeight="false" outlineLevel="0" collapsed="false">
      <c r="A1504" s="0" t="s">
        <v>2370</v>
      </c>
      <c r="C1504" s="0" t="s">
        <v>69</v>
      </c>
      <c r="D1504" s="7" t="n">
        <v>1718</v>
      </c>
      <c r="E1504" s="8" t="n">
        <v>0.100611175785797</v>
      </c>
      <c r="F1504" s="4" t="n">
        <f aca="false">D1504*E1504</f>
        <v>172.85</v>
      </c>
      <c r="G1504" s="7" t="n">
        <v>70</v>
      </c>
      <c r="H1504" s="9" t="n">
        <f aca="false">IF(G1504&gt;0,D1504/G1504,"")</f>
        <v>24.5428571428571</v>
      </c>
      <c r="I1504" s="10" t="n">
        <v>46224</v>
      </c>
      <c r="J1504" s="3" t="s">
        <v>2371</v>
      </c>
      <c r="K1504" s="10" t="n">
        <v>45051</v>
      </c>
      <c r="L1504" s="3" t="s">
        <v>223</v>
      </c>
      <c r="M1504" s="7" t="n">
        <v>500</v>
      </c>
      <c r="N1504" s="8" t="n">
        <v>0.121</v>
      </c>
      <c r="O1504" s="4" t="n">
        <f aca="false">M1504*N1504</f>
        <v>60.5</v>
      </c>
    </row>
    <row r="1505" customFormat="false" ht="15" hidden="false" customHeight="false" outlineLevel="0" collapsed="false">
      <c r="A1505" s="0" t="s">
        <v>2372</v>
      </c>
      <c r="C1505" s="0" t="s">
        <v>1169</v>
      </c>
      <c r="D1505" s="7" t="n">
        <v>2400</v>
      </c>
      <c r="E1505" s="8" t="n">
        <v>0.072</v>
      </c>
      <c r="F1505" s="4" t="n">
        <f aca="false">D1505*E1505</f>
        <v>172.8</v>
      </c>
      <c r="G1505" s="7" t="n">
        <v>558</v>
      </c>
      <c r="H1505" s="9" t="n">
        <f aca="false">IF(G1505&gt;0,D1505/G1505,"")</f>
        <v>4.3010752688172</v>
      </c>
      <c r="I1505" s="10" t="n">
        <v>46161</v>
      </c>
      <c r="J1505" s="3" t="s">
        <v>1170</v>
      </c>
      <c r="K1505" s="10" t="n">
        <v>45398</v>
      </c>
      <c r="L1505" s="3" t="s">
        <v>21</v>
      </c>
      <c r="M1505" s="7" t="n">
        <v>2500</v>
      </c>
      <c r="N1505" s="8" t="n">
        <v>0.072</v>
      </c>
      <c r="O1505" s="4" t="n">
        <f aca="false">M1505*N1505</f>
        <v>180</v>
      </c>
    </row>
    <row r="1506" customFormat="false" ht="15" hidden="false" customHeight="false" outlineLevel="0" collapsed="false">
      <c r="A1506" s="0" t="s">
        <v>2373</v>
      </c>
      <c r="C1506" s="0" t="s">
        <v>34</v>
      </c>
      <c r="D1506" s="7" t="n">
        <v>2078</v>
      </c>
      <c r="E1506" s="8" t="n">
        <v>0.0831472569778633</v>
      </c>
      <c r="F1506" s="4" t="n">
        <f aca="false">D1506*E1506</f>
        <v>172.78</v>
      </c>
      <c r="G1506" s="7" t="n">
        <v>329</v>
      </c>
      <c r="H1506" s="9" t="n">
        <f aca="false">IF(G1506&gt;0,D1506/G1506,"")</f>
        <v>6.3161094224924</v>
      </c>
      <c r="I1506" s="10" t="n">
        <v>46133</v>
      </c>
      <c r="J1506" s="3" t="s">
        <v>1915</v>
      </c>
      <c r="K1506" s="10" t="n">
        <v>45736</v>
      </c>
      <c r="L1506" s="3" t="s">
        <v>19</v>
      </c>
      <c r="M1506" s="7" t="n">
        <v>50</v>
      </c>
      <c r="N1506" s="8" t="n">
        <v>0.4285</v>
      </c>
      <c r="O1506" s="4" t="n">
        <f aca="false">M1506*N1506</f>
        <v>21.425</v>
      </c>
    </row>
    <row r="1507" customFormat="false" ht="15" hidden="false" customHeight="false" outlineLevel="0" collapsed="false">
      <c r="A1507" s="0" t="s">
        <v>2374</v>
      </c>
      <c r="C1507" s="0" t="s">
        <v>33</v>
      </c>
      <c r="D1507" s="7" t="n">
        <v>305</v>
      </c>
      <c r="E1507" s="8" t="n">
        <v>0.566360655737705</v>
      </c>
      <c r="F1507" s="4" t="n">
        <f aca="false">D1507*E1507</f>
        <v>172.74</v>
      </c>
      <c r="G1507" s="7" t="n">
        <v>227</v>
      </c>
      <c r="H1507" s="9" t="n">
        <f aca="false">IF(G1507&gt;0,D1507/G1507,"")</f>
        <v>1.34361233480176</v>
      </c>
      <c r="I1507" s="10" t="n">
        <v>46283</v>
      </c>
      <c r="J1507" s="3" t="s">
        <v>1078</v>
      </c>
      <c r="K1507" s="10" t="n">
        <v>46199</v>
      </c>
      <c r="L1507" s="3" t="s">
        <v>18</v>
      </c>
      <c r="M1507" s="7" t="n">
        <v>300</v>
      </c>
      <c r="N1507" s="8" t="n">
        <v>0.5637</v>
      </c>
      <c r="O1507" s="4" t="n">
        <f aca="false">M1507*N1507</f>
        <v>169.11</v>
      </c>
    </row>
    <row r="1508" customFormat="false" ht="15" hidden="false" customHeight="false" outlineLevel="0" collapsed="false">
      <c r="A1508" s="0" t="s">
        <v>2375</v>
      </c>
      <c r="C1508" s="0" t="s">
        <v>777</v>
      </c>
      <c r="D1508" s="7" t="n">
        <v>64</v>
      </c>
      <c r="E1508" s="8" t="n">
        <v>2.69875</v>
      </c>
      <c r="F1508" s="4" t="n">
        <f aca="false">D1508*E1508</f>
        <v>172.72</v>
      </c>
      <c r="G1508" s="7" t="n">
        <v>4</v>
      </c>
      <c r="H1508" s="9" t="n">
        <f aca="false">IF(G1508&gt;0,D1508/G1508,"")</f>
        <v>16</v>
      </c>
      <c r="I1508" s="10" t="n">
        <v>46154</v>
      </c>
      <c r="J1508" s="3" t="s">
        <v>616</v>
      </c>
      <c r="K1508" s="10" t="n">
        <v>46038</v>
      </c>
      <c r="L1508" s="3" t="s">
        <v>15</v>
      </c>
      <c r="M1508" s="7" t="n">
        <v>68</v>
      </c>
      <c r="N1508" s="8" t="n">
        <v>2.69889</v>
      </c>
      <c r="O1508" s="4" t="n">
        <f aca="false">M1508*N1508</f>
        <v>183.52452</v>
      </c>
    </row>
    <row r="1509" customFormat="false" ht="15" hidden="false" customHeight="false" outlineLevel="0" collapsed="false">
      <c r="A1509" s="0" t="s">
        <v>2376</v>
      </c>
      <c r="C1509" s="0" t="s">
        <v>295</v>
      </c>
      <c r="D1509" s="7" t="n">
        <v>2323</v>
      </c>
      <c r="E1509" s="8" t="n">
        <v>0.0743263021954369</v>
      </c>
      <c r="F1509" s="4" t="n">
        <f aca="false">D1509*E1509</f>
        <v>172.66</v>
      </c>
      <c r="G1509" s="7" t="n">
        <v>44</v>
      </c>
      <c r="H1509" s="9" t="n">
        <f aca="false">IF(G1509&gt;0,D1509/G1509,"")</f>
        <v>52.7954545454546</v>
      </c>
      <c r="I1509" s="10" t="n">
        <v>46121</v>
      </c>
      <c r="K1509" s="10"/>
      <c r="M1509" s="7"/>
      <c r="N1509" s="8"/>
      <c r="O1509" s="4"/>
    </row>
    <row r="1510" customFormat="false" ht="15" hidden="false" customHeight="false" outlineLevel="0" collapsed="false">
      <c r="A1510" s="0" t="s">
        <v>2377</v>
      </c>
      <c r="C1510" s="0" t="s">
        <v>741</v>
      </c>
      <c r="D1510" s="7" t="n">
        <v>995</v>
      </c>
      <c r="E1510" s="8" t="n">
        <v>0.173527638190955</v>
      </c>
      <c r="F1510" s="4" t="n">
        <f aca="false">D1510*E1510</f>
        <v>172.66</v>
      </c>
      <c r="G1510" s="7" t="n">
        <v>10</v>
      </c>
      <c r="H1510" s="9" t="n">
        <f aca="false">IF(G1510&gt;0,D1510/G1510,"")</f>
        <v>99.5</v>
      </c>
      <c r="I1510" s="10" t="n">
        <v>46112</v>
      </c>
      <c r="J1510" s="3" t="s">
        <v>1891</v>
      </c>
      <c r="K1510" s="10" t="n">
        <v>46140</v>
      </c>
      <c r="L1510" s="3" t="s">
        <v>27</v>
      </c>
      <c r="M1510" s="7" t="n">
        <v>250</v>
      </c>
      <c r="N1510" s="8" t="n">
        <v>0.1939</v>
      </c>
      <c r="O1510" s="4" t="n">
        <f aca="false">M1510*N1510</f>
        <v>48.475</v>
      </c>
    </row>
    <row r="1511" customFormat="false" ht="15" hidden="false" customHeight="false" outlineLevel="0" collapsed="false">
      <c r="A1511" s="0" t="s">
        <v>2378</v>
      </c>
      <c r="C1511" s="0" t="s">
        <v>298</v>
      </c>
      <c r="D1511" s="7" t="n">
        <v>619</v>
      </c>
      <c r="E1511" s="8" t="n">
        <v>0.27891760904685</v>
      </c>
      <c r="F1511" s="4" t="n">
        <f aca="false">D1511*E1511</f>
        <v>172.65</v>
      </c>
      <c r="G1511" s="7" t="n">
        <v>60</v>
      </c>
      <c r="H1511" s="9" t="n">
        <f aca="false">IF(G1511&gt;0,D1511/G1511,"")</f>
        <v>10.3166666666667</v>
      </c>
      <c r="I1511" s="10" t="n">
        <v>46182</v>
      </c>
      <c r="J1511" s="3" t="s">
        <v>2379</v>
      </c>
      <c r="K1511" s="10" t="n">
        <v>45513</v>
      </c>
      <c r="L1511" s="3" t="s">
        <v>14</v>
      </c>
      <c r="M1511" s="7" t="n">
        <v>1004</v>
      </c>
      <c r="N1511" s="8" t="n">
        <v>0.2792</v>
      </c>
      <c r="O1511" s="4" t="n">
        <f aca="false">M1511*N1511</f>
        <v>280.3168</v>
      </c>
    </row>
    <row r="1512" customFormat="false" ht="15" hidden="false" customHeight="false" outlineLevel="0" collapsed="false">
      <c r="A1512" s="0" t="s">
        <v>2380</v>
      </c>
      <c r="C1512" s="0" t="s">
        <v>889</v>
      </c>
      <c r="D1512" s="7" t="n">
        <v>11965</v>
      </c>
      <c r="E1512" s="8" t="n">
        <v>0.0144203928123694</v>
      </c>
      <c r="F1512" s="4" t="n">
        <f aca="false">D1512*E1512</f>
        <v>172.54</v>
      </c>
      <c r="G1512" s="7" t="n">
        <v>260</v>
      </c>
      <c r="H1512" s="9" t="n">
        <f aca="false">IF(G1512&gt;0,D1512/G1512,"")</f>
        <v>46.0192307692308</v>
      </c>
      <c r="I1512" s="10" t="n">
        <v>46302</v>
      </c>
      <c r="J1512" s="3" t="s">
        <v>1369</v>
      </c>
      <c r="K1512" s="10" t="n">
        <v>44299</v>
      </c>
      <c r="L1512" s="3" t="s">
        <v>15</v>
      </c>
      <c r="M1512" s="7" t="n">
        <v>4600</v>
      </c>
      <c r="N1512" s="8" t="n">
        <v>0.00299</v>
      </c>
      <c r="O1512" s="4" t="n">
        <f aca="false">M1512*N1512</f>
        <v>13.754</v>
      </c>
    </row>
    <row r="1513" customFormat="false" ht="15" hidden="false" customHeight="false" outlineLevel="0" collapsed="false">
      <c r="A1513" s="0" t="s">
        <v>2381</v>
      </c>
      <c r="C1513" s="0" t="s">
        <v>118</v>
      </c>
      <c r="D1513" s="7" t="n">
        <v>401</v>
      </c>
      <c r="E1513" s="8" t="n">
        <v>0.43</v>
      </c>
      <c r="F1513" s="4" t="n">
        <f aca="false">D1513*E1513</f>
        <v>172.43</v>
      </c>
      <c r="G1513" s="7" t="n">
        <v>51</v>
      </c>
      <c r="H1513" s="9" t="n">
        <f aca="false">IF(G1513&gt;0,D1513/G1513,"")</f>
        <v>7.86274509803922</v>
      </c>
      <c r="I1513" s="10" t="n">
        <v>46288</v>
      </c>
      <c r="J1513" s="3" t="s">
        <v>2382</v>
      </c>
      <c r="K1513" s="10" t="n">
        <v>44753</v>
      </c>
      <c r="L1513" s="3" t="s">
        <v>25</v>
      </c>
      <c r="M1513" s="7" t="n">
        <v>500</v>
      </c>
      <c r="N1513" s="8" t="n">
        <v>0.43</v>
      </c>
      <c r="O1513" s="4" t="n">
        <f aca="false">M1513*N1513</f>
        <v>215</v>
      </c>
    </row>
    <row r="1514" customFormat="false" ht="15" hidden="false" customHeight="false" outlineLevel="0" collapsed="false">
      <c r="A1514" s="0" t="s">
        <v>2383</v>
      </c>
      <c r="C1514" s="0" t="s">
        <v>31</v>
      </c>
      <c r="D1514" s="7" t="n">
        <v>14479</v>
      </c>
      <c r="E1514" s="8" t="n">
        <v>0.0118841080185096</v>
      </c>
      <c r="F1514" s="4" t="n">
        <f aca="false">D1514*E1514</f>
        <v>172.07</v>
      </c>
      <c r="G1514" s="7" t="n">
        <v>1680</v>
      </c>
      <c r="H1514" s="9" t="n">
        <f aca="false">IF(G1514&gt;0,D1514/G1514,"")</f>
        <v>8.61845238095238</v>
      </c>
      <c r="I1514" s="10" t="n">
        <v>46304</v>
      </c>
      <c r="J1514" s="3" t="s">
        <v>1209</v>
      </c>
      <c r="K1514" s="10" t="n">
        <v>45993</v>
      </c>
      <c r="L1514" s="3" t="s">
        <v>16</v>
      </c>
      <c r="M1514" s="7" t="n">
        <v>13200</v>
      </c>
      <c r="N1514" s="8" t="n">
        <v>0.0114</v>
      </c>
      <c r="O1514" s="4" t="n">
        <f aca="false">M1514*N1514</f>
        <v>150.48</v>
      </c>
    </row>
    <row r="1515" customFormat="false" ht="15" hidden="false" customHeight="false" outlineLevel="0" collapsed="false">
      <c r="A1515" s="0" t="s">
        <v>2384</v>
      </c>
      <c r="C1515" s="0" t="s">
        <v>715</v>
      </c>
      <c r="D1515" s="7" t="n">
        <v>4392</v>
      </c>
      <c r="E1515" s="8" t="n">
        <v>0.0391757741347905</v>
      </c>
      <c r="F1515" s="4" t="n">
        <f aca="false">D1515*E1515</f>
        <v>172.06</v>
      </c>
      <c r="G1515" s="7" t="n">
        <v>90</v>
      </c>
      <c r="H1515" s="9" t="n">
        <f aca="false">IF(G1515&gt;0,D1515/G1515,"")</f>
        <v>48.8</v>
      </c>
      <c r="I1515" s="10" t="n">
        <v>46071</v>
      </c>
      <c r="J1515" s="3" t="s">
        <v>2385</v>
      </c>
      <c r="K1515" s="10" t="n">
        <v>45629</v>
      </c>
      <c r="L1515" s="3" t="s">
        <v>16</v>
      </c>
      <c r="M1515" s="7" t="n">
        <v>4308</v>
      </c>
      <c r="N1515" s="8" t="n">
        <v>0.0391</v>
      </c>
      <c r="O1515" s="4" t="n">
        <f aca="false">M1515*N1515</f>
        <v>168.4428</v>
      </c>
    </row>
    <row r="1516" customFormat="false" ht="15" hidden="false" customHeight="false" outlineLevel="0" collapsed="false">
      <c r="A1516" s="0" t="s">
        <v>2386</v>
      </c>
      <c r="C1516" s="0" t="s">
        <v>61</v>
      </c>
      <c r="D1516" s="7" t="n">
        <v>1229</v>
      </c>
      <c r="E1516" s="8" t="n">
        <v>0.139910496338487</v>
      </c>
      <c r="F1516" s="4" t="n">
        <f aca="false">D1516*E1516</f>
        <v>171.95</v>
      </c>
      <c r="G1516" s="7" t="n">
        <v>12</v>
      </c>
      <c r="H1516" s="9" t="n">
        <f aca="false">IF(G1516&gt;0,D1516/G1516,"")</f>
        <v>102.416666666667</v>
      </c>
      <c r="I1516" s="10" t="n">
        <v>46280</v>
      </c>
      <c r="J1516" s="3" t="s">
        <v>2387</v>
      </c>
      <c r="K1516" s="10" t="n">
        <v>44356</v>
      </c>
      <c r="L1516" s="3" t="s">
        <v>23</v>
      </c>
      <c r="M1516" s="7" t="n">
        <v>1888</v>
      </c>
      <c r="N1516" s="8" t="n">
        <v>0.1507</v>
      </c>
      <c r="O1516" s="4" t="n">
        <v>271.26</v>
      </c>
    </row>
    <row r="1517" customFormat="false" ht="15" hidden="false" customHeight="false" outlineLevel="0" collapsed="false">
      <c r="A1517" s="0" t="s">
        <v>2388</v>
      </c>
      <c r="C1517" s="0" t="s">
        <v>609</v>
      </c>
      <c r="D1517" s="7" t="n">
        <v>159</v>
      </c>
      <c r="E1517" s="8" t="n">
        <v>1.08</v>
      </c>
      <c r="F1517" s="4" t="n">
        <f aca="false">D1517*E1517</f>
        <v>171.72</v>
      </c>
      <c r="G1517" s="7" t="n">
        <v>1</v>
      </c>
      <c r="H1517" s="9" t="n">
        <f aca="false">IF(G1517&gt;0,D1517/G1517,"")</f>
        <v>159</v>
      </c>
      <c r="I1517" s="10" t="n">
        <v>46126</v>
      </c>
      <c r="K1517" s="10"/>
      <c r="M1517" s="7"/>
      <c r="N1517" s="8"/>
      <c r="O1517" s="4"/>
    </row>
    <row r="1518" customFormat="false" ht="15" hidden="false" customHeight="false" outlineLevel="0" collapsed="false">
      <c r="A1518" s="0" t="s">
        <v>2389</v>
      </c>
      <c r="C1518" s="0" t="s">
        <v>36</v>
      </c>
      <c r="D1518" s="7" t="n">
        <v>2351</v>
      </c>
      <c r="E1518" s="8" t="n">
        <v>0.0729817099106763</v>
      </c>
      <c r="F1518" s="4" t="n">
        <f aca="false">D1518*E1518</f>
        <v>171.58</v>
      </c>
      <c r="G1518" s="7" t="n">
        <v>358</v>
      </c>
      <c r="H1518" s="9" t="n">
        <f aca="false">IF(G1518&gt;0,D1518/G1518,"")</f>
        <v>6.56703910614525</v>
      </c>
      <c r="I1518" s="10" t="n">
        <v>46279</v>
      </c>
      <c r="J1518" s="3" t="s">
        <v>1440</v>
      </c>
      <c r="K1518" s="10" t="n">
        <v>46280</v>
      </c>
      <c r="L1518" s="3" t="s">
        <v>18</v>
      </c>
      <c r="M1518" s="7" t="n">
        <v>2350</v>
      </c>
      <c r="N1518" s="8" t="n">
        <v>0.073</v>
      </c>
      <c r="O1518" s="4" t="n">
        <f aca="false">M1518*N1518</f>
        <v>171.55</v>
      </c>
    </row>
    <row r="1519" customFormat="false" ht="15" hidden="false" customHeight="false" outlineLevel="0" collapsed="false">
      <c r="A1519" s="0" t="s">
        <v>2390</v>
      </c>
      <c r="C1519" s="0" t="s">
        <v>340</v>
      </c>
      <c r="D1519" s="7" t="n">
        <v>7760</v>
      </c>
      <c r="E1519" s="8" t="n">
        <v>0.0220940721649485</v>
      </c>
      <c r="F1519" s="4" t="n">
        <f aca="false">D1519*E1519</f>
        <v>171.45</v>
      </c>
      <c r="G1519" s="7" t="n">
        <v>4628</v>
      </c>
      <c r="H1519" s="9" t="n">
        <f aca="false">IF(G1519&gt;0,D1519/G1519,"")</f>
        <v>1.67675021607606</v>
      </c>
      <c r="I1519" s="10" t="n">
        <v>46276</v>
      </c>
      <c r="J1519" s="3" t="s">
        <v>940</v>
      </c>
      <c r="K1519" s="10" t="n">
        <v>46231</v>
      </c>
      <c r="L1519" s="3" t="s">
        <v>16</v>
      </c>
      <c r="M1519" s="7" t="n">
        <v>6120</v>
      </c>
      <c r="N1519" s="8" t="n">
        <v>0.0226</v>
      </c>
      <c r="O1519" s="4" t="n">
        <f aca="false">M1519*N1519</f>
        <v>138.312</v>
      </c>
    </row>
    <row r="1520" customFormat="false" ht="15" hidden="false" customHeight="false" outlineLevel="0" collapsed="false">
      <c r="A1520" s="0" t="s">
        <v>2391</v>
      </c>
      <c r="C1520" s="0" t="s">
        <v>34</v>
      </c>
      <c r="D1520" s="7" t="n">
        <v>4607</v>
      </c>
      <c r="E1520" s="8" t="n">
        <v>0.0371999131756024</v>
      </c>
      <c r="F1520" s="4" t="n">
        <f aca="false">D1520*E1520</f>
        <v>171.38</v>
      </c>
      <c r="G1520" s="7" t="n">
        <v>2377</v>
      </c>
      <c r="H1520" s="9" t="n">
        <f aca="false">IF(G1520&gt;0,D1520/G1520,"")</f>
        <v>1.93815734118637</v>
      </c>
      <c r="I1520" s="10" t="n">
        <v>46309</v>
      </c>
      <c r="J1520" s="3" t="s">
        <v>2392</v>
      </c>
      <c r="K1520" s="10" t="n">
        <v>46274</v>
      </c>
      <c r="L1520" s="3" t="s">
        <v>16</v>
      </c>
      <c r="M1520" s="7" t="n">
        <v>5000</v>
      </c>
      <c r="N1520" s="8" t="n">
        <v>0.0372</v>
      </c>
      <c r="O1520" s="4" t="n">
        <f aca="false">M1520*N1520</f>
        <v>186</v>
      </c>
    </row>
    <row r="1521" customFormat="false" ht="15" hidden="false" customHeight="false" outlineLevel="0" collapsed="false">
      <c r="A1521" s="0" t="s">
        <v>2393</v>
      </c>
      <c r="C1521" s="0" t="s">
        <v>34</v>
      </c>
      <c r="D1521" s="7" t="n">
        <v>4150</v>
      </c>
      <c r="E1521" s="8" t="n">
        <v>0.0412481927710843</v>
      </c>
      <c r="F1521" s="4" t="n">
        <f aca="false">D1521*E1521</f>
        <v>171.18</v>
      </c>
      <c r="G1521" s="7" t="n">
        <v>150</v>
      </c>
      <c r="H1521" s="9" t="n">
        <f aca="false">IF(G1521&gt;0,D1521/G1521,"")</f>
        <v>27.6666666666667</v>
      </c>
      <c r="I1521" s="10" t="n">
        <v>46280</v>
      </c>
      <c r="J1521" s="3" t="s">
        <v>2394</v>
      </c>
      <c r="K1521" s="10" t="n">
        <v>46269</v>
      </c>
      <c r="L1521" s="3" t="s">
        <v>19</v>
      </c>
      <c r="M1521" s="7" t="n">
        <v>500</v>
      </c>
      <c r="N1521" s="8" t="n">
        <v>0.0559</v>
      </c>
      <c r="O1521" s="4" t="n">
        <f aca="false">M1521*N1521</f>
        <v>27.95</v>
      </c>
    </row>
    <row r="1522" customFormat="false" ht="15" hidden="false" customHeight="false" outlineLevel="0" collapsed="false">
      <c r="A1522" s="0" t="s">
        <v>2395</v>
      </c>
      <c r="C1522" s="0" t="s">
        <v>31</v>
      </c>
      <c r="D1522" s="7" t="n">
        <v>71094</v>
      </c>
      <c r="E1522" s="8" t="n">
        <v>0.00240779812642417</v>
      </c>
      <c r="F1522" s="4" t="n">
        <f aca="false">D1522*E1522</f>
        <v>171.18</v>
      </c>
      <c r="G1522" s="7" t="n">
        <v>4877</v>
      </c>
      <c r="H1522" s="9" t="n">
        <f aca="false">IF(G1522&gt;0,D1522/G1522,"")</f>
        <v>14.5774041418905</v>
      </c>
      <c r="I1522" s="10" t="n">
        <v>46252</v>
      </c>
      <c r="J1522" s="3" t="s">
        <v>278</v>
      </c>
      <c r="K1522" s="10" t="n">
        <v>45967</v>
      </c>
      <c r="L1522" s="3" t="s">
        <v>16</v>
      </c>
      <c r="M1522" s="7" t="n">
        <v>68185</v>
      </c>
      <c r="N1522" s="8" t="n">
        <v>0.00238</v>
      </c>
      <c r="O1522" s="4" t="n">
        <f aca="false">M1522*N1522</f>
        <v>162.2803</v>
      </c>
    </row>
    <row r="1523" customFormat="false" ht="15" hidden="false" customHeight="false" outlineLevel="0" collapsed="false">
      <c r="A1523" s="0" t="s">
        <v>2396</v>
      </c>
      <c r="C1523" s="0" t="s">
        <v>979</v>
      </c>
      <c r="D1523" s="7" t="n">
        <v>1754</v>
      </c>
      <c r="E1523" s="8" t="n">
        <v>0.0974743443557583</v>
      </c>
      <c r="F1523" s="4" t="n">
        <f aca="false">D1523*E1523</f>
        <v>170.97</v>
      </c>
      <c r="G1523" s="7" t="n">
        <v>114</v>
      </c>
      <c r="H1523" s="9" t="n">
        <f aca="false">IF(G1523&gt;0,D1523/G1523,"")</f>
        <v>15.3859649122807</v>
      </c>
      <c r="I1523" s="10" t="n">
        <v>46049</v>
      </c>
      <c r="J1523" s="3" t="s">
        <v>2397</v>
      </c>
      <c r="K1523" s="10" t="n">
        <v>44792</v>
      </c>
      <c r="L1523" s="3" t="s">
        <v>18</v>
      </c>
      <c r="M1523" s="7" t="n">
        <v>225</v>
      </c>
      <c r="N1523" s="8" t="n">
        <v>0</v>
      </c>
      <c r="O1523" s="4" t="n">
        <v>19.7726</v>
      </c>
    </row>
    <row r="1524" customFormat="false" ht="15" hidden="false" customHeight="false" outlineLevel="0" collapsed="false">
      <c r="A1524" s="0" t="s">
        <v>2398</v>
      </c>
      <c r="C1524" s="0" t="s">
        <v>360</v>
      </c>
      <c r="D1524" s="7" t="n">
        <v>6671</v>
      </c>
      <c r="E1524" s="8" t="n">
        <v>0.0256078548943187</v>
      </c>
      <c r="F1524" s="4" t="n">
        <f aca="false">D1524*E1524</f>
        <v>170.83</v>
      </c>
      <c r="G1524" s="7" t="n">
        <v>1786</v>
      </c>
      <c r="H1524" s="9" t="n">
        <f aca="false">IF(G1524&gt;0,D1524/G1524,"")</f>
        <v>3.73516237402016</v>
      </c>
      <c r="I1524" s="10" t="n">
        <v>46181</v>
      </c>
      <c r="K1524" s="10"/>
      <c r="M1524" s="7"/>
      <c r="N1524" s="8"/>
      <c r="O1524" s="4"/>
    </row>
    <row r="1525" customFormat="false" ht="15" hidden="false" customHeight="false" outlineLevel="0" collapsed="false">
      <c r="A1525" s="0" t="s">
        <v>2399</v>
      </c>
      <c r="C1525" s="0" t="s">
        <v>855</v>
      </c>
      <c r="D1525" s="7" t="n">
        <v>7836</v>
      </c>
      <c r="E1525" s="8" t="n">
        <v>0.0217776927003573</v>
      </c>
      <c r="F1525" s="4" t="n">
        <f aca="false">D1525*E1525</f>
        <v>170.65</v>
      </c>
      <c r="G1525" s="7" t="n">
        <v>26</v>
      </c>
      <c r="H1525" s="9" t="n">
        <f aca="false">IF(G1525&gt;0,D1525/G1525,"")</f>
        <v>301.384615384615</v>
      </c>
      <c r="I1525" s="10" t="n">
        <v>46119</v>
      </c>
      <c r="K1525" s="10"/>
      <c r="M1525" s="7"/>
      <c r="N1525" s="8"/>
      <c r="O1525" s="4"/>
    </row>
    <row r="1526" customFormat="false" ht="15" hidden="false" customHeight="false" outlineLevel="0" collapsed="false">
      <c r="A1526" s="0" t="s">
        <v>2400</v>
      </c>
      <c r="C1526" s="0" t="s">
        <v>61</v>
      </c>
      <c r="D1526" s="7" t="n">
        <v>166</v>
      </c>
      <c r="E1526" s="8" t="n">
        <v>1.02734939759036</v>
      </c>
      <c r="F1526" s="4" t="n">
        <f aca="false">D1526*E1526</f>
        <v>170.54</v>
      </c>
      <c r="G1526" s="7" t="n">
        <v>70</v>
      </c>
      <c r="H1526" s="9" t="n">
        <f aca="false">IF(G1526&gt;0,D1526/G1526,"")</f>
        <v>2.37142857142857</v>
      </c>
      <c r="I1526" s="10" t="n">
        <v>46210</v>
      </c>
      <c r="J1526" s="3" t="s">
        <v>949</v>
      </c>
      <c r="K1526" s="10" t="n">
        <v>45763</v>
      </c>
      <c r="L1526" s="3" t="s">
        <v>23</v>
      </c>
      <c r="M1526" s="7" t="n">
        <v>300</v>
      </c>
      <c r="N1526" s="8" t="n">
        <v>1.0274</v>
      </c>
      <c r="O1526" s="4" t="n">
        <f aca="false">M1526*N1526</f>
        <v>308.22</v>
      </c>
    </row>
    <row r="1527" customFormat="false" ht="15" hidden="false" customHeight="false" outlineLevel="0" collapsed="false">
      <c r="A1527" s="0" t="s">
        <v>2401</v>
      </c>
      <c r="C1527" s="0" t="s">
        <v>844</v>
      </c>
      <c r="D1527" s="7" t="n">
        <v>75</v>
      </c>
      <c r="E1527" s="8" t="n">
        <v>2.27133333333333</v>
      </c>
      <c r="F1527" s="4" t="n">
        <f aca="false">D1527*E1527</f>
        <v>170.35</v>
      </c>
      <c r="G1527" s="7" t="n">
        <v>64</v>
      </c>
      <c r="H1527" s="9" t="n">
        <f aca="false">IF(G1527&gt;0,D1527/G1527,"")</f>
        <v>1.171875</v>
      </c>
      <c r="I1527" s="10" t="n">
        <v>46297</v>
      </c>
      <c r="J1527" s="3" t="s">
        <v>2402</v>
      </c>
      <c r="K1527" s="10" t="n">
        <v>45758</v>
      </c>
      <c r="L1527" s="3" t="s">
        <v>1878</v>
      </c>
      <c r="M1527" s="7" t="n">
        <v>50</v>
      </c>
      <c r="N1527" s="8" t="n">
        <v>2.41</v>
      </c>
      <c r="O1527" s="4" t="n">
        <f aca="false">M1527*N1527</f>
        <v>120.5</v>
      </c>
    </row>
    <row r="1528" customFormat="false" ht="15" hidden="false" customHeight="false" outlineLevel="0" collapsed="false">
      <c r="A1528" s="0" t="s">
        <v>2403</v>
      </c>
      <c r="C1528" s="0" t="s">
        <v>36</v>
      </c>
      <c r="D1528" s="7" t="n">
        <v>15761</v>
      </c>
      <c r="E1528" s="8" t="n">
        <v>0.0108013450923165</v>
      </c>
      <c r="F1528" s="4" t="n">
        <f aca="false">D1528*E1528</f>
        <v>170.24</v>
      </c>
      <c r="G1528" s="7" t="n">
        <v>5231</v>
      </c>
      <c r="H1528" s="9" t="n">
        <f aca="false">IF(G1528&gt;0,D1528/G1528,"")</f>
        <v>3.01299942649589</v>
      </c>
      <c r="I1528" s="10" t="n">
        <v>46315</v>
      </c>
      <c r="J1528" s="3" t="s">
        <v>1028</v>
      </c>
      <c r="K1528" s="10" t="n">
        <v>45689</v>
      </c>
      <c r="L1528" s="3" t="s">
        <v>18</v>
      </c>
      <c r="M1528" s="7" t="n">
        <v>25000</v>
      </c>
      <c r="N1528" s="8" t="n">
        <v>0.0108</v>
      </c>
      <c r="O1528" s="4" t="n">
        <f aca="false">M1528*N1528</f>
        <v>270</v>
      </c>
    </row>
    <row r="1529" customFormat="false" ht="15" hidden="false" customHeight="false" outlineLevel="0" collapsed="false">
      <c r="A1529" s="0" t="s">
        <v>2404</v>
      </c>
      <c r="C1529" s="0" t="s">
        <v>41</v>
      </c>
      <c r="D1529" s="7" t="n">
        <v>6350</v>
      </c>
      <c r="E1529" s="8" t="n">
        <v>0.0268</v>
      </c>
      <c r="F1529" s="4" t="n">
        <f aca="false">D1529*E1529</f>
        <v>170.18</v>
      </c>
      <c r="G1529" s="7" t="n">
        <v>450</v>
      </c>
      <c r="H1529" s="9" t="n">
        <f aca="false">IF(G1529&gt;0,D1529/G1529,"")</f>
        <v>14.1111111111111</v>
      </c>
      <c r="I1529" s="10" t="n">
        <v>45958</v>
      </c>
      <c r="J1529" s="3" t="s">
        <v>2361</v>
      </c>
      <c r="K1529" s="10" t="n">
        <v>45891</v>
      </c>
      <c r="L1529" s="3" t="s">
        <v>16</v>
      </c>
      <c r="M1529" s="7" t="n">
        <v>6800</v>
      </c>
      <c r="N1529" s="8" t="n">
        <v>0.0268</v>
      </c>
      <c r="O1529" s="4" t="n">
        <f aca="false">M1529*N1529</f>
        <v>182.24</v>
      </c>
    </row>
    <row r="1530" customFormat="false" ht="15" hidden="false" customHeight="false" outlineLevel="0" collapsed="false">
      <c r="A1530" s="0" t="s">
        <v>2405</v>
      </c>
      <c r="C1530" s="0" t="s">
        <v>340</v>
      </c>
      <c r="D1530" s="7" t="n">
        <v>168</v>
      </c>
      <c r="E1530" s="8" t="n">
        <v>1.01291666666667</v>
      </c>
      <c r="F1530" s="4" t="n">
        <f aca="false">D1530*E1530</f>
        <v>170.17</v>
      </c>
      <c r="G1530" s="7" t="n">
        <v>16</v>
      </c>
      <c r="H1530" s="9" t="n">
        <f aca="false">IF(G1530&gt;0,D1530/G1530,"")</f>
        <v>10.5</v>
      </c>
      <c r="I1530" s="10" t="n">
        <v>46281</v>
      </c>
      <c r="J1530" s="3" t="s">
        <v>2263</v>
      </c>
      <c r="K1530" s="10" t="n">
        <v>45630</v>
      </c>
      <c r="L1530" s="3" t="s">
        <v>15</v>
      </c>
      <c r="M1530" s="7" t="n">
        <v>229</v>
      </c>
      <c r="N1530" s="8" t="n">
        <v>1.01291</v>
      </c>
      <c r="O1530" s="4" t="n">
        <f aca="false">M1530*N1530</f>
        <v>231.95639</v>
      </c>
    </row>
    <row r="1531" customFormat="false" ht="15" hidden="false" customHeight="false" outlineLevel="0" collapsed="false">
      <c r="A1531" s="0" t="s">
        <v>2406</v>
      </c>
      <c r="C1531" s="0" t="s">
        <v>34</v>
      </c>
      <c r="D1531" s="7" t="n">
        <v>3114</v>
      </c>
      <c r="E1531" s="8" t="n">
        <v>0.0545985870263327</v>
      </c>
      <c r="F1531" s="4" t="n">
        <f aca="false">D1531*E1531</f>
        <v>170.02</v>
      </c>
      <c r="G1531" s="7" t="n">
        <v>30</v>
      </c>
      <c r="H1531" s="9" t="n">
        <f aca="false">IF(G1531&gt;0,D1531/G1531,"")</f>
        <v>103.8</v>
      </c>
      <c r="I1531" s="10" t="n">
        <v>46259</v>
      </c>
      <c r="J1531" s="3" t="s">
        <v>2407</v>
      </c>
      <c r="K1531" s="10" t="n">
        <v>45007</v>
      </c>
      <c r="L1531" s="3" t="s">
        <v>15</v>
      </c>
      <c r="M1531" s="7" t="n">
        <v>3200</v>
      </c>
      <c r="N1531" s="8" t="n">
        <v>0.0546</v>
      </c>
      <c r="O1531" s="4" t="n">
        <f aca="false">M1531*N1531</f>
        <v>174.72</v>
      </c>
    </row>
    <row r="1532" customFormat="false" ht="15" hidden="false" customHeight="false" outlineLevel="0" collapsed="false">
      <c r="A1532" s="0" t="s">
        <v>2408</v>
      </c>
      <c r="C1532" s="0" t="s">
        <v>32</v>
      </c>
      <c r="D1532" s="7" t="n">
        <v>2404</v>
      </c>
      <c r="E1532" s="8" t="n">
        <v>0.0707196339434276</v>
      </c>
      <c r="F1532" s="4" t="n">
        <f aca="false">D1532*E1532</f>
        <v>170.01</v>
      </c>
      <c r="G1532" s="7" t="n">
        <v>1500</v>
      </c>
      <c r="H1532" s="9" t="n">
        <f aca="false">IF(G1532&gt;0,D1532/G1532,"")</f>
        <v>1.60266666666667</v>
      </c>
      <c r="I1532" s="10" t="n">
        <v>46301</v>
      </c>
      <c r="J1532" s="3" t="s">
        <v>1028</v>
      </c>
      <c r="K1532" s="10" t="n">
        <v>45689</v>
      </c>
      <c r="L1532" s="3" t="s">
        <v>18</v>
      </c>
      <c r="M1532" s="7" t="n">
        <v>10000</v>
      </c>
      <c r="N1532" s="8" t="n">
        <v>0.0708</v>
      </c>
      <c r="O1532" s="4" t="n">
        <f aca="false">M1532*N1532</f>
        <v>708</v>
      </c>
    </row>
    <row r="1533" customFormat="false" ht="15" hidden="false" customHeight="false" outlineLevel="0" collapsed="false">
      <c r="A1533" s="0" t="s">
        <v>2409</v>
      </c>
      <c r="C1533" s="0" t="s">
        <v>340</v>
      </c>
      <c r="D1533" s="7" t="n">
        <v>6729</v>
      </c>
      <c r="E1533" s="8" t="n">
        <v>0.0252518947837717</v>
      </c>
      <c r="F1533" s="4" t="n">
        <f aca="false">D1533*E1533</f>
        <v>169.92</v>
      </c>
      <c r="G1533" s="7" t="n">
        <v>800</v>
      </c>
      <c r="H1533" s="9" t="n">
        <f aca="false">IF(G1533&gt;0,D1533/G1533,"")</f>
        <v>8.41125</v>
      </c>
      <c r="I1533" s="10" t="n">
        <v>46203</v>
      </c>
      <c r="J1533" s="3" t="s">
        <v>341</v>
      </c>
      <c r="K1533" s="10" t="n">
        <v>46078</v>
      </c>
      <c r="L1533" s="3" t="s">
        <v>15</v>
      </c>
      <c r="M1533" s="7" t="n">
        <v>660</v>
      </c>
      <c r="N1533" s="8" t="n">
        <v>0.02738</v>
      </c>
      <c r="O1533" s="4" t="n">
        <f aca="false">M1533*N1533</f>
        <v>18.0708</v>
      </c>
    </row>
    <row r="1534" customFormat="false" ht="15" hidden="false" customHeight="false" outlineLevel="0" collapsed="false">
      <c r="A1534" s="0" t="s">
        <v>2410</v>
      </c>
      <c r="C1534" s="0" t="s">
        <v>31</v>
      </c>
      <c r="D1534" s="7" t="n">
        <v>62935</v>
      </c>
      <c r="E1534" s="8" t="n">
        <v>0.00269992849765631</v>
      </c>
      <c r="F1534" s="4" t="n">
        <f aca="false">D1534*E1534</f>
        <v>169.92</v>
      </c>
      <c r="G1534" s="7" t="n">
        <v>1199</v>
      </c>
      <c r="H1534" s="9" t="n">
        <f aca="false">IF(G1534&gt;0,D1534/G1534,"")</f>
        <v>52.489574645538</v>
      </c>
      <c r="I1534" s="10" t="n">
        <v>46230</v>
      </c>
      <c r="K1534" s="10"/>
      <c r="M1534" s="7"/>
      <c r="N1534" s="8"/>
      <c r="O1534" s="4"/>
    </row>
    <row r="1535" customFormat="false" ht="15" hidden="false" customHeight="false" outlineLevel="0" collapsed="false">
      <c r="A1535" s="0" t="s">
        <v>2411</v>
      </c>
      <c r="C1535" s="0" t="s">
        <v>360</v>
      </c>
      <c r="D1535" s="7" t="n">
        <v>7460</v>
      </c>
      <c r="E1535" s="8" t="n">
        <v>0.0227707774798928</v>
      </c>
      <c r="F1535" s="4" t="n">
        <f aca="false">D1535*E1535</f>
        <v>169.87</v>
      </c>
      <c r="G1535" s="7" t="n">
        <v>3075</v>
      </c>
      <c r="H1535" s="9" t="n">
        <f aca="false">IF(G1535&gt;0,D1535/G1535,"")</f>
        <v>2.4260162601626</v>
      </c>
      <c r="I1535" s="10" t="n">
        <v>46311</v>
      </c>
      <c r="J1535" s="3" t="s">
        <v>2412</v>
      </c>
      <c r="K1535" s="10" t="n">
        <v>44797</v>
      </c>
      <c r="L1535" s="3" t="s">
        <v>223</v>
      </c>
      <c r="M1535" s="7" t="n">
        <v>500</v>
      </c>
      <c r="N1535" s="8" t="n">
        <v>0.1326</v>
      </c>
      <c r="O1535" s="4" t="n">
        <f aca="false">M1535*N1535</f>
        <v>66.3</v>
      </c>
    </row>
    <row r="1536" customFormat="false" ht="15" hidden="false" customHeight="false" outlineLevel="0" collapsed="false">
      <c r="A1536" s="0" t="s">
        <v>2413</v>
      </c>
      <c r="C1536" s="0" t="s">
        <v>360</v>
      </c>
      <c r="D1536" s="7" t="n">
        <v>334</v>
      </c>
      <c r="E1536" s="8" t="n">
        <v>0.508443113772455</v>
      </c>
      <c r="F1536" s="4" t="n">
        <f aca="false">D1536*E1536</f>
        <v>169.82</v>
      </c>
      <c r="G1536" s="7" t="n">
        <v>5</v>
      </c>
      <c r="H1536" s="9" t="n">
        <f aca="false">IF(G1536&gt;0,D1536/G1536,"")</f>
        <v>66.8</v>
      </c>
      <c r="I1536" s="10" t="n">
        <v>46169</v>
      </c>
      <c r="J1536" s="3" t="s">
        <v>2414</v>
      </c>
      <c r="K1536" s="10" t="n">
        <v>44985</v>
      </c>
      <c r="L1536" s="3" t="s">
        <v>15</v>
      </c>
      <c r="M1536" s="7" t="n">
        <v>439</v>
      </c>
      <c r="N1536" s="8" t="n">
        <v>0.50844</v>
      </c>
      <c r="O1536" s="4" t="n">
        <f aca="false">M1536*N1536</f>
        <v>223.20516</v>
      </c>
    </row>
    <row r="1537" customFormat="false" ht="15" hidden="false" customHeight="false" outlineLevel="0" collapsed="false">
      <c r="A1537" s="0" t="s">
        <v>2415</v>
      </c>
      <c r="C1537" s="0" t="s">
        <v>36</v>
      </c>
      <c r="D1537" s="7" t="n">
        <v>8227</v>
      </c>
      <c r="E1537" s="8" t="n">
        <v>0.0206223410720797</v>
      </c>
      <c r="F1537" s="4" t="n">
        <f aca="false">D1537*E1537</f>
        <v>169.66</v>
      </c>
      <c r="G1537" s="7" t="n">
        <v>2178</v>
      </c>
      <c r="H1537" s="9" t="n">
        <f aca="false">IF(G1537&gt;0,D1537/G1537,"")</f>
        <v>3.77731864095501</v>
      </c>
      <c r="I1537" s="10" t="n">
        <v>46286</v>
      </c>
      <c r="K1537" s="10"/>
      <c r="M1537" s="7"/>
      <c r="N1537" s="8"/>
      <c r="O1537" s="4"/>
    </row>
    <row r="1538" customFormat="false" ht="15" hidden="false" customHeight="false" outlineLevel="0" collapsed="false">
      <c r="A1538" s="0" t="s">
        <v>2416</v>
      </c>
      <c r="C1538" s="0" t="s">
        <v>41</v>
      </c>
      <c r="D1538" s="7" t="n">
        <v>14085</v>
      </c>
      <c r="E1538" s="8" t="n">
        <v>0.0120418885339013</v>
      </c>
      <c r="F1538" s="4" t="n">
        <f aca="false">D1538*E1538</f>
        <v>169.61</v>
      </c>
      <c r="G1538" s="7" t="n">
        <v>180</v>
      </c>
      <c r="H1538" s="9" t="n">
        <f aca="false">IF(G1538&gt;0,D1538/G1538,"")</f>
        <v>78.25</v>
      </c>
      <c r="I1538" s="10" t="n">
        <v>46314</v>
      </c>
      <c r="J1538" s="3" t="s">
        <v>2417</v>
      </c>
      <c r="K1538" s="10" t="n">
        <v>46049</v>
      </c>
      <c r="L1538" s="3" t="s">
        <v>19</v>
      </c>
      <c r="M1538" s="7" t="n">
        <v>500</v>
      </c>
      <c r="N1538" s="8" t="n">
        <v>0.0492</v>
      </c>
      <c r="O1538" s="4" t="n">
        <f aca="false">M1538*N1538</f>
        <v>24.6</v>
      </c>
    </row>
    <row r="1539" customFormat="false" ht="15" hidden="false" customHeight="false" outlineLevel="0" collapsed="false">
      <c r="A1539" s="0" t="s">
        <v>2418</v>
      </c>
      <c r="C1539" s="0" t="s">
        <v>37</v>
      </c>
      <c r="D1539" s="7" t="n">
        <v>1852</v>
      </c>
      <c r="E1539" s="8" t="n">
        <v>0.0915226781857451</v>
      </c>
      <c r="F1539" s="4" t="n">
        <f aca="false">D1539*E1539</f>
        <v>169.5</v>
      </c>
      <c r="G1539" s="7" t="n">
        <v>27</v>
      </c>
      <c r="H1539" s="9" t="n">
        <f aca="false">IF(G1539&gt;0,D1539/G1539,"")</f>
        <v>68.5925925925926</v>
      </c>
      <c r="I1539" s="10" t="n">
        <v>46230</v>
      </c>
      <c r="K1539" s="10"/>
      <c r="M1539" s="7"/>
      <c r="N1539" s="8"/>
      <c r="O1539" s="4"/>
    </row>
    <row r="1540" customFormat="false" ht="15" hidden="false" customHeight="false" outlineLevel="0" collapsed="false">
      <c r="A1540" s="0" t="s">
        <v>2419</v>
      </c>
      <c r="C1540" s="0" t="s">
        <v>34</v>
      </c>
      <c r="D1540" s="7" t="n">
        <v>6415</v>
      </c>
      <c r="E1540" s="8" t="n">
        <v>0.0263990646921278</v>
      </c>
      <c r="F1540" s="4" t="n">
        <f aca="false">D1540*E1540</f>
        <v>169.35</v>
      </c>
      <c r="G1540" s="7" t="n">
        <v>1704</v>
      </c>
      <c r="H1540" s="9" t="n">
        <f aca="false">IF(G1540&gt;0,D1540/G1540,"")</f>
        <v>3.76467136150235</v>
      </c>
      <c r="I1540" s="10" t="n">
        <v>46311</v>
      </c>
      <c r="J1540" s="3" t="s">
        <v>137</v>
      </c>
      <c r="K1540" s="10" t="n">
        <v>44902</v>
      </c>
      <c r="L1540" s="3" t="s">
        <v>19</v>
      </c>
      <c r="M1540" s="7" t="n">
        <v>5000</v>
      </c>
      <c r="N1540" s="8" t="n">
        <v>0.0642</v>
      </c>
      <c r="O1540" s="4" t="n">
        <f aca="false">M1540*N1540</f>
        <v>321</v>
      </c>
    </row>
    <row r="1541" customFormat="false" ht="15" hidden="false" customHeight="false" outlineLevel="0" collapsed="false">
      <c r="A1541" s="0" t="s">
        <v>2420</v>
      </c>
      <c r="C1541" s="0" t="s">
        <v>31</v>
      </c>
      <c r="D1541" s="7" t="n">
        <v>21250</v>
      </c>
      <c r="E1541" s="8" t="n">
        <v>0.00796517647058824</v>
      </c>
      <c r="F1541" s="4" t="n">
        <f aca="false">D1541*E1541</f>
        <v>169.26</v>
      </c>
      <c r="G1541" s="7" t="n">
        <v>20481</v>
      </c>
      <c r="H1541" s="9" t="n">
        <f aca="false">IF(G1541&gt;0,D1541/G1541,"")</f>
        <v>1.03754699477565</v>
      </c>
      <c r="I1541" s="10" t="n">
        <v>46230</v>
      </c>
      <c r="J1541" s="3" t="s">
        <v>2421</v>
      </c>
      <c r="K1541" s="10" t="n">
        <v>46314</v>
      </c>
      <c r="L1541" s="3" t="s">
        <v>14</v>
      </c>
      <c r="M1541" s="7" t="n">
        <v>20000</v>
      </c>
      <c r="N1541" s="8" t="n">
        <v>0.0036</v>
      </c>
      <c r="O1541" s="4" t="n">
        <f aca="false">M1541*N1541</f>
        <v>72</v>
      </c>
    </row>
    <row r="1542" customFormat="false" ht="15" hidden="false" customHeight="false" outlineLevel="0" collapsed="false">
      <c r="A1542" s="0" t="s">
        <v>2422</v>
      </c>
      <c r="C1542" s="0" t="s">
        <v>31</v>
      </c>
      <c r="D1542" s="7" t="n">
        <v>65042</v>
      </c>
      <c r="E1542" s="8" t="n">
        <v>0.00260201100827158</v>
      </c>
      <c r="F1542" s="4" t="n">
        <f aca="false">D1542*E1542</f>
        <v>169.24</v>
      </c>
      <c r="G1542" s="7" t="n">
        <v>15589</v>
      </c>
      <c r="H1542" s="9" t="n">
        <f aca="false">IF(G1542&gt;0,D1542/G1542,"")</f>
        <v>4.17230098146129</v>
      </c>
      <c r="I1542" s="10" t="n">
        <v>46304</v>
      </c>
      <c r="J1542" s="3" t="s">
        <v>628</v>
      </c>
      <c r="K1542" s="10" t="n">
        <v>46128</v>
      </c>
      <c r="L1542" s="3" t="s">
        <v>16</v>
      </c>
      <c r="M1542" s="7" t="n">
        <v>65242</v>
      </c>
      <c r="N1542" s="8" t="n">
        <v>0.00381533</v>
      </c>
      <c r="O1542" s="4" t="n">
        <v>169.99995986</v>
      </c>
    </row>
    <row r="1543" customFormat="false" ht="15" hidden="false" customHeight="false" outlineLevel="0" collapsed="false">
      <c r="A1543" s="0" t="s">
        <v>2423</v>
      </c>
      <c r="C1543" s="0" t="s">
        <v>360</v>
      </c>
      <c r="D1543" s="7" t="n">
        <v>9700</v>
      </c>
      <c r="E1543" s="8" t="n">
        <v>0.0174422680412371</v>
      </c>
      <c r="F1543" s="4" t="n">
        <f aca="false">D1543*E1543</f>
        <v>169.19</v>
      </c>
      <c r="G1543" s="7" t="n">
        <v>2497</v>
      </c>
      <c r="H1543" s="9" t="n">
        <f aca="false">IF(G1543&gt;0,D1543/G1543,"")</f>
        <v>3.8846615939127</v>
      </c>
      <c r="I1543" s="10" t="n">
        <v>46181</v>
      </c>
      <c r="J1543" s="3" t="s">
        <v>436</v>
      </c>
      <c r="K1543" s="10" t="n">
        <v>46135</v>
      </c>
      <c r="L1543" s="3" t="s">
        <v>16</v>
      </c>
      <c r="M1543" s="7" t="n">
        <v>11500</v>
      </c>
      <c r="N1543" s="8" t="n">
        <v>0.0175</v>
      </c>
      <c r="O1543" s="4" t="n">
        <f aca="false">M1543*N1543</f>
        <v>201.25</v>
      </c>
    </row>
    <row r="1544" customFormat="false" ht="15" hidden="false" customHeight="false" outlineLevel="0" collapsed="false">
      <c r="A1544" s="0" t="s">
        <v>2424</v>
      </c>
      <c r="C1544" s="0" t="s">
        <v>360</v>
      </c>
      <c r="D1544" s="7" t="n">
        <v>31737</v>
      </c>
      <c r="E1544" s="8" t="n">
        <v>0.00532942622176009</v>
      </c>
      <c r="F1544" s="4" t="n">
        <f aca="false">D1544*E1544</f>
        <v>169.14</v>
      </c>
      <c r="G1544" s="7" t="n">
        <v>2790</v>
      </c>
      <c r="H1544" s="9" t="n">
        <f aca="false">IF(G1544&gt;0,D1544/G1544,"")</f>
        <v>11.3752688172043</v>
      </c>
      <c r="I1544" s="10" t="n">
        <v>46185</v>
      </c>
      <c r="J1544" s="3" t="s">
        <v>1369</v>
      </c>
      <c r="K1544" s="10" t="n">
        <v>44299</v>
      </c>
      <c r="L1544" s="3" t="s">
        <v>15</v>
      </c>
      <c r="M1544" s="7" t="n">
        <v>6680</v>
      </c>
      <c r="N1544" s="8" t="n">
        <v>0.00429</v>
      </c>
      <c r="O1544" s="4" t="n">
        <f aca="false">M1544*N1544</f>
        <v>28.6572</v>
      </c>
    </row>
    <row r="1545" customFormat="false" ht="15" hidden="false" customHeight="false" outlineLevel="0" collapsed="false">
      <c r="A1545" s="0" t="s">
        <v>2425</v>
      </c>
      <c r="C1545" s="0" t="s">
        <v>37</v>
      </c>
      <c r="D1545" s="7" t="n">
        <v>31175</v>
      </c>
      <c r="E1545" s="8" t="n">
        <v>0.00542036888532478</v>
      </c>
      <c r="F1545" s="4" t="n">
        <f aca="false">D1545*E1545</f>
        <v>168.98</v>
      </c>
      <c r="G1545" s="7" t="n">
        <v>310</v>
      </c>
      <c r="H1545" s="9" t="n">
        <f aca="false">IF(G1545&gt;0,D1545/G1545,"")</f>
        <v>100.564516129032</v>
      </c>
      <c r="I1545" s="10" t="n">
        <v>46252</v>
      </c>
      <c r="J1545" s="3" t="s">
        <v>1936</v>
      </c>
      <c r="K1545" s="10" t="n">
        <v>45057</v>
      </c>
      <c r="L1545" s="3" t="s">
        <v>15</v>
      </c>
      <c r="M1545" s="7" t="n">
        <v>36950</v>
      </c>
      <c r="N1545" s="8" t="n">
        <v>0.00542</v>
      </c>
      <c r="O1545" s="4" t="n">
        <f aca="false">M1545*N1545</f>
        <v>200.269</v>
      </c>
    </row>
    <row r="1546" customFormat="false" ht="15" hidden="false" customHeight="false" outlineLevel="0" collapsed="false">
      <c r="A1546" s="0" t="s">
        <v>2426</v>
      </c>
      <c r="C1546" s="0" t="s">
        <v>37</v>
      </c>
      <c r="D1546" s="7" t="n">
        <v>522</v>
      </c>
      <c r="E1546" s="8" t="n">
        <v>0.32367816091954</v>
      </c>
      <c r="F1546" s="4" t="n">
        <f aca="false">D1546*E1546</f>
        <v>168.96</v>
      </c>
      <c r="G1546" s="7" t="n">
        <v>90</v>
      </c>
      <c r="H1546" s="9" t="n">
        <f aca="false">IF(G1546&gt;0,D1546/G1546,"")</f>
        <v>5.8</v>
      </c>
      <c r="I1546" s="10" t="n">
        <v>46043</v>
      </c>
      <c r="J1546" s="3" t="s">
        <v>1018</v>
      </c>
      <c r="K1546" s="10" t="n">
        <v>45912</v>
      </c>
      <c r="L1546" s="3" t="s">
        <v>15</v>
      </c>
      <c r="M1546" s="7" t="n">
        <v>612</v>
      </c>
      <c r="N1546" s="8" t="n">
        <v>0.32368</v>
      </c>
      <c r="O1546" s="4" t="n">
        <f aca="false">M1546*N1546</f>
        <v>198.09216</v>
      </c>
    </row>
    <row r="1547" customFormat="false" ht="15" hidden="false" customHeight="false" outlineLevel="0" collapsed="false">
      <c r="A1547" s="0" t="s">
        <v>2427</v>
      </c>
      <c r="C1547" s="0" t="s">
        <v>32</v>
      </c>
      <c r="D1547" s="7" t="n">
        <v>9275</v>
      </c>
      <c r="E1547" s="8" t="n">
        <v>0.018200539083558</v>
      </c>
      <c r="F1547" s="4" t="n">
        <f aca="false">D1547*E1547</f>
        <v>168.81</v>
      </c>
      <c r="G1547" s="7" t="n">
        <v>616</v>
      </c>
      <c r="H1547" s="9" t="n">
        <f aca="false">IF(G1547&gt;0,D1547/G1547,"")</f>
        <v>15.0568181818182</v>
      </c>
      <c r="I1547" s="10" t="n">
        <v>46289</v>
      </c>
      <c r="J1547" s="3" t="s">
        <v>879</v>
      </c>
      <c r="K1547" s="10" t="n">
        <v>44291</v>
      </c>
      <c r="L1547" s="3" t="s">
        <v>18</v>
      </c>
      <c r="M1547" s="7" t="n">
        <v>11450</v>
      </c>
      <c r="N1547" s="8" t="n">
        <v>0.0182</v>
      </c>
      <c r="O1547" s="4" t="n">
        <f aca="false">M1547*N1547</f>
        <v>208.39</v>
      </c>
    </row>
    <row r="1548" customFormat="false" ht="15" hidden="false" customHeight="false" outlineLevel="0" collapsed="false">
      <c r="A1548" s="0" t="s">
        <v>2428</v>
      </c>
      <c r="C1548" s="0" t="s">
        <v>934</v>
      </c>
      <c r="D1548" s="7" t="n">
        <v>118</v>
      </c>
      <c r="E1548" s="8" t="n">
        <v>1.42974576271186</v>
      </c>
      <c r="F1548" s="4" t="n">
        <f aca="false">D1548*E1548</f>
        <v>168.71</v>
      </c>
      <c r="G1548" s="7" t="n">
        <v>2</v>
      </c>
      <c r="H1548" s="9" t="n">
        <f aca="false">IF(G1548&gt;0,D1548/G1548,"")</f>
        <v>59</v>
      </c>
      <c r="I1548" s="10" t="n">
        <v>46086</v>
      </c>
      <c r="K1548" s="10"/>
      <c r="M1548" s="7"/>
      <c r="N1548" s="8"/>
      <c r="O1548" s="4"/>
    </row>
    <row r="1549" customFormat="false" ht="15" hidden="false" customHeight="false" outlineLevel="0" collapsed="false">
      <c r="A1549" s="0" t="s">
        <v>2429</v>
      </c>
      <c r="C1549" s="0" t="s">
        <v>37</v>
      </c>
      <c r="D1549" s="7" t="n">
        <v>671</v>
      </c>
      <c r="E1549" s="8" t="n">
        <v>0.251385991058122</v>
      </c>
      <c r="F1549" s="4" t="n">
        <f aca="false">D1549*E1549</f>
        <v>168.68</v>
      </c>
      <c r="G1549" s="7" t="n">
        <v>124</v>
      </c>
      <c r="H1549" s="9" t="n">
        <f aca="false">IF(G1549&gt;0,D1549/G1549,"")</f>
        <v>5.41129032258065</v>
      </c>
      <c r="I1549" s="10" t="n">
        <v>46106</v>
      </c>
      <c r="J1549" s="3" t="s">
        <v>1018</v>
      </c>
      <c r="K1549" s="10" t="n">
        <v>45912</v>
      </c>
      <c r="L1549" s="3" t="s">
        <v>15</v>
      </c>
      <c r="M1549" s="7" t="n">
        <v>795</v>
      </c>
      <c r="N1549" s="8" t="n">
        <v>0.2514</v>
      </c>
      <c r="O1549" s="4" t="n">
        <f aca="false">M1549*N1549</f>
        <v>199.863</v>
      </c>
    </row>
    <row r="1550" customFormat="false" ht="15" hidden="false" customHeight="false" outlineLevel="0" collapsed="false">
      <c r="A1550" s="0" t="s">
        <v>2430</v>
      </c>
      <c r="C1550" s="0" t="s">
        <v>31</v>
      </c>
      <c r="D1550" s="7" t="n">
        <v>11704</v>
      </c>
      <c r="E1550" s="8" t="n">
        <v>0.0144104579630895</v>
      </c>
      <c r="F1550" s="4" t="n">
        <f aca="false">D1550*E1550</f>
        <v>168.66</v>
      </c>
      <c r="G1550" s="7" t="n">
        <v>1567</v>
      </c>
      <c r="H1550" s="9" t="n">
        <f aca="false">IF(G1550&gt;0,D1550/G1550,"")</f>
        <v>7.46904913848117</v>
      </c>
      <c r="I1550" s="10" t="n">
        <v>46308</v>
      </c>
      <c r="J1550" s="3" t="s">
        <v>1209</v>
      </c>
      <c r="K1550" s="10" t="n">
        <v>45993</v>
      </c>
      <c r="L1550" s="3" t="s">
        <v>16</v>
      </c>
      <c r="M1550" s="7" t="n">
        <v>10500</v>
      </c>
      <c r="N1550" s="8" t="n">
        <v>0.0143</v>
      </c>
      <c r="O1550" s="4" t="n">
        <f aca="false">M1550*N1550</f>
        <v>150.15</v>
      </c>
    </row>
    <row r="1551" customFormat="false" ht="15" hidden="false" customHeight="false" outlineLevel="0" collapsed="false">
      <c r="A1551" s="0" t="s">
        <v>2431</v>
      </c>
      <c r="C1551" s="0" t="s">
        <v>43</v>
      </c>
      <c r="D1551" s="7" t="n">
        <v>307</v>
      </c>
      <c r="E1551" s="8" t="n">
        <v>0.547915309446254</v>
      </c>
      <c r="F1551" s="4" t="n">
        <f aca="false">D1551*E1551</f>
        <v>168.21</v>
      </c>
      <c r="G1551" s="7" t="n">
        <v>48</v>
      </c>
      <c r="H1551" s="9" t="n">
        <f aca="false">IF(G1551&gt;0,D1551/G1551,"")</f>
        <v>6.39583333333333</v>
      </c>
      <c r="I1551" s="10" t="n">
        <v>46202</v>
      </c>
      <c r="J1551" s="3" t="s">
        <v>2432</v>
      </c>
      <c r="K1551" s="10" t="n">
        <v>44505</v>
      </c>
      <c r="L1551" s="3" t="s">
        <v>14</v>
      </c>
      <c r="M1551" s="7" t="n">
        <v>189</v>
      </c>
      <c r="N1551" s="8" t="n">
        <v>0.5859</v>
      </c>
      <c r="O1551" s="4" t="n">
        <f aca="false">M1551*N1551</f>
        <v>110.7351</v>
      </c>
    </row>
    <row r="1552" customFormat="false" ht="15" hidden="false" customHeight="false" outlineLevel="0" collapsed="false">
      <c r="A1552" s="0" t="s">
        <v>2433</v>
      </c>
      <c r="C1552" s="0" t="s">
        <v>340</v>
      </c>
      <c r="D1552" s="7" t="n">
        <v>2581</v>
      </c>
      <c r="E1552" s="8" t="n">
        <v>0.0650949244478884</v>
      </c>
      <c r="F1552" s="4" t="n">
        <f aca="false">D1552*E1552</f>
        <v>168.01</v>
      </c>
      <c r="G1552" s="7" t="n">
        <v>856</v>
      </c>
      <c r="H1552" s="9" t="n">
        <f aca="false">IF(G1552&gt;0,D1552/G1552,"")</f>
        <v>3.01518691588785</v>
      </c>
      <c r="I1552" s="10" t="n">
        <v>46301</v>
      </c>
      <c r="J1552" s="3" t="s">
        <v>341</v>
      </c>
      <c r="K1552" s="10" t="n">
        <v>46078</v>
      </c>
      <c r="L1552" s="3" t="s">
        <v>15</v>
      </c>
      <c r="M1552" s="7" t="n">
        <v>370</v>
      </c>
      <c r="N1552" s="8" t="n">
        <v>0.06353</v>
      </c>
      <c r="O1552" s="4" t="n">
        <f aca="false">M1552*N1552</f>
        <v>23.5061</v>
      </c>
    </row>
    <row r="1553" customFormat="false" ht="15" hidden="false" customHeight="false" outlineLevel="0" collapsed="false">
      <c r="A1553" s="0" t="s">
        <v>2434</v>
      </c>
      <c r="C1553" s="0" t="s">
        <v>285</v>
      </c>
      <c r="D1553" s="7" t="n">
        <v>18708</v>
      </c>
      <c r="E1553" s="8" t="n">
        <v>0.00897958092794526</v>
      </c>
      <c r="F1553" s="4" t="n">
        <f aca="false">D1553*E1553</f>
        <v>167.99</v>
      </c>
      <c r="G1553" s="7" t="n">
        <v>96</v>
      </c>
      <c r="H1553" s="9" t="n">
        <f aca="false">IF(G1553&gt;0,D1553/G1553,"")</f>
        <v>194.875</v>
      </c>
      <c r="I1553" s="10" t="n">
        <v>46202</v>
      </c>
      <c r="J1553" s="3" t="s">
        <v>919</v>
      </c>
      <c r="K1553" s="10" t="n">
        <v>45119</v>
      </c>
      <c r="L1553" s="3" t="s">
        <v>15</v>
      </c>
      <c r="M1553" s="7" t="n">
        <v>20000</v>
      </c>
      <c r="N1553" s="8" t="n">
        <v>0.00898</v>
      </c>
      <c r="O1553" s="4" t="n">
        <f aca="false">M1553*N1553</f>
        <v>179.6</v>
      </c>
    </row>
    <row r="1554" customFormat="false" ht="15" hidden="false" customHeight="false" outlineLevel="0" collapsed="false">
      <c r="A1554" s="0" t="s">
        <v>2435</v>
      </c>
      <c r="C1554" s="0" t="s">
        <v>34</v>
      </c>
      <c r="D1554" s="7" t="n">
        <v>4381</v>
      </c>
      <c r="E1554" s="8" t="n">
        <v>0.0382994750057065</v>
      </c>
      <c r="F1554" s="4" t="n">
        <f aca="false">D1554*E1554</f>
        <v>167.79</v>
      </c>
      <c r="G1554" s="7" t="n">
        <v>950</v>
      </c>
      <c r="H1554" s="9" t="n">
        <f aca="false">IF(G1554&gt;0,D1554/G1554,"")</f>
        <v>4.61157894736842</v>
      </c>
      <c r="I1554" s="10" t="n">
        <v>46232</v>
      </c>
      <c r="J1554" s="3" t="s">
        <v>2436</v>
      </c>
      <c r="K1554" s="10" t="n">
        <v>44931</v>
      </c>
      <c r="L1554" s="3" t="s">
        <v>19</v>
      </c>
      <c r="M1554" s="7" t="n">
        <v>10000</v>
      </c>
      <c r="N1554" s="8" t="n">
        <v>0.0383</v>
      </c>
      <c r="O1554" s="4" t="n">
        <f aca="false">M1554*N1554</f>
        <v>383</v>
      </c>
    </row>
    <row r="1555" customFormat="false" ht="15" hidden="false" customHeight="false" outlineLevel="0" collapsed="false">
      <c r="A1555" s="0" t="s">
        <v>2437</v>
      </c>
      <c r="D1555" s="7" t="n">
        <v>219</v>
      </c>
      <c r="E1555" s="8" t="n">
        <v>0.766027397260274</v>
      </c>
      <c r="F1555" s="4" t="n">
        <f aca="false">D1555*E1555</f>
        <v>167.76</v>
      </c>
      <c r="G1555" s="7" t="n">
        <v>38</v>
      </c>
      <c r="H1555" s="9" t="n">
        <f aca="false">IF(G1555&gt;0,D1555/G1555,"")</f>
        <v>5.76315789473684</v>
      </c>
      <c r="I1555" s="10" t="n">
        <v>46211</v>
      </c>
      <c r="J1555" s="3" t="s">
        <v>59</v>
      </c>
      <c r="K1555" s="10" t="n">
        <v>44292</v>
      </c>
      <c r="L1555" s="3" t="s">
        <v>14</v>
      </c>
      <c r="M1555" s="7" t="n">
        <v>500</v>
      </c>
      <c r="N1555" s="8" t="n">
        <v>0.766</v>
      </c>
      <c r="O1555" s="4" t="n">
        <f aca="false">M1555*N1555</f>
        <v>383</v>
      </c>
    </row>
    <row r="1556" customFormat="false" ht="15" hidden="false" customHeight="false" outlineLevel="0" collapsed="false">
      <c r="A1556" s="0" t="s">
        <v>2438</v>
      </c>
      <c r="C1556" s="0" t="s">
        <v>799</v>
      </c>
      <c r="D1556" s="7" t="n">
        <v>110</v>
      </c>
      <c r="E1556" s="8" t="n">
        <v>1.52509090909091</v>
      </c>
      <c r="F1556" s="4" t="n">
        <f aca="false">D1556*E1556</f>
        <v>167.76</v>
      </c>
      <c r="G1556" s="7" t="n">
        <v>43</v>
      </c>
      <c r="H1556" s="9" t="n">
        <f aca="false">IF(G1556&gt;0,D1556/G1556,"")</f>
        <v>2.55813953488372</v>
      </c>
      <c r="I1556" s="10" t="n">
        <v>46309</v>
      </c>
      <c r="K1556" s="10"/>
      <c r="M1556" s="7"/>
      <c r="N1556" s="8"/>
      <c r="O1556" s="4"/>
    </row>
    <row r="1557" customFormat="false" ht="15" hidden="false" customHeight="false" outlineLevel="0" collapsed="false">
      <c r="A1557" s="0" t="s">
        <v>2439</v>
      </c>
      <c r="C1557" s="0" t="s">
        <v>31</v>
      </c>
      <c r="D1557" s="7" t="n">
        <v>16030</v>
      </c>
      <c r="E1557" s="8" t="n">
        <v>0.0104616344354336</v>
      </c>
      <c r="F1557" s="4" t="n">
        <f aca="false">D1557*E1557</f>
        <v>167.7</v>
      </c>
      <c r="G1557" s="7" t="n">
        <v>546</v>
      </c>
      <c r="H1557" s="9" t="n">
        <f aca="false">IF(G1557&gt;0,D1557/G1557,"")</f>
        <v>29.3589743589744</v>
      </c>
      <c r="I1557" s="10" t="n">
        <v>46253</v>
      </c>
      <c r="J1557" s="3" t="s">
        <v>278</v>
      </c>
      <c r="K1557" s="10" t="n">
        <v>45967</v>
      </c>
      <c r="L1557" s="3" t="s">
        <v>16</v>
      </c>
      <c r="M1557" s="7" t="n">
        <v>15000</v>
      </c>
      <c r="N1557" s="8" t="n">
        <v>0.01015</v>
      </c>
      <c r="O1557" s="4" t="n">
        <f aca="false">M1557*N1557</f>
        <v>152.25</v>
      </c>
    </row>
    <row r="1558" customFormat="false" ht="15" hidden="false" customHeight="false" outlineLevel="0" collapsed="false">
      <c r="A1558" s="0" t="s">
        <v>2440</v>
      </c>
      <c r="C1558" s="0" t="s">
        <v>61</v>
      </c>
      <c r="D1558" s="7" t="n">
        <v>764</v>
      </c>
      <c r="E1558" s="8" t="n">
        <v>0.219410994764398</v>
      </c>
      <c r="F1558" s="4" t="n">
        <f aca="false">D1558*E1558</f>
        <v>167.63</v>
      </c>
      <c r="G1558" s="7" t="n">
        <v>475</v>
      </c>
      <c r="H1558" s="9" t="n">
        <f aca="false">IF(G1558&gt;0,D1558/G1558,"")</f>
        <v>1.60842105263158</v>
      </c>
      <c r="I1558" s="10" t="n">
        <v>46295</v>
      </c>
      <c r="J1558" s="3" t="s">
        <v>1423</v>
      </c>
      <c r="K1558" s="10" t="n">
        <v>45786</v>
      </c>
      <c r="L1558" s="3" t="s">
        <v>23</v>
      </c>
      <c r="M1558" s="7" t="n">
        <v>1200</v>
      </c>
      <c r="N1558" s="8" t="n">
        <v>0.2218</v>
      </c>
      <c r="O1558" s="4" t="n">
        <f aca="false">M1558*N1558</f>
        <v>266.16</v>
      </c>
    </row>
    <row r="1559" customFormat="false" ht="15" hidden="false" customHeight="false" outlineLevel="0" collapsed="false">
      <c r="A1559" s="0" t="s">
        <v>2441</v>
      </c>
      <c r="C1559" s="0" t="s">
        <v>45</v>
      </c>
      <c r="D1559" s="7" t="n">
        <v>2634</v>
      </c>
      <c r="E1559" s="8" t="n">
        <v>0.0636066818526955</v>
      </c>
      <c r="F1559" s="4" t="n">
        <f aca="false">D1559*E1559</f>
        <v>167.54</v>
      </c>
      <c r="G1559" s="7" t="n">
        <v>161</v>
      </c>
      <c r="H1559" s="9" t="n">
        <f aca="false">IF(G1559&gt;0,D1559/G1559,"")</f>
        <v>16.360248447205</v>
      </c>
      <c r="I1559" s="10" t="n">
        <v>46295</v>
      </c>
      <c r="J1559" s="3" t="s">
        <v>949</v>
      </c>
      <c r="K1559" s="10" t="n">
        <v>45763</v>
      </c>
      <c r="L1559" s="3" t="s">
        <v>23</v>
      </c>
      <c r="M1559" s="7" t="n">
        <v>4000</v>
      </c>
      <c r="N1559" s="8" t="n">
        <v>0.0636</v>
      </c>
      <c r="O1559" s="4" t="n">
        <f aca="false">M1559*N1559</f>
        <v>254.4</v>
      </c>
    </row>
    <row r="1560" customFormat="false" ht="15" hidden="false" customHeight="false" outlineLevel="0" collapsed="false">
      <c r="A1560" s="0" t="s">
        <v>2442</v>
      </c>
      <c r="C1560" s="0" t="s">
        <v>43</v>
      </c>
      <c r="D1560" s="7" t="n">
        <v>251</v>
      </c>
      <c r="E1560" s="8" t="n">
        <v>0.667131474103586</v>
      </c>
      <c r="F1560" s="4" t="n">
        <f aca="false">D1560*E1560</f>
        <v>167.45</v>
      </c>
      <c r="G1560" s="7" t="n">
        <v>30</v>
      </c>
      <c r="H1560" s="9" t="n">
        <f aca="false">IF(G1560&gt;0,D1560/G1560,"")</f>
        <v>8.36666666666667</v>
      </c>
      <c r="I1560" s="10" t="n">
        <v>46037</v>
      </c>
      <c r="J1560" s="3" t="s">
        <v>1118</v>
      </c>
      <c r="K1560" s="10" t="n">
        <v>45011</v>
      </c>
      <c r="L1560" s="3" t="s">
        <v>14</v>
      </c>
      <c r="M1560" s="7" t="n">
        <v>500</v>
      </c>
      <c r="N1560" s="8" t="n">
        <v>0.6671</v>
      </c>
      <c r="O1560" s="4" t="n">
        <f aca="false">M1560*N1560</f>
        <v>333.55</v>
      </c>
    </row>
    <row r="1561" customFormat="false" ht="15" hidden="false" customHeight="false" outlineLevel="0" collapsed="false">
      <c r="A1561" s="0" t="s">
        <v>2443</v>
      </c>
      <c r="C1561" s="0" t="s">
        <v>741</v>
      </c>
      <c r="D1561" s="7" t="n">
        <v>1512</v>
      </c>
      <c r="E1561" s="8" t="n">
        <v>0.1107208994709</v>
      </c>
      <c r="F1561" s="4" t="n">
        <f aca="false">D1561*E1561</f>
        <v>167.41</v>
      </c>
      <c r="G1561" s="7" t="n">
        <v>20</v>
      </c>
      <c r="H1561" s="9" t="n">
        <f aca="false">IF(G1561&gt;0,D1561/G1561,"")</f>
        <v>75.6</v>
      </c>
      <c r="I1561" s="10" t="n">
        <v>46112</v>
      </c>
      <c r="J1561" s="3" t="s">
        <v>2219</v>
      </c>
      <c r="K1561" s="10" t="n">
        <v>46014</v>
      </c>
      <c r="L1561" s="3" t="s">
        <v>27</v>
      </c>
      <c r="M1561" s="7" t="n">
        <v>750</v>
      </c>
      <c r="N1561" s="8" t="n">
        <v>0.1211</v>
      </c>
      <c r="O1561" s="4" t="n">
        <f aca="false">M1561*N1561</f>
        <v>90.825</v>
      </c>
    </row>
    <row r="1562" customFormat="false" ht="15" hidden="false" customHeight="false" outlineLevel="0" collapsed="false">
      <c r="A1562" s="0" t="s">
        <v>2444</v>
      </c>
      <c r="C1562" s="0" t="s">
        <v>438</v>
      </c>
      <c r="D1562" s="7" t="n">
        <v>45</v>
      </c>
      <c r="E1562" s="8" t="n">
        <v>3.71755555555556</v>
      </c>
      <c r="F1562" s="4" t="n">
        <f aca="false">D1562*E1562</f>
        <v>167.29</v>
      </c>
      <c r="G1562" s="7" t="n">
        <v>12</v>
      </c>
      <c r="H1562" s="9" t="n">
        <f aca="false">IF(G1562&gt;0,D1562/G1562,"")</f>
        <v>3.75</v>
      </c>
      <c r="I1562" s="10" t="n">
        <v>46168</v>
      </c>
      <c r="J1562" s="3" t="s">
        <v>2445</v>
      </c>
      <c r="K1562" s="10" t="n">
        <v>44739</v>
      </c>
      <c r="L1562" s="3" t="s">
        <v>14</v>
      </c>
      <c r="M1562" s="7" t="n">
        <v>100</v>
      </c>
      <c r="N1562" s="8" t="n">
        <v>3.7177</v>
      </c>
      <c r="O1562" s="4" t="n">
        <f aca="false">M1562*N1562</f>
        <v>371.77</v>
      </c>
    </row>
    <row r="1563" customFormat="false" ht="15" hidden="false" customHeight="false" outlineLevel="0" collapsed="false">
      <c r="A1563" s="0" t="s">
        <v>2446</v>
      </c>
      <c r="C1563" s="0" t="s">
        <v>36</v>
      </c>
      <c r="D1563" s="7" t="n">
        <v>6100</v>
      </c>
      <c r="E1563" s="8" t="n">
        <v>0.0274065573770492</v>
      </c>
      <c r="F1563" s="4" t="n">
        <f aca="false">D1563*E1563</f>
        <v>167.18</v>
      </c>
      <c r="G1563" s="7" t="n">
        <v>1115</v>
      </c>
      <c r="H1563" s="9" t="n">
        <f aca="false">IF(G1563&gt;0,D1563/G1563,"")</f>
        <v>5.47085201793722</v>
      </c>
      <c r="I1563" s="10" t="n">
        <v>46239</v>
      </c>
      <c r="J1563" s="3" t="s">
        <v>1028</v>
      </c>
      <c r="K1563" s="10" t="n">
        <v>45689</v>
      </c>
      <c r="L1563" s="3" t="s">
        <v>18</v>
      </c>
      <c r="M1563" s="7" t="n">
        <v>3800</v>
      </c>
      <c r="N1563" s="8" t="n">
        <v>0.0261</v>
      </c>
      <c r="O1563" s="4" t="n">
        <f aca="false">M1563*N1563</f>
        <v>99.18</v>
      </c>
    </row>
    <row r="1564" customFormat="false" ht="15" hidden="false" customHeight="false" outlineLevel="0" collapsed="false">
      <c r="A1564" s="0" t="s">
        <v>2447</v>
      </c>
      <c r="C1564" s="0" t="s">
        <v>741</v>
      </c>
      <c r="D1564" s="7" t="n">
        <v>1036</v>
      </c>
      <c r="E1564" s="8" t="n">
        <v>0.160781853281853</v>
      </c>
      <c r="F1564" s="4" t="n">
        <f aca="false">D1564*E1564</f>
        <v>166.57</v>
      </c>
      <c r="G1564" s="7" t="n">
        <v>55</v>
      </c>
      <c r="H1564" s="9" t="n">
        <f aca="false">IF(G1564&gt;0,D1564/G1564,"")</f>
        <v>18.8363636363636</v>
      </c>
      <c r="I1564" s="10" t="n">
        <v>46112</v>
      </c>
      <c r="J1564" s="3" t="s">
        <v>1891</v>
      </c>
      <c r="K1564" s="10" t="n">
        <v>46140</v>
      </c>
      <c r="L1564" s="3" t="s">
        <v>27</v>
      </c>
      <c r="M1564" s="7" t="n">
        <v>250</v>
      </c>
      <c r="N1564" s="8" t="n">
        <v>0.1922</v>
      </c>
      <c r="O1564" s="4" t="n">
        <f aca="false">M1564*N1564</f>
        <v>48.05</v>
      </c>
    </row>
    <row r="1565" customFormat="false" ht="15" hidden="false" customHeight="false" outlineLevel="0" collapsed="false">
      <c r="A1565" s="0" t="s">
        <v>2448</v>
      </c>
      <c r="C1565" s="0" t="s">
        <v>36</v>
      </c>
      <c r="D1565" s="7" t="n">
        <v>2937</v>
      </c>
      <c r="E1565" s="8" t="n">
        <v>0.0567007150153218</v>
      </c>
      <c r="F1565" s="4" t="n">
        <f aca="false">D1565*E1565</f>
        <v>166.53</v>
      </c>
      <c r="G1565" s="7" t="n">
        <v>350</v>
      </c>
      <c r="H1565" s="9" t="n">
        <f aca="false">IF(G1565&gt;0,D1565/G1565,"")</f>
        <v>8.39142857142857</v>
      </c>
      <c r="I1565" s="10" t="n">
        <v>46237</v>
      </c>
      <c r="J1565" s="3" t="s">
        <v>2449</v>
      </c>
      <c r="K1565" s="10" t="n">
        <v>45434</v>
      </c>
      <c r="L1565" s="3" t="s">
        <v>18</v>
      </c>
      <c r="M1565" s="7" t="n">
        <v>3321</v>
      </c>
      <c r="N1565" s="8" t="n">
        <v>0.0567</v>
      </c>
      <c r="O1565" s="4" t="n">
        <f aca="false">M1565*N1565</f>
        <v>188.3007</v>
      </c>
    </row>
    <row r="1566" customFormat="false" ht="15" hidden="false" customHeight="false" outlineLevel="0" collapsed="false">
      <c r="A1566" s="0" t="s">
        <v>2450</v>
      </c>
      <c r="C1566" s="0" t="s">
        <v>889</v>
      </c>
      <c r="D1566" s="7" t="n">
        <v>2357</v>
      </c>
      <c r="E1566" s="8" t="n">
        <v>0.070593975392448</v>
      </c>
      <c r="F1566" s="4" t="n">
        <f aca="false">D1566*E1566</f>
        <v>166.39</v>
      </c>
      <c r="G1566" s="7" t="n">
        <v>1680</v>
      </c>
      <c r="H1566" s="9" t="n">
        <f aca="false">IF(G1566&gt;0,D1566/G1566,"")</f>
        <v>1.40297619047619</v>
      </c>
      <c r="I1566" s="10" t="n">
        <v>46196</v>
      </c>
      <c r="J1566" s="3" t="s">
        <v>2451</v>
      </c>
      <c r="K1566" s="10" t="n">
        <v>44729</v>
      </c>
      <c r="L1566" s="3" t="s">
        <v>936</v>
      </c>
      <c r="M1566" s="7" t="n">
        <v>5003</v>
      </c>
      <c r="N1566" s="8" t="n">
        <v>0.0706</v>
      </c>
      <c r="O1566" s="4" t="n">
        <v>353</v>
      </c>
    </row>
    <row r="1567" customFormat="false" ht="15" hidden="false" customHeight="false" outlineLevel="0" collapsed="false">
      <c r="A1567" s="0" t="s">
        <v>2452</v>
      </c>
      <c r="C1567" s="0" t="s">
        <v>40</v>
      </c>
      <c r="D1567" s="7" t="n">
        <v>14585</v>
      </c>
      <c r="E1567" s="8" t="n">
        <v>0.0114000685635927</v>
      </c>
      <c r="F1567" s="4" t="n">
        <f aca="false">D1567*E1567</f>
        <v>166.27</v>
      </c>
      <c r="G1567" s="7" t="n">
        <v>700</v>
      </c>
      <c r="H1567" s="9" t="n">
        <f aca="false">IF(G1567&gt;0,D1567/G1567,"")</f>
        <v>20.8357142857143</v>
      </c>
      <c r="I1567" s="10" t="n">
        <v>46286</v>
      </c>
      <c r="J1567" s="3" t="s">
        <v>1905</v>
      </c>
      <c r="K1567" s="10" t="n">
        <v>45672</v>
      </c>
      <c r="L1567" s="3" t="s">
        <v>18</v>
      </c>
      <c r="M1567" s="7" t="n">
        <v>9000</v>
      </c>
      <c r="N1567" s="8" t="n">
        <v>0.0114</v>
      </c>
      <c r="O1567" s="4" t="n">
        <f aca="false">M1567*N1567</f>
        <v>102.6</v>
      </c>
    </row>
    <row r="1568" customFormat="false" ht="15" hidden="false" customHeight="false" outlineLevel="0" collapsed="false">
      <c r="A1568" s="0" t="s">
        <v>2453</v>
      </c>
      <c r="C1568" s="0" t="s">
        <v>360</v>
      </c>
      <c r="D1568" s="7" t="n">
        <v>5546</v>
      </c>
      <c r="E1568" s="8" t="n">
        <v>0.0299585286693112</v>
      </c>
      <c r="F1568" s="4" t="n">
        <f aca="false">D1568*E1568</f>
        <v>166.15</v>
      </c>
      <c r="G1568" s="7" t="n">
        <v>150</v>
      </c>
      <c r="H1568" s="9" t="n">
        <f aca="false">IF(G1568&gt;0,D1568/G1568,"")</f>
        <v>36.9733333333333</v>
      </c>
      <c r="I1568" s="10" t="n">
        <v>46211</v>
      </c>
      <c r="K1568" s="10"/>
      <c r="M1568" s="7"/>
      <c r="N1568" s="8"/>
      <c r="O1568" s="4"/>
    </row>
    <row r="1569" customFormat="false" ht="15" hidden="false" customHeight="false" outlineLevel="0" collapsed="false">
      <c r="A1569" s="0" t="s">
        <v>2454</v>
      </c>
      <c r="C1569" s="0" t="s">
        <v>275</v>
      </c>
      <c r="D1569" s="7" t="n">
        <v>20</v>
      </c>
      <c r="E1569" s="8" t="n">
        <v>8.302</v>
      </c>
      <c r="F1569" s="4" t="n">
        <f aca="false">D1569*E1569</f>
        <v>166.04</v>
      </c>
      <c r="G1569" s="7" t="n">
        <v>10</v>
      </c>
      <c r="H1569" s="9" t="n">
        <f aca="false">IF(G1569&gt;0,D1569/G1569,"")</f>
        <v>2</v>
      </c>
      <c r="I1569" s="10" t="n">
        <v>46037</v>
      </c>
      <c r="J1569" s="3" t="s">
        <v>938</v>
      </c>
      <c r="K1569" s="10" t="n">
        <v>46294</v>
      </c>
      <c r="L1569" s="3" t="s">
        <v>14</v>
      </c>
      <c r="M1569" s="7" t="n">
        <v>20</v>
      </c>
      <c r="N1569" s="8" t="n">
        <v>8.302</v>
      </c>
      <c r="O1569" s="4" t="n">
        <f aca="false">M1569*N1569</f>
        <v>166.04</v>
      </c>
    </row>
    <row r="1570" customFormat="false" ht="15" hidden="false" customHeight="false" outlineLevel="0" collapsed="false">
      <c r="A1570" s="0" t="s">
        <v>2455</v>
      </c>
      <c r="C1570" s="0" t="s">
        <v>1017</v>
      </c>
      <c r="D1570" s="7" t="n">
        <v>1451</v>
      </c>
      <c r="E1570" s="8" t="n">
        <v>0.114431426602343</v>
      </c>
      <c r="F1570" s="4" t="n">
        <f aca="false">D1570*E1570</f>
        <v>166.04</v>
      </c>
      <c r="G1570" s="7" t="n">
        <v>29</v>
      </c>
      <c r="H1570" s="9" t="n">
        <f aca="false">IF(G1570&gt;0,D1570/G1570,"")</f>
        <v>50.0344827586207</v>
      </c>
      <c r="I1570" s="10" t="n">
        <v>46294</v>
      </c>
      <c r="J1570" s="3" t="s">
        <v>1684</v>
      </c>
      <c r="K1570" s="10" t="n">
        <v>45755</v>
      </c>
      <c r="L1570" s="3" t="s">
        <v>15</v>
      </c>
      <c r="M1570" s="7" t="n">
        <v>1980</v>
      </c>
      <c r="N1570" s="8" t="n">
        <v>0.11443</v>
      </c>
      <c r="O1570" s="4" t="n">
        <f aca="false">M1570*N1570</f>
        <v>226.5714</v>
      </c>
    </row>
    <row r="1571" customFormat="false" ht="15" hidden="false" customHeight="false" outlineLevel="0" collapsed="false">
      <c r="A1571" s="0" t="s">
        <v>2456</v>
      </c>
      <c r="C1571" s="0" t="s">
        <v>40</v>
      </c>
      <c r="D1571" s="7" t="n">
        <v>16889</v>
      </c>
      <c r="E1571" s="8" t="n">
        <v>0.00981940908283498</v>
      </c>
      <c r="F1571" s="4" t="n">
        <f aca="false">D1571*E1571</f>
        <v>165.84</v>
      </c>
      <c r="G1571" s="7" t="n">
        <v>12468</v>
      </c>
      <c r="H1571" s="9" t="n">
        <f aca="false">IF(G1571&gt;0,D1571/G1571,"")</f>
        <v>1.35458774462624</v>
      </c>
      <c r="I1571" s="10" t="n">
        <v>46310</v>
      </c>
      <c r="J1571" s="3" t="s">
        <v>2366</v>
      </c>
      <c r="K1571" s="10" t="n">
        <v>46155</v>
      </c>
      <c r="L1571" s="3" t="s">
        <v>16</v>
      </c>
      <c r="M1571" s="7" t="n">
        <v>20500</v>
      </c>
      <c r="N1571" s="8" t="n">
        <v>0.0098</v>
      </c>
      <c r="O1571" s="4" t="n">
        <f aca="false">M1571*N1571</f>
        <v>200.9</v>
      </c>
    </row>
    <row r="1572" customFormat="false" ht="15" hidden="false" customHeight="false" outlineLevel="0" collapsed="false">
      <c r="A1572" s="0" t="s">
        <v>2457</v>
      </c>
      <c r="C1572" s="0" t="s">
        <v>741</v>
      </c>
      <c r="D1572" s="7" t="n">
        <v>1153</v>
      </c>
      <c r="E1572" s="8" t="n">
        <v>0.143712055507372</v>
      </c>
      <c r="F1572" s="4" t="n">
        <f aca="false">D1572*E1572</f>
        <v>165.7</v>
      </c>
      <c r="G1572" s="7" t="n">
        <v>24</v>
      </c>
      <c r="H1572" s="9" t="n">
        <f aca="false">IF(G1572&gt;0,D1572/G1572,"")</f>
        <v>48.0416666666667</v>
      </c>
      <c r="I1572" s="10" t="n">
        <v>46168</v>
      </c>
      <c r="J1572" s="3" t="s">
        <v>1891</v>
      </c>
      <c r="K1572" s="10" t="n">
        <v>46140</v>
      </c>
      <c r="L1572" s="3" t="s">
        <v>27</v>
      </c>
      <c r="M1572" s="7" t="n">
        <v>250</v>
      </c>
      <c r="N1572" s="8" t="n">
        <v>0.1806</v>
      </c>
      <c r="O1572" s="4" t="n">
        <f aca="false">M1572*N1572</f>
        <v>45.15</v>
      </c>
    </row>
    <row r="1573" customFormat="false" ht="15" hidden="false" customHeight="false" outlineLevel="0" collapsed="false">
      <c r="A1573" s="0" t="s">
        <v>2458</v>
      </c>
      <c r="C1573" s="0" t="s">
        <v>285</v>
      </c>
      <c r="D1573" s="7" t="n">
        <v>8124</v>
      </c>
      <c r="E1573" s="8" t="n">
        <v>0.0203877400295421</v>
      </c>
      <c r="F1573" s="4" t="n">
        <f aca="false">D1573*E1573</f>
        <v>165.63</v>
      </c>
      <c r="G1573" s="7" t="n">
        <v>1961</v>
      </c>
      <c r="H1573" s="9" t="n">
        <f aca="false">IF(G1573&gt;0,D1573/G1573,"")</f>
        <v>4.14278429372769</v>
      </c>
      <c r="I1573" s="10" t="n">
        <v>46233</v>
      </c>
      <c r="J1573" s="3" t="s">
        <v>2459</v>
      </c>
      <c r="K1573" s="10" t="n">
        <v>45385</v>
      </c>
      <c r="L1573" s="3" t="s">
        <v>15</v>
      </c>
      <c r="M1573" s="7" t="n">
        <v>11400</v>
      </c>
      <c r="N1573" s="8" t="n">
        <v>0.02039</v>
      </c>
      <c r="O1573" s="4" t="n">
        <f aca="false">M1573*N1573</f>
        <v>232.446</v>
      </c>
    </row>
    <row r="1574" customFormat="false" ht="15" hidden="false" customHeight="false" outlineLevel="0" collapsed="false">
      <c r="A1574" s="0" t="s">
        <v>2460</v>
      </c>
      <c r="C1574" s="0" t="s">
        <v>61</v>
      </c>
      <c r="D1574" s="7" t="n">
        <v>453</v>
      </c>
      <c r="E1574" s="8" t="n">
        <v>0.365629139072848</v>
      </c>
      <c r="F1574" s="4" t="n">
        <f aca="false">D1574*E1574</f>
        <v>165.63</v>
      </c>
      <c r="G1574" s="7" t="n">
        <v>153</v>
      </c>
      <c r="H1574" s="9" t="n">
        <f aca="false">IF(G1574&gt;0,D1574/G1574,"")</f>
        <v>2.96078431372549</v>
      </c>
      <c r="I1574" s="10" t="n">
        <v>46310</v>
      </c>
      <c r="J1574" s="3" t="s">
        <v>2461</v>
      </c>
      <c r="K1574" s="10" t="n">
        <v>44361</v>
      </c>
      <c r="L1574" s="3" t="s">
        <v>14</v>
      </c>
      <c r="M1574" s="7" t="n">
        <v>65</v>
      </c>
      <c r="N1574" s="8" t="n">
        <v>1.6421</v>
      </c>
      <c r="O1574" s="4" t="n">
        <f aca="false">M1574*N1574</f>
        <v>106.7365</v>
      </c>
    </row>
    <row r="1575" customFormat="false" ht="15" hidden="false" customHeight="false" outlineLevel="0" collapsed="false">
      <c r="A1575" s="0" t="s">
        <v>2462</v>
      </c>
      <c r="C1575" s="0" t="s">
        <v>340</v>
      </c>
      <c r="D1575" s="7" t="n">
        <v>3449</v>
      </c>
      <c r="E1575" s="8" t="n">
        <v>0.048008118295158</v>
      </c>
      <c r="F1575" s="4" t="n">
        <f aca="false">D1575*E1575</f>
        <v>165.58</v>
      </c>
      <c r="G1575" s="7" t="n">
        <v>1358</v>
      </c>
      <c r="H1575" s="9" t="n">
        <f aca="false">IF(G1575&gt;0,D1575/G1575,"")</f>
        <v>2.53976435935199</v>
      </c>
      <c r="I1575" s="10" t="n">
        <v>46185</v>
      </c>
      <c r="J1575" s="3" t="s">
        <v>1140</v>
      </c>
      <c r="K1575" s="10" t="n">
        <v>45614</v>
      </c>
      <c r="L1575" s="3" t="s">
        <v>15</v>
      </c>
      <c r="M1575" s="7" t="n">
        <v>4950</v>
      </c>
      <c r="N1575" s="8" t="n">
        <v>0.04801</v>
      </c>
      <c r="O1575" s="4" t="n">
        <f aca="false">M1575*N1575</f>
        <v>237.6495</v>
      </c>
    </row>
    <row r="1576" customFormat="false" ht="15" hidden="false" customHeight="false" outlineLevel="0" collapsed="false">
      <c r="A1576" s="0" t="s">
        <v>2463</v>
      </c>
      <c r="C1576" s="0" t="s">
        <v>41</v>
      </c>
      <c r="D1576" s="7" t="n">
        <v>33901</v>
      </c>
      <c r="E1576" s="8" t="n">
        <v>0.00488245184507832</v>
      </c>
      <c r="F1576" s="4" t="n">
        <f aca="false">D1576*E1576</f>
        <v>165.52</v>
      </c>
      <c r="G1576" s="7" t="n">
        <v>3894</v>
      </c>
      <c r="H1576" s="9" t="n">
        <f aca="false">IF(G1576&gt;0,D1576/G1576,"")</f>
        <v>8.70595788392399</v>
      </c>
      <c r="I1576" s="10" t="n">
        <v>46309</v>
      </c>
      <c r="J1576" s="3" t="s">
        <v>2464</v>
      </c>
      <c r="K1576" s="10" t="n">
        <v>46175</v>
      </c>
      <c r="L1576" s="3" t="s">
        <v>19</v>
      </c>
      <c r="M1576" s="7" t="n">
        <v>1000</v>
      </c>
      <c r="N1576" s="8" t="n">
        <v>0.0256</v>
      </c>
      <c r="O1576" s="4" t="n">
        <f aca="false">M1576*N1576</f>
        <v>25.6</v>
      </c>
    </row>
    <row r="1577" customFormat="false" ht="15" hidden="false" customHeight="false" outlineLevel="0" collapsed="false">
      <c r="A1577" s="0" t="s">
        <v>2465</v>
      </c>
      <c r="C1577" s="0" t="s">
        <v>979</v>
      </c>
      <c r="D1577" s="7" t="n">
        <v>767</v>
      </c>
      <c r="E1577" s="8" t="n">
        <v>0.215788787483703</v>
      </c>
      <c r="F1577" s="4" t="n">
        <f aca="false">D1577*E1577</f>
        <v>165.51</v>
      </c>
      <c r="G1577" s="7" t="n">
        <v>104</v>
      </c>
      <c r="H1577" s="9" t="n">
        <f aca="false">IF(G1577&gt;0,D1577/G1577,"")</f>
        <v>7.375</v>
      </c>
      <c r="I1577" s="10" t="n">
        <v>46078</v>
      </c>
      <c r="J1577" s="3" t="s">
        <v>2466</v>
      </c>
      <c r="K1577" s="10" t="n">
        <v>44924</v>
      </c>
      <c r="L1577" s="3" t="s">
        <v>18</v>
      </c>
      <c r="M1577" s="7" t="n">
        <v>900</v>
      </c>
      <c r="N1577" s="8" t="n">
        <v>0.2165</v>
      </c>
      <c r="O1577" s="4" t="n">
        <f aca="false">M1577*N1577</f>
        <v>194.85</v>
      </c>
    </row>
    <row r="1578" customFormat="false" ht="15" hidden="false" customHeight="false" outlineLevel="0" collapsed="false">
      <c r="A1578" s="0" t="s">
        <v>2467</v>
      </c>
      <c r="C1578" s="0" t="s">
        <v>741</v>
      </c>
      <c r="D1578" s="7" t="n">
        <v>1350</v>
      </c>
      <c r="E1578" s="8" t="n">
        <v>0.122540740740741</v>
      </c>
      <c r="F1578" s="4" t="n">
        <f aca="false">D1578*E1578</f>
        <v>165.43</v>
      </c>
      <c r="G1578" s="7" t="n">
        <v>30</v>
      </c>
      <c r="H1578" s="9" t="n">
        <f aca="false">IF(G1578&gt;0,D1578/G1578,"")</f>
        <v>45</v>
      </c>
      <c r="I1578" s="10" t="n">
        <v>46118</v>
      </c>
      <c r="J1578" s="3" t="s">
        <v>2219</v>
      </c>
      <c r="K1578" s="10" t="n">
        <v>46014</v>
      </c>
      <c r="L1578" s="3" t="s">
        <v>27</v>
      </c>
      <c r="M1578" s="7" t="n">
        <v>750</v>
      </c>
      <c r="N1578" s="8" t="n">
        <v>0.1265</v>
      </c>
      <c r="O1578" s="4" t="n">
        <f aca="false">M1578*N1578</f>
        <v>94.875</v>
      </c>
    </row>
    <row r="1579" customFormat="false" ht="15" hidden="false" customHeight="false" outlineLevel="0" collapsed="false">
      <c r="A1579" s="0" t="s">
        <v>2468</v>
      </c>
      <c r="C1579" s="0" t="s">
        <v>32</v>
      </c>
      <c r="D1579" s="7" t="n">
        <v>3077</v>
      </c>
      <c r="E1579" s="8" t="n">
        <v>0.053747156321092</v>
      </c>
      <c r="F1579" s="4" t="n">
        <f aca="false">D1579*E1579</f>
        <v>165.38</v>
      </c>
      <c r="G1579" s="7" t="n">
        <v>2147</v>
      </c>
      <c r="H1579" s="9" t="n">
        <f aca="false">IF(G1579&gt;0,D1579/G1579,"")</f>
        <v>1.4331625523987</v>
      </c>
      <c r="I1579" s="10" t="n">
        <v>46282</v>
      </c>
      <c r="J1579" s="3" t="s">
        <v>131</v>
      </c>
      <c r="K1579" s="10" t="n">
        <v>44719</v>
      </c>
      <c r="L1579" s="3" t="s">
        <v>15</v>
      </c>
      <c r="M1579" s="7" t="n">
        <v>769</v>
      </c>
      <c r="N1579" s="8" t="n">
        <v>0.04176</v>
      </c>
      <c r="O1579" s="4" t="n">
        <f aca="false">M1579*N1579</f>
        <v>32.11344</v>
      </c>
    </row>
    <row r="1580" customFormat="false" ht="15" hidden="false" customHeight="false" outlineLevel="0" collapsed="false">
      <c r="A1580" s="0" t="s">
        <v>2469</v>
      </c>
      <c r="C1580" s="0" t="s">
        <v>1169</v>
      </c>
      <c r="D1580" s="7" t="n">
        <v>2598</v>
      </c>
      <c r="E1580" s="8" t="n">
        <v>0.0636335642802156</v>
      </c>
      <c r="F1580" s="4" t="n">
        <f aca="false">D1580*E1580</f>
        <v>165.32</v>
      </c>
      <c r="G1580" s="7" t="n">
        <v>797</v>
      </c>
      <c r="H1580" s="9" t="n">
        <f aca="false">IF(G1580&gt;0,D1580/G1580,"")</f>
        <v>3.25972396486826</v>
      </c>
      <c r="I1580" s="10" t="n">
        <v>46297</v>
      </c>
      <c r="J1580" s="3" t="s">
        <v>2470</v>
      </c>
      <c r="K1580" s="10" t="n">
        <v>45093</v>
      </c>
      <c r="L1580" s="3" t="s">
        <v>21</v>
      </c>
      <c r="M1580" s="7" t="n">
        <v>3000</v>
      </c>
      <c r="N1580" s="8" t="n">
        <v>0.047</v>
      </c>
      <c r="O1580" s="4" t="n">
        <f aca="false">M1580*N1580</f>
        <v>141</v>
      </c>
    </row>
    <row r="1581" customFormat="false" ht="15" hidden="false" customHeight="false" outlineLevel="0" collapsed="false">
      <c r="A1581" s="0" t="s">
        <v>2471</v>
      </c>
      <c r="C1581" s="0" t="s">
        <v>741</v>
      </c>
      <c r="D1581" s="7" t="n">
        <v>1289</v>
      </c>
      <c r="E1581" s="8" t="n">
        <v>0.12811481768813</v>
      </c>
      <c r="F1581" s="4" t="n">
        <f aca="false">D1581*E1581</f>
        <v>165.14</v>
      </c>
      <c r="G1581" s="7" t="n">
        <v>20</v>
      </c>
      <c r="H1581" s="9" t="n">
        <f aca="false">IF(G1581&gt;0,D1581/G1581,"")</f>
        <v>64.45</v>
      </c>
      <c r="I1581" s="10" t="n">
        <v>46112</v>
      </c>
      <c r="J1581" s="3" t="s">
        <v>2219</v>
      </c>
      <c r="K1581" s="10" t="n">
        <v>46014</v>
      </c>
      <c r="L1581" s="3" t="s">
        <v>27</v>
      </c>
      <c r="M1581" s="7" t="n">
        <v>750</v>
      </c>
      <c r="N1581" s="8" t="n">
        <v>0.1199</v>
      </c>
      <c r="O1581" s="4" t="n">
        <f aca="false">M1581*N1581</f>
        <v>89.925</v>
      </c>
    </row>
    <row r="1582" customFormat="false" ht="15" hidden="false" customHeight="false" outlineLevel="0" collapsed="false">
      <c r="A1582" s="0" t="s">
        <v>2472</v>
      </c>
      <c r="C1582" s="0" t="s">
        <v>741</v>
      </c>
      <c r="D1582" s="7" t="n">
        <v>1016</v>
      </c>
      <c r="E1582" s="8" t="n">
        <v>0.16238188976378</v>
      </c>
      <c r="F1582" s="4" t="n">
        <f aca="false">D1582*E1582</f>
        <v>164.98</v>
      </c>
      <c r="G1582" s="7" t="n">
        <v>30</v>
      </c>
      <c r="H1582" s="9" t="n">
        <f aca="false">IF(G1582&gt;0,D1582/G1582,"")</f>
        <v>33.8666666666667</v>
      </c>
      <c r="I1582" s="10" t="n">
        <v>46112</v>
      </c>
      <c r="J1582" s="3" t="s">
        <v>1891</v>
      </c>
      <c r="K1582" s="10" t="n">
        <v>46140</v>
      </c>
      <c r="L1582" s="3" t="s">
        <v>27</v>
      </c>
      <c r="M1582" s="7" t="n">
        <v>300</v>
      </c>
      <c r="N1582" s="8" t="n">
        <v>0.1982</v>
      </c>
      <c r="O1582" s="4" t="n">
        <f aca="false">M1582*N1582</f>
        <v>59.46</v>
      </c>
    </row>
    <row r="1583" customFormat="false" ht="15" hidden="false" customHeight="false" outlineLevel="0" collapsed="false">
      <c r="A1583" s="0" t="s">
        <v>2473</v>
      </c>
      <c r="C1583" s="0" t="s">
        <v>37</v>
      </c>
      <c r="D1583" s="7" t="n">
        <v>574</v>
      </c>
      <c r="E1583" s="8" t="n">
        <v>0.287247386759582</v>
      </c>
      <c r="F1583" s="4" t="n">
        <f aca="false">D1583*E1583</f>
        <v>164.88</v>
      </c>
      <c r="G1583" s="7" t="n">
        <v>193</v>
      </c>
      <c r="H1583" s="9" t="n">
        <f aca="false">IF(G1583&gt;0,D1583/G1583,"")</f>
        <v>2.9740932642487</v>
      </c>
      <c r="I1583" s="10" t="n">
        <v>46204</v>
      </c>
      <c r="J1583" s="3" t="s">
        <v>852</v>
      </c>
      <c r="K1583" s="10" t="n">
        <v>45883</v>
      </c>
      <c r="L1583" s="3" t="s">
        <v>15</v>
      </c>
      <c r="M1583" s="7" t="n">
        <v>746</v>
      </c>
      <c r="N1583" s="8" t="n">
        <v>0.28661</v>
      </c>
      <c r="O1583" s="4" t="n">
        <f aca="false">M1583*N1583</f>
        <v>213.81106</v>
      </c>
    </row>
    <row r="1584" customFormat="false" ht="15" hidden="false" customHeight="false" outlineLevel="0" collapsed="false">
      <c r="A1584" s="0" t="s">
        <v>2474</v>
      </c>
      <c r="C1584" s="0" t="s">
        <v>100</v>
      </c>
      <c r="D1584" s="7" t="n">
        <v>987</v>
      </c>
      <c r="E1584" s="8" t="n">
        <v>0.166990881458967</v>
      </c>
      <c r="F1584" s="4" t="n">
        <f aca="false">D1584*E1584</f>
        <v>164.82</v>
      </c>
      <c r="G1584" s="7" t="n">
        <v>525</v>
      </c>
      <c r="H1584" s="9" t="n">
        <f aca="false">IF(G1584&gt;0,D1584/G1584,"")</f>
        <v>1.88</v>
      </c>
      <c r="I1584" s="10" t="n">
        <v>46274</v>
      </c>
      <c r="J1584" s="3" t="s">
        <v>1576</v>
      </c>
      <c r="K1584" s="10" t="n">
        <v>46196</v>
      </c>
      <c r="L1584" s="3" t="s">
        <v>16</v>
      </c>
      <c r="M1584" s="7" t="n">
        <v>1000</v>
      </c>
      <c r="N1584" s="8" t="n">
        <v>0.167</v>
      </c>
      <c r="O1584" s="4" t="n">
        <f aca="false">M1584*N1584</f>
        <v>167</v>
      </c>
    </row>
    <row r="1585" customFormat="false" ht="15" hidden="false" customHeight="false" outlineLevel="0" collapsed="false">
      <c r="A1585" s="0" t="s">
        <v>2475</v>
      </c>
      <c r="C1585" s="0" t="s">
        <v>765</v>
      </c>
      <c r="D1585" s="7" t="n">
        <v>13465</v>
      </c>
      <c r="E1585" s="8" t="n">
        <v>0.0122383958410694</v>
      </c>
      <c r="F1585" s="4" t="n">
        <f aca="false">D1585*E1585</f>
        <v>164.79</v>
      </c>
      <c r="G1585" s="7" t="n">
        <v>56</v>
      </c>
      <c r="H1585" s="9" t="n">
        <f aca="false">IF(G1585&gt;0,D1585/G1585,"")</f>
        <v>240.446428571429</v>
      </c>
      <c r="I1585" s="10" t="n">
        <v>46146</v>
      </c>
      <c r="J1585" s="3" t="s">
        <v>1986</v>
      </c>
      <c r="K1585" s="10" t="n">
        <v>46052</v>
      </c>
      <c r="L1585" s="3" t="s">
        <v>16</v>
      </c>
      <c r="M1585" s="7" t="n">
        <v>13704</v>
      </c>
      <c r="N1585" s="8" t="n">
        <v>0.0122</v>
      </c>
      <c r="O1585" s="4" t="n">
        <f aca="false">M1585*N1585</f>
        <v>167.1888</v>
      </c>
    </row>
    <row r="1586" customFormat="false" ht="15" hidden="false" customHeight="false" outlineLevel="0" collapsed="false">
      <c r="A1586" s="0" t="s">
        <v>2476</v>
      </c>
      <c r="C1586" s="0" t="s">
        <v>45</v>
      </c>
      <c r="D1586" s="7" t="n">
        <v>840</v>
      </c>
      <c r="E1586" s="8" t="n">
        <v>0.196035714285714</v>
      </c>
      <c r="F1586" s="4" t="n">
        <f aca="false">D1586*E1586</f>
        <v>164.67</v>
      </c>
      <c r="G1586" s="7" t="n">
        <v>14</v>
      </c>
      <c r="H1586" s="9" t="n">
        <f aca="false">IF(G1586&gt;0,D1586/G1586,"")</f>
        <v>60</v>
      </c>
      <c r="I1586" s="10" t="n">
        <v>46030</v>
      </c>
      <c r="J1586" s="3" t="s">
        <v>2477</v>
      </c>
      <c r="K1586" s="10" t="n">
        <v>44377</v>
      </c>
      <c r="L1586" s="3" t="s">
        <v>23</v>
      </c>
      <c r="M1586" s="7" t="n">
        <v>1255</v>
      </c>
      <c r="N1586" s="8" t="n">
        <v>0</v>
      </c>
      <c r="O1586" s="4" t="n">
        <v>246.5</v>
      </c>
    </row>
    <row r="1587" customFormat="false" ht="15" hidden="false" customHeight="false" outlineLevel="0" collapsed="false">
      <c r="A1587" s="0" t="s">
        <v>2478</v>
      </c>
      <c r="C1587" s="0" t="s">
        <v>285</v>
      </c>
      <c r="D1587" s="7" t="n">
        <v>35402</v>
      </c>
      <c r="E1587" s="8" t="n">
        <v>0.00465001977289419</v>
      </c>
      <c r="F1587" s="4" t="n">
        <f aca="false">D1587*E1587</f>
        <v>164.62</v>
      </c>
      <c r="G1587" s="7" t="n">
        <v>5637</v>
      </c>
      <c r="H1587" s="9" t="n">
        <f aca="false">IF(G1587&gt;0,D1587/G1587,"")</f>
        <v>6.28029093489445</v>
      </c>
      <c r="I1587" s="10" t="n">
        <v>46308</v>
      </c>
      <c r="J1587" s="3" t="s">
        <v>1648</v>
      </c>
      <c r="K1587" s="10" t="n">
        <v>45672</v>
      </c>
      <c r="L1587" s="3" t="s">
        <v>15</v>
      </c>
      <c r="M1587" s="7" t="n">
        <v>49340</v>
      </c>
      <c r="N1587" s="8" t="n">
        <v>0.00465</v>
      </c>
      <c r="O1587" s="4" t="n">
        <f aca="false">M1587*N1587</f>
        <v>229.431</v>
      </c>
    </row>
    <row r="1588" customFormat="false" ht="15" hidden="false" customHeight="false" outlineLevel="0" collapsed="false">
      <c r="A1588" s="0" t="s">
        <v>2479</v>
      </c>
      <c r="C1588" s="0" t="s">
        <v>340</v>
      </c>
      <c r="D1588" s="7" t="n">
        <v>628</v>
      </c>
      <c r="E1588" s="8" t="n">
        <v>0.262101910828026</v>
      </c>
      <c r="F1588" s="4" t="n">
        <f aca="false">D1588*E1588</f>
        <v>164.6</v>
      </c>
      <c r="G1588" s="7" t="n">
        <v>10</v>
      </c>
      <c r="H1588" s="9" t="n">
        <f aca="false">IF(G1588&gt;0,D1588/G1588,"")</f>
        <v>62.8</v>
      </c>
      <c r="I1588" s="10" t="n">
        <v>46108</v>
      </c>
      <c r="J1588" s="3" t="s">
        <v>2480</v>
      </c>
      <c r="K1588" s="10" t="n">
        <v>46080</v>
      </c>
      <c r="L1588" s="3" t="s">
        <v>16</v>
      </c>
      <c r="M1588" s="7" t="n">
        <v>638</v>
      </c>
      <c r="N1588" s="8" t="n">
        <v>0.2621</v>
      </c>
      <c r="O1588" s="4" t="n">
        <f aca="false">M1588*N1588</f>
        <v>167.2198</v>
      </c>
    </row>
    <row r="1589" customFormat="false" ht="15" hidden="false" customHeight="false" outlineLevel="0" collapsed="false">
      <c r="A1589" s="0" t="s">
        <v>2481</v>
      </c>
      <c r="C1589" s="0" t="s">
        <v>679</v>
      </c>
      <c r="D1589" s="7" t="n">
        <v>47</v>
      </c>
      <c r="E1589" s="8" t="n">
        <v>3.50170212765957</v>
      </c>
      <c r="F1589" s="4" t="n">
        <f aca="false">D1589*E1589</f>
        <v>164.58</v>
      </c>
      <c r="G1589" s="7" t="n">
        <v>17</v>
      </c>
      <c r="H1589" s="9" t="n">
        <f aca="false">IF(G1589&gt;0,D1589/G1589,"")</f>
        <v>2.76470588235294</v>
      </c>
      <c r="I1589" s="10" t="n">
        <v>46304</v>
      </c>
      <c r="J1589" s="3" t="s">
        <v>2482</v>
      </c>
      <c r="K1589" s="10" t="n">
        <v>46231</v>
      </c>
      <c r="L1589" s="3" t="s">
        <v>313</v>
      </c>
      <c r="M1589" s="7" t="n">
        <v>50</v>
      </c>
      <c r="N1589" s="8" t="n">
        <v>3.5015</v>
      </c>
      <c r="O1589" s="4" t="n">
        <f aca="false">M1589*N1589</f>
        <v>175.075</v>
      </c>
    </row>
    <row r="1590" customFormat="false" ht="15" hidden="false" customHeight="false" outlineLevel="0" collapsed="false">
      <c r="A1590" s="0" t="s">
        <v>2483</v>
      </c>
      <c r="C1590" s="0" t="s">
        <v>31</v>
      </c>
      <c r="D1590" s="7" t="n">
        <v>5266</v>
      </c>
      <c r="E1590" s="8" t="n">
        <v>0.0312495252563616</v>
      </c>
      <c r="F1590" s="4" t="n">
        <f aca="false">D1590*E1590</f>
        <v>164.56</v>
      </c>
      <c r="G1590" s="7" t="n">
        <v>30</v>
      </c>
      <c r="H1590" s="9" t="n">
        <f aca="false">IF(G1590&gt;0,D1590/G1590,"")</f>
        <v>175.533333333333</v>
      </c>
      <c r="I1590" s="10" t="n">
        <v>46121</v>
      </c>
      <c r="K1590" s="10"/>
      <c r="M1590" s="7"/>
      <c r="N1590" s="8"/>
      <c r="O1590" s="4"/>
    </row>
    <row r="1591" customFormat="false" ht="15" hidden="false" customHeight="false" outlineLevel="0" collapsed="false">
      <c r="A1591" s="0" t="s">
        <v>2484</v>
      </c>
      <c r="C1591" s="0" t="s">
        <v>118</v>
      </c>
      <c r="D1591" s="7" t="n">
        <v>16442</v>
      </c>
      <c r="E1591" s="8" t="n">
        <v>0.01</v>
      </c>
      <c r="F1591" s="4" t="n">
        <f aca="false">D1591*E1591</f>
        <v>164.42</v>
      </c>
      <c r="G1591" s="7" t="n">
        <v>979</v>
      </c>
      <c r="H1591" s="9" t="n">
        <f aca="false">IF(G1591&gt;0,D1591/G1591,"")</f>
        <v>16.7946884576098</v>
      </c>
      <c r="I1591" s="10" t="n">
        <v>46315</v>
      </c>
      <c r="J1591" s="3" t="s">
        <v>1724</v>
      </c>
      <c r="K1591" s="10" t="n">
        <v>45273</v>
      </c>
      <c r="L1591" s="3" t="s">
        <v>15</v>
      </c>
      <c r="M1591" s="7" t="n">
        <v>21850</v>
      </c>
      <c r="N1591" s="8" t="n">
        <v>0.01</v>
      </c>
      <c r="O1591" s="4" t="n">
        <f aca="false">M1591*N1591</f>
        <v>218.5</v>
      </c>
    </row>
    <row r="1592" customFormat="false" ht="15" hidden="false" customHeight="false" outlineLevel="0" collapsed="false">
      <c r="A1592" s="0" t="s">
        <v>2485</v>
      </c>
      <c r="C1592" s="0" t="s">
        <v>32</v>
      </c>
      <c r="D1592" s="7" t="n">
        <v>1157</v>
      </c>
      <c r="E1592" s="8" t="n">
        <v>0.142082973206569</v>
      </c>
      <c r="F1592" s="4" t="n">
        <f aca="false">D1592*E1592</f>
        <v>164.39</v>
      </c>
      <c r="G1592" s="7" t="n">
        <v>535</v>
      </c>
      <c r="H1592" s="9" t="n">
        <f aca="false">IF(G1592&gt;0,D1592/G1592,"")</f>
        <v>2.16261682242991</v>
      </c>
      <c r="I1592" s="10" t="n">
        <v>46283</v>
      </c>
      <c r="J1592" s="3" t="s">
        <v>2486</v>
      </c>
      <c r="K1592" s="10" t="n">
        <v>46135</v>
      </c>
      <c r="L1592" s="3" t="s">
        <v>14</v>
      </c>
      <c r="M1592" s="7" t="n">
        <v>500</v>
      </c>
      <c r="N1592" s="8" t="n">
        <v>0.2208</v>
      </c>
      <c r="O1592" s="4" t="n">
        <f aca="false">M1592*N1592</f>
        <v>110.4</v>
      </c>
    </row>
    <row r="1593" customFormat="false" ht="15" hidden="false" customHeight="false" outlineLevel="0" collapsed="false">
      <c r="A1593" s="0" t="s">
        <v>2487</v>
      </c>
      <c r="C1593" s="0" t="s">
        <v>31</v>
      </c>
      <c r="D1593" s="7" t="n">
        <v>67913</v>
      </c>
      <c r="E1593" s="8" t="n">
        <v>0.00242000795134952</v>
      </c>
      <c r="F1593" s="4" t="n">
        <f aca="false">D1593*E1593</f>
        <v>164.35</v>
      </c>
      <c r="G1593" s="7" t="n">
        <v>3557</v>
      </c>
      <c r="H1593" s="9" t="n">
        <f aca="false">IF(G1593&gt;0,D1593/G1593,"")</f>
        <v>19.0927748102333</v>
      </c>
      <c r="I1593" s="10" t="n">
        <v>46314</v>
      </c>
      <c r="K1593" s="10"/>
      <c r="M1593" s="7"/>
      <c r="N1593" s="8"/>
      <c r="O1593" s="4"/>
    </row>
    <row r="1594" customFormat="false" ht="15" hidden="false" customHeight="false" outlineLevel="0" collapsed="false">
      <c r="A1594" s="0" t="s">
        <v>2488</v>
      </c>
      <c r="C1594" s="0" t="s">
        <v>44</v>
      </c>
      <c r="D1594" s="7" t="n">
        <v>10</v>
      </c>
      <c r="E1594" s="8" t="n">
        <v>16.433</v>
      </c>
      <c r="F1594" s="4" t="n">
        <f aca="false">D1594*E1594</f>
        <v>164.33</v>
      </c>
      <c r="G1594" s="7" t="n">
        <v>6</v>
      </c>
      <c r="H1594" s="9" t="n">
        <f aca="false">IF(G1594&gt;0,D1594/G1594,"")</f>
        <v>1.66666666666667</v>
      </c>
      <c r="I1594" s="10" t="n">
        <v>46253</v>
      </c>
      <c r="J1594" s="3" t="s">
        <v>428</v>
      </c>
      <c r="K1594" s="10" t="n">
        <v>46253</v>
      </c>
      <c r="L1594" s="3" t="s">
        <v>14</v>
      </c>
      <c r="M1594" s="7" t="n">
        <v>10</v>
      </c>
      <c r="N1594" s="8" t="n">
        <v>16.433</v>
      </c>
      <c r="O1594" s="4" t="n">
        <f aca="false">M1594*N1594</f>
        <v>164.33</v>
      </c>
    </row>
    <row r="1595" customFormat="false" ht="15" hidden="false" customHeight="false" outlineLevel="0" collapsed="false">
      <c r="A1595" s="0" t="s">
        <v>2489</v>
      </c>
      <c r="C1595" s="0" t="s">
        <v>33</v>
      </c>
      <c r="D1595" s="7" t="n">
        <v>766</v>
      </c>
      <c r="E1595" s="8" t="n">
        <v>0.214503916449086</v>
      </c>
      <c r="F1595" s="4" t="n">
        <f aca="false">D1595*E1595</f>
        <v>164.31</v>
      </c>
      <c r="G1595" s="7" t="n">
        <v>10</v>
      </c>
      <c r="H1595" s="9" t="n">
        <f aca="false">IF(G1595&gt;0,D1595/G1595,"")</f>
        <v>76.6</v>
      </c>
      <c r="I1595" s="10" t="n">
        <v>46202</v>
      </c>
      <c r="J1595" s="3" t="s">
        <v>2071</v>
      </c>
      <c r="K1595" s="10" t="n">
        <v>44285</v>
      </c>
      <c r="L1595" s="3" t="s">
        <v>18</v>
      </c>
      <c r="M1595" s="7" t="n">
        <v>1080</v>
      </c>
      <c r="N1595" s="8" t="n">
        <v>0.2145</v>
      </c>
      <c r="O1595" s="4" t="n">
        <f aca="false">M1595*N1595</f>
        <v>231.66</v>
      </c>
    </row>
    <row r="1596" customFormat="false" ht="15" hidden="false" customHeight="false" outlineLevel="0" collapsed="false">
      <c r="A1596" s="0" t="s">
        <v>2490</v>
      </c>
      <c r="C1596" s="0" t="s">
        <v>1169</v>
      </c>
      <c r="D1596" s="7" t="n">
        <v>2380</v>
      </c>
      <c r="E1596" s="8" t="n">
        <v>0.0690252100840336</v>
      </c>
      <c r="F1596" s="4" t="n">
        <f aca="false">D1596*E1596</f>
        <v>164.28</v>
      </c>
      <c r="G1596" s="7" t="n">
        <v>128</v>
      </c>
      <c r="H1596" s="9" t="n">
        <f aca="false">IF(G1596&gt;0,D1596/G1596,"")</f>
        <v>18.59375</v>
      </c>
      <c r="I1596" s="10" t="n">
        <v>46219</v>
      </c>
      <c r="J1596" s="3" t="s">
        <v>2470</v>
      </c>
      <c r="K1596" s="10" t="n">
        <v>45093</v>
      </c>
      <c r="L1596" s="3" t="s">
        <v>21</v>
      </c>
      <c r="M1596" s="7" t="n">
        <v>4000</v>
      </c>
      <c r="N1596" s="8" t="n">
        <v>0.04</v>
      </c>
      <c r="O1596" s="4" t="n">
        <f aca="false">M1596*N1596</f>
        <v>160</v>
      </c>
    </row>
    <row r="1597" customFormat="false" ht="15" hidden="false" customHeight="false" outlineLevel="0" collapsed="false">
      <c r="A1597" s="0" t="s">
        <v>2491</v>
      </c>
      <c r="C1597" s="0" t="s">
        <v>285</v>
      </c>
      <c r="D1597" s="7" t="n">
        <v>10223</v>
      </c>
      <c r="E1597" s="8" t="n">
        <v>0.0160559522645016</v>
      </c>
      <c r="F1597" s="4" t="n">
        <f aca="false">D1597*E1597</f>
        <v>164.14</v>
      </c>
      <c r="G1597" s="7" t="n">
        <v>3228</v>
      </c>
      <c r="H1597" s="9" t="n">
        <f aca="false">IF(G1597&gt;0,D1597/G1597,"")</f>
        <v>3.16697645600991</v>
      </c>
      <c r="I1597" s="10" t="n">
        <v>46261</v>
      </c>
      <c r="J1597" s="3" t="s">
        <v>385</v>
      </c>
      <c r="K1597" s="10" t="n">
        <v>44718</v>
      </c>
      <c r="L1597" s="3" t="s">
        <v>20</v>
      </c>
      <c r="M1597" s="7" t="n">
        <v>23500</v>
      </c>
      <c r="N1597" s="8" t="n">
        <v>0.016055</v>
      </c>
      <c r="O1597" s="4" t="n">
        <f aca="false">M1597*N1597</f>
        <v>377.2925</v>
      </c>
    </row>
    <row r="1598" customFormat="false" ht="15" hidden="false" customHeight="false" outlineLevel="0" collapsed="false">
      <c r="A1598" s="0" t="s">
        <v>2492</v>
      </c>
      <c r="C1598" s="0" t="s">
        <v>35</v>
      </c>
      <c r="D1598" s="7" t="n">
        <v>2103</v>
      </c>
      <c r="E1598" s="8" t="n">
        <v>0.077998097955302</v>
      </c>
      <c r="F1598" s="4" t="n">
        <f aca="false">D1598*E1598</f>
        <v>164.03</v>
      </c>
      <c r="G1598" s="7" t="n">
        <v>814</v>
      </c>
      <c r="H1598" s="9" t="n">
        <f aca="false">IF(G1598&gt;0,D1598/G1598,"")</f>
        <v>2.58353808353808</v>
      </c>
      <c r="I1598" s="10" t="n">
        <v>46213</v>
      </c>
      <c r="J1598" s="3" t="s">
        <v>184</v>
      </c>
      <c r="K1598" s="10" t="n">
        <v>45468</v>
      </c>
      <c r="L1598" s="3" t="s">
        <v>20</v>
      </c>
      <c r="M1598" s="7" t="n">
        <v>4000</v>
      </c>
      <c r="N1598" s="8" t="n">
        <v>0.078</v>
      </c>
      <c r="O1598" s="4" t="n">
        <f aca="false">M1598*N1598</f>
        <v>312</v>
      </c>
    </row>
    <row r="1599" customFormat="false" ht="15" hidden="false" customHeight="false" outlineLevel="0" collapsed="false">
      <c r="A1599" s="0" t="s">
        <v>2493</v>
      </c>
      <c r="C1599" s="0" t="s">
        <v>1169</v>
      </c>
      <c r="D1599" s="7" t="n">
        <v>1951</v>
      </c>
      <c r="E1599" s="8" t="n">
        <v>0.0840594566888775</v>
      </c>
      <c r="F1599" s="4" t="n">
        <f aca="false">D1599*E1599</f>
        <v>164</v>
      </c>
      <c r="G1599" s="7" t="n">
        <v>20</v>
      </c>
      <c r="H1599" s="9" t="n">
        <f aca="false">IF(G1599&gt;0,D1599/G1599,"")</f>
        <v>97.55</v>
      </c>
      <c r="I1599" s="10" t="n">
        <v>46108</v>
      </c>
      <c r="J1599" s="3" t="s">
        <v>2494</v>
      </c>
      <c r="K1599" s="10" t="n">
        <v>45379</v>
      </c>
      <c r="L1599" s="3" t="s">
        <v>14</v>
      </c>
      <c r="M1599" s="7" t="n">
        <v>100</v>
      </c>
      <c r="N1599" s="8" t="n">
        <v>0.3398</v>
      </c>
      <c r="O1599" s="4" t="n">
        <f aca="false">M1599*N1599</f>
        <v>33.98</v>
      </c>
    </row>
    <row r="1600" customFormat="false" ht="15" hidden="false" customHeight="false" outlineLevel="0" collapsed="false">
      <c r="A1600" s="0" t="s">
        <v>2495</v>
      </c>
      <c r="C1600" s="0" t="s">
        <v>438</v>
      </c>
      <c r="D1600" s="7" t="n">
        <v>364</v>
      </c>
      <c r="E1600" s="8" t="n">
        <v>0.45</v>
      </c>
      <c r="F1600" s="4" t="n">
        <f aca="false">D1600*E1600</f>
        <v>163.8</v>
      </c>
      <c r="G1600" s="7" t="n">
        <v>197</v>
      </c>
      <c r="H1600" s="9" t="n">
        <f aca="false">IF(G1600&gt;0,D1600/G1600,"")</f>
        <v>1.84771573604061</v>
      </c>
      <c r="I1600" s="10" t="n">
        <v>46237</v>
      </c>
      <c r="J1600" s="3" t="s">
        <v>2496</v>
      </c>
      <c r="K1600" s="10" t="n">
        <v>45978</v>
      </c>
      <c r="L1600" s="3" t="s">
        <v>14</v>
      </c>
      <c r="M1600" s="7" t="n">
        <v>261</v>
      </c>
      <c r="N1600" s="8" t="n">
        <v>0.45</v>
      </c>
      <c r="O1600" s="4" t="n">
        <f aca="false">M1600*N1600</f>
        <v>117.45</v>
      </c>
    </row>
    <row r="1601" customFormat="false" ht="15" hidden="false" customHeight="false" outlineLevel="0" collapsed="false">
      <c r="A1601" s="0" t="s">
        <v>2497</v>
      </c>
      <c r="C1601" s="0" t="s">
        <v>741</v>
      </c>
      <c r="D1601" s="7" t="n">
        <v>951</v>
      </c>
      <c r="E1601" s="8" t="n">
        <v>0.172166140904311</v>
      </c>
      <c r="F1601" s="4" t="n">
        <f aca="false">D1601*E1601</f>
        <v>163.73</v>
      </c>
      <c r="G1601" s="7" t="n">
        <v>28</v>
      </c>
      <c r="H1601" s="9" t="n">
        <f aca="false">IF(G1601&gt;0,D1601/G1601,"")</f>
        <v>33.9642857142857</v>
      </c>
      <c r="I1601" s="10" t="n">
        <v>46253</v>
      </c>
      <c r="J1601" s="3" t="s">
        <v>1891</v>
      </c>
      <c r="K1601" s="10" t="n">
        <v>46140</v>
      </c>
      <c r="L1601" s="3" t="s">
        <v>27</v>
      </c>
      <c r="M1601" s="7" t="n">
        <v>724</v>
      </c>
      <c r="N1601" s="8" t="n">
        <v>0.1682</v>
      </c>
      <c r="O1601" s="4" t="n">
        <f aca="false">M1601*N1601</f>
        <v>121.7768</v>
      </c>
    </row>
    <row r="1602" customFormat="false" ht="15" hidden="false" customHeight="false" outlineLevel="0" collapsed="false">
      <c r="A1602" s="0" t="s">
        <v>2498</v>
      </c>
      <c r="C1602" s="0" t="s">
        <v>31</v>
      </c>
      <c r="D1602" s="7" t="n">
        <v>841</v>
      </c>
      <c r="E1602" s="8" t="n">
        <v>0.194673008323425</v>
      </c>
      <c r="F1602" s="4" t="n">
        <f aca="false">D1602*E1602</f>
        <v>163.72</v>
      </c>
      <c r="G1602" s="7" t="n">
        <v>48</v>
      </c>
      <c r="H1602" s="9" t="n">
        <f aca="false">IF(G1602&gt;0,D1602/G1602,"")</f>
        <v>17.5208333333333</v>
      </c>
      <c r="I1602" s="10" t="n">
        <v>46309</v>
      </c>
      <c r="J1602" s="3" t="s">
        <v>966</v>
      </c>
      <c r="K1602" s="10" t="n">
        <v>44735</v>
      </c>
      <c r="L1602" s="3" t="s">
        <v>14</v>
      </c>
      <c r="M1602" s="7" t="n">
        <v>1075</v>
      </c>
      <c r="N1602" s="8" t="n">
        <v>0</v>
      </c>
      <c r="O1602" s="4" t="n">
        <v>209.4876</v>
      </c>
    </row>
    <row r="1603" customFormat="false" ht="15" hidden="false" customHeight="false" outlineLevel="0" collapsed="false">
      <c r="A1603" s="0" t="s">
        <v>2499</v>
      </c>
      <c r="C1603" s="0" t="s">
        <v>31</v>
      </c>
      <c r="D1603" s="7" t="n">
        <v>56415</v>
      </c>
      <c r="E1603" s="8" t="n">
        <v>0.00290011521758398</v>
      </c>
      <c r="F1603" s="4" t="n">
        <f aca="false">D1603*E1603</f>
        <v>163.61</v>
      </c>
      <c r="G1603" s="7" t="n">
        <v>29475</v>
      </c>
      <c r="H1603" s="9" t="n">
        <f aca="false">IF(G1603&gt;0,D1603/G1603,"")</f>
        <v>1.91399491094148</v>
      </c>
      <c r="I1603" s="10" t="n">
        <v>46311</v>
      </c>
      <c r="J1603" s="3" t="s">
        <v>1192</v>
      </c>
      <c r="K1603" s="10" t="n">
        <v>45736</v>
      </c>
      <c r="L1603" s="3" t="s">
        <v>26</v>
      </c>
      <c r="M1603" s="7" t="n">
        <v>5000</v>
      </c>
      <c r="N1603" s="8" t="n">
        <v>0.0095</v>
      </c>
      <c r="O1603" s="4" t="n">
        <f aca="false">M1603*N1603</f>
        <v>47.5</v>
      </c>
    </row>
    <row r="1604" customFormat="false" ht="15" hidden="false" customHeight="false" outlineLevel="0" collapsed="false">
      <c r="A1604" s="0" t="s">
        <v>2500</v>
      </c>
      <c r="C1604" s="0" t="s">
        <v>360</v>
      </c>
      <c r="D1604" s="7" t="n">
        <v>2208</v>
      </c>
      <c r="E1604" s="8" t="n">
        <v>0.0739855072463768</v>
      </c>
      <c r="F1604" s="4" t="n">
        <f aca="false">D1604*E1604</f>
        <v>163.36</v>
      </c>
      <c r="G1604" s="7" t="n">
        <v>300</v>
      </c>
      <c r="H1604" s="9" t="n">
        <f aca="false">IF(G1604&gt;0,D1604/G1604,"")</f>
        <v>7.36</v>
      </c>
      <c r="I1604" s="10" t="n">
        <v>46076</v>
      </c>
      <c r="K1604" s="10"/>
      <c r="M1604" s="7"/>
      <c r="N1604" s="8"/>
      <c r="O1604" s="4"/>
    </row>
    <row r="1605" customFormat="false" ht="15" hidden="false" customHeight="false" outlineLevel="0" collapsed="false">
      <c r="A1605" s="0" t="s">
        <v>2501</v>
      </c>
      <c r="C1605" s="0" t="s">
        <v>855</v>
      </c>
      <c r="D1605" s="7" t="n">
        <v>17750</v>
      </c>
      <c r="E1605" s="8" t="n">
        <v>0.0092</v>
      </c>
      <c r="F1605" s="4" t="n">
        <f aca="false">D1605*E1605</f>
        <v>163.3</v>
      </c>
      <c r="G1605" s="7" t="n">
        <v>4000</v>
      </c>
      <c r="H1605" s="9" t="n">
        <f aca="false">IF(G1605&gt;0,D1605/G1605,"")</f>
        <v>4.4375</v>
      </c>
      <c r="I1605" s="10" t="n">
        <v>46267</v>
      </c>
      <c r="J1605" s="3" t="s">
        <v>2502</v>
      </c>
      <c r="K1605" s="10" t="n">
        <v>46175</v>
      </c>
      <c r="L1605" s="3" t="s">
        <v>16</v>
      </c>
      <c r="M1605" s="7" t="n">
        <v>21750</v>
      </c>
      <c r="N1605" s="8" t="n">
        <v>0.0092</v>
      </c>
      <c r="O1605" s="4" t="n">
        <f aca="false">M1605*N1605</f>
        <v>200.1</v>
      </c>
    </row>
    <row r="1606" customFormat="false" ht="15" hidden="false" customHeight="false" outlineLevel="0" collapsed="false">
      <c r="A1606" s="0" t="s">
        <v>2503</v>
      </c>
      <c r="C1606" s="0" t="s">
        <v>41</v>
      </c>
      <c r="D1606" s="7" t="n">
        <v>29462</v>
      </c>
      <c r="E1606" s="8" t="n">
        <v>0.00554001764985405</v>
      </c>
      <c r="F1606" s="4" t="n">
        <f aca="false">D1606*E1606</f>
        <v>163.22</v>
      </c>
      <c r="G1606" s="7" t="n">
        <v>304</v>
      </c>
      <c r="H1606" s="9" t="n">
        <f aca="false">IF(G1606&gt;0,D1606/G1606,"")</f>
        <v>96.9144736842105</v>
      </c>
      <c r="I1606" s="10" t="n">
        <v>46265</v>
      </c>
      <c r="K1606" s="10"/>
      <c r="M1606" s="7"/>
      <c r="N1606" s="8"/>
      <c r="O1606" s="4"/>
    </row>
    <row r="1607" customFormat="false" ht="15" hidden="false" customHeight="false" outlineLevel="0" collapsed="false">
      <c r="A1607" s="0" t="s">
        <v>2504</v>
      </c>
      <c r="C1607" s="0" t="s">
        <v>777</v>
      </c>
      <c r="D1607" s="7" t="n">
        <v>835</v>
      </c>
      <c r="E1607" s="8" t="n">
        <v>0.195161676646707</v>
      </c>
      <c r="F1607" s="4" t="n">
        <f aca="false">D1607*E1607</f>
        <v>162.96</v>
      </c>
      <c r="G1607" s="7" t="n">
        <v>50</v>
      </c>
      <c r="H1607" s="9" t="n">
        <f aca="false">IF(G1607&gt;0,D1607/G1607,"")</f>
        <v>16.7</v>
      </c>
      <c r="I1607" s="10" t="n">
        <v>46245</v>
      </c>
      <c r="J1607" s="3" t="s">
        <v>498</v>
      </c>
      <c r="K1607" s="10" t="n">
        <v>46094</v>
      </c>
      <c r="L1607" s="3" t="s">
        <v>15</v>
      </c>
      <c r="M1607" s="7" t="n">
        <v>885</v>
      </c>
      <c r="N1607" s="8" t="n">
        <v>0.19516</v>
      </c>
      <c r="O1607" s="4" t="n">
        <f aca="false">M1607*N1607</f>
        <v>172.7166</v>
      </c>
    </row>
    <row r="1608" customFormat="false" ht="15" hidden="false" customHeight="false" outlineLevel="0" collapsed="false">
      <c r="A1608" s="0" t="s">
        <v>2505</v>
      </c>
      <c r="C1608" s="0" t="s">
        <v>36</v>
      </c>
      <c r="D1608" s="7" t="n">
        <v>9536</v>
      </c>
      <c r="E1608" s="8" t="n">
        <v>0.0170889261744966</v>
      </c>
      <c r="F1608" s="4" t="n">
        <f aca="false">D1608*E1608</f>
        <v>162.96</v>
      </c>
      <c r="G1608" s="7" t="n">
        <v>1895</v>
      </c>
      <c r="H1608" s="9" t="n">
        <f aca="false">IF(G1608&gt;0,D1608/G1608,"")</f>
        <v>5.03218997361478</v>
      </c>
      <c r="I1608" s="10" t="n">
        <v>46245</v>
      </c>
      <c r="J1608" s="3" t="s">
        <v>2506</v>
      </c>
      <c r="K1608" s="10" t="n">
        <v>45911</v>
      </c>
      <c r="L1608" s="3" t="s">
        <v>18</v>
      </c>
      <c r="M1608" s="7" t="n">
        <v>5600</v>
      </c>
      <c r="N1608" s="8" t="n">
        <v>0.0179</v>
      </c>
      <c r="O1608" s="4" t="n">
        <f aca="false">M1608*N1608</f>
        <v>100.24</v>
      </c>
    </row>
    <row r="1609" customFormat="false" ht="15" hidden="false" customHeight="false" outlineLevel="0" collapsed="false">
      <c r="A1609" s="0" t="s">
        <v>2507</v>
      </c>
      <c r="C1609" s="0" t="s">
        <v>438</v>
      </c>
      <c r="D1609" s="7" t="n">
        <v>212</v>
      </c>
      <c r="E1609" s="8" t="n">
        <v>0.767735849056604</v>
      </c>
      <c r="F1609" s="4" t="n">
        <f aca="false">D1609*E1609</f>
        <v>162.76</v>
      </c>
      <c r="G1609" s="7" t="n">
        <v>1</v>
      </c>
      <c r="H1609" s="9" t="n">
        <f aca="false">IF(G1609&gt;0,D1609/G1609,"")</f>
        <v>212</v>
      </c>
      <c r="I1609" s="10" t="n">
        <v>46230</v>
      </c>
      <c r="J1609" s="3" t="s">
        <v>986</v>
      </c>
      <c r="K1609" s="10" t="n">
        <v>44199</v>
      </c>
      <c r="L1609" s="3" t="s">
        <v>14</v>
      </c>
      <c r="M1609" s="7" t="n">
        <v>218</v>
      </c>
      <c r="N1609" s="8" t="n">
        <v>0.7678</v>
      </c>
      <c r="O1609" s="4" t="n">
        <f aca="false">M1609*N1609</f>
        <v>167.3804</v>
      </c>
    </row>
    <row r="1610" customFormat="false" ht="15" hidden="false" customHeight="false" outlineLevel="0" collapsed="false">
      <c r="A1610" s="0" t="s">
        <v>2508</v>
      </c>
      <c r="C1610" s="0" t="s">
        <v>118</v>
      </c>
      <c r="D1610" s="7" t="n">
        <v>11661</v>
      </c>
      <c r="E1610" s="8" t="n">
        <v>0.0139490609724723</v>
      </c>
      <c r="F1610" s="4" t="n">
        <f aca="false">D1610*E1610</f>
        <v>162.66</v>
      </c>
      <c r="G1610" s="7" t="n">
        <v>2694</v>
      </c>
      <c r="H1610" s="9" t="n">
        <f aca="false">IF(G1610&gt;0,D1610/G1610,"")</f>
        <v>4.32850779510022</v>
      </c>
      <c r="I1610" s="10" t="n">
        <v>46294</v>
      </c>
      <c r="J1610" s="3" t="s">
        <v>2509</v>
      </c>
      <c r="K1610" s="10" t="n">
        <v>44988</v>
      </c>
      <c r="L1610" s="3" t="s">
        <v>19</v>
      </c>
      <c r="M1610" s="7" t="n">
        <v>1000</v>
      </c>
      <c r="N1610" s="8" t="n">
        <v>0.0482</v>
      </c>
      <c r="O1610" s="4" t="n">
        <f aca="false">M1610*N1610</f>
        <v>48.2</v>
      </c>
    </row>
    <row r="1611" customFormat="false" ht="15" hidden="false" customHeight="false" outlineLevel="0" collapsed="false">
      <c r="A1611" s="0" t="s">
        <v>2510</v>
      </c>
      <c r="C1611" s="0" t="s">
        <v>31</v>
      </c>
      <c r="D1611" s="7" t="n">
        <v>30117</v>
      </c>
      <c r="E1611" s="8" t="n">
        <v>0.00540027227147458</v>
      </c>
      <c r="F1611" s="4" t="n">
        <f aca="false">D1611*E1611</f>
        <v>162.64</v>
      </c>
      <c r="G1611" s="7" t="n">
        <v>371</v>
      </c>
      <c r="H1611" s="9" t="n">
        <f aca="false">IF(G1611&gt;0,D1611/G1611,"")</f>
        <v>81.177897574124</v>
      </c>
      <c r="I1611" s="10" t="n">
        <v>46246</v>
      </c>
      <c r="J1611" s="3" t="s">
        <v>1211</v>
      </c>
      <c r="K1611" s="10" t="n">
        <v>45750</v>
      </c>
      <c r="L1611" s="3" t="s">
        <v>26</v>
      </c>
      <c r="M1611" s="7" t="n">
        <v>1898</v>
      </c>
      <c r="N1611" s="8" t="n">
        <v>0.0133</v>
      </c>
      <c r="O1611" s="4" t="n">
        <f aca="false">M1611*N1611</f>
        <v>25.2434</v>
      </c>
    </row>
    <row r="1612" customFormat="false" ht="15" hidden="false" customHeight="false" outlineLevel="0" collapsed="false">
      <c r="A1612" s="0" t="s">
        <v>2511</v>
      </c>
      <c r="C1612" s="0" t="s">
        <v>37</v>
      </c>
      <c r="D1612" s="7" t="n">
        <v>9548</v>
      </c>
      <c r="E1612" s="8" t="n">
        <v>0.0170297444490993</v>
      </c>
      <c r="F1612" s="4" t="n">
        <f aca="false">D1612*E1612</f>
        <v>162.6</v>
      </c>
      <c r="G1612" s="7" t="n">
        <v>1562</v>
      </c>
      <c r="H1612" s="9" t="n">
        <f aca="false">IF(G1612&gt;0,D1612/G1612,"")</f>
        <v>6.11267605633803</v>
      </c>
      <c r="I1612" s="10" t="n">
        <v>46293</v>
      </c>
      <c r="J1612" s="3" t="s">
        <v>1936</v>
      </c>
      <c r="K1612" s="10" t="n">
        <v>45057</v>
      </c>
      <c r="L1612" s="3" t="s">
        <v>15</v>
      </c>
      <c r="M1612" s="7" t="n">
        <v>11750</v>
      </c>
      <c r="N1612" s="8" t="n">
        <v>0.01703</v>
      </c>
      <c r="O1612" s="4" t="n">
        <f aca="false">M1612*N1612</f>
        <v>200.1025</v>
      </c>
    </row>
    <row r="1613" customFormat="false" ht="15" hidden="false" customHeight="false" outlineLevel="0" collapsed="false">
      <c r="A1613" s="0" t="s">
        <v>2512</v>
      </c>
      <c r="C1613" s="0" t="s">
        <v>31</v>
      </c>
      <c r="D1613" s="7" t="n">
        <v>9719</v>
      </c>
      <c r="E1613" s="8" t="n">
        <v>0.0167290873546661</v>
      </c>
      <c r="F1613" s="4" t="n">
        <f aca="false">D1613*E1613</f>
        <v>162.59</v>
      </c>
      <c r="G1613" s="7" t="n">
        <v>211</v>
      </c>
      <c r="H1613" s="9" t="n">
        <f aca="false">IF(G1613&gt;0,D1613/G1613,"")</f>
        <v>46.0616113744076</v>
      </c>
      <c r="I1613" s="10" t="n">
        <v>46281</v>
      </c>
      <c r="J1613" s="3" t="s">
        <v>278</v>
      </c>
      <c r="K1613" s="10" t="n">
        <v>45967</v>
      </c>
      <c r="L1613" s="3" t="s">
        <v>16</v>
      </c>
      <c r="M1613" s="7" t="n">
        <v>10000</v>
      </c>
      <c r="N1613" s="8" t="n">
        <v>0.01673</v>
      </c>
      <c r="O1613" s="4" t="n">
        <f aca="false">M1613*N1613</f>
        <v>167.3</v>
      </c>
    </row>
    <row r="1614" customFormat="false" ht="15" hidden="false" customHeight="false" outlineLevel="0" collapsed="false">
      <c r="A1614" s="0" t="s">
        <v>2513</v>
      </c>
      <c r="C1614" s="0" t="s">
        <v>1169</v>
      </c>
      <c r="D1614" s="7" t="n">
        <v>2358</v>
      </c>
      <c r="E1614" s="8" t="n">
        <v>0.0689397794741306</v>
      </c>
      <c r="F1614" s="4" t="n">
        <f aca="false">D1614*E1614</f>
        <v>162.56</v>
      </c>
      <c r="G1614" s="7" t="n">
        <v>50</v>
      </c>
      <c r="H1614" s="9" t="n">
        <f aca="false">IF(G1614&gt;0,D1614/G1614,"")</f>
        <v>47.16</v>
      </c>
      <c r="I1614" s="10" t="n">
        <v>46133</v>
      </c>
      <c r="J1614" s="3" t="s">
        <v>1170</v>
      </c>
      <c r="K1614" s="10" t="n">
        <v>45398</v>
      </c>
      <c r="L1614" s="3" t="s">
        <v>21</v>
      </c>
      <c r="M1614" s="7" t="n">
        <v>2500</v>
      </c>
      <c r="N1614" s="8" t="n">
        <v>0.068</v>
      </c>
      <c r="O1614" s="4" t="n">
        <f aca="false">M1614*N1614</f>
        <v>170</v>
      </c>
    </row>
    <row r="1615" customFormat="false" ht="15" hidden="false" customHeight="false" outlineLevel="0" collapsed="false">
      <c r="A1615" s="0" t="s">
        <v>2514</v>
      </c>
      <c r="C1615" s="0" t="s">
        <v>2515</v>
      </c>
      <c r="D1615" s="7" t="n">
        <v>174</v>
      </c>
      <c r="E1615" s="8" t="n">
        <v>0.934195402298851</v>
      </c>
      <c r="F1615" s="4" t="n">
        <f aca="false">D1615*E1615</f>
        <v>162.55</v>
      </c>
      <c r="G1615" s="7" t="n">
        <v>2</v>
      </c>
      <c r="H1615" s="9" t="n">
        <f aca="false">IF(G1615&gt;0,D1615/G1615,"")</f>
        <v>87</v>
      </c>
      <c r="I1615" s="10" t="n">
        <v>46301</v>
      </c>
      <c r="J1615" s="3" t="s">
        <v>2516</v>
      </c>
      <c r="K1615" s="10" t="n">
        <v>45229</v>
      </c>
      <c r="L1615" s="3" t="s">
        <v>19</v>
      </c>
      <c r="M1615" s="7" t="n">
        <v>25</v>
      </c>
      <c r="N1615" s="8" t="n">
        <v>1.0855</v>
      </c>
      <c r="O1615" s="4" t="n">
        <f aca="false">M1615*N1615</f>
        <v>27.1375</v>
      </c>
    </row>
    <row r="1616" customFormat="false" ht="15" hidden="false" customHeight="false" outlineLevel="0" collapsed="false">
      <c r="A1616" s="0" t="s">
        <v>2517</v>
      </c>
      <c r="C1616" s="0" t="s">
        <v>45</v>
      </c>
      <c r="D1616" s="7" t="n">
        <v>141</v>
      </c>
      <c r="E1616" s="8" t="n">
        <v>1.15219858156028</v>
      </c>
      <c r="F1616" s="4" t="n">
        <f aca="false">D1616*E1616</f>
        <v>162.46</v>
      </c>
      <c r="G1616" s="7" t="n">
        <v>30</v>
      </c>
      <c r="H1616" s="9" t="n">
        <f aca="false">IF(G1616&gt;0,D1616/G1616,"")</f>
        <v>4.7</v>
      </c>
      <c r="I1616" s="10" t="n">
        <v>45981</v>
      </c>
      <c r="J1616" s="3" t="s">
        <v>2518</v>
      </c>
      <c r="K1616" s="10" t="n">
        <v>45387</v>
      </c>
      <c r="L1616" s="3" t="s">
        <v>23</v>
      </c>
      <c r="M1616" s="7" t="n">
        <v>200</v>
      </c>
      <c r="N1616" s="8" t="n">
        <v>1.1522</v>
      </c>
      <c r="O1616" s="4" t="n">
        <f aca="false">M1616*N1616</f>
        <v>230.44</v>
      </c>
    </row>
    <row r="1617" customFormat="false" ht="15" hidden="false" customHeight="false" outlineLevel="0" collapsed="false">
      <c r="A1617" s="0" t="s">
        <v>2519</v>
      </c>
      <c r="C1617" s="0" t="s">
        <v>1039</v>
      </c>
      <c r="D1617" s="7" t="n">
        <v>36721</v>
      </c>
      <c r="E1617" s="8" t="n">
        <v>0.00442008659894883</v>
      </c>
      <c r="F1617" s="4" t="n">
        <f aca="false">D1617*E1617</f>
        <v>162.31</v>
      </c>
      <c r="G1617" s="7" t="n">
        <v>8215</v>
      </c>
      <c r="H1617" s="9" t="n">
        <f aca="false">IF(G1617&gt;0,D1617/G1617,"")</f>
        <v>4.46999391357273</v>
      </c>
      <c r="I1617" s="10" t="n">
        <v>46295</v>
      </c>
      <c r="J1617" s="3" t="s">
        <v>1192</v>
      </c>
      <c r="K1617" s="10" t="n">
        <v>45736</v>
      </c>
      <c r="L1617" s="3" t="s">
        <v>26</v>
      </c>
      <c r="M1617" s="7" t="n">
        <v>600</v>
      </c>
      <c r="N1617" s="8" t="n">
        <v>0.0133</v>
      </c>
      <c r="O1617" s="4" t="n">
        <f aca="false">M1617*N1617</f>
        <v>7.98</v>
      </c>
    </row>
    <row r="1618" customFormat="false" ht="15" hidden="false" customHeight="false" outlineLevel="0" collapsed="false">
      <c r="A1618" s="0" t="s">
        <v>2520</v>
      </c>
      <c r="C1618" s="0" t="s">
        <v>61</v>
      </c>
      <c r="D1618" s="7" t="n">
        <v>595</v>
      </c>
      <c r="E1618" s="8" t="n">
        <v>0.27218487394958</v>
      </c>
      <c r="F1618" s="4" t="n">
        <f aca="false">D1618*E1618</f>
        <v>161.95</v>
      </c>
      <c r="G1618" s="7" t="n">
        <v>100</v>
      </c>
      <c r="H1618" s="9" t="n">
        <f aca="false">IF(G1618&gt;0,D1618/G1618,"")</f>
        <v>5.95</v>
      </c>
      <c r="I1618" s="10" t="n">
        <v>46090</v>
      </c>
      <c r="J1618" s="3" t="s">
        <v>661</v>
      </c>
      <c r="K1618" s="10" t="n">
        <v>44531</v>
      </c>
      <c r="L1618" s="3" t="s">
        <v>23</v>
      </c>
      <c r="M1618" s="7" t="n">
        <v>1322</v>
      </c>
      <c r="N1618" s="8" t="n">
        <v>0</v>
      </c>
      <c r="O1618" s="4" t="n">
        <v>360.492</v>
      </c>
    </row>
    <row r="1619" customFormat="false" ht="15" hidden="false" customHeight="false" outlineLevel="0" collapsed="false">
      <c r="A1619" s="0" t="s">
        <v>2521</v>
      </c>
      <c r="C1619" s="0" t="s">
        <v>360</v>
      </c>
      <c r="D1619" s="7" t="n">
        <v>482</v>
      </c>
      <c r="E1619" s="8" t="n">
        <v>0.335601659751037</v>
      </c>
      <c r="F1619" s="4" t="n">
        <f aca="false">D1619*E1619</f>
        <v>161.76</v>
      </c>
      <c r="G1619" s="7" t="n">
        <v>93</v>
      </c>
      <c r="H1619" s="9" t="n">
        <f aca="false">IF(G1619&gt;0,D1619/G1619,"")</f>
        <v>5.18279569892473</v>
      </c>
      <c r="I1619" s="10" t="n">
        <v>46094</v>
      </c>
      <c r="J1619" s="3" t="s">
        <v>1425</v>
      </c>
      <c r="K1619" s="10" t="n">
        <v>45890</v>
      </c>
      <c r="L1619" s="3" t="s">
        <v>15</v>
      </c>
      <c r="M1619" s="7" t="n">
        <v>575</v>
      </c>
      <c r="N1619" s="8" t="n">
        <v>0.3356</v>
      </c>
      <c r="O1619" s="4" t="n">
        <f aca="false">M1619*N1619</f>
        <v>192.97</v>
      </c>
    </row>
    <row r="1620" customFormat="false" ht="15" hidden="false" customHeight="false" outlineLevel="0" collapsed="false">
      <c r="A1620" s="0" t="s">
        <v>2522</v>
      </c>
      <c r="C1620" s="0" t="s">
        <v>39</v>
      </c>
      <c r="D1620" s="7" t="n">
        <v>2945</v>
      </c>
      <c r="E1620" s="8" t="n">
        <v>0.0548726655348048</v>
      </c>
      <c r="F1620" s="4" t="n">
        <f aca="false">D1620*E1620</f>
        <v>161.6</v>
      </c>
      <c r="G1620" s="7" t="n">
        <v>613</v>
      </c>
      <c r="H1620" s="9" t="n">
        <f aca="false">IF(G1620&gt;0,D1620/G1620,"")</f>
        <v>4.80424143556281</v>
      </c>
      <c r="I1620" s="10" t="n">
        <v>46210</v>
      </c>
      <c r="J1620" s="3" t="s">
        <v>1326</v>
      </c>
      <c r="K1620" s="10" t="n">
        <v>46177</v>
      </c>
      <c r="L1620" s="3" t="s">
        <v>18</v>
      </c>
      <c r="M1620" s="7" t="n">
        <v>2500</v>
      </c>
      <c r="N1620" s="8" t="n">
        <v>0.0562</v>
      </c>
      <c r="O1620" s="4" t="n">
        <f aca="false">M1620*N1620</f>
        <v>140.5</v>
      </c>
    </row>
    <row r="1621" customFormat="false" ht="15" hidden="false" customHeight="false" outlineLevel="0" collapsed="false">
      <c r="A1621" s="0" t="s">
        <v>2523</v>
      </c>
      <c r="C1621" s="0" t="s">
        <v>979</v>
      </c>
      <c r="D1621" s="7" t="n">
        <v>706</v>
      </c>
      <c r="E1621" s="8" t="n">
        <v>0.228895184135977</v>
      </c>
      <c r="F1621" s="4" t="n">
        <f aca="false">D1621*E1621</f>
        <v>161.6</v>
      </c>
      <c r="G1621" s="7" t="n">
        <v>224</v>
      </c>
      <c r="H1621" s="9" t="n">
        <f aca="false">IF(G1621&gt;0,D1621/G1621,"")</f>
        <v>3.15178571428571</v>
      </c>
      <c r="I1621" s="10" t="n">
        <v>46302</v>
      </c>
      <c r="J1621" s="3" t="s">
        <v>2524</v>
      </c>
      <c r="K1621" s="10" t="n">
        <v>44705</v>
      </c>
      <c r="L1621" s="3" t="s">
        <v>18</v>
      </c>
      <c r="M1621" s="7" t="n">
        <v>962</v>
      </c>
      <c r="N1621" s="8" t="n">
        <v>0.2289</v>
      </c>
      <c r="O1621" s="4" t="n">
        <f aca="false">M1621*N1621</f>
        <v>220.2018</v>
      </c>
    </row>
    <row r="1622" customFormat="false" ht="15" hidden="false" customHeight="false" outlineLevel="0" collapsed="false">
      <c r="A1622" s="0" t="s">
        <v>2525</v>
      </c>
      <c r="C1622" s="0" t="s">
        <v>844</v>
      </c>
      <c r="D1622" s="7" t="n">
        <v>119</v>
      </c>
      <c r="E1622" s="8" t="n">
        <v>1.35756302521008</v>
      </c>
      <c r="F1622" s="4" t="n">
        <f aca="false">D1622*E1622</f>
        <v>161.55</v>
      </c>
      <c r="G1622" s="7" t="n">
        <v>101</v>
      </c>
      <c r="H1622" s="9" t="n">
        <f aca="false">IF(G1622&gt;0,D1622/G1622,"")</f>
        <v>1.17821782178218</v>
      </c>
      <c r="I1622" s="10" t="n">
        <v>46259</v>
      </c>
      <c r="J1622" s="3" t="s">
        <v>2526</v>
      </c>
      <c r="K1622" s="10" t="n">
        <v>46231</v>
      </c>
      <c r="L1622" s="3" t="s">
        <v>1878</v>
      </c>
      <c r="M1622" s="7" t="n">
        <v>100</v>
      </c>
      <c r="N1622" s="8" t="n">
        <v>1.34</v>
      </c>
      <c r="O1622" s="4" t="n">
        <f aca="false">M1622*N1622</f>
        <v>134</v>
      </c>
    </row>
    <row r="1623" customFormat="false" ht="15" hidden="false" customHeight="false" outlineLevel="0" collapsed="false">
      <c r="A1623" s="0" t="s">
        <v>2527</v>
      </c>
      <c r="C1623" s="0" t="s">
        <v>31</v>
      </c>
      <c r="D1623" s="7" t="n">
        <v>7845</v>
      </c>
      <c r="E1623" s="8" t="n">
        <v>0.0205685149776928</v>
      </c>
      <c r="F1623" s="4" t="n">
        <f aca="false">D1623*E1623</f>
        <v>161.36</v>
      </c>
      <c r="G1623" s="7" t="n">
        <v>756</v>
      </c>
      <c r="H1623" s="9" t="n">
        <f aca="false">IF(G1623&gt;0,D1623/G1623,"")</f>
        <v>10.3769841269841</v>
      </c>
      <c r="I1623" s="10" t="n">
        <v>46293</v>
      </c>
      <c r="J1623" s="3" t="s">
        <v>1538</v>
      </c>
      <c r="K1623" s="10" t="n">
        <v>46196</v>
      </c>
      <c r="L1623" s="3" t="s">
        <v>19</v>
      </c>
      <c r="M1623" s="7" t="n">
        <v>250</v>
      </c>
      <c r="N1623" s="8" t="n">
        <v>0.0789</v>
      </c>
      <c r="O1623" s="4" t="n">
        <f aca="false">M1623*N1623</f>
        <v>19.725</v>
      </c>
    </row>
    <row r="1624" customFormat="false" ht="15" hidden="false" customHeight="false" outlineLevel="0" collapsed="false">
      <c r="A1624" s="0" t="s">
        <v>2528</v>
      </c>
      <c r="C1624" s="0" t="s">
        <v>34</v>
      </c>
      <c r="D1624" s="7" t="n">
        <v>2203</v>
      </c>
      <c r="E1624" s="8" t="n">
        <v>0.0732047208352247</v>
      </c>
      <c r="F1624" s="4" t="n">
        <f aca="false">D1624*E1624</f>
        <v>161.27</v>
      </c>
      <c r="G1624" s="7" t="n">
        <v>70</v>
      </c>
      <c r="H1624" s="9" t="n">
        <f aca="false">IF(G1624&gt;0,D1624/G1624,"")</f>
        <v>31.4714285714286</v>
      </c>
      <c r="I1624" s="10" t="n">
        <v>46297</v>
      </c>
      <c r="K1624" s="10"/>
      <c r="M1624" s="7"/>
      <c r="N1624" s="8"/>
      <c r="O1624" s="4"/>
    </row>
    <row r="1625" customFormat="false" ht="15" hidden="false" customHeight="false" outlineLevel="0" collapsed="false">
      <c r="A1625" s="0" t="s">
        <v>2529</v>
      </c>
      <c r="C1625" s="0" t="s">
        <v>38</v>
      </c>
      <c r="D1625" s="7" t="n">
        <v>14988</v>
      </c>
      <c r="E1625" s="8" t="n">
        <v>0.0107532692820923</v>
      </c>
      <c r="F1625" s="4" t="n">
        <f aca="false">D1625*E1625</f>
        <v>161.17</v>
      </c>
      <c r="G1625" s="7" t="n">
        <v>14973</v>
      </c>
      <c r="H1625" s="9" t="n">
        <f aca="false">IF(G1625&gt;0,D1625/G1625,"")</f>
        <v>1.00100180324584</v>
      </c>
      <c r="I1625" s="10" t="n">
        <v>46314</v>
      </c>
      <c r="J1625" s="3" t="s">
        <v>230</v>
      </c>
      <c r="K1625" s="10" t="n">
        <v>46303</v>
      </c>
      <c r="L1625" s="3" t="s">
        <v>18</v>
      </c>
      <c r="M1625" s="7" t="n">
        <v>7610</v>
      </c>
      <c r="N1625" s="8" t="n">
        <v>0.0119</v>
      </c>
      <c r="O1625" s="4" t="n">
        <f aca="false">M1625*N1625</f>
        <v>90.559</v>
      </c>
    </row>
    <row r="1626" customFormat="false" ht="15" hidden="false" customHeight="false" outlineLevel="0" collapsed="false">
      <c r="A1626" s="0" t="s">
        <v>2530</v>
      </c>
      <c r="C1626" s="0" t="s">
        <v>285</v>
      </c>
      <c r="D1626" s="7" t="n">
        <v>2405</v>
      </c>
      <c r="E1626" s="8" t="n">
        <v>0.066997920997921</v>
      </c>
      <c r="F1626" s="4" t="n">
        <f aca="false">D1626*E1626</f>
        <v>161.13</v>
      </c>
      <c r="G1626" s="7" t="n">
        <v>30</v>
      </c>
      <c r="H1626" s="9" t="n">
        <f aca="false">IF(G1626&gt;0,D1626/G1626,"")</f>
        <v>80.1666666666667</v>
      </c>
      <c r="I1626" s="10" t="n">
        <v>46204</v>
      </c>
      <c r="J1626" s="3" t="s">
        <v>2531</v>
      </c>
      <c r="K1626" s="10" t="n">
        <v>45366</v>
      </c>
      <c r="L1626" s="3" t="s">
        <v>15</v>
      </c>
      <c r="M1626" s="7" t="n">
        <v>3135</v>
      </c>
      <c r="N1626" s="8" t="n">
        <v>0.067</v>
      </c>
      <c r="O1626" s="4" t="n">
        <f aca="false">M1626*N1626</f>
        <v>210.045</v>
      </c>
    </row>
    <row r="1627" customFormat="false" ht="15" hidden="false" customHeight="false" outlineLevel="0" collapsed="false">
      <c r="A1627" s="0" t="s">
        <v>2532</v>
      </c>
      <c r="C1627" s="0" t="s">
        <v>36</v>
      </c>
      <c r="D1627" s="7" t="n">
        <v>6479</v>
      </c>
      <c r="E1627" s="8" t="n">
        <v>0.024800123475845</v>
      </c>
      <c r="F1627" s="4" t="n">
        <f aca="false">D1627*E1627</f>
        <v>160.68</v>
      </c>
      <c r="G1627" s="7" t="n">
        <v>558</v>
      </c>
      <c r="H1627" s="9" t="n">
        <f aca="false">IF(G1627&gt;0,D1627/G1627,"")</f>
        <v>11.6111111111111</v>
      </c>
      <c r="I1627" s="10" t="n">
        <v>46275</v>
      </c>
      <c r="J1627" s="3" t="s">
        <v>2533</v>
      </c>
      <c r="K1627" s="10" t="n">
        <v>45511</v>
      </c>
      <c r="L1627" s="3" t="s">
        <v>18</v>
      </c>
      <c r="M1627" s="7" t="n">
        <v>10000</v>
      </c>
      <c r="N1627" s="8" t="n">
        <v>0.0248</v>
      </c>
      <c r="O1627" s="4" t="n">
        <f aca="false">M1627*N1627</f>
        <v>248</v>
      </c>
    </row>
    <row r="1628" customFormat="false" ht="15" hidden="false" customHeight="false" outlineLevel="0" collapsed="false">
      <c r="A1628" s="0" t="s">
        <v>2534</v>
      </c>
      <c r="C1628" s="0" t="s">
        <v>118</v>
      </c>
      <c r="D1628" s="7" t="n">
        <v>8017</v>
      </c>
      <c r="E1628" s="8" t="n">
        <v>0.0200324310839466</v>
      </c>
      <c r="F1628" s="4" t="n">
        <f aca="false">D1628*E1628</f>
        <v>160.6</v>
      </c>
      <c r="G1628" s="7" t="n">
        <v>708</v>
      </c>
      <c r="H1628" s="9" t="n">
        <f aca="false">IF(G1628&gt;0,D1628/G1628,"")</f>
        <v>11.3234463276836</v>
      </c>
      <c r="I1628" s="10" t="n">
        <v>46267</v>
      </c>
      <c r="J1628" s="3" t="s">
        <v>2535</v>
      </c>
      <c r="K1628" s="10" t="n">
        <v>45098</v>
      </c>
      <c r="L1628" s="3" t="s">
        <v>19</v>
      </c>
      <c r="M1628" s="7" t="n">
        <v>1000</v>
      </c>
      <c r="N1628" s="8" t="n">
        <v>0.0666</v>
      </c>
      <c r="O1628" s="4" t="n">
        <f aca="false">M1628*N1628</f>
        <v>66.6</v>
      </c>
    </row>
    <row r="1629" customFormat="false" ht="15" hidden="false" customHeight="false" outlineLevel="0" collapsed="false">
      <c r="A1629" s="0" t="s">
        <v>2536</v>
      </c>
      <c r="C1629" s="0" t="s">
        <v>777</v>
      </c>
      <c r="D1629" s="7" t="n">
        <v>1550</v>
      </c>
      <c r="E1629" s="8" t="n">
        <v>0.1036</v>
      </c>
      <c r="F1629" s="4" t="n">
        <f aca="false">D1629*E1629</f>
        <v>160.58</v>
      </c>
      <c r="G1629" s="7" t="n">
        <v>100</v>
      </c>
      <c r="H1629" s="9" t="n">
        <f aca="false">IF(G1629&gt;0,D1629/G1629,"")</f>
        <v>15.5</v>
      </c>
      <c r="I1629" s="10" t="n">
        <v>45986</v>
      </c>
      <c r="J1629" s="3" t="s">
        <v>1425</v>
      </c>
      <c r="K1629" s="10" t="n">
        <v>45890</v>
      </c>
      <c r="L1629" s="3" t="s">
        <v>15</v>
      </c>
      <c r="M1629" s="7" t="n">
        <v>1650</v>
      </c>
      <c r="N1629" s="8" t="n">
        <v>0.1036</v>
      </c>
      <c r="O1629" s="4" t="n">
        <f aca="false">M1629*N1629</f>
        <v>170.94</v>
      </c>
    </row>
    <row r="1630" customFormat="false" ht="15" hidden="false" customHeight="false" outlineLevel="0" collapsed="false">
      <c r="A1630" s="0" t="s">
        <v>2537</v>
      </c>
      <c r="C1630" s="0" t="s">
        <v>31</v>
      </c>
      <c r="D1630" s="7" t="n">
        <v>44577</v>
      </c>
      <c r="E1630" s="8" t="n">
        <v>0.00360140879825919</v>
      </c>
      <c r="F1630" s="4" t="n">
        <f aca="false">D1630*E1630</f>
        <v>160.54</v>
      </c>
      <c r="G1630" s="7" t="n">
        <v>10024</v>
      </c>
      <c r="H1630" s="9" t="n">
        <f aca="false">IF(G1630&gt;0,D1630/G1630,"")</f>
        <v>4.4470271348763</v>
      </c>
      <c r="I1630" s="10" t="n">
        <v>46316</v>
      </c>
      <c r="J1630" s="3" t="s">
        <v>2267</v>
      </c>
      <c r="K1630" s="10" t="n">
        <v>45946</v>
      </c>
      <c r="L1630" s="3" t="s">
        <v>16</v>
      </c>
      <c r="M1630" s="7" t="n">
        <v>52000</v>
      </c>
      <c r="N1630" s="8" t="n">
        <v>0.0036</v>
      </c>
      <c r="O1630" s="4" t="n">
        <f aca="false">M1630*N1630</f>
        <v>187.2</v>
      </c>
    </row>
    <row r="1631" customFormat="false" ht="15" hidden="false" customHeight="false" outlineLevel="0" collapsed="false">
      <c r="A1631" s="0" t="s">
        <v>2538</v>
      </c>
      <c r="C1631" s="0" t="s">
        <v>441</v>
      </c>
      <c r="D1631" s="7" t="n">
        <v>3</v>
      </c>
      <c r="E1631" s="8" t="n">
        <v>53.5066666666667</v>
      </c>
      <c r="F1631" s="4" t="n">
        <f aca="false">D1631*E1631</f>
        <v>160.52</v>
      </c>
      <c r="G1631" s="7" t="n">
        <v>3</v>
      </c>
      <c r="H1631" s="9" t="n">
        <f aca="false">IF(G1631&gt;0,D1631/G1631,"")</f>
        <v>1</v>
      </c>
      <c r="I1631" s="10" t="n">
        <v>46219</v>
      </c>
      <c r="J1631" s="3" t="s">
        <v>2539</v>
      </c>
      <c r="K1631" s="10" t="n">
        <v>46043</v>
      </c>
      <c r="L1631" s="3" t="s">
        <v>313</v>
      </c>
      <c r="M1631" s="7" t="n">
        <v>5</v>
      </c>
      <c r="N1631" s="8" t="n">
        <v>67.53</v>
      </c>
      <c r="O1631" s="4" t="n">
        <f aca="false">M1631*N1631</f>
        <v>337.65</v>
      </c>
    </row>
    <row r="1632" customFormat="false" ht="15" hidden="false" customHeight="false" outlineLevel="0" collapsed="false">
      <c r="A1632" s="0" t="s">
        <v>2540</v>
      </c>
      <c r="C1632" s="0" t="s">
        <v>370</v>
      </c>
      <c r="D1632" s="7" t="n">
        <v>2360</v>
      </c>
      <c r="E1632" s="8" t="n">
        <v>0.068</v>
      </c>
      <c r="F1632" s="4" t="n">
        <f aca="false">D1632*E1632</f>
        <v>160.48</v>
      </c>
      <c r="G1632" s="7" t="n">
        <v>215</v>
      </c>
      <c r="H1632" s="9" t="n">
        <f aca="false">IF(G1632&gt;0,D1632/G1632,"")</f>
        <v>10.9767441860465</v>
      </c>
      <c r="I1632" s="10" t="n">
        <v>46171</v>
      </c>
      <c r="J1632" s="3" t="s">
        <v>2054</v>
      </c>
      <c r="K1632" s="10" t="n">
        <v>45176</v>
      </c>
      <c r="L1632" s="3" t="s">
        <v>21</v>
      </c>
      <c r="M1632" s="7" t="n">
        <v>2500</v>
      </c>
      <c r="N1632" s="8" t="n">
        <v>0.068</v>
      </c>
      <c r="O1632" s="4" t="n">
        <f aca="false">M1632*N1632</f>
        <v>170</v>
      </c>
    </row>
    <row r="1633" customFormat="false" ht="15" hidden="false" customHeight="false" outlineLevel="0" collapsed="false">
      <c r="A1633" s="0" t="s">
        <v>2541</v>
      </c>
      <c r="C1633" s="0" t="s">
        <v>31</v>
      </c>
      <c r="D1633" s="7" t="n">
        <v>14727</v>
      </c>
      <c r="E1633" s="8" t="n">
        <v>0.0108888436205609</v>
      </c>
      <c r="F1633" s="4" t="n">
        <f aca="false">D1633*E1633</f>
        <v>160.36</v>
      </c>
      <c r="G1633" s="7" t="n">
        <v>1024</v>
      </c>
      <c r="H1633" s="9" t="n">
        <f aca="false">IF(G1633&gt;0,D1633/G1633,"")</f>
        <v>14.3818359375</v>
      </c>
      <c r="I1633" s="10" t="n">
        <v>46274</v>
      </c>
      <c r="J1633" s="3" t="s">
        <v>1140</v>
      </c>
      <c r="K1633" s="10" t="n">
        <v>45614</v>
      </c>
      <c r="L1633" s="3" t="s">
        <v>15</v>
      </c>
      <c r="M1633" s="7" t="n">
        <v>18400</v>
      </c>
      <c r="N1633" s="8" t="n">
        <v>0.01089</v>
      </c>
      <c r="O1633" s="4" t="n">
        <f aca="false">M1633*N1633</f>
        <v>200.376</v>
      </c>
    </row>
    <row r="1634" customFormat="false" ht="15" hidden="false" customHeight="false" outlineLevel="0" collapsed="false">
      <c r="A1634" s="0" t="s">
        <v>2542</v>
      </c>
      <c r="C1634" s="0" t="s">
        <v>2543</v>
      </c>
      <c r="D1634" s="7" t="n">
        <v>501</v>
      </c>
      <c r="E1634" s="8" t="n">
        <v>0.32</v>
      </c>
      <c r="F1634" s="4" t="n">
        <f aca="false">D1634*E1634</f>
        <v>160.32</v>
      </c>
      <c r="G1634" s="7" t="n">
        <v>206</v>
      </c>
      <c r="H1634" s="9" t="n">
        <f aca="false">IF(G1634&gt;0,D1634/G1634,"")</f>
        <v>2.43203883495146</v>
      </c>
      <c r="I1634" s="10" t="n">
        <v>46212</v>
      </c>
      <c r="J1634" s="3" t="s">
        <v>2544</v>
      </c>
      <c r="K1634" s="10" t="n">
        <v>44301</v>
      </c>
      <c r="L1634" s="3" t="s">
        <v>223</v>
      </c>
      <c r="M1634" s="7" t="n">
        <v>500</v>
      </c>
      <c r="N1634" s="8" t="n">
        <v>0.319</v>
      </c>
      <c r="O1634" s="4" t="n">
        <f aca="false">M1634*N1634</f>
        <v>159.5</v>
      </c>
    </row>
    <row r="1635" customFormat="false" ht="15" hidden="false" customHeight="false" outlineLevel="0" collapsed="false">
      <c r="A1635" s="0" t="s">
        <v>2545</v>
      </c>
      <c r="C1635" s="0" t="s">
        <v>1169</v>
      </c>
      <c r="D1635" s="7" t="n">
        <v>2521</v>
      </c>
      <c r="E1635" s="8" t="n">
        <v>0.0635779452598175</v>
      </c>
      <c r="F1635" s="4" t="n">
        <f aca="false">D1635*E1635</f>
        <v>160.28</v>
      </c>
      <c r="G1635" s="7" t="n">
        <v>420</v>
      </c>
      <c r="H1635" s="9" t="n">
        <f aca="false">IF(G1635&gt;0,D1635/G1635,"")</f>
        <v>6.00238095238095</v>
      </c>
      <c r="I1635" s="10" t="n">
        <v>46286</v>
      </c>
      <c r="J1635" s="3" t="s">
        <v>926</v>
      </c>
      <c r="K1635" s="10" t="n">
        <v>46009</v>
      </c>
      <c r="L1635" s="3" t="s">
        <v>21</v>
      </c>
      <c r="M1635" s="7" t="n">
        <v>1600</v>
      </c>
      <c r="N1635" s="8" t="n">
        <v>0.063</v>
      </c>
      <c r="O1635" s="4" t="n">
        <f aca="false">M1635*N1635</f>
        <v>100.8</v>
      </c>
    </row>
    <row r="1636" customFormat="false" ht="15" hidden="false" customHeight="false" outlineLevel="0" collapsed="false">
      <c r="A1636" s="0" t="s">
        <v>2546</v>
      </c>
      <c r="C1636" s="0" t="s">
        <v>340</v>
      </c>
      <c r="D1636" s="7" t="n">
        <v>16723</v>
      </c>
      <c r="E1636" s="8" t="n">
        <v>0.00958320875441009</v>
      </c>
      <c r="F1636" s="4" t="n">
        <f aca="false">D1636*E1636</f>
        <v>160.26</v>
      </c>
      <c r="G1636" s="7" t="n">
        <v>12175</v>
      </c>
      <c r="H1636" s="9" t="n">
        <f aca="false">IF(G1636&gt;0,D1636/G1636,"")</f>
        <v>1.3735523613963</v>
      </c>
      <c r="I1636" s="10" t="n">
        <v>46294</v>
      </c>
      <c r="J1636" s="3" t="s">
        <v>162</v>
      </c>
      <c r="K1636" s="10" t="n">
        <v>45967</v>
      </c>
      <c r="L1636" s="3" t="s">
        <v>15</v>
      </c>
      <c r="M1636" s="7" t="n">
        <v>25100</v>
      </c>
      <c r="N1636" s="8" t="n">
        <v>0.00902</v>
      </c>
      <c r="O1636" s="4" t="n">
        <f aca="false">M1636*N1636</f>
        <v>226.402</v>
      </c>
    </row>
    <row r="1637" customFormat="false" ht="15" hidden="false" customHeight="false" outlineLevel="0" collapsed="false">
      <c r="A1637" s="0" t="s">
        <v>2547</v>
      </c>
      <c r="C1637" s="0" t="s">
        <v>79</v>
      </c>
      <c r="D1637" s="7" t="n">
        <v>566</v>
      </c>
      <c r="E1637" s="8" t="n">
        <v>0.283109540636042</v>
      </c>
      <c r="F1637" s="4" t="n">
        <f aca="false">D1637*E1637</f>
        <v>160.24</v>
      </c>
      <c r="G1637" s="7" t="n">
        <v>96</v>
      </c>
      <c r="H1637" s="9" t="n">
        <f aca="false">IF(G1637&gt;0,D1637/G1637,"")</f>
        <v>5.89583333333333</v>
      </c>
      <c r="I1637" s="10" t="n">
        <v>46316</v>
      </c>
      <c r="J1637" s="3" t="s">
        <v>1033</v>
      </c>
      <c r="K1637" s="10" t="n">
        <v>45028</v>
      </c>
      <c r="L1637" s="3" t="s">
        <v>19</v>
      </c>
      <c r="M1637" s="7" t="n">
        <v>50</v>
      </c>
      <c r="N1637" s="8" t="n">
        <v>0.6389</v>
      </c>
      <c r="O1637" s="4" t="n">
        <f aca="false">M1637*N1637</f>
        <v>31.945</v>
      </c>
    </row>
    <row r="1638" customFormat="false" ht="15" hidden="false" customHeight="false" outlineLevel="0" collapsed="false">
      <c r="A1638" s="0" t="s">
        <v>2548</v>
      </c>
      <c r="C1638" s="0" t="s">
        <v>118</v>
      </c>
      <c r="D1638" s="7" t="n">
        <v>7459</v>
      </c>
      <c r="E1638" s="8" t="n">
        <v>0.0214747285158869</v>
      </c>
      <c r="F1638" s="4" t="n">
        <f aca="false">D1638*E1638</f>
        <v>160.18</v>
      </c>
      <c r="G1638" s="7" t="n">
        <v>1196</v>
      </c>
      <c r="H1638" s="9" t="n">
        <f aca="false">IF(G1638&gt;0,D1638/G1638,"")</f>
        <v>6.2366220735786</v>
      </c>
      <c r="I1638" s="10" t="n">
        <v>46219</v>
      </c>
      <c r="J1638" s="3" t="s">
        <v>2549</v>
      </c>
      <c r="K1638" s="10" t="n">
        <v>45103</v>
      </c>
      <c r="L1638" s="3" t="s">
        <v>14</v>
      </c>
      <c r="M1638" s="7" t="n">
        <v>3000</v>
      </c>
      <c r="N1638" s="8" t="n">
        <v>0.0588</v>
      </c>
      <c r="O1638" s="4" t="n">
        <f aca="false">M1638*N1638</f>
        <v>176.4</v>
      </c>
    </row>
    <row r="1639" customFormat="false" ht="15" hidden="false" customHeight="false" outlineLevel="0" collapsed="false">
      <c r="A1639" s="0" t="s">
        <v>2550</v>
      </c>
      <c r="C1639" s="0" t="s">
        <v>41</v>
      </c>
      <c r="D1639" s="7" t="n">
        <v>20022</v>
      </c>
      <c r="E1639" s="8" t="n">
        <v>0.0079997003296374</v>
      </c>
      <c r="F1639" s="4" t="n">
        <f aca="false">D1639*E1639</f>
        <v>160.17</v>
      </c>
      <c r="G1639" s="7" t="n">
        <v>1299</v>
      </c>
      <c r="H1639" s="9" t="n">
        <f aca="false">IF(G1639&gt;0,D1639/G1639,"")</f>
        <v>15.4133949191686</v>
      </c>
      <c r="I1639" s="10" t="n">
        <v>46238</v>
      </c>
      <c r="J1639" s="3" t="s">
        <v>2551</v>
      </c>
      <c r="K1639" s="10" t="n">
        <v>46210</v>
      </c>
      <c r="L1639" s="3" t="s">
        <v>16</v>
      </c>
      <c r="M1639" s="7" t="n">
        <v>20022</v>
      </c>
      <c r="N1639" s="8" t="n">
        <v>0.008</v>
      </c>
      <c r="O1639" s="4" t="n">
        <f aca="false">M1639*N1639</f>
        <v>160.176</v>
      </c>
    </row>
    <row r="1640" customFormat="false" ht="15" hidden="false" customHeight="false" outlineLevel="0" collapsed="false">
      <c r="A1640" s="0" t="s">
        <v>2552</v>
      </c>
      <c r="C1640" s="0" t="s">
        <v>35</v>
      </c>
      <c r="D1640" s="7" t="n">
        <v>75</v>
      </c>
      <c r="E1640" s="8" t="n">
        <v>2.13466666666667</v>
      </c>
      <c r="F1640" s="4" t="n">
        <f aca="false">D1640*E1640</f>
        <v>160.1</v>
      </c>
      <c r="G1640" s="7" t="n">
        <v>64</v>
      </c>
      <c r="H1640" s="9" t="n">
        <f aca="false">IF(G1640&gt;0,D1640/G1640,"")</f>
        <v>1.171875</v>
      </c>
      <c r="I1640" s="10" t="n">
        <v>46302</v>
      </c>
      <c r="J1640" s="3" t="s">
        <v>1284</v>
      </c>
      <c r="K1640" s="10" t="n">
        <v>46295</v>
      </c>
      <c r="L1640" s="3" t="s">
        <v>14</v>
      </c>
      <c r="M1640" s="7" t="n">
        <v>106</v>
      </c>
      <c r="N1640" s="8" t="n">
        <v>2.1346</v>
      </c>
      <c r="O1640" s="4" t="n">
        <f aca="false">M1640*N1640</f>
        <v>226.2676</v>
      </c>
    </row>
    <row r="1641" customFormat="false" ht="15" hidden="false" customHeight="false" outlineLevel="0" collapsed="false">
      <c r="A1641" s="0" t="s">
        <v>2553</v>
      </c>
      <c r="C1641" s="0" t="s">
        <v>855</v>
      </c>
      <c r="D1641" s="7" t="n">
        <v>5143</v>
      </c>
      <c r="E1641" s="8" t="n">
        <v>0.0311024693758507</v>
      </c>
      <c r="F1641" s="4" t="n">
        <f aca="false">D1641*E1641</f>
        <v>159.96</v>
      </c>
      <c r="G1641" s="7" t="n">
        <v>193</v>
      </c>
      <c r="H1641" s="9" t="n">
        <f aca="false">IF(G1641&gt;0,D1641/G1641,"")</f>
        <v>26.6476683937824</v>
      </c>
      <c r="I1641" s="10" t="n">
        <v>46157</v>
      </c>
      <c r="K1641" s="10"/>
      <c r="M1641" s="7"/>
      <c r="N1641" s="8"/>
      <c r="O1641" s="4"/>
    </row>
    <row r="1642" customFormat="false" ht="15" hidden="false" customHeight="false" outlineLevel="0" collapsed="false">
      <c r="A1642" s="0" t="s">
        <v>2554</v>
      </c>
      <c r="C1642" s="0" t="s">
        <v>438</v>
      </c>
      <c r="D1642" s="7" t="n">
        <v>432</v>
      </c>
      <c r="E1642" s="8" t="n">
        <v>0.37</v>
      </c>
      <c r="F1642" s="4" t="n">
        <f aca="false">D1642*E1642</f>
        <v>159.84</v>
      </c>
      <c r="G1642" s="7" t="n">
        <v>213</v>
      </c>
      <c r="H1642" s="9" t="n">
        <f aca="false">IF(G1642&gt;0,D1642/G1642,"")</f>
        <v>2.02816901408451</v>
      </c>
      <c r="I1642" s="10" t="n">
        <v>46238</v>
      </c>
      <c r="J1642" s="3" t="s">
        <v>2555</v>
      </c>
      <c r="K1642" s="10" t="n">
        <v>46202</v>
      </c>
      <c r="L1642" s="3" t="s">
        <v>1878</v>
      </c>
      <c r="M1642" s="7" t="n">
        <v>500</v>
      </c>
      <c r="N1642" s="8" t="n">
        <v>0.37</v>
      </c>
      <c r="O1642" s="4" t="n">
        <f aca="false">M1642*N1642</f>
        <v>185</v>
      </c>
    </row>
    <row r="1643" customFormat="false" ht="15" hidden="false" customHeight="false" outlineLevel="0" collapsed="false">
      <c r="A1643" s="0" t="s">
        <v>2556</v>
      </c>
      <c r="C1643" s="0" t="s">
        <v>41</v>
      </c>
      <c r="D1643" s="7" t="n">
        <v>17894</v>
      </c>
      <c r="E1643" s="8" t="n">
        <v>0.00892980887448307</v>
      </c>
      <c r="F1643" s="4" t="n">
        <f aca="false">D1643*E1643</f>
        <v>159.79</v>
      </c>
      <c r="G1643" s="7" t="n">
        <v>787</v>
      </c>
      <c r="H1643" s="9" t="n">
        <f aca="false">IF(G1643&gt;0,D1643/G1643,"")</f>
        <v>22.7369758576874</v>
      </c>
      <c r="I1643" s="10" t="n">
        <v>46246</v>
      </c>
      <c r="J1643" s="3" t="s">
        <v>2464</v>
      </c>
      <c r="K1643" s="10" t="n">
        <v>46175</v>
      </c>
      <c r="L1643" s="3" t="s">
        <v>19</v>
      </c>
      <c r="M1643" s="7" t="n">
        <v>500</v>
      </c>
      <c r="N1643" s="8" t="n">
        <v>0.0385</v>
      </c>
      <c r="O1643" s="4" t="n">
        <f aca="false">M1643*N1643</f>
        <v>19.25</v>
      </c>
    </row>
    <row r="1644" customFormat="false" ht="15" hidden="false" customHeight="false" outlineLevel="0" collapsed="false">
      <c r="A1644" s="0" t="s">
        <v>2557</v>
      </c>
      <c r="C1644" s="0" t="s">
        <v>31</v>
      </c>
      <c r="D1644" s="7" t="n">
        <v>823</v>
      </c>
      <c r="E1644" s="8" t="n">
        <v>0.194094775212637</v>
      </c>
      <c r="F1644" s="4" t="n">
        <f aca="false">D1644*E1644</f>
        <v>159.74</v>
      </c>
      <c r="G1644" s="7" t="n">
        <v>157</v>
      </c>
      <c r="H1644" s="9" t="n">
        <f aca="false">IF(G1644&gt;0,D1644/G1644,"")</f>
        <v>5.24203821656051</v>
      </c>
      <c r="I1644" s="10" t="n">
        <v>46232</v>
      </c>
      <c r="J1644" s="3" t="s">
        <v>2558</v>
      </c>
      <c r="K1644" s="10" t="n">
        <v>44623</v>
      </c>
      <c r="L1644" s="3" t="s">
        <v>19</v>
      </c>
      <c r="M1644" s="7" t="n">
        <v>2981</v>
      </c>
      <c r="N1644" s="8" t="n">
        <v>0.1941</v>
      </c>
      <c r="O1644" s="4" t="n">
        <f aca="false">M1644*N1644</f>
        <v>578.6121</v>
      </c>
    </row>
    <row r="1645" customFormat="false" ht="15" hidden="false" customHeight="false" outlineLevel="0" collapsed="false">
      <c r="A1645" s="0" t="s">
        <v>2559</v>
      </c>
      <c r="C1645" s="0" t="s">
        <v>398</v>
      </c>
      <c r="D1645" s="7" t="n">
        <v>2063</v>
      </c>
      <c r="E1645" s="8" t="n">
        <v>0.0774018419777024</v>
      </c>
      <c r="F1645" s="4" t="n">
        <f aca="false">D1645*E1645</f>
        <v>159.68</v>
      </c>
      <c r="G1645" s="7" t="n">
        <v>14</v>
      </c>
      <c r="H1645" s="9" t="n">
        <f aca="false">IF(G1645&gt;0,D1645/G1645,"")</f>
        <v>147.357142857143</v>
      </c>
      <c r="I1645" s="10" t="n">
        <v>46118</v>
      </c>
      <c r="J1645" s="3" t="s">
        <v>812</v>
      </c>
      <c r="K1645" s="10" t="n">
        <v>44830</v>
      </c>
      <c r="L1645" s="3" t="s">
        <v>16</v>
      </c>
      <c r="M1645" s="7" t="n">
        <v>5029</v>
      </c>
      <c r="N1645" s="8" t="n">
        <v>0.0774</v>
      </c>
      <c r="O1645" s="4" t="n">
        <f aca="false">M1645*N1645</f>
        <v>389.2446</v>
      </c>
    </row>
    <row r="1646" customFormat="false" ht="15" hidden="false" customHeight="false" outlineLevel="0" collapsed="false">
      <c r="A1646" s="0" t="s">
        <v>2560</v>
      </c>
      <c r="C1646" s="0" t="s">
        <v>39</v>
      </c>
      <c r="D1646" s="7" t="n">
        <v>1211</v>
      </c>
      <c r="E1646" s="8" t="n">
        <v>0.131849710982659</v>
      </c>
      <c r="F1646" s="4" t="n">
        <f aca="false">D1646*E1646</f>
        <v>159.67</v>
      </c>
      <c r="G1646" s="7" t="n">
        <v>175</v>
      </c>
      <c r="H1646" s="9" t="n">
        <f aca="false">IF(G1646&gt;0,D1646/G1646,"")</f>
        <v>6.92</v>
      </c>
      <c r="I1646" s="10" t="n">
        <v>46315</v>
      </c>
      <c r="J1646" s="3" t="s">
        <v>2561</v>
      </c>
      <c r="K1646" s="10" t="n">
        <v>44680</v>
      </c>
      <c r="L1646" s="3" t="s">
        <v>15</v>
      </c>
      <c r="M1646" s="7" t="n">
        <v>1750</v>
      </c>
      <c r="N1646" s="8" t="n">
        <v>0.13186</v>
      </c>
      <c r="O1646" s="4" t="n">
        <f aca="false">M1646*N1646</f>
        <v>230.755</v>
      </c>
    </row>
    <row r="1647" customFormat="false" ht="15" hidden="false" customHeight="false" outlineLevel="0" collapsed="false">
      <c r="A1647" s="0" t="s">
        <v>2562</v>
      </c>
      <c r="C1647" s="0" t="s">
        <v>889</v>
      </c>
      <c r="D1647" s="7" t="n">
        <v>1306</v>
      </c>
      <c r="E1647" s="8" t="n">
        <v>0.122235834609495</v>
      </c>
      <c r="F1647" s="4" t="n">
        <f aca="false">D1647*E1647</f>
        <v>159.64</v>
      </c>
      <c r="G1647" s="7" t="n">
        <v>3</v>
      </c>
      <c r="H1647" s="9" t="n">
        <f aca="false">IF(G1647&gt;0,D1647/G1647,"")</f>
        <v>435.333333333333</v>
      </c>
      <c r="I1647" s="10" t="n">
        <v>46008</v>
      </c>
      <c r="J1647" s="3" t="s">
        <v>178</v>
      </c>
      <c r="K1647" s="10" t="n">
        <v>44301</v>
      </c>
      <c r="L1647" s="3" t="s">
        <v>15</v>
      </c>
      <c r="M1647" s="7" t="n">
        <v>1762</v>
      </c>
      <c r="N1647" s="8" t="n">
        <v>0</v>
      </c>
      <c r="O1647" s="4" t="n">
        <v>215.4592</v>
      </c>
    </row>
    <row r="1648" customFormat="false" ht="15" hidden="false" customHeight="false" outlineLevel="0" collapsed="false">
      <c r="A1648" s="0" t="s">
        <v>2563</v>
      </c>
      <c r="C1648" s="0" t="s">
        <v>370</v>
      </c>
      <c r="D1648" s="7" t="n">
        <v>76</v>
      </c>
      <c r="E1648" s="8" t="n">
        <v>2.1</v>
      </c>
      <c r="F1648" s="4" t="n">
        <f aca="false">D1648*E1648</f>
        <v>159.6</v>
      </c>
      <c r="G1648" s="7" t="n">
        <v>19</v>
      </c>
      <c r="H1648" s="9" t="n">
        <f aca="false">IF(G1648&gt;0,D1648/G1648,"")</f>
        <v>4</v>
      </c>
      <c r="I1648" s="10" t="n">
        <v>46146</v>
      </c>
      <c r="J1648" s="3" t="s">
        <v>2564</v>
      </c>
      <c r="K1648" s="10" t="n">
        <v>44403</v>
      </c>
      <c r="L1648" s="3" t="s">
        <v>19</v>
      </c>
      <c r="M1648" s="7" t="n">
        <v>120</v>
      </c>
      <c r="N1648" s="8" t="n">
        <v>2.1</v>
      </c>
      <c r="O1648" s="4" t="n">
        <f aca="false">M1648*N1648</f>
        <v>252</v>
      </c>
    </row>
    <row r="1649" customFormat="false" ht="15" hidden="false" customHeight="false" outlineLevel="0" collapsed="false">
      <c r="A1649" s="0" t="s">
        <v>2565</v>
      </c>
      <c r="C1649" s="0" t="s">
        <v>31</v>
      </c>
      <c r="D1649" s="7" t="n">
        <v>59578</v>
      </c>
      <c r="E1649" s="8" t="n">
        <v>0.00267665916949209</v>
      </c>
      <c r="F1649" s="4" t="n">
        <f aca="false">D1649*E1649</f>
        <v>159.47</v>
      </c>
      <c r="G1649" s="7" t="n">
        <v>770</v>
      </c>
      <c r="H1649" s="9" t="n">
        <f aca="false">IF(G1649&gt;0,D1649/G1649,"")</f>
        <v>77.374025974026</v>
      </c>
      <c r="I1649" s="10" t="n">
        <v>46304</v>
      </c>
      <c r="J1649" s="3" t="s">
        <v>1209</v>
      </c>
      <c r="K1649" s="10" t="n">
        <v>45993</v>
      </c>
      <c r="L1649" s="3" t="s">
        <v>16</v>
      </c>
      <c r="M1649" s="7" t="n">
        <v>56000</v>
      </c>
      <c r="N1649" s="8" t="n">
        <v>0.0027</v>
      </c>
      <c r="O1649" s="4" t="n">
        <f aca="false">M1649*N1649</f>
        <v>151.2</v>
      </c>
    </row>
    <row r="1650" customFormat="false" ht="15" hidden="false" customHeight="false" outlineLevel="0" collapsed="false">
      <c r="A1650" s="0" t="s">
        <v>2566</v>
      </c>
      <c r="C1650" s="0" t="s">
        <v>494</v>
      </c>
      <c r="D1650" s="7" t="n">
        <v>1668</v>
      </c>
      <c r="E1650" s="8" t="n">
        <v>0.0954016786570743</v>
      </c>
      <c r="F1650" s="4" t="n">
        <f aca="false">D1650*E1650</f>
        <v>159.13</v>
      </c>
      <c r="G1650" s="7" t="n">
        <v>75</v>
      </c>
      <c r="H1650" s="9" t="n">
        <f aca="false">IF(G1650&gt;0,D1650/G1650,"")</f>
        <v>22.24</v>
      </c>
      <c r="I1650" s="10" t="n">
        <v>46260</v>
      </c>
      <c r="K1650" s="10"/>
      <c r="M1650" s="7"/>
      <c r="N1650" s="8"/>
      <c r="O1650" s="4"/>
    </row>
    <row r="1651" customFormat="false" ht="15" hidden="false" customHeight="false" outlineLevel="0" collapsed="false">
      <c r="A1651" s="0" t="s">
        <v>2567</v>
      </c>
      <c r="C1651" s="0" t="s">
        <v>31</v>
      </c>
      <c r="D1651" s="7" t="n">
        <v>43703</v>
      </c>
      <c r="E1651" s="8" t="n">
        <v>0.00364002471226232</v>
      </c>
      <c r="F1651" s="4" t="n">
        <f aca="false">D1651*E1651</f>
        <v>159.08</v>
      </c>
      <c r="G1651" s="7" t="n">
        <v>8747</v>
      </c>
      <c r="H1651" s="9" t="n">
        <f aca="false">IF(G1651&gt;0,D1651/G1651,"")</f>
        <v>4.99634160283526</v>
      </c>
      <c r="I1651" s="10" t="n">
        <v>46295</v>
      </c>
      <c r="J1651" s="3" t="s">
        <v>278</v>
      </c>
      <c r="K1651" s="10" t="n">
        <v>45967</v>
      </c>
      <c r="L1651" s="3" t="s">
        <v>16</v>
      </c>
      <c r="M1651" s="7" t="n">
        <v>45455</v>
      </c>
      <c r="N1651" s="8" t="n">
        <v>0.00364</v>
      </c>
      <c r="O1651" s="4" t="n">
        <f aca="false">M1651*N1651</f>
        <v>165.4562</v>
      </c>
    </row>
    <row r="1652" customFormat="false" ht="15" hidden="false" customHeight="false" outlineLevel="0" collapsed="false">
      <c r="A1652" s="0" t="s">
        <v>2568</v>
      </c>
      <c r="C1652" s="0" t="s">
        <v>2569</v>
      </c>
      <c r="D1652" s="7" t="n">
        <v>262</v>
      </c>
      <c r="E1652" s="8" t="n">
        <v>0.606984732824427</v>
      </c>
      <c r="F1652" s="4" t="n">
        <f aca="false">D1652*E1652</f>
        <v>159.03</v>
      </c>
      <c r="G1652" s="7" t="n">
        <v>21</v>
      </c>
      <c r="H1652" s="9" t="n">
        <f aca="false">IF(G1652&gt;0,D1652/G1652,"")</f>
        <v>12.4761904761905</v>
      </c>
      <c r="I1652" s="10" t="n">
        <v>46181</v>
      </c>
      <c r="J1652" s="3" t="s">
        <v>2570</v>
      </c>
      <c r="K1652" s="10" t="n">
        <v>45334</v>
      </c>
      <c r="L1652" s="3" t="s">
        <v>2571</v>
      </c>
      <c r="M1652" s="7" t="n">
        <v>300</v>
      </c>
      <c r="N1652" s="8" t="n">
        <v>0.607</v>
      </c>
      <c r="O1652" s="4" t="n">
        <f aca="false">M1652*N1652</f>
        <v>182.1</v>
      </c>
    </row>
    <row r="1653" customFormat="false" ht="15" hidden="false" customHeight="false" outlineLevel="0" collapsed="false">
      <c r="A1653" s="0" t="s">
        <v>2572</v>
      </c>
      <c r="C1653" s="0" t="s">
        <v>31</v>
      </c>
      <c r="D1653" s="7" t="n">
        <v>2274</v>
      </c>
      <c r="E1653" s="8" t="n">
        <v>0.0699296394019349</v>
      </c>
      <c r="F1653" s="4" t="n">
        <f aca="false">D1653*E1653</f>
        <v>159.02</v>
      </c>
      <c r="G1653" s="7" t="n">
        <v>65</v>
      </c>
      <c r="H1653" s="9" t="n">
        <f aca="false">IF(G1653&gt;0,D1653/G1653,"")</f>
        <v>34.9846153846154</v>
      </c>
      <c r="I1653" s="10" t="n">
        <v>46091</v>
      </c>
      <c r="J1653" s="3" t="s">
        <v>2573</v>
      </c>
      <c r="K1653" s="10" t="n">
        <v>46142</v>
      </c>
      <c r="L1653" s="3" t="s">
        <v>16</v>
      </c>
      <c r="M1653" s="7" t="n">
        <v>2230</v>
      </c>
      <c r="N1653" s="8" t="n">
        <v>0.0674</v>
      </c>
      <c r="O1653" s="4" t="n">
        <f aca="false">M1653*N1653</f>
        <v>150.302</v>
      </c>
    </row>
    <row r="1654" customFormat="false" ht="15" hidden="false" customHeight="false" outlineLevel="0" collapsed="false">
      <c r="A1654" s="0" t="s">
        <v>2574</v>
      </c>
      <c r="C1654" s="0" t="s">
        <v>61</v>
      </c>
      <c r="D1654" s="7" t="n">
        <v>2296</v>
      </c>
      <c r="E1654" s="8" t="n">
        <v>0.0692465156794425</v>
      </c>
      <c r="F1654" s="4" t="n">
        <f aca="false">D1654*E1654</f>
        <v>158.99</v>
      </c>
      <c r="G1654" s="7" t="n">
        <v>281</v>
      </c>
      <c r="H1654" s="9" t="n">
        <f aca="false">IF(G1654&gt;0,D1654/G1654,"")</f>
        <v>8.17081850533808</v>
      </c>
      <c r="I1654" s="10" t="n">
        <v>46314</v>
      </c>
      <c r="J1654" s="3" t="s">
        <v>661</v>
      </c>
      <c r="K1654" s="10" t="n">
        <v>44531</v>
      </c>
      <c r="L1654" s="3" t="s">
        <v>23</v>
      </c>
      <c r="M1654" s="7" t="n">
        <v>3094</v>
      </c>
      <c r="N1654" s="8" t="n">
        <v>0.0722</v>
      </c>
      <c r="O1654" s="4" t="n">
        <v>216.6</v>
      </c>
    </row>
    <row r="1655" customFormat="false" ht="15" hidden="false" customHeight="false" outlineLevel="0" collapsed="false">
      <c r="A1655" s="0" t="s">
        <v>2575</v>
      </c>
      <c r="C1655" s="0" t="s">
        <v>34</v>
      </c>
      <c r="D1655" s="7" t="n">
        <v>4830</v>
      </c>
      <c r="E1655" s="8" t="n">
        <v>0.0328985507246377</v>
      </c>
      <c r="F1655" s="4" t="n">
        <f aca="false">D1655*E1655</f>
        <v>158.9</v>
      </c>
      <c r="G1655" s="7" t="n">
        <v>478</v>
      </c>
      <c r="H1655" s="9" t="n">
        <f aca="false">IF(G1655&gt;0,D1655/G1655,"")</f>
        <v>10.1046025104603</v>
      </c>
      <c r="I1655" s="10" t="n">
        <v>46314</v>
      </c>
      <c r="J1655" s="3" t="s">
        <v>2576</v>
      </c>
      <c r="K1655" s="10" t="n">
        <v>46212</v>
      </c>
      <c r="L1655" s="3" t="s">
        <v>19</v>
      </c>
      <c r="M1655" s="7" t="n">
        <v>150</v>
      </c>
      <c r="N1655" s="8" t="n">
        <v>0.1595</v>
      </c>
      <c r="O1655" s="4" t="n">
        <f aca="false">M1655*N1655</f>
        <v>23.925</v>
      </c>
    </row>
    <row r="1656" customFormat="false" ht="15" hidden="false" customHeight="false" outlineLevel="0" collapsed="false">
      <c r="A1656" s="0" t="s">
        <v>2577</v>
      </c>
      <c r="C1656" s="0" t="s">
        <v>777</v>
      </c>
      <c r="D1656" s="7" t="n">
        <v>16450</v>
      </c>
      <c r="E1656" s="8" t="n">
        <v>0.00964984802431611</v>
      </c>
      <c r="F1656" s="4" t="n">
        <f aca="false">D1656*E1656</f>
        <v>158.74</v>
      </c>
      <c r="G1656" s="7" t="n">
        <v>1000</v>
      </c>
      <c r="H1656" s="9" t="n">
        <f aca="false">IF(G1656&gt;0,D1656/G1656,"")</f>
        <v>16.45</v>
      </c>
      <c r="I1656" s="10" t="n">
        <v>45986</v>
      </c>
      <c r="J1656" s="3" t="s">
        <v>1425</v>
      </c>
      <c r="K1656" s="10" t="n">
        <v>45890</v>
      </c>
      <c r="L1656" s="3" t="s">
        <v>15</v>
      </c>
      <c r="M1656" s="7" t="n">
        <v>17450</v>
      </c>
      <c r="N1656" s="8" t="n">
        <v>0.00965</v>
      </c>
      <c r="O1656" s="4" t="n">
        <f aca="false">M1656*N1656</f>
        <v>168.3925</v>
      </c>
    </row>
    <row r="1657" customFormat="false" ht="15" hidden="false" customHeight="false" outlineLevel="0" collapsed="false">
      <c r="A1657" s="0" t="s">
        <v>2578</v>
      </c>
      <c r="C1657" s="0" t="s">
        <v>741</v>
      </c>
      <c r="D1657" s="7" t="n">
        <v>1250</v>
      </c>
      <c r="E1657" s="8" t="n">
        <v>0.126976</v>
      </c>
      <c r="F1657" s="4" t="n">
        <f aca="false">D1657*E1657</f>
        <v>158.72</v>
      </c>
      <c r="G1657" s="7" t="n">
        <v>20</v>
      </c>
      <c r="H1657" s="9" t="n">
        <f aca="false">IF(G1657&gt;0,D1657/G1657,"")</f>
        <v>62.5</v>
      </c>
      <c r="I1657" s="10" t="n">
        <v>46112</v>
      </c>
      <c r="J1657" s="3" t="s">
        <v>2219</v>
      </c>
      <c r="K1657" s="10" t="n">
        <v>46014</v>
      </c>
      <c r="L1657" s="3" t="s">
        <v>27</v>
      </c>
      <c r="M1657" s="7" t="n">
        <v>750</v>
      </c>
      <c r="N1657" s="8" t="n">
        <v>0.1186</v>
      </c>
      <c r="O1657" s="4" t="n">
        <f aca="false">M1657*N1657</f>
        <v>88.95</v>
      </c>
    </row>
    <row r="1658" customFormat="false" ht="15" hidden="false" customHeight="false" outlineLevel="0" collapsed="false">
      <c r="A1658" s="0" t="s">
        <v>2579</v>
      </c>
      <c r="C1658" s="0" t="s">
        <v>295</v>
      </c>
      <c r="D1658" s="7" t="n">
        <v>3551</v>
      </c>
      <c r="E1658" s="8" t="n">
        <v>0.0446719234018586</v>
      </c>
      <c r="F1658" s="4" t="n">
        <f aca="false">D1658*E1658</f>
        <v>158.63</v>
      </c>
      <c r="G1658" s="7" t="n">
        <v>2844</v>
      </c>
      <c r="H1658" s="9" t="n">
        <f aca="false">IF(G1658&gt;0,D1658/G1658,"")</f>
        <v>1.2485935302391</v>
      </c>
      <c r="I1658" s="10" t="n">
        <v>46259</v>
      </c>
      <c r="J1658" s="3" t="s">
        <v>1140</v>
      </c>
      <c r="K1658" s="10" t="n">
        <v>45614</v>
      </c>
      <c r="L1658" s="3" t="s">
        <v>15</v>
      </c>
      <c r="M1658" s="7" t="n">
        <v>8500</v>
      </c>
      <c r="N1658" s="8" t="n">
        <v>0.04467</v>
      </c>
      <c r="O1658" s="4" t="n">
        <f aca="false">M1658*N1658</f>
        <v>379.695</v>
      </c>
    </row>
    <row r="1659" customFormat="false" ht="15" hidden="false" customHeight="false" outlineLevel="0" collapsed="false">
      <c r="A1659" s="0" t="s">
        <v>2580</v>
      </c>
      <c r="C1659" s="0" t="s">
        <v>45</v>
      </c>
      <c r="D1659" s="7" t="n">
        <v>363</v>
      </c>
      <c r="E1659" s="8" t="n">
        <v>0.436694214876033</v>
      </c>
      <c r="F1659" s="4" t="n">
        <f aca="false">D1659*E1659</f>
        <v>158.52</v>
      </c>
      <c r="G1659" s="7" t="n">
        <v>78</v>
      </c>
      <c r="H1659" s="9" t="n">
        <f aca="false">IF(G1659&gt;0,D1659/G1659,"")</f>
        <v>4.65384615384615</v>
      </c>
      <c r="I1659" s="10" t="n">
        <v>46294</v>
      </c>
      <c r="J1659" s="3" t="s">
        <v>2250</v>
      </c>
      <c r="K1659" s="10" t="n">
        <v>45197</v>
      </c>
      <c r="L1659" s="3" t="s">
        <v>23</v>
      </c>
      <c r="M1659" s="7" t="n">
        <v>500</v>
      </c>
      <c r="N1659" s="8" t="n">
        <v>0.4367</v>
      </c>
      <c r="O1659" s="4" t="n">
        <f aca="false">M1659*N1659</f>
        <v>218.35</v>
      </c>
    </row>
    <row r="1660" customFormat="false" ht="15" hidden="false" customHeight="false" outlineLevel="0" collapsed="false">
      <c r="A1660" s="0" t="s">
        <v>2581</v>
      </c>
      <c r="C1660" s="0" t="s">
        <v>35</v>
      </c>
      <c r="D1660" s="7" t="n">
        <v>8</v>
      </c>
      <c r="E1660" s="8" t="n">
        <v>19.80875</v>
      </c>
      <c r="F1660" s="4" t="n">
        <f aca="false">D1660*E1660</f>
        <v>158.47</v>
      </c>
      <c r="G1660" s="7" t="n">
        <v>8</v>
      </c>
      <c r="H1660" s="9" t="n">
        <f aca="false">IF(G1660&gt;0,D1660/G1660,"")</f>
        <v>1</v>
      </c>
      <c r="I1660" s="10" t="n">
        <v>45965</v>
      </c>
      <c r="J1660" s="3" t="s">
        <v>2582</v>
      </c>
      <c r="K1660" s="10" t="n">
        <v>45946</v>
      </c>
      <c r="L1660" s="3" t="s">
        <v>14</v>
      </c>
      <c r="M1660" s="7" t="n">
        <v>12</v>
      </c>
      <c r="N1660" s="8" t="n">
        <v>21.11825</v>
      </c>
      <c r="O1660" s="4" t="n">
        <f aca="false">M1660*N1660</f>
        <v>253.419</v>
      </c>
    </row>
    <row r="1661" customFormat="false" ht="15" hidden="false" customHeight="false" outlineLevel="0" collapsed="false">
      <c r="A1661" s="0" t="s">
        <v>2583</v>
      </c>
      <c r="C1661" s="0" t="s">
        <v>979</v>
      </c>
      <c r="D1661" s="7" t="n">
        <v>1964</v>
      </c>
      <c r="E1661" s="8" t="n">
        <v>0.0806873727087576</v>
      </c>
      <c r="F1661" s="4" t="n">
        <f aca="false">D1661*E1661</f>
        <v>158.47</v>
      </c>
      <c r="G1661" s="7" t="n">
        <v>260</v>
      </c>
      <c r="H1661" s="9" t="n">
        <f aca="false">IF(G1661&gt;0,D1661/G1661,"")</f>
        <v>7.55384615384615</v>
      </c>
      <c r="I1661" s="10" t="n">
        <v>46317</v>
      </c>
      <c r="J1661" s="3" t="s">
        <v>1851</v>
      </c>
      <c r="K1661" s="10" t="n">
        <v>44804</v>
      </c>
      <c r="L1661" s="3" t="s">
        <v>18</v>
      </c>
      <c r="M1661" s="7" t="n">
        <v>2434</v>
      </c>
      <c r="N1661" s="8" t="n">
        <v>0.0811</v>
      </c>
      <c r="O1661" s="4" t="n">
        <v>196.5864</v>
      </c>
    </row>
    <row r="1662" customFormat="false" ht="15" hidden="false" customHeight="false" outlineLevel="0" collapsed="false">
      <c r="A1662" s="0" t="s">
        <v>2584</v>
      </c>
      <c r="C1662" s="0" t="s">
        <v>741</v>
      </c>
      <c r="D1662" s="7" t="n">
        <v>1139</v>
      </c>
      <c r="E1662" s="8" t="n">
        <v>0.139051799824407</v>
      </c>
      <c r="F1662" s="4" t="n">
        <f aca="false">D1662*E1662</f>
        <v>158.38</v>
      </c>
      <c r="G1662" s="7" t="n">
        <v>20</v>
      </c>
      <c r="H1662" s="9" t="n">
        <f aca="false">IF(G1662&gt;0,D1662/G1662,"")</f>
        <v>56.95</v>
      </c>
      <c r="I1662" s="10" t="n">
        <v>46112</v>
      </c>
      <c r="J1662" s="3" t="s">
        <v>1891</v>
      </c>
      <c r="K1662" s="10" t="n">
        <v>46140</v>
      </c>
      <c r="L1662" s="3" t="s">
        <v>27</v>
      </c>
      <c r="M1662" s="7" t="n">
        <v>250</v>
      </c>
      <c r="N1662" s="8" t="n">
        <v>0.1862</v>
      </c>
      <c r="O1662" s="4" t="n">
        <f aca="false">M1662*N1662</f>
        <v>46.55</v>
      </c>
    </row>
    <row r="1663" customFormat="false" ht="15" hidden="false" customHeight="false" outlineLevel="0" collapsed="false">
      <c r="A1663" s="0" t="s">
        <v>2585</v>
      </c>
      <c r="C1663" s="0" t="s">
        <v>79</v>
      </c>
      <c r="D1663" s="7" t="n">
        <v>272</v>
      </c>
      <c r="E1663" s="8" t="n">
        <v>0.581544117647059</v>
      </c>
      <c r="F1663" s="4" t="n">
        <f aca="false">D1663*E1663</f>
        <v>158.18</v>
      </c>
      <c r="G1663" s="7" t="n">
        <v>5</v>
      </c>
      <c r="H1663" s="9" t="n">
        <f aca="false">IF(G1663&gt;0,D1663/G1663,"")</f>
        <v>54.4</v>
      </c>
      <c r="I1663" s="10" t="n">
        <v>46122</v>
      </c>
      <c r="K1663" s="10"/>
      <c r="M1663" s="7"/>
      <c r="N1663" s="8"/>
      <c r="O1663" s="4"/>
    </row>
    <row r="1664" customFormat="false" ht="15" hidden="false" customHeight="false" outlineLevel="0" collapsed="false">
      <c r="A1664" s="0" t="s">
        <v>2586</v>
      </c>
      <c r="C1664" s="0" t="s">
        <v>889</v>
      </c>
      <c r="D1664" s="7" t="n">
        <v>5495</v>
      </c>
      <c r="E1664" s="8" t="n">
        <v>0.0287807097361238</v>
      </c>
      <c r="F1664" s="4" t="n">
        <f aca="false">D1664*E1664</f>
        <v>158.15</v>
      </c>
      <c r="G1664" s="7" t="n">
        <v>2120</v>
      </c>
      <c r="H1664" s="9" t="n">
        <f aca="false">IF(G1664&gt;0,D1664/G1664,"")</f>
        <v>2.59198113207547</v>
      </c>
      <c r="I1664" s="10" t="n">
        <v>46245</v>
      </c>
      <c r="J1664" s="3" t="s">
        <v>1099</v>
      </c>
      <c r="K1664" s="10" t="n">
        <v>45984</v>
      </c>
      <c r="L1664" s="3" t="s">
        <v>15</v>
      </c>
      <c r="M1664" s="7" t="n">
        <v>7615</v>
      </c>
      <c r="N1664" s="8" t="n">
        <v>0.02878</v>
      </c>
      <c r="O1664" s="4" t="n">
        <f aca="false">M1664*N1664</f>
        <v>219.1597</v>
      </c>
    </row>
    <row r="1665" customFormat="false" ht="15" hidden="false" customHeight="false" outlineLevel="0" collapsed="false">
      <c r="A1665" s="0" t="s">
        <v>2587</v>
      </c>
      <c r="C1665" s="0" t="s">
        <v>298</v>
      </c>
      <c r="D1665" s="7" t="n">
        <v>23436</v>
      </c>
      <c r="E1665" s="8" t="n">
        <v>0.00674560505205667</v>
      </c>
      <c r="F1665" s="4" t="n">
        <f aca="false">D1665*E1665</f>
        <v>158.09</v>
      </c>
      <c r="G1665" s="7" t="n">
        <v>792</v>
      </c>
      <c r="H1665" s="9" t="n">
        <f aca="false">IF(G1665&gt;0,D1665/G1665,"")</f>
        <v>29.5909090909091</v>
      </c>
      <c r="I1665" s="10" t="n">
        <v>46301</v>
      </c>
      <c r="K1665" s="10"/>
      <c r="M1665" s="7"/>
      <c r="N1665" s="8"/>
      <c r="O1665" s="4"/>
    </row>
    <row r="1666" customFormat="false" ht="15" hidden="false" customHeight="false" outlineLevel="0" collapsed="false">
      <c r="A1666" s="0" t="s">
        <v>2588</v>
      </c>
      <c r="C1666" s="0" t="s">
        <v>844</v>
      </c>
      <c r="D1666" s="7" t="n">
        <v>70</v>
      </c>
      <c r="E1666" s="8" t="n">
        <v>2.25814285714286</v>
      </c>
      <c r="F1666" s="4" t="n">
        <f aca="false">D1666*E1666</f>
        <v>158.07</v>
      </c>
      <c r="G1666" s="7" t="n">
        <v>5</v>
      </c>
      <c r="H1666" s="9" t="n">
        <f aca="false">IF(G1666&gt;0,D1666/G1666,"")</f>
        <v>14</v>
      </c>
      <c r="I1666" s="10" t="n">
        <v>46287</v>
      </c>
      <c r="J1666" s="3" t="s">
        <v>2589</v>
      </c>
      <c r="K1666" s="10" t="n">
        <v>46202</v>
      </c>
      <c r="L1666" s="3" t="s">
        <v>313</v>
      </c>
      <c r="M1666" s="7" t="n">
        <v>50</v>
      </c>
      <c r="N1666" s="8" t="n">
        <v>2.6634</v>
      </c>
      <c r="O1666" s="4" t="n">
        <f aca="false">M1666*N1666</f>
        <v>133.17</v>
      </c>
    </row>
    <row r="1667" customFormat="false" ht="15" hidden="false" customHeight="false" outlineLevel="0" collapsed="false">
      <c r="A1667" s="0" t="s">
        <v>2590</v>
      </c>
      <c r="C1667" s="0" t="s">
        <v>35</v>
      </c>
      <c r="D1667" s="7" t="n">
        <v>2633</v>
      </c>
      <c r="E1667" s="8" t="n">
        <v>0.06</v>
      </c>
      <c r="F1667" s="4" t="n">
        <f aca="false">D1667*E1667</f>
        <v>157.98</v>
      </c>
      <c r="G1667" s="7" t="n">
        <v>299</v>
      </c>
      <c r="H1667" s="9" t="n">
        <f aca="false">IF(G1667&gt;0,D1667/G1667,"")</f>
        <v>8.80602006688963</v>
      </c>
      <c r="I1667" s="10" t="n">
        <v>46224</v>
      </c>
      <c r="K1667" s="10"/>
      <c r="M1667" s="7"/>
      <c r="N1667" s="8"/>
      <c r="O1667" s="4"/>
    </row>
    <row r="1668" customFormat="false" ht="15" hidden="false" customHeight="false" outlineLevel="0" collapsed="false">
      <c r="A1668" s="0" t="s">
        <v>2591</v>
      </c>
      <c r="C1668" s="0" t="s">
        <v>31</v>
      </c>
      <c r="D1668" s="7" t="n">
        <v>11845</v>
      </c>
      <c r="E1668" s="8" t="n">
        <v>0.0133313634444914</v>
      </c>
      <c r="F1668" s="4" t="n">
        <f aca="false">D1668*E1668</f>
        <v>157.91</v>
      </c>
      <c r="G1668" s="7" t="n">
        <v>1768</v>
      </c>
      <c r="H1668" s="9" t="n">
        <f aca="false">IF(G1668&gt;0,D1668/G1668,"")</f>
        <v>6.69966063348416</v>
      </c>
      <c r="I1668" s="10" t="n">
        <v>46211</v>
      </c>
      <c r="J1668" s="3" t="s">
        <v>2001</v>
      </c>
      <c r="K1668" s="10" t="n">
        <v>45553</v>
      </c>
      <c r="L1668" s="3" t="s">
        <v>15</v>
      </c>
      <c r="M1668" s="7" t="n">
        <v>15005</v>
      </c>
      <c r="N1668" s="8" t="n">
        <v>0.01333</v>
      </c>
      <c r="O1668" s="4" t="n">
        <f aca="false">M1668*N1668</f>
        <v>200.01665</v>
      </c>
    </row>
    <row r="1669" customFormat="false" ht="15" hidden="false" customHeight="false" outlineLevel="0" collapsed="false">
      <c r="A1669" s="0" t="s">
        <v>2592</v>
      </c>
      <c r="C1669" s="0" t="s">
        <v>438</v>
      </c>
      <c r="D1669" s="7" t="n">
        <v>793</v>
      </c>
      <c r="E1669" s="8" t="n">
        <v>0.199092055485498</v>
      </c>
      <c r="F1669" s="4" t="n">
        <f aca="false">D1669*E1669</f>
        <v>157.88</v>
      </c>
      <c r="G1669" s="7" t="n">
        <v>526</v>
      </c>
      <c r="H1669" s="9" t="n">
        <f aca="false">IF(G1669&gt;0,D1669/G1669,"")</f>
        <v>1.50760456273764</v>
      </c>
      <c r="I1669" s="10" t="n">
        <v>46287</v>
      </c>
      <c r="J1669" s="3" t="s">
        <v>2593</v>
      </c>
      <c r="K1669" s="10" t="n">
        <v>45594</v>
      </c>
      <c r="L1669" s="3" t="s">
        <v>14</v>
      </c>
      <c r="M1669" s="7" t="n">
        <v>2010</v>
      </c>
      <c r="N1669" s="8" t="n">
        <v>0.1991</v>
      </c>
      <c r="O1669" s="4" t="n">
        <f aca="false">M1669*N1669</f>
        <v>400.191</v>
      </c>
    </row>
    <row r="1670" customFormat="false" ht="15" hidden="false" customHeight="false" outlineLevel="0" collapsed="false">
      <c r="A1670" s="0" t="s">
        <v>2594</v>
      </c>
      <c r="C1670" s="0" t="s">
        <v>889</v>
      </c>
      <c r="D1670" s="7" t="n">
        <v>11258</v>
      </c>
      <c r="E1670" s="8" t="n">
        <v>0.0139900515189199</v>
      </c>
      <c r="F1670" s="4" t="n">
        <f aca="false">D1670*E1670</f>
        <v>157.5</v>
      </c>
      <c r="G1670" s="7" t="n">
        <v>100</v>
      </c>
      <c r="H1670" s="9" t="n">
        <f aca="false">IF(G1670&gt;0,D1670/G1670,"")</f>
        <v>112.58</v>
      </c>
      <c r="I1670" s="10" t="n">
        <v>46111</v>
      </c>
      <c r="J1670" s="3" t="s">
        <v>2595</v>
      </c>
      <c r="K1670" s="10" t="n">
        <v>44944</v>
      </c>
      <c r="L1670" s="3" t="s">
        <v>15</v>
      </c>
      <c r="M1670" s="7" t="n">
        <v>15040</v>
      </c>
      <c r="N1670" s="8" t="n">
        <v>0.01399</v>
      </c>
      <c r="O1670" s="4" t="n">
        <f aca="false">M1670*N1670</f>
        <v>210.4096</v>
      </c>
    </row>
    <row r="1671" customFormat="false" ht="15" hidden="false" customHeight="false" outlineLevel="0" collapsed="false">
      <c r="A1671" s="0" t="s">
        <v>2596</v>
      </c>
      <c r="C1671" s="0" t="s">
        <v>41</v>
      </c>
      <c r="D1671" s="7" t="n">
        <v>11160</v>
      </c>
      <c r="E1671" s="8" t="n">
        <v>0.0140994623655914</v>
      </c>
      <c r="F1671" s="4" t="n">
        <f aca="false">D1671*E1671</f>
        <v>157.35</v>
      </c>
      <c r="G1671" s="7" t="n">
        <v>1450</v>
      </c>
      <c r="H1671" s="9" t="n">
        <f aca="false">IF(G1671&gt;0,D1671/G1671,"")</f>
        <v>7.69655172413793</v>
      </c>
      <c r="I1671" s="10" t="n">
        <v>46220</v>
      </c>
      <c r="J1671" s="3" t="s">
        <v>1929</v>
      </c>
      <c r="K1671" s="10" t="n">
        <v>44743</v>
      </c>
      <c r="L1671" s="3" t="s">
        <v>16</v>
      </c>
      <c r="M1671" s="7" t="n">
        <v>16500</v>
      </c>
      <c r="N1671" s="8" t="n">
        <v>0.0141</v>
      </c>
      <c r="O1671" s="4" t="n">
        <f aca="false">M1671*N1671</f>
        <v>232.65</v>
      </c>
    </row>
    <row r="1672" customFormat="false" ht="15" hidden="false" customHeight="false" outlineLevel="0" collapsed="false">
      <c r="A1672" s="0" t="s">
        <v>2597</v>
      </c>
      <c r="C1672" s="0" t="s">
        <v>1039</v>
      </c>
      <c r="D1672" s="7" t="n">
        <v>41458</v>
      </c>
      <c r="E1672" s="8" t="n">
        <v>0.00379010082493126</v>
      </c>
      <c r="F1672" s="4" t="n">
        <f aca="false">D1672*E1672</f>
        <v>157.13</v>
      </c>
      <c r="G1672" s="7" t="n">
        <v>2225</v>
      </c>
      <c r="H1672" s="9" t="n">
        <f aca="false">IF(G1672&gt;0,D1672/G1672,"")</f>
        <v>18.632808988764</v>
      </c>
      <c r="I1672" s="10" t="n">
        <v>46301</v>
      </c>
      <c r="K1672" s="10"/>
      <c r="M1672" s="7"/>
      <c r="N1672" s="8"/>
      <c r="O1672" s="4"/>
    </row>
    <row r="1673" customFormat="false" ht="15" hidden="false" customHeight="false" outlineLevel="0" collapsed="false">
      <c r="A1673" s="0" t="s">
        <v>2598</v>
      </c>
      <c r="C1673" s="0" t="s">
        <v>741</v>
      </c>
      <c r="D1673" s="7" t="n">
        <v>1120</v>
      </c>
      <c r="E1673" s="8" t="n">
        <v>0.14025</v>
      </c>
      <c r="F1673" s="4" t="n">
        <f aca="false">D1673*E1673</f>
        <v>157.08</v>
      </c>
      <c r="G1673" s="7" t="n">
        <v>20</v>
      </c>
      <c r="H1673" s="9" t="n">
        <f aca="false">IF(G1673&gt;0,D1673/G1673,"")</f>
        <v>56</v>
      </c>
      <c r="I1673" s="10" t="n">
        <v>46112</v>
      </c>
      <c r="J1673" s="3" t="s">
        <v>1891</v>
      </c>
      <c r="K1673" s="10" t="n">
        <v>46140</v>
      </c>
      <c r="L1673" s="3" t="s">
        <v>27</v>
      </c>
      <c r="M1673" s="7" t="n">
        <v>250</v>
      </c>
      <c r="N1673" s="8" t="n">
        <v>0.1759</v>
      </c>
      <c r="O1673" s="4" t="n">
        <f aca="false">M1673*N1673</f>
        <v>43.975</v>
      </c>
    </row>
    <row r="1674" customFormat="false" ht="15" hidden="false" customHeight="false" outlineLevel="0" collapsed="false">
      <c r="A1674" s="0" t="s">
        <v>2599</v>
      </c>
      <c r="C1674" s="0" t="s">
        <v>1802</v>
      </c>
      <c r="D1674" s="7" t="n">
        <v>65</v>
      </c>
      <c r="E1674" s="8" t="n">
        <v>2.41661538461539</v>
      </c>
      <c r="F1674" s="4" t="n">
        <f aca="false">D1674*E1674</f>
        <v>157.08</v>
      </c>
      <c r="G1674" s="7" t="n">
        <v>19</v>
      </c>
      <c r="H1674" s="9" t="n">
        <f aca="false">IF(G1674&gt;0,D1674/G1674,"")</f>
        <v>3.42105263157895</v>
      </c>
      <c r="I1674" s="10" t="n">
        <v>46290</v>
      </c>
      <c r="J1674" s="3" t="s">
        <v>2600</v>
      </c>
      <c r="K1674" s="10" t="n">
        <v>45799</v>
      </c>
      <c r="L1674" s="3" t="s">
        <v>14</v>
      </c>
      <c r="M1674" s="7" t="n">
        <v>84</v>
      </c>
      <c r="N1674" s="8" t="n">
        <v>2.4165476</v>
      </c>
      <c r="O1674" s="4" t="n">
        <f aca="false">M1674*N1674</f>
        <v>202.9899984</v>
      </c>
    </row>
    <row r="1675" customFormat="false" ht="15" hidden="false" customHeight="false" outlineLevel="0" collapsed="false">
      <c r="A1675" s="0" t="s">
        <v>2601</v>
      </c>
      <c r="C1675" s="0" t="s">
        <v>41</v>
      </c>
      <c r="D1675" s="7" t="n">
        <v>10200</v>
      </c>
      <c r="E1675" s="8" t="n">
        <v>0.0154</v>
      </c>
      <c r="F1675" s="4" t="n">
        <f aca="false">D1675*E1675</f>
        <v>157.08</v>
      </c>
      <c r="G1675" s="7" t="n">
        <v>1800</v>
      </c>
      <c r="H1675" s="9" t="n">
        <f aca="false">IF(G1675&gt;0,D1675/G1675,"")</f>
        <v>5.66666666666667</v>
      </c>
      <c r="I1675" s="10" t="n">
        <v>45953</v>
      </c>
      <c r="J1675" s="3" t="s">
        <v>2361</v>
      </c>
      <c r="K1675" s="10" t="n">
        <v>45891</v>
      </c>
      <c r="L1675" s="3" t="s">
        <v>16</v>
      </c>
      <c r="M1675" s="7" t="n">
        <v>12000</v>
      </c>
      <c r="N1675" s="8" t="n">
        <v>0.0154</v>
      </c>
      <c r="O1675" s="4" t="n">
        <f aca="false">M1675*N1675</f>
        <v>184.8</v>
      </c>
    </row>
    <row r="1676" customFormat="false" ht="15" hidden="false" customHeight="false" outlineLevel="0" collapsed="false">
      <c r="A1676" s="0" t="s">
        <v>2602</v>
      </c>
      <c r="C1676" s="0" t="s">
        <v>37</v>
      </c>
      <c r="D1676" s="7" t="n">
        <v>7275</v>
      </c>
      <c r="E1676" s="8" t="n">
        <v>0.0215903780068729</v>
      </c>
      <c r="F1676" s="4" t="n">
        <f aca="false">D1676*E1676</f>
        <v>157.07</v>
      </c>
      <c r="G1676" s="7" t="n">
        <v>2025</v>
      </c>
      <c r="H1676" s="9" t="n">
        <f aca="false">IF(G1676&gt;0,D1676/G1676,"")</f>
        <v>3.59259259259259</v>
      </c>
      <c r="I1676" s="10" t="n">
        <v>46224</v>
      </c>
      <c r="J1676" s="3" t="s">
        <v>1936</v>
      </c>
      <c r="K1676" s="10" t="n">
        <v>45057</v>
      </c>
      <c r="L1676" s="3" t="s">
        <v>15</v>
      </c>
      <c r="M1676" s="7" t="n">
        <v>9300</v>
      </c>
      <c r="N1676" s="8" t="n">
        <v>0.02159</v>
      </c>
      <c r="O1676" s="4" t="n">
        <f aca="false">M1676*N1676</f>
        <v>200.787</v>
      </c>
    </row>
    <row r="1677" customFormat="false" ht="15" hidden="false" customHeight="false" outlineLevel="0" collapsed="false">
      <c r="A1677" s="0" t="s">
        <v>2603</v>
      </c>
      <c r="C1677" s="0" t="s">
        <v>31</v>
      </c>
      <c r="D1677" s="7" t="n">
        <v>8170</v>
      </c>
      <c r="E1677" s="8" t="n">
        <v>0.0192252141982864</v>
      </c>
      <c r="F1677" s="4" t="n">
        <f aca="false">D1677*E1677</f>
        <v>157.07</v>
      </c>
      <c r="G1677" s="7" t="n">
        <v>1161</v>
      </c>
      <c r="H1677" s="9" t="n">
        <f aca="false">IF(G1677&gt;0,D1677/G1677,"")</f>
        <v>7.03703703703704</v>
      </c>
      <c r="I1677" s="10" t="n">
        <v>46190</v>
      </c>
      <c r="J1677" s="3" t="s">
        <v>1209</v>
      </c>
      <c r="K1677" s="10" t="n">
        <v>45993</v>
      </c>
      <c r="L1677" s="3" t="s">
        <v>16</v>
      </c>
      <c r="M1677" s="7" t="n">
        <v>8000</v>
      </c>
      <c r="N1677" s="8" t="n">
        <v>0.0191</v>
      </c>
      <c r="O1677" s="4" t="n">
        <f aca="false">M1677*N1677</f>
        <v>152.8</v>
      </c>
    </row>
    <row r="1678" customFormat="false" ht="15" hidden="false" customHeight="false" outlineLevel="0" collapsed="false">
      <c r="A1678" s="0" t="s">
        <v>2604</v>
      </c>
      <c r="D1678" s="7" t="n">
        <v>942</v>
      </c>
      <c r="E1678" s="8" t="n">
        <v>0.166698513800425</v>
      </c>
      <c r="F1678" s="4" t="n">
        <f aca="false">D1678*E1678</f>
        <v>157.03</v>
      </c>
      <c r="G1678" s="7" t="n">
        <v>53</v>
      </c>
      <c r="H1678" s="9" t="n">
        <f aca="false">IF(G1678&gt;0,D1678/G1678,"")</f>
        <v>17.7735849056604</v>
      </c>
      <c r="I1678" s="10" t="n">
        <v>46308</v>
      </c>
      <c r="K1678" s="10"/>
      <c r="M1678" s="7"/>
      <c r="N1678" s="8"/>
      <c r="O1678" s="4"/>
    </row>
    <row r="1679" customFormat="false" ht="15" hidden="false" customHeight="false" outlineLevel="0" collapsed="false">
      <c r="A1679" s="0" t="s">
        <v>2605</v>
      </c>
      <c r="C1679" s="0" t="s">
        <v>360</v>
      </c>
      <c r="D1679" s="7" t="n">
        <v>23504</v>
      </c>
      <c r="E1679" s="8" t="n">
        <v>0.00668099046970728</v>
      </c>
      <c r="F1679" s="4" t="n">
        <f aca="false">D1679*E1679</f>
        <v>157.03</v>
      </c>
      <c r="G1679" s="7" t="n">
        <v>10065</v>
      </c>
      <c r="H1679" s="9" t="n">
        <f aca="false">IF(G1679&gt;0,D1679/G1679,"")</f>
        <v>2.33522106308992</v>
      </c>
      <c r="I1679" s="10" t="n">
        <v>46287</v>
      </c>
      <c r="J1679" s="3" t="s">
        <v>1213</v>
      </c>
      <c r="K1679" s="10" t="n">
        <v>45554</v>
      </c>
      <c r="L1679" s="3" t="s">
        <v>15</v>
      </c>
      <c r="M1679" s="7" t="n">
        <v>42450</v>
      </c>
      <c r="N1679" s="8" t="n">
        <v>0.00668</v>
      </c>
      <c r="O1679" s="4" t="n">
        <f aca="false">M1679*N1679</f>
        <v>283.566</v>
      </c>
    </row>
    <row r="1680" customFormat="false" ht="15" hidden="false" customHeight="false" outlineLevel="0" collapsed="false">
      <c r="A1680" s="0" t="s">
        <v>2606</v>
      </c>
      <c r="C1680" s="0" t="s">
        <v>45</v>
      </c>
      <c r="D1680" s="7" t="n">
        <v>644</v>
      </c>
      <c r="E1680" s="8" t="n">
        <v>0.243493788819876</v>
      </c>
      <c r="F1680" s="4" t="n">
        <f aca="false">D1680*E1680</f>
        <v>156.81</v>
      </c>
      <c r="G1680" s="7" t="n">
        <v>36</v>
      </c>
      <c r="H1680" s="9" t="n">
        <f aca="false">IF(G1680&gt;0,D1680/G1680,"")</f>
        <v>17.8888888888889</v>
      </c>
      <c r="I1680" s="10" t="n">
        <v>46241</v>
      </c>
      <c r="J1680" s="3" t="s">
        <v>1423</v>
      </c>
      <c r="K1680" s="10" t="n">
        <v>45786</v>
      </c>
      <c r="L1680" s="3" t="s">
        <v>23</v>
      </c>
      <c r="M1680" s="7" t="n">
        <v>900</v>
      </c>
      <c r="N1680" s="8" t="n">
        <v>0.2435</v>
      </c>
      <c r="O1680" s="4" t="n">
        <f aca="false">M1680*N1680</f>
        <v>219.15</v>
      </c>
    </row>
    <row r="1681" customFormat="false" ht="15" hidden="false" customHeight="false" outlineLevel="0" collapsed="false">
      <c r="A1681" s="0" t="s">
        <v>2607</v>
      </c>
      <c r="C1681" s="0" t="s">
        <v>383</v>
      </c>
      <c r="D1681" s="7" t="n">
        <v>1292</v>
      </c>
      <c r="E1681" s="8" t="n">
        <v>0.121222910216718</v>
      </c>
      <c r="F1681" s="4" t="n">
        <f aca="false">D1681*E1681</f>
        <v>156.62</v>
      </c>
      <c r="G1681" s="7" t="n">
        <v>200</v>
      </c>
      <c r="H1681" s="9" t="n">
        <f aca="false">IF(G1681&gt;0,D1681/G1681,"")</f>
        <v>6.46</v>
      </c>
      <c r="I1681" s="10" t="n">
        <v>46111</v>
      </c>
      <c r="J1681" s="3" t="s">
        <v>2608</v>
      </c>
      <c r="K1681" s="10" t="n">
        <v>45051</v>
      </c>
      <c r="L1681" s="3" t="s">
        <v>15</v>
      </c>
      <c r="M1681" s="7" t="n">
        <v>1300</v>
      </c>
      <c r="N1681" s="8" t="n">
        <v>0.12122</v>
      </c>
      <c r="O1681" s="4" t="n">
        <f aca="false">M1681*N1681</f>
        <v>157.586</v>
      </c>
    </row>
    <row r="1682" customFormat="false" ht="15" hidden="false" customHeight="false" outlineLevel="0" collapsed="false">
      <c r="A1682" s="0" t="s">
        <v>2609</v>
      </c>
      <c r="C1682" s="0" t="s">
        <v>36</v>
      </c>
      <c r="D1682" s="7" t="n">
        <v>315</v>
      </c>
      <c r="E1682" s="8" t="n">
        <v>0.496888888888889</v>
      </c>
      <c r="F1682" s="4" t="n">
        <f aca="false">D1682*E1682</f>
        <v>156.52</v>
      </c>
      <c r="G1682" s="7" t="n">
        <v>40</v>
      </c>
      <c r="H1682" s="9" t="n">
        <f aca="false">IF(G1682&gt;0,D1682/G1682,"")</f>
        <v>7.875</v>
      </c>
      <c r="I1682" s="10" t="n">
        <v>46282</v>
      </c>
      <c r="J1682" s="3" t="s">
        <v>2610</v>
      </c>
      <c r="K1682" s="10" t="n">
        <v>44302</v>
      </c>
      <c r="L1682" s="3" t="s">
        <v>28</v>
      </c>
      <c r="M1682" s="7" t="n">
        <v>642</v>
      </c>
      <c r="N1682" s="8" t="n">
        <v>0.4969</v>
      </c>
      <c r="O1682" s="4" t="n">
        <f aca="false">M1682*N1682</f>
        <v>319.0098</v>
      </c>
    </row>
    <row r="1683" customFormat="false" ht="15" hidden="false" customHeight="false" outlineLevel="0" collapsed="false">
      <c r="A1683" s="0" t="s">
        <v>2611</v>
      </c>
      <c r="C1683" s="0" t="s">
        <v>34</v>
      </c>
      <c r="D1683" s="7" t="n">
        <v>4578</v>
      </c>
      <c r="E1683" s="8" t="n">
        <v>0.0341022280471822</v>
      </c>
      <c r="F1683" s="4" t="n">
        <f aca="false">D1683*E1683</f>
        <v>156.12</v>
      </c>
      <c r="G1683" s="7" t="n">
        <v>30</v>
      </c>
      <c r="H1683" s="9" t="n">
        <f aca="false">IF(G1683&gt;0,D1683/G1683,"")</f>
        <v>152.6</v>
      </c>
      <c r="I1683" s="10" t="n">
        <v>45959</v>
      </c>
      <c r="K1683" s="10"/>
      <c r="M1683" s="7"/>
      <c r="N1683" s="8"/>
      <c r="O1683" s="4"/>
    </row>
    <row r="1684" customFormat="false" ht="15" hidden="false" customHeight="false" outlineLevel="0" collapsed="false">
      <c r="A1684" s="0" t="s">
        <v>2612</v>
      </c>
      <c r="C1684" s="0" t="s">
        <v>37</v>
      </c>
      <c r="D1684" s="7" t="n">
        <v>810</v>
      </c>
      <c r="E1684" s="8" t="n">
        <v>0.192716049382716</v>
      </c>
      <c r="F1684" s="4" t="n">
        <f aca="false">D1684*E1684</f>
        <v>156.1</v>
      </c>
      <c r="G1684" s="7" t="n">
        <v>305</v>
      </c>
      <c r="H1684" s="9" t="n">
        <f aca="false">IF(G1684&gt;0,D1684/G1684,"")</f>
        <v>2.65573770491803</v>
      </c>
      <c r="I1684" s="10" t="n">
        <v>46155</v>
      </c>
      <c r="J1684" s="3" t="s">
        <v>852</v>
      </c>
      <c r="K1684" s="10" t="n">
        <v>45883</v>
      </c>
      <c r="L1684" s="3" t="s">
        <v>15</v>
      </c>
      <c r="M1684" s="7" t="n">
        <v>1115</v>
      </c>
      <c r="N1684" s="8" t="n">
        <v>0.19272</v>
      </c>
      <c r="O1684" s="4" t="n">
        <f aca="false">M1684*N1684</f>
        <v>214.8828</v>
      </c>
    </row>
    <row r="1685" customFormat="false" ht="15" hidden="false" customHeight="false" outlineLevel="0" collapsed="false">
      <c r="A1685" s="0" t="s">
        <v>2613</v>
      </c>
      <c r="C1685" s="0" t="s">
        <v>615</v>
      </c>
      <c r="D1685" s="7" t="n">
        <v>3900</v>
      </c>
      <c r="E1685" s="8" t="n">
        <v>0.04</v>
      </c>
      <c r="F1685" s="4" t="n">
        <f aca="false">D1685*E1685</f>
        <v>156</v>
      </c>
      <c r="G1685" s="7" t="n">
        <v>50</v>
      </c>
      <c r="H1685" s="9" t="n">
        <f aca="false">IF(G1685&gt;0,D1685/G1685,"")</f>
        <v>78</v>
      </c>
      <c r="I1685" s="10" t="n">
        <v>46265</v>
      </c>
      <c r="J1685" s="3" t="s">
        <v>1676</v>
      </c>
      <c r="K1685" s="10" t="n">
        <v>45721</v>
      </c>
      <c r="L1685" s="3" t="s">
        <v>15</v>
      </c>
      <c r="M1685" s="7" t="n">
        <v>5550</v>
      </c>
      <c r="N1685" s="8" t="n">
        <v>0.04</v>
      </c>
      <c r="O1685" s="4" t="n">
        <f aca="false">M1685*N1685</f>
        <v>222</v>
      </c>
    </row>
    <row r="1686" customFormat="false" ht="15" hidden="false" customHeight="false" outlineLevel="0" collapsed="false">
      <c r="A1686" s="0" t="s">
        <v>2614</v>
      </c>
      <c r="C1686" s="0" t="s">
        <v>40</v>
      </c>
      <c r="D1686" s="7" t="n">
        <v>5839</v>
      </c>
      <c r="E1686" s="8" t="n">
        <v>0.0266997773591368</v>
      </c>
      <c r="F1686" s="4" t="n">
        <f aca="false">D1686*E1686</f>
        <v>155.9</v>
      </c>
      <c r="G1686" s="7" t="n">
        <v>106</v>
      </c>
      <c r="H1686" s="9" t="n">
        <f aca="false">IF(G1686&gt;0,D1686/G1686,"")</f>
        <v>55.0849056603774</v>
      </c>
      <c r="I1686" s="10" t="n">
        <v>46104</v>
      </c>
      <c r="J1686" s="3" t="s">
        <v>879</v>
      </c>
      <c r="K1686" s="10" t="n">
        <v>44291</v>
      </c>
      <c r="L1686" s="3" t="s">
        <v>18</v>
      </c>
      <c r="M1686" s="7" t="n">
        <v>8850</v>
      </c>
      <c r="N1686" s="8" t="n">
        <v>0.0267</v>
      </c>
      <c r="O1686" s="4" t="n">
        <f aca="false">M1686*N1686</f>
        <v>236.295</v>
      </c>
    </row>
    <row r="1687" customFormat="false" ht="15" hidden="false" customHeight="false" outlineLevel="0" collapsed="false">
      <c r="A1687" s="0" t="s">
        <v>2615</v>
      </c>
      <c r="C1687" s="0" t="s">
        <v>360</v>
      </c>
      <c r="D1687" s="7" t="n">
        <v>1234</v>
      </c>
      <c r="E1687" s="8" t="n">
        <v>0.12629659643436</v>
      </c>
      <c r="F1687" s="4" t="n">
        <f aca="false">D1687*E1687</f>
        <v>155.85</v>
      </c>
      <c r="G1687" s="7" t="n">
        <v>625</v>
      </c>
      <c r="H1687" s="9" t="n">
        <f aca="false">IF(G1687&gt;0,D1687/G1687,"")</f>
        <v>1.9744</v>
      </c>
      <c r="I1687" s="10" t="n">
        <v>46210</v>
      </c>
      <c r="J1687" s="3" t="s">
        <v>2099</v>
      </c>
      <c r="K1687" s="10" t="n">
        <v>45958</v>
      </c>
      <c r="L1687" s="3" t="s">
        <v>16</v>
      </c>
      <c r="M1687" s="7" t="n">
        <v>1600</v>
      </c>
      <c r="N1687" s="8" t="n">
        <v>0.1279</v>
      </c>
      <c r="O1687" s="4" t="n">
        <f aca="false">M1687*N1687</f>
        <v>204.64</v>
      </c>
    </row>
    <row r="1688" customFormat="false" ht="15" hidden="false" customHeight="false" outlineLevel="0" collapsed="false">
      <c r="A1688" s="0" t="s">
        <v>2616</v>
      </c>
      <c r="C1688" s="0" t="s">
        <v>1169</v>
      </c>
      <c r="D1688" s="7" t="n">
        <v>2041</v>
      </c>
      <c r="E1688" s="8" t="n">
        <v>0.0762959333659971</v>
      </c>
      <c r="F1688" s="4" t="n">
        <f aca="false">D1688*E1688</f>
        <v>155.72</v>
      </c>
      <c r="G1688" s="7" t="n">
        <v>397</v>
      </c>
      <c r="H1688" s="9" t="n">
        <f aca="false">IF(G1688&gt;0,D1688/G1688,"")</f>
        <v>5.14105793450882</v>
      </c>
      <c r="I1688" s="10" t="n">
        <v>46269</v>
      </c>
      <c r="J1688" s="3" t="s">
        <v>1170</v>
      </c>
      <c r="K1688" s="10" t="n">
        <v>45398</v>
      </c>
      <c r="L1688" s="3" t="s">
        <v>21</v>
      </c>
      <c r="M1688" s="7" t="n">
        <v>2500</v>
      </c>
      <c r="N1688" s="8" t="n">
        <v>0.048</v>
      </c>
      <c r="O1688" s="4" t="n">
        <f aca="false">M1688*N1688</f>
        <v>120</v>
      </c>
    </row>
    <row r="1689" customFormat="false" ht="15" hidden="false" customHeight="false" outlineLevel="0" collapsed="false">
      <c r="A1689" s="0" t="s">
        <v>2617</v>
      </c>
      <c r="C1689" s="0" t="s">
        <v>100</v>
      </c>
      <c r="D1689" s="7" t="n">
        <v>1020</v>
      </c>
      <c r="E1689" s="8" t="n">
        <v>0.1525</v>
      </c>
      <c r="F1689" s="4" t="n">
        <f aca="false">D1689*E1689</f>
        <v>155.55</v>
      </c>
      <c r="G1689" s="7" t="n">
        <v>480</v>
      </c>
      <c r="H1689" s="9" t="n">
        <f aca="false">IF(G1689&gt;0,D1689/G1689,"")</f>
        <v>2.125</v>
      </c>
      <c r="I1689" s="10" t="n">
        <v>46302</v>
      </c>
      <c r="J1689" s="3" t="s">
        <v>2099</v>
      </c>
      <c r="K1689" s="10" t="n">
        <v>45958</v>
      </c>
      <c r="L1689" s="3" t="s">
        <v>16</v>
      </c>
      <c r="M1689" s="7" t="n">
        <v>1500</v>
      </c>
      <c r="N1689" s="8" t="n">
        <v>0.1525</v>
      </c>
      <c r="O1689" s="4" t="n">
        <f aca="false">M1689*N1689</f>
        <v>228.75</v>
      </c>
    </row>
    <row r="1690" customFormat="false" ht="15" hidden="false" customHeight="false" outlineLevel="0" collapsed="false">
      <c r="A1690" s="0" t="s">
        <v>2618</v>
      </c>
      <c r="C1690" s="0" t="s">
        <v>37</v>
      </c>
      <c r="D1690" s="7" t="n">
        <v>1801</v>
      </c>
      <c r="E1690" s="8" t="n">
        <v>0.0862243198223209</v>
      </c>
      <c r="F1690" s="4" t="n">
        <f aca="false">D1690*E1690</f>
        <v>155.29</v>
      </c>
      <c r="G1690" s="7" t="n">
        <v>520</v>
      </c>
      <c r="H1690" s="9" t="n">
        <f aca="false">IF(G1690&gt;0,D1690/G1690,"")</f>
        <v>3.46346153846154</v>
      </c>
      <c r="I1690" s="10" t="n">
        <v>46044</v>
      </c>
      <c r="J1690" s="3" t="s">
        <v>1936</v>
      </c>
      <c r="K1690" s="10" t="n">
        <v>45057</v>
      </c>
      <c r="L1690" s="3" t="s">
        <v>15</v>
      </c>
      <c r="M1690" s="7" t="n">
        <v>2350</v>
      </c>
      <c r="N1690" s="8" t="n">
        <v>0.08622</v>
      </c>
      <c r="O1690" s="4" t="n">
        <f aca="false">M1690*N1690</f>
        <v>202.617</v>
      </c>
    </row>
    <row r="1691" customFormat="false" ht="15" hidden="false" customHeight="false" outlineLevel="0" collapsed="false">
      <c r="A1691" s="0" t="s">
        <v>2619</v>
      </c>
      <c r="C1691" s="0" t="s">
        <v>37</v>
      </c>
      <c r="D1691" s="7" t="n">
        <v>3939</v>
      </c>
      <c r="E1691" s="8" t="n">
        <v>0.0394110180248794</v>
      </c>
      <c r="F1691" s="4" t="n">
        <f aca="false">D1691*E1691</f>
        <v>155.24</v>
      </c>
      <c r="G1691" s="7" t="n">
        <v>57</v>
      </c>
      <c r="H1691" s="9" t="n">
        <f aca="false">IF(G1691&gt;0,D1691/G1691,"")</f>
        <v>69.1052631578947</v>
      </c>
      <c r="I1691" s="10" t="n">
        <v>46300</v>
      </c>
      <c r="J1691" s="3" t="s">
        <v>1936</v>
      </c>
      <c r="K1691" s="10" t="n">
        <v>45057</v>
      </c>
      <c r="L1691" s="3" t="s">
        <v>15</v>
      </c>
      <c r="M1691" s="7" t="n">
        <v>4040</v>
      </c>
      <c r="N1691" s="8" t="n">
        <v>0.03941</v>
      </c>
      <c r="O1691" s="4" t="n">
        <f aca="false">M1691*N1691</f>
        <v>159.2164</v>
      </c>
    </row>
    <row r="1692" customFormat="false" ht="15" hidden="false" customHeight="false" outlineLevel="0" collapsed="false">
      <c r="A1692" s="0" t="s">
        <v>2620</v>
      </c>
      <c r="C1692" s="0" t="s">
        <v>34</v>
      </c>
      <c r="D1692" s="7" t="n">
        <v>705</v>
      </c>
      <c r="E1692" s="8" t="n">
        <v>0.220184397163121</v>
      </c>
      <c r="F1692" s="4" t="n">
        <f aca="false">D1692*E1692</f>
        <v>155.23</v>
      </c>
      <c r="G1692" s="7" t="n">
        <v>400</v>
      </c>
      <c r="H1692" s="9" t="n">
        <f aca="false">IF(G1692&gt;0,D1692/G1692,"")</f>
        <v>1.7625</v>
      </c>
      <c r="I1692" s="10" t="n">
        <v>46156</v>
      </c>
      <c r="J1692" s="3" t="s">
        <v>523</v>
      </c>
      <c r="K1692" s="10" t="n">
        <v>46148</v>
      </c>
      <c r="L1692" s="3" t="s">
        <v>16</v>
      </c>
      <c r="M1692" s="7" t="n">
        <v>700</v>
      </c>
      <c r="N1692" s="8" t="n">
        <v>0.2152</v>
      </c>
      <c r="O1692" s="4" t="n">
        <f aca="false">M1692*N1692</f>
        <v>150.64</v>
      </c>
    </row>
    <row r="1693" customFormat="false" ht="15" hidden="false" customHeight="false" outlineLevel="0" collapsed="false">
      <c r="A1693" s="0" t="s">
        <v>2621</v>
      </c>
      <c r="C1693" s="0" t="s">
        <v>340</v>
      </c>
      <c r="D1693" s="7" t="n">
        <v>970</v>
      </c>
      <c r="E1693" s="8" t="n">
        <v>0.16</v>
      </c>
      <c r="F1693" s="4" t="n">
        <f aca="false">D1693*E1693</f>
        <v>155.2</v>
      </c>
      <c r="G1693" s="7" t="n">
        <v>500</v>
      </c>
      <c r="H1693" s="9" t="n">
        <f aca="false">IF(G1693&gt;0,D1693/G1693,"")</f>
        <v>1.94</v>
      </c>
      <c r="I1693" s="10" t="n">
        <v>46197</v>
      </c>
      <c r="J1693" s="3" t="s">
        <v>852</v>
      </c>
      <c r="K1693" s="10" t="n">
        <v>45883</v>
      </c>
      <c r="L1693" s="3" t="s">
        <v>15</v>
      </c>
      <c r="M1693" s="7" t="n">
        <v>1467</v>
      </c>
      <c r="N1693" s="8" t="n">
        <v>0.15967</v>
      </c>
      <c r="O1693" s="4" t="n">
        <f aca="false">M1693*N1693</f>
        <v>234.23589</v>
      </c>
    </row>
    <row r="1694" customFormat="false" ht="15" hidden="false" customHeight="false" outlineLevel="0" collapsed="false">
      <c r="A1694" s="0" t="s">
        <v>2622</v>
      </c>
      <c r="C1694" s="0" t="s">
        <v>31</v>
      </c>
      <c r="D1694" s="7" t="n">
        <v>23691</v>
      </c>
      <c r="E1694" s="8" t="n">
        <v>0.00655016672998185</v>
      </c>
      <c r="F1694" s="4" t="n">
        <f aca="false">D1694*E1694</f>
        <v>155.18</v>
      </c>
      <c r="G1694" s="7" t="n">
        <v>1897</v>
      </c>
      <c r="H1694" s="9" t="n">
        <f aca="false">IF(G1694&gt;0,D1694/G1694,"")</f>
        <v>12.4886663152346</v>
      </c>
      <c r="I1694" s="10" t="n">
        <v>46265</v>
      </c>
      <c r="K1694" s="10"/>
      <c r="M1694" s="7"/>
      <c r="N1694" s="8"/>
      <c r="O1694" s="4"/>
    </row>
    <row r="1695" customFormat="false" ht="15" hidden="false" customHeight="false" outlineLevel="0" collapsed="false">
      <c r="A1695" s="0" t="s">
        <v>2623</v>
      </c>
      <c r="C1695" s="0" t="s">
        <v>741</v>
      </c>
      <c r="D1695" s="7" t="n">
        <v>1087</v>
      </c>
      <c r="E1695" s="8" t="n">
        <v>0.142667893284269</v>
      </c>
      <c r="F1695" s="4" t="n">
        <f aca="false">D1695*E1695</f>
        <v>155.08</v>
      </c>
      <c r="G1695" s="7" t="n">
        <v>20</v>
      </c>
      <c r="H1695" s="9" t="n">
        <f aca="false">IF(G1695&gt;0,D1695/G1695,"")</f>
        <v>54.35</v>
      </c>
      <c r="I1695" s="10" t="n">
        <v>46112</v>
      </c>
      <c r="J1695" s="3" t="s">
        <v>1891</v>
      </c>
      <c r="K1695" s="10" t="n">
        <v>46140</v>
      </c>
      <c r="L1695" s="3" t="s">
        <v>27</v>
      </c>
      <c r="M1695" s="7" t="n">
        <v>250</v>
      </c>
      <c r="N1695" s="8" t="n">
        <v>0.1781</v>
      </c>
      <c r="O1695" s="4" t="n">
        <f aca="false">M1695*N1695</f>
        <v>44.525</v>
      </c>
    </row>
    <row r="1696" customFormat="false" ht="15" hidden="false" customHeight="false" outlineLevel="0" collapsed="false">
      <c r="A1696" s="0" t="s">
        <v>2624</v>
      </c>
      <c r="C1696" s="0" t="s">
        <v>2625</v>
      </c>
      <c r="D1696" s="7" t="n">
        <v>50</v>
      </c>
      <c r="E1696" s="8" t="n">
        <v>3.1008</v>
      </c>
      <c r="F1696" s="4" t="n">
        <f aca="false">D1696*E1696</f>
        <v>155.04</v>
      </c>
      <c r="G1696" s="7" t="n">
        <v>50</v>
      </c>
      <c r="H1696" s="9" t="n">
        <f aca="false">IF(G1696&gt;0,D1696/G1696,"")</f>
        <v>1</v>
      </c>
      <c r="I1696" s="10" t="n">
        <v>46253</v>
      </c>
      <c r="J1696" s="3" t="s">
        <v>680</v>
      </c>
      <c r="K1696" s="10" t="n">
        <v>46240</v>
      </c>
      <c r="L1696" s="3" t="s">
        <v>14</v>
      </c>
      <c r="M1696" s="7" t="n">
        <v>100</v>
      </c>
      <c r="N1696" s="8" t="n">
        <v>3.1009</v>
      </c>
      <c r="O1696" s="4" t="n">
        <f aca="false">M1696*N1696</f>
        <v>310.09</v>
      </c>
    </row>
    <row r="1697" customFormat="false" ht="15" hidden="false" customHeight="false" outlineLevel="0" collapsed="false">
      <c r="A1697" s="0" t="s">
        <v>2626</v>
      </c>
      <c r="C1697" s="0" t="s">
        <v>39</v>
      </c>
      <c r="D1697" s="7" t="n">
        <v>215</v>
      </c>
      <c r="E1697" s="8" t="n">
        <v>0.721069767441861</v>
      </c>
      <c r="F1697" s="4" t="n">
        <f aca="false">D1697*E1697</f>
        <v>155.03</v>
      </c>
      <c r="G1697" s="7" t="n">
        <v>2</v>
      </c>
      <c r="H1697" s="9" t="n">
        <f aca="false">IF(G1697&gt;0,D1697/G1697,"")</f>
        <v>107.5</v>
      </c>
      <c r="I1697" s="10" t="n">
        <v>46260</v>
      </c>
      <c r="J1697" s="3" t="s">
        <v>2627</v>
      </c>
      <c r="K1697" s="10" t="n">
        <v>44835</v>
      </c>
      <c r="L1697" s="3" t="s">
        <v>18</v>
      </c>
      <c r="M1697" s="7" t="n">
        <v>222</v>
      </c>
      <c r="N1697" s="8" t="n">
        <v>0</v>
      </c>
      <c r="O1697" s="4" t="n">
        <v>215.314</v>
      </c>
    </row>
    <row r="1698" customFormat="false" ht="15" hidden="false" customHeight="false" outlineLevel="0" collapsed="false">
      <c r="A1698" s="0" t="s">
        <v>2628</v>
      </c>
      <c r="C1698" s="0" t="s">
        <v>31</v>
      </c>
      <c r="D1698" s="7" t="n">
        <v>55362</v>
      </c>
      <c r="E1698" s="8" t="n">
        <v>0.00280011560276002</v>
      </c>
      <c r="F1698" s="4" t="n">
        <f aca="false">D1698*E1698</f>
        <v>155.02</v>
      </c>
      <c r="G1698" s="7" t="n">
        <v>18176</v>
      </c>
      <c r="H1698" s="9" t="n">
        <f aca="false">IF(G1698&gt;0,D1698/G1698,"")</f>
        <v>3.04588468309859</v>
      </c>
      <c r="I1698" s="10" t="n">
        <v>46308</v>
      </c>
      <c r="J1698" s="3" t="s">
        <v>1480</v>
      </c>
      <c r="K1698" s="10" t="n">
        <v>46121</v>
      </c>
      <c r="L1698" s="3" t="s">
        <v>16</v>
      </c>
      <c r="M1698" s="7" t="n">
        <v>59059</v>
      </c>
      <c r="N1698" s="8" t="n">
        <v>0.0028</v>
      </c>
      <c r="O1698" s="4" t="n">
        <f aca="false">M1698*N1698</f>
        <v>165.3652</v>
      </c>
    </row>
    <row r="1699" customFormat="false" ht="15" hidden="false" customHeight="false" outlineLevel="0" collapsed="false">
      <c r="A1699" s="0" t="s">
        <v>2629</v>
      </c>
      <c r="C1699" s="0" t="s">
        <v>34</v>
      </c>
      <c r="D1699" s="7" t="n">
        <v>383</v>
      </c>
      <c r="E1699" s="8" t="n">
        <v>0.404595300261097</v>
      </c>
      <c r="F1699" s="4" t="n">
        <f aca="false">D1699*E1699</f>
        <v>154.96</v>
      </c>
      <c r="G1699" s="7" t="n">
        <v>20</v>
      </c>
      <c r="H1699" s="9" t="n">
        <f aca="false">IF(G1699&gt;0,D1699/G1699,"")</f>
        <v>19.15</v>
      </c>
      <c r="I1699" s="10" t="n">
        <v>46010</v>
      </c>
      <c r="J1699" s="3" t="s">
        <v>618</v>
      </c>
      <c r="K1699" s="10" t="n">
        <v>44729</v>
      </c>
      <c r="L1699" s="3" t="s">
        <v>16</v>
      </c>
      <c r="M1699" s="7" t="n">
        <v>580</v>
      </c>
      <c r="N1699" s="8" t="n">
        <v>0.4046</v>
      </c>
      <c r="O1699" s="4" t="n">
        <f aca="false">M1699*N1699</f>
        <v>234.668</v>
      </c>
    </row>
    <row r="1700" customFormat="false" ht="15" hidden="false" customHeight="false" outlineLevel="0" collapsed="false">
      <c r="A1700" s="0" t="s">
        <v>2630</v>
      </c>
      <c r="C1700" s="0" t="s">
        <v>35</v>
      </c>
      <c r="D1700" s="7" t="n">
        <v>1190</v>
      </c>
      <c r="E1700" s="8" t="n">
        <v>0.130151260504202</v>
      </c>
      <c r="F1700" s="4" t="n">
        <f aca="false">D1700*E1700</f>
        <v>154.88</v>
      </c>
      <c r="G1700" s="7" t="n">
        <v>223</v>
      </c>
      <c r="H1700" s="9" t="n">
        <f aca="false">IF(G1700&gt;0,D1700/G1700,"")</f>
        <v>5.33632286995516</v>
      </c>
      <c r="I1700" s="10" t="n">
        <v>46232</v>
      </c>
      <c r="J1700" s="3" t="s">
        <v>2631</v>
      </c>
      <c r="K1700" s="10" t="n">
        <v>46265</v>
      </c>
      <c r="L1700" s="3" t="s">
        <v>15</v>
      </c>
      <c r="M1700" s="7" t="n">
        <v>1180</v>
      </c>
      <c r="N1700" s="8" t="n">
        <v>0.13125</v>
      </c>
      <c r="O1700" s="4" t="n">
        <f aca="false">M1700*N1700</f>
        <v>154.875</v>
      </c>
    </row>
    <row r="1701" customFormat="false" ht="15" hidden="false" customHeight="false" outlineLevel="0" collapsed="false">
      <c r="A1701" s="0" t="s">
        <v>2632</v>
      </c>
      <c r="C1701" s="0" t="s">
        <v>31</v>
      </c>
      <c r="D1701" s="7" t="n">
        <v>2568</v>
      </c>
      <c r="E1701" s="8" t="n">
        <v>0.0602219626168224</v>
      </c>
      <c r="F1701" s="4" t="n">
        <f aca="false">D1701*E1701</f>
        <v>154.65</v>
      </c>
      <c r="G1701" s="7" t="n">
        <v>10</v>
      </c>
      <c r="H1701" s="9" t="n">
        <f aca="false">IF(G1701&gt;0,D1701/G1701,"")</f>
        <v>256.8</v>
      </c>
      <c r="I1701" s="10" t="n">
        <v>46308</v>
      </c>
      <c r="J1701" s="3" t="s">
        <v>2633</v>
      </c>
      <c r="K1701" s="10" t="n">
        <v>45813</v>
      </c>
      <c r="L1701" s="3" t="s">
        <v>16</v>
      </c>
      <c r="M1701" s="7" t="n">
        <v>2600</v>
      </c>
      <c r="N1701" s="8" t="n">
        <v>0.0582</v>
      </c>
      <c r="O1701" s="4" t="n">
        <f aca="false">M1701*N1701</f>
        <v>151.32</v>
      </c>
    </row>
    <row r="1702" customFormat="false" ht="15" hidden="false" customHeight="false" outlineLevel="0" collapsed="false">
      <c r="A1702" s="0" t="s">
        <v>2634</v>
      </c>
      <c r="C1702" s="0" t="s">
        <v>34</v>
      </c>
      <c r="D1702" s="7" t="n">
        <v>3329</v>
      </c>
      <c r="E1702" s="8" t="n">
        <v>0.0464493841994593</v>
      </c>
      <c r="F1702" s="4" t="n">
        <f aca="false">D1702*E1702</f>
        <v>154.63</v>
      </c>
      <c r="G1702" s="7" t="n">
        <v>330</v>
      </c>
      <c r="H1702" s="9" t="n">
        <f aca="false">IF(G1702&gt;0,D1702/G1702,"")</f>
        <v>10.0878787878788</v>
      </c>
      <c r="I1702" s="10" t="n">
        <v>46279</v>
      </c>
      <c r="J1702" s="3" t="s">
        <v>2635</v>
      </c>
      <c r="K1702" s="10" t="n">
        <v>46237</v>
      </c>
      <c r="L1702" s="3" t="s">
        <v>19</v>
      </c>
      <c r="M1702" s="7" t="n">
        <v>100</v>
      </c>
      <c r="N1702" s="8" t="n">
        <v>0.2297</v>
      </c>
      <c r="O1702" s="4" t="n">
        <f aca="false">M1702*N1702</f>
        <v>22.97</v>
      </c>
    </row>
    <row r="1703" customFormat="false" ht="15" hidden="false" customHeight="false" outlineLevel="0" collapsed="false">
      <c r="A1703" s="0" t="s">
        <v>2636</v>
      </c>
      <c r="C1703" s="0" t="s">
        <v>35</v>
      </c>
      <c r="D1703" s="7" t="n">
        <v>44</v>
      </c>
      <c r="E1703" s="8" t="n">
        <v>3.51113636363636</v>
      </c>
      <c r="F1703" s="4" t="n">
        <f aca="false">D1703*E1703</f>
        <v>154.49</v>
      </c>
      <c r="G1703" s="7" t="n">
        <v>5</v>
      </c>
      <c r="H1703" s="9" t="n">
        <f aca="false">IF(G1703&gt;0,D1703/G1703,"")</f>
        <v>8.8</v>
      </c>
      <c r="I1703" s="10" t="n">
        <v>46163</v>
      </c>
      <c r="J1703" s="3" t="s">
        <v>550</v>
      </c>
      <c r="K1703" s="10" t="n">
        <v>45922</v>
      </c>
      <c r="L1703" s="3" t="s">
        <v>14</v>
      </c>
      <c r="M1703" s="7" t="n">
        <v>78</v>
      </c>
      <c r="N1703" s="8" t="n">
        <v>3.511</v>
      </c>
      <c r="O1703" s="4" t="n">
        <f aca="false">M1703*N1703</f>
        <v>273.858</v>
      </c>
    </row>
    <row r="1704" customFormat="false" ht="15" hidden="false" customHeight="false" outlineLevel="0" collapsed="false">
      <c r="A1704" s="0" t="s">
        <v>2637</v>
      </c>
      <c r="C1704" s="0" t="s">
        <v>42</v>
      </c>
      <c r="D1704" s="7" t="n">
        <v>547</v>
      </c>
      <c r="E1704" s="8" t="n">
        <v>0.282431444241316</v>
      </c>
      <c r="F1704" s="4" t="n">
        <f aca="false">D1704*E1704</f>
        <v>154.49</v>
      </c>
      <c r="G1704" s="7" t="n">
        <v>183</v>
      </c>
      <c r="H1704" s="9" t="n">
        <f aca="false">IF(G1704&gt;0,D1704/G1704,"")</f>
        <v>2.98907103825137</v>
      </c>
      <c r="I1704" s="10" t="n">
        <v>46308</v>
      </c>
      <c r="K1704" s="10"/>
      <c r="M1704" s="7"/>
      <c r="N1704" s="8"/>
      <c r="O1704" s="4"/>
    </row>
    <row r="1705" customFormat="false" ht="15" hidden="false" customHeight="false" outlineLevel="0" collapsed="false">
      <c r="A1705" s="0" t="s">
        <v>2638</v>
      </c>
      <c r="C1705" s="0" t="s">
        <v>31</v>
      </c>
      <c r="D1705" s="7" t="n">
        <v>18386</v>
      </c>
      <c r="E1705" s="8" t="n">
        <v>0.00839769389753073</v>
      </c>
      <c r="F1705" s="4" t="n">
        <f aca="false">D1705*E1705</f>
        <v>154.4</v>
      </c>
      <c r="G1705" s="7" t="n">
        <v>386</v>
      </c>
      <c r="H1705" s="9" t="n">
        <f aca="false">IF(G1705&gt;0,D1705/G1705,"")</f>
        <v>47.6321243523316</v>
      </c>
      <c r="I1705" s="10" t="n">
        <v>46147</v>
      </c>
      <c r="J1705" s="3" t="s">
        <v>278</v>
      </c>
      <c r="K1705" s="10" t="n">
        <v>45967</v>
      </c>
      <c r="L1705" s="3" t="s">
        <v>16</v>
      </c>
      <c r="M1705" s="7" t="n">
        <v>17860</v>
      </c>
      <c r="N1705" s="8" t="n">
        <v>0.0084</v>
      </c>
      <c r="O1705" s="4" t="n">
        <f aca="false">M1705*N1705</f>
        <v>150.024</v>
      </c>
    </row>
    <row r="1706" customFormat="false" ht="15" hidden="false" customHeight="false" outlineLevel="0" collapsed="false">
      <c r="A1706" s="0" t="s">
        <v>2639</v>
      </c>
      <c r="C1706" s="0" t="s">
        <v>34</v>
      </c>
      <c r="D1706" s="7" t="n">
        <v>4061</v>
      </c>
      <c r="E1706" s="8" t="n">
        <v>0.0380004924895346</v>
      </c>
      <c r="F1706" s="4" t="n">
        <f aca="false">D1706*E1706</f>
        <v>154.32</v>
      </c>
      <c r="G1706" s="7" t="n">
        <v>159</v>
      </c>
      <c r="H1706" s="9" t="n">
        <f aca="false">IF(G1706&gt;0,D1706/G1706,"")</f>
        <v>25.5408805031447</v>
      </c>
      <c r="I1706" s="10" t="n">
        <v>46300</v>
      </c>
      <c r="J1706" s="3" t="s">
        <v>366</v>
      </c>
      <c r="K1706" s="10" t="n">
        <v>45721</v>
      </c>
      <c r="L1706" s="3" t="s">
        <v>16</v>
      </c>
      <c r="M1706" s="7" t="n">
        <v>5000</v>
      </c>
      <c r="N1706" s="8" t="n">
        <v>0.038</v>
      </c>
      <c r="O1706" s="4" t="n">
        <f aca="false">M1706*N1706</f>
        <v>190</v>
      </c>
    </row>
    <row r="1707" customFormat="false" ht="15" hidden="false" customHeight="false" outlineLevel="0" collapsed="false">
      <c r="A1707" s="0" t="s">
        <v>2640</v>
      </c>
      <c r="C1707" s="0" t="s">
        <v>741</v>
      </c>
      <c r="D1707" s="7" t="n">
        <v>1093</v>
      </c>
      <c r="E1707" s="8" t="n">
        <v>0.141152790484904</v>
      </c>
      <c r="F1707" s="4" t="n">
        <f aca="false">D1707*E1707</f>
        <v>154.28</v>
      </c>
      <c r="G1707" s="7" t="n">
        <v>18</v>
      </c>
      <c r="H1707" s="9" t="n">
        <f aca="false">IF(G1707&gt;0,D1707/G1707,"")</f>
        <v>60.7222222222222</v>
      </c>
      <c r="I1707" s="10" t="n">
        <v>46234</v>
      </c>
      <c r="J1707" s="3" t="s">
        <v>1891</v>
      </c>
      <c r="K1707" s="10" t="n">
        <v>46140</v>
      </c>
      <c r="L1707" s="3" t="s">
        <v>27</v>
      </c>
      <c r="M1707" s="7" t="n">
        <v>250</v>
      </c>
      <c r="N1707" s="8" t="n">
        <v>0.1819</v>
      </c>
      <c r="O1707" s="4" t="n">
        <f aca="false">M1707*N1707</f>
        <v>45.475</v>
      </c>
    </row>
    <row r="1708" customFormat="false" ht="15" hidden="false" customHeight="false" outlineLevel="0" collapsed="false">
      <c r="A1708" s="0" t="s">
        <v>2641</v>
      </c>
      <c r="C1708" s="0" t="s">
        <v>844</v>
      </c>
      <c r="D1708" s="7" t="n">
        <v>42</v>
      </c>
      <c r="E1708" s="8" t="n">
        <v>3.67333333333333</v>
      </c>
      <c r="F1708" s="4" t="n">
        <f aca="false">D1708*E1708</f>
        <v>154.28</v>
      </c>
      <c r="G1708" s="7" t="n">
        <v>22</v>
      </c>
      <c r="H1708" s="9" t="n">
        <f aca="false">IF(G1708&gt;0,D1708/G1708,"")</f>
        <v>1.90909090909091</v>
      </c>
      <c r="I1708" s="10" t="n">
        <v>46196</v>
      </c>
      <c r="J1708" s="3" t="s">
        <v>439</v>
      </c>
      <c r="K1708" s="10" t="n">
        <v>46113</v>
      </c>
      <c r="L1708" s="3" t="s">
        <v>14</v>
      </c>
      <c r="M1708" s="7" t="n">
        <v>50</v>
      </c>
      <c r="N1708" s="8" t="n">
        <v>3.6734</v>
      </c>
      <c r="O1708" s="4" t="n">
        <f aca="false">M1708*N1708</f>
        <v>183.67</v>
      </c>
    </row>
    <row r="1709" customFormat="false" ht="15" hidden="false" customHeight="false" outlineLevel="0" collapsed="false">
      <c r="A1709" s="0" t="s">
        <v>2642</v>
      </c>
      <c r="C1709" s="0" t="s">
        <v>844</v>
      </c>
      <c r="D1709" s="7" t="n">
        <v>52</v>
      </c>
      <c r="E1709" s="8" t="n">
        <v>2.96653846153846</v>
      </c>
      <c r="F1709" s="4" t="n">
        <f aca="false">D1709*E1709</f>
        <v>154.26</v>
      </c>
      <c r="G1709" s="7" t="n">
        <v>24</v>
      </c>
      <c r="H1709" s="9" t="n">
        <f aca="false">IF(G1709&gt;0,D1709/G1709,"")</f>
        <v>2.16666666666667</v>
      </c>
      <c r="I1709" s="10" t="n">
        <v>46268</v>
      </c>
      <c r="J1709" s="3" t="s">
        <v>2482</v>
      </c>
      <c r="K1709" s="10" t="n">
        <v>46231</v>
      </c>
      <c r="L1709" s="3" t="s">
        <v>313</v>
      </c>
      <c r="M1709" s="7" t="n">
        <v>50</v>
      </c>
      <c r="N1709" s="8" t="n">
        <v>2.971</v>
      </c>
      <c r="O1709" s="4" t="n">
        <f aca="false">M1709*N1709</f>
        <v>148.55</v>
      </c>
    </row>
    <row r="1710" customFormat="false" ht="15" hidden="false" customHeight="false" outlineLevel="0" collapsed="false">
      <c r="A1710" s="0" t="s">
        <v>2643</v>
      </c>
      <c r="C1710" s="0" t="s">
        <v>285</v>
      </c>
      <c r="D1710" s="7" t="n">
        <v>3560</v>
      </c>
      <c r="E1710" s="8" t="n">
        <v>0.0432977528089888</v>
      </c>
      <c r="F1710" s="4" t="n">
        <f aca="false">D1710*E1710</f>
        <v>154.14</v>
      </c>
      <c r="G1710" s="7" t="n">
        <v>1320</v>
      </c>
      <c r="H1710" s="9" t="n">
        <f aca="false">IF(G1710&gt;0,D1710/G1710,"")</f>
        <v>2.6969696969697</v>
      </c>
      <c r="I1710" s="10" t="n">
        <v>46202</v>
      </c>
      <c r="K1710" s="10"/>
      <c r="M1710" s="7"/>
      <c r="N1710" s="8"/>
      <c r="O1710" s="4"/>
    </row>
    <row r="1711" customFormat="false" ht="15" hidden="false" customHeight="false" outlineLevel="0" collapsed="false">
      <c r="A1711" s="0" t="s">
        <v>2644</v>
      </c>
      <c r="C1711" s="0" t="s">
        <v>855</v>
      </c>
      <c r="D1711" s="7" t="n">
        <v>27563</v>
      </c>
      <c r="E1711" s="8" t="n">
        <v>0.00558901425824475</v>
      </c>
      <c r="F1711" s="4" t="n">
        <f aca="false">D1711*E1711</f>
        <v>154.05</v>
      </c>
      <c r="G1711" s="7" t="n">
        <v>721</v>
      </c>
      <c r="H1711" s="9" t="n">
        <f aca="false">IF(G1711&gt;0,D1711/G1711,"")</f>
        <v>38.2288488210818</v>
      </c>
      <c r="I1711" s="10" t="n">
        <v>46288</v>
      </c>
      <c r="K1711" s="10"/>
      <c r="M1711" s="7"/>
      <c r="N1711" s="8"/>
      <c r="O1711" s="4"/>
    </row>
    <row r="1712" customFormat="false" ht="15" hidden="false" customHeight="false" outlineLevel="0" collapsed="false">
      <c r="A1712" s="0" t="s">
        <v>2645</v>
      </c>
      <c r="C1712" s="0" t="s">
        <v>61</v>
      </c>
      <c r="D1712" s="7" t="n">
        <v>435</v>
      </c>
      <c r="E1712" s="8" t="n">
        <v>0.353701149425287</v>
      </c>
      <c r="F1712" s="4" t="n">
        <f aca="false">D1712*E1712</f>
        <v>153.86</v>
      </c>
      <c r="G1712" s="7" t="n">
        <v>20</v>
      </c>
      <c r="H1712" s="9" t="n">
        <f aca="false">IF(G1712&gt;0,D1712/G1712,"")</f>
        <v>21.75</v>
      </c>
      <c r="I1712" s="10" t="n">
        <v>46127</v>
      </c>
      <c r="J1712" s="3" t="s">
        <v>2646</v>
      </c>
      <c r="K1712" s="10" t="n">
        <v>44991</v>
      </c>
      <c r="L1712" s="3" t="s">
        <v>23</v>
      </c>
      <c r="M1712" s="7" t="n">
        <v>600</v>
      </c>
      <c r="N1712" s="8" t="n">
        <v>0.3537</v>
      </c>
      <c r="O1712" s="4" t="n">
        <f aca="false">M1712*N1712</f>
        <v>212.22</v>
      </c>
    </row>
    <row r="1713" customFormat="false" ht="15" hidden="false" customHeight="false" outlineLevel="0" collapsed="false">
      <c r="A1713" s="0" t="s">
        <v>2647</v>
      </c>
      <c r="C1713" s="0" t="s">
        <v>285</v>
      </c>
      <c r="D1713" s="7" t="n">
        <v>106</v>
      </c>
      <c r="E1713" s="8" t="n">
        <v>1.44924528301887</v>
      </c>
      <c r="F1713" s="4" t="n">
        <f aca="false">D1713*E1713</f>
        <v>153.62</v>
      </c>
      <c r="G1713" s="7" t="n">
        <v>20</v>
      </c>
      <c r="H1713" s="9" t="n">
        <f aca="false">IF(G1713&gt;0,D1713/G1713,"")</f>
        <v>5.3</v>
      </c>
      <c r="I1713" s="10" t="n">
        <v>46101</v>
      </c>
      <c r="J1713" s="3" t="s">
        <v>2648</v>
      </c>
      <c r="K1713" s="10" t="n">
        <v>45218</v>
      </c>
      <c r="L1713" s="3" t="s">
        <v>15</v>
      </c>
      <c r="M1713" s="7" t="n">
        <v>156</v>
      </c>
      <c r="N1713" s="8" t="n">
        <v>1.44928</v>
      </c>
      <c r="O1713" s="4" t="n">
        <f aca="false">M1713*N1713</f>
        <v>226.08768</v>
      </c>
    </row>
    <row r="1714" customFormat="false" ht="15" hidden="false" customHeight="false" outlineLevel="0" collapsed="false">
      <c r="A1714" s="0" t="s">
        <v>2649</v>
      </c>
      <c r="C1714" s="0" t="s">
        <v>128</v>
      </c>
      <c r="D1714" s="7" t="n">
        <v>146</v>
      </c>
      <c r="E1714" s="8" t="n">
        <v>1.05164383561644</v>
      </c>
      <c r="F1714" s="4" t="n">
        <f aca="false">D1714*E1714</f>
        <v>153.54</v>
      </c>
      <c r="G1714" s="7" t="n">
        <v>88</v>
      </c>
      <c r="H1714" s="9" t="n">
        <f aca="false">IF(G1714&gt;0,D1714/G1714,"")</f>
        <v>1.65909090909091</v>
      </c>
      <c r="I1714" s="10" t="n">
        <v>46281</v>
      </c>
      <c r="J1714" s="3" t="s">
        <v>153</v>
      </c>
      <c r="K1714" s="10" t="n">
        <v>46268</v>
      </c>
      <c r="L1714" s="3" t="s">
        <v>154</v>
      </c>
      <c r="M1714" s="7" t="n">
        <v>100</v>
      </c>
      <c r="N1714" s="8" t="n">
        <v>1.08</v>
      </c>
      <c r="O1714" s="4" t="n">
        <f aca="false">M1714*N1714</f>
        <v>108</v>
      </c>
    </row>
    <row r="1715" customFormat="false" ht="15" hidden="false" customHeight="false" outlineLevel="0" collapsed="false">
      <c r="A1715" s="0" t="s">
        <v>2650</v>
      </c>
      <c r="C1715" s="0" t="s">
        <v>31</v>
      </c>
      <c r="D1715" s="7" t="n">
        <v>19145</v>
      </c>
      <c r="E1715" s="8" t="n">
        <v>0.00801410289892923</v>
      </c>
      <c r="F1715" s="4" t="n">
        <f aca="false">D1715*E1715</f>
        <v>153.43</v>
      </c>
      <c r="G1715" s="7" t="n">
        <v>1050</v>
      </c>
      <c r="H1715" s="9" t="n">
        <f aca="false">IF(G1715&gt;0,D1715/G1715,"")</f>
        <v>18.2333333333333</v>
      </c>
      <c r="I1715" s="10" t="n">
        <v>46293</v>
      </c>
      <c r="K1715" s="10"/>
      <c r="M1715" s="7"/>
      <c r="N1715" s="8"/>
      <c r="O1715" s="4"/>
    </row>
    <row r="1716" customFormat="false" ht="15" hidden="false" customHeight="false" outlineLevel="0" collapsed="false">
      <c r="A1716" s="0" t="s">
        <v>2651</v>
      </c>
      <c r="C1716" s="0" t="s">
        <v>1169</v>
      </c>
      <c r="D1716" s="7" t="n">
        <v>2718</v>
      </c>
      <c r="E1716" s="8" t="n">
        <v>0.0564275202354673</v>
      </c>
      <c r="F1716" s="4" t="n">
        <f aca="false">D1716*E1716</f>
        <v>153.37</v>
      </c>
      <c r="G1716" s="7" t="n">
        <v>145</v>
      </c>
      <c r="H1716" s="9" t="n">
        <f aca="false">IF(G1716&gt;0,D1716/G1716,"")</f>
        <v>18.7448275862069</v>
      </c>
      <c r="I1716" s="10" t="n">
        <v>46247</v>
      </c>
      <c r="J1716" s="3" t="s">
        <v>2470</v>
      </c>
      <c r="K1716" s="10" t="n">
        <v>45093</v>
      </c>
      <c r="L1716" s="3" t="s">
        <v>21</v>
      </c>
      <c r="M1716" s="7" t="n">
        <v>3000</v>
      </c>
      <c r="N1716" s="8" t="n">
        <v>0.055</v>
      </c>
      <c r="O1716" s="4" t="n">
        <f aca="false">M1716*N1716</f>
        <v>165</v>
      </c>
    </row>
    <row r="1717" customFormat="false" ht="15" hidden="false" customHeight="false" outlineLevel="0" collapsed="false">
      <c r="A1717" s="0" t="s">
        <v>2652</v>
      </c>
      <c r="C1717" s="0" t="s">
        <v>609</v>
      </c>
      <c r="D1717" s="7" t="n">
        <v>41</v>
      </c>
      <c r="E1717" s="8" t="n">
        <v>3.74</v>
      </c>
      <c r="F1717" s="4" t="n">
        <f aca="false">D1717*E1717</f>
        <v>153.34</v>
      </c>
      <c r="G1717" s="7" t="n">
        <v>4</v>
      </c>
      <c r="H1717" s="9" t="n">
        <f aca="false">IF(G1717&gt;0,D1717/G1717,"")</f>
        <v>10.25</v>
      </c>
      <c r="I1717" s="10" t="n">
        <v>46111</v>
      </c>
      <c r="J1717" s="3" t="s">
        <v>2653</v>
      </c>
      <c r="K1717" s="10" t="n">
        <v>44729</v>
      </c>
      <c r="L1717" s="3" t="s">
        <v>1878</v>
      </c>
      <c r="M1717" s="7" t="n">
        <v>50</v>
      </c>
      <c r="N1717" s="8" t="n">
        <v>3.74</v>
      </c>
      <c r="O1717" s="4" t="n">
        <f aca="false">M1717*N1717</f>
        <v>187</v>
      </c>
    </row>
    <row r="1718" customFormat="false" ht="15" hidden="false" customHeight="false" outlineLevel="0" collapsed="false">
      <c r="A1718" s="0" t="s">
        <v>2654</v>
      </c>
      <c r="C1718" s="0" t="s">
        <v>298</v>
      </c>
      <c r="D1718" s="7" t="n">
        <v>31505</v>
      </c>
      <c r="E1718" s="8" t="n">
        <v>0.00486335502301222</v>
      </c>
      <c r="F1718" s="4" t="n">
        <f aca="false">D1718*E1718</f>
        <v>153.22</v>
      </c>
      <c r="G1718" s="7" t="n">
        <v>950</v>
      </c>
      <c r="H1718" s="9" t="n">
        <f aca="false">IF(G1718&gt;0,D1718/G1718,"")</f>
        <v>33.1631578947368</v>
      </c>
      <c r="I1718" s="10" t="n">
        <v>46133</v>
      </c>
      <c r="K1718" s="10"/>
      <c r="M1718" s="7"/>
      <c r="N1718" s="8"/>
      <c r="O1718" s="4"/>
    </row>
    <row r="1719" customFormat="false" ht="15" hidden="false" customHeight="false" outlineLevel="0" collapsed="false">
      <c r="A1719" s="0" t="s">
        <v>2655</v>
      </c>
      <c r="C1719" s="0" t="s">
        <v>45</v>
      </c>
      <c r="D1719" s="7" t="n">
        <v>1929</v>
      </c>
      <c r="E1719" s="8" t="n">
        <v>0.079393468118196</v>
      </c>
      <c r="F1719" s="4" t="n">
        <f aca="false">D1719*E1719</f>
        <v>153.15</v>
      </c>
      <c r="G1719" s="7" t="n">
        <v>250</v>
      </c>
      <c r="H1719" s="9" t="n">
        <f aca="false">IF(G1719&gt;0,D1719/G1719,"")</f>
        <v>7.716</v>
      </c>
      <c r="I1719" s="10" t="n">
        <v>46280</v>
      </c>
      <c r="J1719" s="3" t="s">
        <v>1726</v>
      </c>
      <c r="K1719" s="10" t="n">
        <v>44299</v>
      </c>
      <c r="L1719" s="3" t="s">
        <v>23</v>
      </c>
      <c r="M1719" s="7" t="n">
        <v>3000</v>
      </c>
      <c r="N1719" s="8" t="n">
        <v>0.0794</v>
      </c>
      <c r="O1719" s="4" t="n">
        <f aca="false">M1719*N1719</f>
        <v>238.2</v>
      </c>
    </row>
    <row r="1720" customFormat="false" ht="15" hidden="false" customHeight="false" outlineLevel="0" collapsed="false">
      <c r="A1720" s="0" t="s">
        <v>2656</v>
      </c>
      <c r="C1720" s="0" t="s">
        <v>31</v>
      </c>
      <c r="D1720" s="7" t="n">
        <v>5907</v>
      </c>
      <c r="E1720" s="8" t="n">
        <v>0.0259184018960555</v>
      </c>
      <c r="F1720" s="4" t="n">
        <f aca="false">D1720*E1720</f>
        <v>153.1</v>
      </c>
      <c r="G1720" s="7" t="n">
        <v>11</v>
      </c>
      <c r="H1720" s="9" t="n">
        <f aca="false">IF(G1720&gt;0,D1720/G1720,"")</f>
        <v>537</v>
      </c>
      <c r="I1720" s="10" t="n">
        <v>46086</v>
      </c>
      <c r="J1720" s="3" t="s">
        <v>2573</v>
      </c>
      <c r="K1720" s="10" t="n">
        <v>46142</v>
      </c>
      <c r="L1720" s="3" t="s">
        <v>16</v>
      </c>
      <c r="M1720" s="7" t="n">
        <v>5900</v>
      </c>
      <c r="N1720" s="8" t="n">
        <v>0.0256</v>
      </c>
      <c r="O1720" s="4" t="n">
        <f aca="false">M1720*N1720</f>
        <v>151.04</v>
      </c>
    </row>
    <row r="1721" customFormat="false" ht="15" hidden="false" customHeight="false" outlineLevel="0" collapsed="false">
      <c r="A1721" s="0" t="s">
        <v>2657</v>
      </c>
      <c r="C1721" s="0" t="s">
        <v>889</v>
      </c>
      <c r="D1721" s="7" t="n">
        <v>3217</v>
      </c>
      <c r="E1721" s="8" t="n">
        <v>0.0475567298725521</v>
      </c>
      <c r="F1721" s="4" t="n">
        <f aca="false">D1721*E1721</f>
        <v>152.99</v>
      </c>
      <c r="G1721" s="7" t="n">
        <v>815</v>
      </c>
      <c r="H1721" s="9" t="n">
        <f aca="false">IF(G1721&gt;0,D1721/G1721,"")</f>
        <v>3.94723926380368</v>
      </c>
      <c r="I1721" s="10" t="n">
        <v>46245</v>
      </c>
      <c r="J1721" s="3" t="s">
        <v>2658</v>
      </c>
      <c r="K1721" s="10" t="n">
        <v>45105</v>
      </c>
      <c r="L1721" s="3" t="s">
        <v>15</v>
      </c>
      <c r="M1721" s="7" t="n">
        <v>5535</v>
      </c>
      <c r="N1721" s="8" t="n">
        <v>0.04756</v>
      </c>
      <c r="O1721" s="4" t="n">
        <f aca="false">M1721*N1721</f>
        <v>263.2446</v>
      </c>
    </row>
    <row r="1722" customFormat="false" ht="15" hidden="false" customHeight="false" outlineLevel="0" collapsed="false">
      <c r="A1722" s="0" t="s">
        <v>2659</v>
      </c>
      <c r="C1722" s="0" t="s">
        <v>45</v>
      </c>
      <c r="D1722" s="7" t="n">
        <v>5562</v>
      </c>
      <c r="E1722" s="8" t="n">
        <v>0.0274991010427904</v>
      </c>
      <c r="F1722" s="4" t="n">
        <f aca="false">D1722*E1722</f>
        <v>152.95</v>
      </c>
      <c r="G1722" s="7" t="n">
        <v>2763</v>
      </c>
      <c r="H1722" s="9" t="n">
        <f aca="false">IF(G1722&gt;0,D1722/G1722,"")</f>
        <v>2.01302931596091</v>
      </c>
      <c r="I1722" s="10" t="n">
        <v>46288</v>
      </c>
      <c r="J1722" s="3" t="s">
        <v>1252</v>
      </c>
      <c r="K1722" s="10" t="n">
        <v>45754</v>
      </c>
      <c r="L1722" s="3" t="s">
        <v>23</v>
      </c>
      <c r="M1722" s="7" t="n">
        <v>9000</v>
      </c>
      <c r="N1722" s="8" t="n">
        <v>0.0275</v>
      </c>
      <c r="O1722" s="4" t="n">
        <f aca="false">M1722*N1722</f>
        <v>247.5</v>
      </c>
    </row>
    <row r="1723" customFormat="false" ht="15" hidden="false" customHeight="false" outlineLevel="0" collapsed="false">
      <c r="A1723" s="0" t="s">
        <v>2660</v>
      </c>
      <c r="C1723" s="0" t="s">
        <v>1169</v>
      </c>
      <c r="D1723" s="7" t="n">
        <v>2039</v>
      </c>
      <c r="E1723" s="8" t="n">
        <v>0.0749975478175576</v>
      </c>
      <c r="F1723" s="4" t="n">
        <f aca="false">D1723*E1723</f>
        <v>152.92</v>
      </c>
      <c r="G1723" s="7" t="n">
        <v>1031</v>
      </c>
      <c r="H1723" s="9" t="n">
        <f aca="false">IF(G1723&gt;0,D1723/G1723,"")</f>
        <v>1.97769156159069</v>
      </c>
      <c r="I1723" s="10" t="n">
        <v>46317</v>
      </c>
      <c r="J1723" s="3" t="s">
        <v>926</v>
      </c>
      <c r="K1723" s="10" t="n">
        <v>46009</v>
      </c>
      <c r="L1723" s="3" t="s">
        <v>21</v>
      </c>
      <c r="M1723" s="7" t="n">
        <v>1400</v>
      </c>
      <c r="N1723" s="8" t="n">
        <v>0.075</v>
      </c>
      <c r="O1723" s="4" t="n">
        <f aca="false">M1723*N1723</f>
        <v>105</v>
      </c>
    </row>
    <row r="1724" customFormat="false" ht="15" hidden="false" customHeight="false" outlineLevel="0" collapsed="false">
      <c r="A1724" s="0" t="s">
        <v>2661</v>
      </c>
      <c r="C1724" s="0" t="s">
        <v>34</v>
      </c>
      <c r="D1724" s="7" t="n">
        <v>1995</v>
      </c>
      <c r="E1724" s="8" t="n">
        <v>0.0766015037593985</v>
      </c>
      <c r="F1724" s="4" t="n">
        <f aca="false">D1724*E1724</f>
        <v>152.82</v>
      </c>
      <c r="G1724" s="7" t="n">
        <v>13</v>
      </c>
      <c r="H1724" s="9" t="n">
        <f aca="false">IF(G1724&gt;0,D1724/G1724,"")</f>
        <v>153.461538461538</v>
      </c>
      <c r="I1724" s="10" t="n">
        <v>46275</v>
      </c>
      <c r="J1724" s="3" t="s">
        <v>2662</v>
      </c>
      <c r="K1724" s="10" t="n">
        <v>46190</v>
      </c>
      <c r="L1724" s="3" t="s">
        <v>16</v>
      </c>
      <c r="M1724" s="7" t="n">
        <v>2000</v>
      </c>
      <c r="N1724" s="8" t="n">
        <v>0.0766</v>
      </c>
      <c r="O1724" s="4" t="n">
        <f aca="false">M1724*N1724</f>
        <v>153.2</v>
      </c>
    </row>
    <row r="1725" customFormat="false" ht="15" hidden="false" customHeight="false" outlineLevel="0" collapsed="false">
      <c r="A1725" s="0" t="s">
        <v>2663</v>
      </c>
      <c r="C1725" s="0" t="s">
        <v>1039</v>
      </c>
      <c r="D1725" s="7" t="n">
        <v>1343</v>
      </c>
      <c r="E1725" s="8" t="n">
        <v>0.113626209977662</v>
      </c>
      <c r="F1725" s="4" t="n">
        <f aca="false">D1725*E1725</f>
        <v>152.6</v>
      </c>
      <c r="G1725" s="7" t="n">
        <v>1250</v>
      </c>
      <c r="H1725" s="9" t="n">
        <f aca="false">IF(G1725&gt;0,D1725/G1725,"")</f>
        <v>1.0744</v>
      </c>
      <c r="I1725" s="10" t="n">
        <v>46185</v>
      </c>
      <c r="J1725" s="3" t="s">
        <v>1722</v>
      </c>
      <c r="K1725" s="10" t="n">
        <v>46146</v>
      </c>
      <c r="L1725" s="3" t="s">
        <v>19</v>
      </c>
      <c r="M1725" s="7" t="n">
        <v>2500</v>
      </c>
      <c r="N1725" s="8" t="n">
        <v>0.1199</v>
      </c>
      <c r="O1725" s="4" t="n">
        <f aca="false">M1725*N1725</f>
        <v>299.75</v>
      </c>
    </row>
    <row r="1726" customFormat="false" ht="15" hidden="false" customHeight="false" outlineLevel="0" collapsed="false">
      <c r="A1726" s="0" t="s">
        <v>2664</v>
      </c>
      <c r="C1726" s="0" t="s">
        <v>1169</v>
      </c>
      <c r="D1726" s="7" t="n">
        <v>2990</v>
      </c>
      <c r="E1726" s="8" t="n">
        <v>0.051</v>
      </c>
      <c r="F1726" s="4" t="n">
        <f aca="false">D1726*E1726</f>
        <v>152.49</v>
      </c>
      <c r="G1726" s="7" t="n">
        <v>125</v>
      </c>
      <c r="H1726" s="9" t="n">
        <f aca="false">IF(G1726&gt;0,D1726/G1726,"")</f>
        <v>23.92</v>
      </c>
      <c r="I1726" s="10" t="n">
        <v>46279</v>
      </c>
      <c r="J1726" s="3" t="s">
        <v>926</v>
      </c>
      <c r="K1726" s="10" t="n">
        <v>46009</v>
      </c>
      <c r="L1726" s="3" t="s">
        <v>21</v>
      </c>
      <c r="M1726" s="7" t="n">
        <v>2000</v>
      </c>
      <c r="N1726" s="8" t="n">
        <v>0.051</v>
      </c>
      <c r="O1726" s="4" t="n">
        <f aca="false">M1726*N1726</f>
        <v>102</v>
      </c>
    </row>
    <row r="1727" customFormat="false" ht="15" hidden="false" customHeight="false" outlineLevel="0" collapsed="false">
      <c r="A1727" s="0" t="s">
        <v>2665</v>
      </c>
      <c r="C1727" s="0" t="s">
        <v>360</v>
      </c>
      <c r="D1727" s="7" t="n">
        <v>15052</v>
      </c>
      <c r="E1727" s="8" t="n">
        <v>0.0101302152537869</v>
      </c>
      <c r="F1727" s="4" t="n">
        <f aca="false">D1727*E1727</f>
        <v>152.48</v>
      </c>
      <c r="G1727" s="7" t="n">
        <v>4257</v>
      </c>
      <c r="H1727" s="9" t="n">
        <f aca="false">IF(G1727&gt;0,D1727/G1727,"")</f>
        <v>3.53582334977684</v>
      </c>
      <c r="I1727" s="10" t="n">
        <v>46181</v>
      </c>
      <c r="J1727" s="3" t="s">
        <v>2666</v>
      </c>
      <c r="K1727" s="10" t="n">
        <v>45341</v>
      </c>
      <c r="L1727" s="3" t="s">
        <v>223</v>
      </c>
      <c r="M1727" s="7" t="n">
        <v>1000</v>
      </c>
      <c r="N1727" s="8" t="n">
        <v>0.0495</v>
      </c>
      <c r="O1727" s="4" t="n">
        <f aca="false">M1727*N1727</f>
        <v>49.5</v>
      </c>
    </row>
    <row r="1728" customFormat="false" ht="15" hidden="false" customHeight="false" outlineLevel="0" collapsed="false">
      <c r="A1728" s="0" t="s">
        <v>2667</v>
      </c>
      <c r="C1728" s="0" t="s">
        <v>698</v>
      </c>
      <c r="D1728" s="7" t="n">
        <v>982</v>
      </c>
      <c r="E1728" s="8" t="n">
        <v>0.155193482688391</v>
      </c>
      <c r="F1728" s="4" t="n">
        <f aca="false">D1728*E1728</f>
        <v>152.4</v>
      </c>
      <c r="G1728" s="7" t="n">
        <v>206</v>
      </c>
      <c r="H1728" s="9" t="n">
        <f aca="false">IF(G1728&gt;0,D1728/G1728,"")</f>
        <v>4.76699029126214</v>
      </c>
      <c r="I1728" s="10" t="n">
        <v>46175</v>
      </c>
      <c r="J1728" s="3" t="s">
        <v>2668</v>
      </c>
      <c r="K1728" s="10" t="n">
        <v>45027</v>
      </c>
      <c r="L1728" s="3" t="s">
        <v>14</v>
      </c>
      <c r="M1728" s="7" t="n">
        <v>2600</v>
      </c>
      <c r="N1728" s="8" t="n">
        <v>0.1552</v>
      </c>
      <c r="O1728" s="4" t="n">
        <f aca="false">M1728*N1728</f>
        <v>403.52</v>
      </c>
    </row>
    <row r="1729" customFormat="false" ht="15" hidden="false" customHeight="false" outlineLevel="0" collapsed="false">
      <c r="A1729" s="0" t="s">
        <v>2669</v>
      </c>
      <c r="C1729" s="0" t="s">
        <v>807</v>
      </c>
      <c r="D1729" s="7" t="n">
        <v>5</v>
      </c>
      <c r="E1729" s="8" t="n">
        <v>30.45</v>
      </c>
      <c r="F1729" s="4" t="n">
        <f aca="false">D1729*E1729</f>
        <v>152.25</v>
      </c>
      <c r="G1729" s="7" t="n">
        <v>5</v>
      </c>
      <c r="H1729" s="9" t="n">
        <f aca="false">IF(G1729&gt;0,D1729/G1729,"")</f>
        <v>1</v>
      </c>
      <c r="I1729" s="10" t="n">
        <v>46234</v>
      </c>
      <c r="J1729" s="3" t="s">
        <v>2670</v>
      </c>
      <c r="K1729" s="10" t="n">
        <v>46181</v>
      </c>
      <c r="L1729" s="3" t="s">
        <v>145</v>
      </c>
      <c r="M1729" s="7" t="n">
        <v>10</v>
      </c>
      <c r="N1729" s="8" t="n">
        <v>30.45</v>
      </c>
      <c r="O1729" s="4" t="n">
        <f aca="false">M1729*N1729</f>
        <v>304.5</v>
      </c>
    </row>
    <row r="1730" customFormat="false" ht="15" hidden="false" customHeight="false" outlineLevel="0" collapsed="false">
      <c r="A1730" s="0" t="s">
        <v>2671</v>
      </c>
      <c r="C1730" s="0" t="s">
        <v>398</v>
      </c>
      <c r="D1730" s="7" t="n">
        <v>7879</v>
      </c>
      <c r="E1730" s="8" t="n">
        <v>0.0193222490163726</v>
      </c>
      <c r="F1730" s="4" t="n">
        <f aca="false">D1730*E1730</f>
        <v>152.24</v>
      </c>
      <c r="G1730" s="7" t="n">
        <v>30</v>
      </c>
      <c r="H1730" s="9" t="n">
        <f aca="false">IF(G1730&gt;0,D1730/G1730,"")</f>
        <v>262.633333333333</v>
      </c>
      <c r="I1730" s="10" t="n">
        <v>46146</v>
      </c>
      <c r="J1730" s="3" t="s">
        <v>2672</v>
      </c>
      <c r="K1730" s="10" t="n">
        <v>44670</v>
      </c>
      <c r="L1730" s="3" t="s">
        <v>15</v>
      </c>
      <c r="M1730" s="7" t="n">
        <v>8366</v>
      </c>
      <c r="N1730" s="8" t="n">
        <v>0.01946</v>
      </c>
      <c r="O1730" s="4" t="n">
        <v>161.7126</v>
      </c>
    </row>
    <row r="1731" customFormat="false" ht="15" hidden="false" customHeight="false" outlineLevel="0" collapsed="false">
      <c r="A1731" s="0" t="s">
        <v>2673</v>
      </c>
      <c r="C1731" s="0" t="s">
        <v>31</v>
      </c>
      <c r="D1731" s="7" t="n">
        <v>18269</v>
      </c>
      <c r="E1731" s="8" t="n">
        <v>0.00832886310142865</v>
      </c>
      <c r="F1731" s="4" t="n">
        <f aca="false">D1731*E1731</f>
        <v>152.16</v>
      </c>
      <c r="G1731" s="7" t="n">
        <v>922</v>
      </c>
      <c r="H1731" s="9" t="n">
        <f aca="false">IF(G1731&gt;0,D1731/G1731,"")</f>
        <v>19.8145336225597</v>
      </c>
      <c r="I1731" s="10" t="n">
        <v>46275</v>
      </c>
      <c r="K1731" s="10"/>
      <c r="M1731" s="7"/>
      <c r="N1731" s="8"/>
      <c r="O1731" s="4"/>
    </row>
    <row r="1732" customFormat="false" ht="15" hidden="false" customHeight="false" outlineLevel="0" collapsed="false">
      <c r="A1732" s="0" t="s">
        <v>2674</v>
      </c>
      <c r="C1732" s="0" t="s">
        <v>31</v>
      </c>
      <c r="D1732" s="7" t="n">
        <v>17517</v>
      </c>
      <c r="E1732" s="8" t="n">
        <v>0.00868071016726608</v>
      </c>
      <c r="F1732" s="4" t="n">
        <f aca="false">D1732*E1732</f>
        <v>152.06</v>
      </c>
      <c r="G1732" s="7" t="n">
        <v>2206</v>
      </c>
      <c r="H1732" s="9" t="n">
        <f aca="false">IF(G1732&gt;0,D1732/G1732,"")</f>
        <v>7.94061650045331</v>
      </c>
      <c r="I1732" s="10" t="n">
        <v>46311</v>
      </c>
      <c r="J1732" s="3" t="s">
        <v>1140</v>
      </c>
      <c r="K1732" s="10" t="n">
        <v>45614</v>
      </c>
      <c r="L1732" s="3" t="s">
        <v>15</v>
      </c>
      <c r="M1732" s="7" t="n">
        <v>23100</v>
      </c>
      <c r="N1732" s="8" t="n">
        <v>0.00868</v>
      </c>
      <c r="O1732" s="4" t="n">
        <f aca="false">M1732*N1732</f>
        <v>200.508</v>
      </c>
    </row>
    <row r="1733" customFormat="false" ht="15" hidden="false" customHeight="false" outlineLevel="0" collapsed="false">
      <c r="A1733" s="0" t="s">
        <v>2675</v>
      </c>
      <c r="C1733" s="0" t="s">
        <v>360</v>
      </c>
      <c r="D1733" s="7" t="n">
        <v>2675</v>
      </c>
      <c r="E1733" s="8" t="n">
        <v>0.0568373831775701</v>
      </c>
      <c r="F1733" s="4" t="n">
        <f aca="false">D1733*E1733</f>
        <v>152.04</v>
      </c>
      <c r="G1733" s="7" t="n">
        <v>11</v>
      </c>
      <c r="H1733" s="9" t="n">
        <f aca="false">IF(G1733&gt;0,D1733/G1733,"")</f>
        <v>243.181818181818</v>
      </c>
      <c r="I1733" s="10" t="n">
        <v>46106</v>
      </c>
      <c r="J1733" s="3" t="s">
        <v>1192</v>
      </c>
      <c r="K1733" s="10" t="n">
        <v>45736</v>
      </c>
      <c r="L1733" s="3" t="s">
        <v>26</v>
      </c>
      <c r="M1733" s="7" t="n">
        <v>200</v>
      </c>
      <c r="N1733" s="8" t="n">
        <v>0.1483</v>
      </c>
      <c r="O1733" s="4" t="n">
        <f aca="false">M1733*N1733</f>
        <v>29.66</v>
      </c>
    </row>
    <row r="1734" customFormat="false" ht="15" hidden="false" customHeight="false" outlineLevel="0" collapsed="false">
      <c r="A1734" s="0" t="s">
        <v>2676</v>
      </c>
      <c r="C1734" s="0" t="s">
        <v>360</v>
      </c>
      <c r="D1734" s="7" t="n">
        <v>15354</v>
      </c>
      <c r="E1734" s="8" t="n">
        <v>0.00990035169988277</v>
      </c>
      <c r="F1734" s="4" t="n">
        <f aca="false">D1734*E1734</f>
        <v>152.01</v>
      </c>
      <c r="G1734" s="7" t="n">
        <v>4270</v>
      </c>
      <c r="H1734" s="9" t="n">
        <f aca="false">IF(G1734&gt;0,D1734/G1734,"")</f>
        <v>3.59578454332553</v>
      </c>
      <c r="I1734" s="10" t="n">
        <v>46301</v>
      </c>
      <c r="J1734" s="3" t="s">
        <v>2677</v>
      </c>
      <c r="K1734" s="10" t="n">
        <v>45229</v>
      </c>
      <c r="L1734" s="3" t="s">
        <v>15</v>
      </c>
      <c r="M1734" s="7" t="n">
        <v>24600</v>
      </c>
      <c r="N1734" s="8" t="n">
        <v>0.0099</v>
      </c>
      <c r="O1734" s="4" t="n">
        <f aca="false">M1734*N1734</f>
        <v>243.54</v>
      </c>
    </row>
    <row r="1735" customFormat="false" ht="15" hidden="false" customHeight="false" outlineLevel="0" collapsed="false">
      <c r="A1735" s="0" t="s">
        <v>2678</v>
      </c>
      <c r="C1735" s="0" t="s">
        <v>34</v>
      </c>
      <c r="D1735" s="7" t="n">
        <v>5943</v>
      </c>
      <c r="E1735" s="8" t="n">
        <v>0.0255645296988053</v>
      </c>
      <c r="F1735" s="4" t="n">
        <f aca="false">D1735*E1735</f>
        <v>151.93</v>
      </c>
      <c r="G1735" s="7" t="n">
        <v>162</v>
      </c>
      <c r="H1735" s="9" t="n">
        <f aca="false">IF(G1735&gt;0,D1735/G1735,"")</f>
        <v>36.6851851851852</v>
      </c>
      <c r="I1735" s="10" t="n">
        <v>46238</v>
      </c>
      <c r="J1735" s="3" t="s">
        <v>1192</v>
      </c>
      <c r="K1735" s="10" t="n">
        <v>45736</v>
      </c>
      <c r="L1735" s="3" t="s">
        <v>26</v>
      </c>
      <c r="M1735" s="7" t="n">
        <v>200</v>
      </c>
      <c r="N1735" s="8" t="n">
        <v>0.0606</v>
      </c>
      <c r="O1735" s="4" t="n">
        <f aca="false">M1735*N1735</f>
        <v>12.12</v>
      </c>
    </row>
    <row r="1736" customFormat="false" ht="15" hidden="false" customHeight="false" outlineLevel="0" collapsed="false">
      <c r="A1736" s="0" t="s">
        <v>2679</v>
      </c>
      <c r="C1736" s="0" t="s">
        <v>832</v>
      </c>
      <c r="D1736" s="7" t="n">
        <v>9</v>
      </c>
      <c r="E1736" s="8" t="n">
        <v>16.87</v>
      </c>
      <c r="F1736" s="4" t="n">
        <f aca="false">D1736*E1736</f>
        <v>151.83</v>
      </c>
      <c r="G1736" s="7" t="n">
        <v>1</v>
      </c>
      <c r="H1736" s="9" t="n">
        <f aca="false">IF(G1736&gt;0,D1736/G1736,"")</f>
        <v>9</v>
      </c>
      <c r="I1736" s="10" t="n">
        <v>46288</v>
      </c>
      <c r="J1736" s="3" t="s">
        <v>1827</v>
      </c>
      <c r="K1736" s="10" t="n">
        <v>46189</v>
      </c>
      <c r="L1736" s="3" t="s">
        <v>834</v>
      </c>
      <c r="M1736" s="7" t="n">
        <v>10</v>
      </c>
      <c r="N1736" s="8" t="n">
        <v>16.87</v>
      </c>
      <c r="O1736" s="4" t="n">
        <f aca="false">M1736*N1736</f>
        <v>168.7</v>
      </c>
    </row>
    <row r="1737" customFormat="false" ht="15" hidden="false" customHeight="false" outlineLevel="0" collapsed="false">
      <c r="A1737" s="0" t="s">
        <v>2680</v>
      </c>
      <c r="C1737" s="0" t="s">
        <v>39</v>
      </c>
      <c r="D1737" s="7" t="n">
        <v>8250</v>
      </c>
      <c r="E1737" s="8" t="n">
        <v>0.0184</v>
      </c>
      <c r="F1737" s="4" t="n">
        <f aca="false">D1737*E1737</f>
        <v>151.8</v>
      </c>
      <c r="G1737" s="7" t="n">
        <v>7985</v>
      </c>
      <c r="H1737" s="9" t="n">
        <f aca="false">IF(G1737&gt;0,D1737/G1737,"")</f>
        <v>1.03318722604884</v>
      </c>
      <c r="I1737" s="10" t="n">
        <v>46273</v>
      </c>
      <c r="J1737" s="3" t="s">
        <v>2681</v>
      </c>
      <c r="K1737" s="10" t="n">
        <v>46112</v>
      </c>
      <c r="L1737" s="3" t="s">
        <v>14</v>
      </c>
      <c r="M1737" s="7" t="n">
        <v>10990</v>
      </c>
      <c r="N1737" s="8" t="n">
        <v>0.0184</v>
      </c>
      <c r="O1737" s="4" t="n">
        <f aca="false">M1737*N1737</f>
        <v>202.216</v>
      </c>
    </row>
    <row r="1738" customFormat="false" ht="15" hidden="false" customHeight="false" outlineLevel="0" collapsed="false">
      <c r="A1738" s="0" t="s">
        <v>2682</v>
      </c>
      <c r="C1738" s="0" t="s">
        <v>31</v>
      </c>
      <c r="D1738" s="7" t="n">
        <v>28310</v>
      </c>
      <c r="E1738" s="8" t="n">
        <v>0.0053553514659131</v>
      </c>
      <c r="F1738" s="4" t="n">
        <f aca="false">D1738*E1738</f>
        <v>151.61</v>
      </c>
      <c r="G1738" s="7" t="n">
        <v>1352</v>
      </c>
      <c r="H1738" s="9" t="n">
        <f aca="false">IF(G1738&gt;0,D1738/G1738,"")</f>
        <v>20.939349112426</v>
      </c>
      <c r="I1738" s="10" t="n">
        <v>46304</v>
      </c>
      <c r="J1738" s="3" t="s">
        <v>2683</v>
      </c>
      <c r="K1738" s="10" t="n">
        <v>45306</v>
      </c>
      <c r="L1738" s="3" t="s">
        <v>2203</v>
      </c>
      <c r="M1738" s="7" t="n">
        <v>5000</v>
      </c>
      <c r="N1738" s="8" t="n">
        <v>0.0236</v>
      </c>
      <c r="O1738" s="4" t="n">
        <f aca="false">M1738*N1738</f>
        <v>118</v>
      </c>
    </row>
    <row r="1739" customFormat="false" ht="15" hidden="false" customHeight="false" outlineLevel="0" collapsed="false">
      <c r="A1739" s="0" t="s">
        <v>2684</v>
      </c>
      <c r="C1739" s="0" t="s">
        <v>1169</v>
      </c>
      <c r="D1739" s="7" t="n">
        <v>4594</v>
      </c>
      <c r="E1739" s="8" t="n">
        <v>0.0329995646495429</v>
      </c>
      <c r="F1739" s="4" t="n">
        <f aca="false">D1739*E1739</f>
        <v>151.6</v>
      </c>
      <c r="G1739" s="7" t="n">
        <v>1197</v>
      </c>
      <c r="H1739" s="9" t="n">
        <f aca="false">IF(G1739&gt;0,D1739/G1739,"")</f>
        <v>3.83792815371763</v>
      </c>
      <c r="I1739" s="10" t="n">
        <v>46289</v>
      </c>
      <c r="J1739" s="3" t="s">
        <v>1170</v>
      </c>
      <c r="K1739" s="10" t="n">
        <v>45398</v>
      </c>
      <c r="L1739" s="3" t="s">
        <v>21</v>
      </c>
      <c r="M1739" s="7" t="n">
        <v>5000</v>
      </c>
      <c r="N1739" s="8" t="n">
        <v>0.033</v>
      </c>
      <c r="O1739" s="4" t="n">
        <f aca="false">M1739*N1739</f>
        <v>165</v>
      </c>
    </row>
    <row r="1740" customFormat="false" ht="15" hidden="false" customHeight="false" outlineLevel="0" collapsed="false">
      <c r="A1740" s="0" t="s">
        <v>2685</v>
      </c>
      <c r="C1740" s="0" t="s">
        <v>855</v>
      </c>
      <c r="D1740" s="7" t="n">
        <v>14913</v>
      </c>
      <c r="E1740" s="8" t="n">
        <v>0.0101622745255817</v>
      </c>
      <c r="F1740" s="4" t="n">
        <f aca="false">D1740*E1740</f>
        <v>151.55</v>
      </c>
      <c r="G1740" s="7" t="n">
        <v>970</v>
      </c>
      <c r="H1740" s="9" t="n">
        <f aca="false">IF(G1740&gt;0,D1740/G1740,"")</f>
        <v>15.3742268041237</v>
      </c>
      <c r="I1740" s="10" t="n">
        <v>46238</v>
      </c>
      <c r="K1740" s="10"/>
      <c r="M1740" s="7"/>
      <c r="N1740" s="8"/>
      <c r="O1740" s="4"/>
    </row>
    <row r="1741" customFormat="false" ht="15" hidden="false" customHeight="false" outlineLevel="0" collapsed="false">
      <c r="A1741" s="0" t="s">
        <v>2686</v>
      </c>
      <c r="C1741" s="0" t="s">
        <v>39</v>
      </c>
      <c r="D1741" s="7" t="n">
        <v>124</v>
      </c>
      <c r="E1741" s="8" t="n">
        <v>1.22032258064516</v>
      </c>
      <c r="F1741" s="4" t="n">
        <f aca="false">D1741*E1741</f>
        <v>151.32</v>
      </c>
      <c r="G1741" s="7" t="n">
        <v>21</v>
      </c>
      <c r="H1741" s="9" t="n">
        <f aca="false">IF(G1741&gt;0,D1741/G1741,"")</f>
        <v>5.90476190476191</v>
      </c>
      <c r="I1741" s="10" t="n">
        <v>46314</v>
      </c>
      <c r="J1741" s="3" t="s">
        <v>2687</v>
      </c>
      <c r="K1741" s="10" t="n">
        <v>44722</v>
      </c>
      <c r="L1741" s="3" t="s">
        <v>28</v>
      </c>
      <c r="M1741" s="7" t="n">
        <v>190</v>
      </c>
      <c r="N1741" s="8" t="n">
        <v>1.2203</v>
      </c>
      <c r="O1741" s="4" t="n">
        <f aca="false">M1741*N1741</f>
        <v>231.857</v>
      </c>
    </row>
    <row r="1742" customFormat="false" ht="15" hidden="false" customHeight="false" outlineLevel="0" collapsed="false">
      <c r="A1742" s="0" t="s">
        <v>2688</v>
      </c>
      <c r="C1742" s="0" t="s">
        <v>741</v>
      </c>
      <c r="D1742" s="7" t="n">
        <v>1089</v>
      </c>
      <c r="E1742" s="8" t="n">
        <v>0.138943985307622</v>
      </c>
      <c r="F1742" s="4" t="n">
        <f aca="false">D1742*E1742</f>
        <v>151.31</v>
      </c>
      <c r="G1742" s="7" t="n">
        <v>131</v>
      </c>
      <c r="H1742" s="9" t="n">
        <f aca="false">IF(G1742&gt;0,D1742/G1742,"")</f>
        <v>8.31297709923664</v>
      </c>
      <c r="I1742" s="10" t="n">
        <v>46216</v>
      </c>
      <c r="J1742" s="3" t="s">
        <v>1891</v>
      </c>
      <c r="K1742" s="10" t="n">
        <v>46140</v>
      </c>
      <c r="L1742" s="3" t="s">
        <v>27</v>
      </c>
      <c r="M1742" s="7" t="n">
        <v>250</v>
      </c>
      <c r="N1742" s="8" t="n">
        <v>0.1738</v>
      </c>
      <c r="O1742" s="4" t="n">
        <f aca="false">M1742*N1742</f>
        <v>43.45</v>
      </c>
    </row>
    <row r="1743" customFormat="false" ht="15" hidden="false" customHeight="false" outlineLevel="0" collapsed="false">
      <c r="A1743" s="0" t="s">
        <v>2689</v>
      </c>
      <c r="C1743" s="0" t="s">
        <v>31</v>
      </c>
      <c r="D1743" s="7" t="n">
        <v>62246</v>
      </c>
      <c r="E1743" s="8" t="n">
        <v>0.0024305176236224</v>
      </c>
      <c r="F1743" s="4" t="n">
        <f aca="false">D1743*E1743</f>
        <v>151.29</v>
      </c>
      <c r="G1743" s="7" t="n">
        <v>524</v>
      </c>
      <c r="H1743" s="9" t="n">
        <f aca="false">IF(G1743&gt;0,D1743/G1743,"")</f>
        <v>118.790076335878</v>
      </c>
      <c r="I1743" s="10" t="n">
        <v>46255</v>
      </c>
      <c r="J1743" s="3" t="s">
        <v>2690</v>
      </c>
      <c r="K1743" s="10" t="n">
        <v>44199</v>
      </c>
      <c r="L1743" s="3" t="s">
        <v>15</v>
      </c>
      <c r="M1743" s="7" t="n">
        <v>2000</v>
      </c>
      <c r="N1743" s="8" t="n">
        <v>0.0024</v>
      </c>
      <c r="O1743" s="4" t="n">
        <f aca="false">M1743*N1743</f>
        <v>4.8</v>
      </c>
    </row>
    <row r="1744" customFormat="false" ht="15" hidden="false" customHeight="false" outlineLevel="0" collapsed="false">
      <c r="A1744" s="0" t="s">
        <v>2691</v>
      </c>
      <c r="C1744" s="0" t="s">
        <v>36</v>
      </c>
      <c r="D1744" s="7" t="n">
        <v>1787</v>
      </c>
      <c r="E1744" s="8" t="n">
        <v>0.0846278679350867</v>
      </c>
      <c r="F1744" s="4" t="n">
        <f aca="false">D1744*E1744</f>
        <v>151.23</v>
      </c>
      <c r="G1744" s="7" t="n">
        <v>1179</v>
      </c>
      <c r="H1744" s="9" t="n">
        <f aca="false">IF(G1744&gt;0,D1744/G1744,"")</f>
        <v>1.51569126378287</v>
      </c>
      <c r="I1744" s="10" t="n">
        <v>46302</v>
      </c>
      <c r="J1744" s="3" t="s">
        <v>2692</v>
      </c>
      <c r="K1744" s="10" t="n">
        <v>46150</v>
      </c>
      <c r="L1744" s="3" t="s">
        <v>14</v>
      </c>
      <c r="M1744" s="7" t="n">
        <v>2430</v>
      </c>
      <c r="N1744" s="8" t="n">
        <v>0.0849</v>
      </c>
      <c r="O1744" s="4" t="n">
        <f aca="false">M1744*N1744</f>
        <v>206.307</v>
      </c>
    </row>
    <row r="1745" customFormat="false" ht="15" hidden="false" customHeight="false" outlineLevel="0" collapsed="false">
      <c r="A1745" s="0" t="s">
        <v>2693</v>
      </c>
      <c r="C1745" s="0" t="s">
        <v>34</v>
      </c>
      <c r="D1745" s="7" t="n">
        <v>4451</v>
      </c>
      <c r="E1745" s="8" t="n">
        <v>0.0339743877780274</v>
      </c>
      <c r="F1745" s="4" t="n">
        <f aca="false">D1745*E1745</f>
        <v>151.22</v>
      </c>
      <c r="G1745" s="7" t="n">
        <v>464</v>
      </c>
      <c r="H1745" s="9" t="n">
        <f aca="false">IF(G1745&gt;0,D1745/G1745,"")</f>
        <v>9.5926724137931</v>
      </c>
      <c r="I1745" s="10" t="n">
        <v>46259</v>
      </c>
      <c r="J1745" s="3" t="s">
        <v>2694</v>
      </c>
      <c r="K1745" s="10" t="n">
        <v>46218</v>
      </c>
      <c r="L1745" s="3" t="s">
        <v>16</v>
      </c>
      <c r="M1745" s="7" t="n">
        <v>4500</v>
      </c>
      <c r="N1745" s="8" t="n">
        <v>0.0334</v>
      </c>
      <c r="O1745" s="4" t="n">
        <f aca="false">M1745*N1745</f>
        <v>150.3</v>
      </c>
    </row>
    <row r="1746" customFormat="false" ht="15" hidden="false" customHeight="false" outlineLevel="0" collapsed="false">
      <c r="A1746" s="0" t="s">
        <v>2695</v>
      </c>
      <c r="C1746" s="0" t="s">
        <v>41</v>
      </c>
      <c r="D1746" s="7" t="n">
        <v>11193</v>
      </c>
      <c r="E1746" s="8" t="n">
        <v>0.013509336192263</v>
      </c>
      <c r="F1746" s="4" t="n">
        <f aca="false">D1746*E1746</f>
        <v>151.21</v>
      </c>
      <c r="G1746" s="7" t="n">
        <v>1098</v>
      </c>
      <c r="H1746" s="9" t="n">
        <f aca="false">IF(G1746&gt;0,D1746/G1746,"")</f>
        <v>10.1939890710383</v>
      </c>
      <c r="I1746" s="10" t="n">
        <v>46273</v>
      </c>
      <c r="J1746" s="3" t="s">
        <v>453</v>
      </c>
      <c r="K1746" s="10" t="n">
        <v>45028</v>
      </c>
      <c r="L1746" s="3" t="s">
        <v>15</v>
      </c>
      <c r="M1746" s="7" t="n">
        <v>15600</v>
      </c>
      <c r="N1746" s="8" t="n">
        <v>0.01351</v>
      </c>
      <c r="O1746" s="4" t="n">
        <f aca="false">M1746*N1746</f>
        <v>210.756</v>
      </c>
    </row>
    <row r="1747" customFormat="false" ht="15" hidden="false" customHeight="false" outlineLevel="0" collapsed="false">
      <c r="A1747" s="0" t="s">
        <v>2696</v>
      </c>
      <c r="C1747" s="0" t="s">
        <v>31</v>
      </c>
      <c r="D1747" s="7" t="n">
        <v>19735</v>
      </c>
      <c r="E1747" s="8" t="n">
        <v>0.0076599949328604</v>
      </c>
      <c r="F1747" s="4" t="n">
        <f aca="false">D1747*E1747</f>
        <v>151.17</v>
      </c>
      <c r="G1747" s="7" t="n">
        <v>4919</v>
      </c>
      <c r="H1747" s="9" t="n">
        <f aca="false">IF(G1747&gt;0,D1747/G1747,"")</f>
        <v>4.01199430778614</v>
      </c>
      <c r="I1747" s="10" t="n">
        <v>46268</v>
      </c>
      <c r="K1747" s="10"/>
      <c r="M1747" s="7"/>
      <c r="N1747" s="8"/>
      <c r="O1747" s="4"/>
    </row>
    <row r="1748" customFormat="false" ht="15" hidden="false" customHeight="false" outlineLevel="0" collapsed="false">
      <c r="A1748" s="0" t="s">
        <v>2697</v>
      </c>
      <c r="C1748" s="0" t="s">
        <v>370</v>
      </c>
      <c r="D1748" s="7" t="n">
        <v>1928</v>
      </c>
      <c r="E1748" s="8" t="n">
        <v>0.0783973029045643</v>
      </c>
      <c r="F1748" s="4" t="n">
        <f aca="false">D1748*E1748</f>
        <v>151.15</v>
      </c>
      <c r="G1748" s="7" t="n">
        <v>215</v>
      </c>
      <c r="H1748" s="9" t="n">
        <f aca="false">IF(G1748&gt;0,D1748/G1748,"")</f>
        <v>8.96744186046512</v>
      </c>
      <c r="I1748" s="10" t="n">
        <v>46281</v>
      </c>
      <c r="J1748" s="3" t="s">
        <v>2054</v>
      </c>
      <c r="K1748" s="10" t="n">
        <v>45176</v>
      </c>
      <c r="L1748" s="3" t="s">
        <v>21</v>
      </c>
      <c r="M1748" s="7" t="n">
        <v>2500</v>
      </c>
      <c r="N1748" s="8" t="n">
        <v>0.071</v>
      </c>
      <c r="O1748" s="4" t="n">
        <f aca="false">M1748*N1748</f>
        <v>177.5</v>
      </c>
    </row>
    <row r="1749" customFormat="false" ht="15" hidden="false" customHeight="false" outlineLevel="0" collapsed="false">
      <c r="A1749" s="0" t="s">
        <v>2698</v>
      </c>
      <c r="C1749" s="0" t="s">
        <v>32</v>
      </c>
      <c r="D1749" s="7" t="n">
        <v>902</v>
      </c>
      <c r="E1749" s="8" t="n">
        <v>0.167405764966741</v>
      </c>
      <c r="F1749" s="4" t="n">
        <f aca="false">D1749*E1749</f>
        <v>151</v>
      </c>
      <c r="G1749" s="7" t="n">
        <v>81</v>
      </c>
      <c r="H1749" s="9" t="n">
        <f aca="false">IF(G1749&gt;0,D1749/G1749,"")</f>
        <v>11.1358024691358</v>
      </c>
      <c r="I1749" s="10" t="n">
        <v>46293</v>
      </c>
      <c r="J1749" s="3" t="s">
        <v>1026</v>
      </c>
      <c r="K1749" s="10" t="n">
        <v>46090</v>
      </c>
      <c r="L1749" s="3" t="s">
        <v>18</v>
      </c>
      <c r="M1749" s="7" t="n">
        <v>700</v>
      </c>
      <c r="N1749" s="8" t="n">
        <v>0.1715</v>
      </c>
      <c r="O1749" s="4" t="n">
        <f aca="false">M1749*N1749</f>
        <v>120.05</v>
      </c>
    </row>
    <row r="1750" customFormat="false" ht="15" hidden="false" customHeight="false" outlineLevel="0" collapsed="false">
      <c r="A1750" s="0" t="s">
        <v>2699</v>
      </c>
      <c r="C1750" s="0" t="s">
        <v>402</v>
      </c>
      <c r="D1750" s="7" t="n">
        <v>50</v>
      </c>
      <c r="E1750" s="8" t="n">
        <v>3.02</v>
      </c>
      <c r="F1750" s="4" t="n">
        <f aca="false">D1750*E1750</f>
        <v>151</v>
      </c>
      <c r="G1750" s="7" t="n">
        <v>10</v>
      </c>
      <c r="H1750" s="9" t="n">
        <f aca="false">IF(G1750&gt;0,D1750/G1750,"")</f>
        <v>5</v>
      </c>
      <c r="I1750" s="10" t="n">
        <v>46287</v>
      </c>
      <c r="J1750" s="3" t="s">
        <v>2700</v>
      </c>
      <c r="K1750" s="10" t="n">
        <v>45288</v>
      </c>
      <c r="L1750" s="3" t="s">
        <v>1103</v>
      </c>
      <c r="M1750" s="7" t="n">
        <v>50</v>
      </c>
      <c r="N1750" s="8" t="n">
        <v>3.02</v>
      </c>
      <c r="O1750" s="4" t="n">
        <f aca="false">M1750*N1750</f>
        <v>151</v>
      </c>
    </row>
    <row r="1751" customFormat="false" ht="15" hidden="false" customHeight="false" outlineLevel="0" collapsed="false">
      <c r="A1751" s="0" t="s">
        <v>2701</v>
      </c>
      <c r="C1751" s="0" t="s">
        <v>31</v>
      </c>
      <c r="D1751" s="7" t="n">
        <v>8047</v>
      </c>
      <c r="E1751" s="8" t="n">
        <v>0.0187635143531751</v>
      </c>
      <c r="F1751" s="4" t="n">
        <f aca="false">D1751*E1751</f>
        <v>150.99</v>
      </c>
      <c r="G1751" s="7" t="n">
        <v>1287</v>
      </c>
      <c r="H1751" s="9" t="n">
        <f aca="false">IF(G1751&gt;0,D1751/G1751,"")</f>
        <v>6.25252525252525</v>
      </c>
      <c r="I1751" s="10" t="n">
        <v>46246</v>
      </c>
      <c r="J1751" s="3" t="s">
        <v>2294</v>
      </c>
      <c r="K1751" s="10" t="n">
        <v>46220</v>
      </c>
      <c r="L1751" s="3" t="s">
        <v>15</v>
      </c>
      <c r="M1751" s="7" t="n">
        <v>355</v>
      </c>
      <c r="N1751" s="8" t="n">
        <v>0.018</v>
      </c>
      <c r="O1751" s="4" t="n">
        <f aca="false">M1751*N1751</f>
        <v>6.39</v>
      </c>
    </row>
    <row r="1752" customFormat="false" ht="15" hidden="false" customHeight="false" outlineLevel="0" collapsed="false">
      <c r="A1752" s="0" t="s">
        <v>2702</v>
      </c>
      <c r="C1752" s="0" t="s">
        <v>360</v>
      </c>
      <c r="D1752" s="7" t="n">
        <v>4472</v>
      </c>
      <c r="E1752" s="8" t="n">
        <v>0.0337365831842576</v>
      </c>
      <c r="F1752" s="4" t="n">
        <f aca="false">D1752*E1752</f>
        <v>150.87</v>
      </c>
      <c r="G1752" s="7" t="n">
        <v>2123</v>
      </c>
      <c r="H1752" s="9" t="n">
        <f aca="false">IF(G1752&gt;0,D1752/G1752,"")</f>
        <v>2.10645313235987</v>
      </c>
      <c r="I1752" s="10" t="n">
        <v>46282</v>
      </c>
      <c r="J1752" s="3" t="s">
        <v>400</v>
      </c>
      <c r="K1752" s="10" t="n">
        <v>45783</v>
      </c>
      <c r="L1752" s="3" t="s">
        <v>15</v>
      </c>
      <c r="M1752" s="7" t="n">
        <v>6715</v>
      </c>
      <c r="N1752" s="8" t="n">
        <v>0.03373</v>
      </c>
      <c r="O1752" s="4" t="n">
        <f aca="false">M1752*N1752</f>
        <v>226.49695</v>
      </c>
    </row>
    <row r="1753" customFormat="false" ht="15" hidden="false" customHeight="false" outlineLevel="0" collapsed="false">
      <c r="A1753" s="0" t="s">
        <v>2703</v>
      </c>
      <c r="C1753" s="0" t="s">
        <v>31</v>
      </c>
      <c r="D1753" s="7" t="n">
        <v>30297</v>
      </c>
      <c r="E1753" s="8" t="n">
        <v>0.00497937089480807</v>
      </c>
      <c r="F1753" s="4" t="n">
        <f aca="false">D1753*E1753</f>
        <v>150.86</v>
      </c>
      <c r="G1753" s="7" t="n">
        <v>740</v>
      </c>
      <c r="H1753" s="9" t="n">
        <f aca="false">IF(G1753&gt;0,D1753/G1753,"")</f>
        <v>40.9418918918919</v>
      </c>
      <c r="I1753" s="10" t="n">
        <v>46314</v>
      </c>
      <c r="J1753" s="3" t="s">
        <v>278</v>
      </c>
      <c r="K1753" s="10" t="n">
        <v>45967</v>
      </c>
      <c r="L1753" s="3" t="s">
        <v>16</v>
      </c>
      <c r="M1753" s="7" t="n">
        <v>30500</v>
      </c>
      <c r="N1753" s="8" t="n">
        <v>0.00497</v>
      </c>
      <c r="O1753" s="4" t="n">
        <f aca="false">M1753*N1753</f>
        <v>151.585</v>
      </c>
    </row>
    <row r="1754" customFormat="false" ht="15" hidden="false" customHeight="false" outlineLevel="0" collapsed="false">
      <c r="A1754" s="0" t="s">
        <v>2704</v>
      </c>
      <c r="C1754" s="0" t="s">
        <v>275</v>
      </c>
      <c r="D1754" s="7" t="n">
        <v>10</v>
      </c>
      <c r="E1754" s="8" t="n">
        <v>15.08</v>
      </c>
      <c r="F1754" s="4" t="n">
        <f aca="false">D1754*E1754</f>
        <v>150.8</v>
      </c>
      <c r="G1754" s="7" t="n">
        <v>5</v>
      </c>
      <c r="H1754" s="9" t="n">
        <f aca="false">IF(G1754&gt;0,D1754/G1754,"")</f>
        <v>2</v>
      </c>
      <c r="I1754" s="10" t="n">
        <v>46189</v>
      </c>
      <c r="J1754" s="3" t="s">
        <v>2705</v>
      </c>
      <c r="K1754" s="10" t="n">
        <v>46175</v>
      </c>
      <c r="L1754" s="3" t="s">
        <v>14</v>
      </c>
      <c r="M1754" s="7" t="n">
        <v>15</v>
      </c>
      <c r="N1754" s="8" t="n">
        <v>15.08</v>
      </c>
      <c r="O1754" s="4" t="n">
        <f aca="false">M1754*N1754</f>
        <v>226.2</v>
      </c>
    </row>
    <row r="1755" customFormat="false" ht="15" hidden="false" customHeight="false" outlineLevel="0" collapsed="false">
      <c r="A1755" s="0" t="s">
        <v>2706</v>
      </c>
      <c r="C1755" s="0" t="s">
        <v>298</v>
      </c>
      <c r="D1755" s="7" t="n">
        <v>5599</v>
      </c>
      <c r="E1755" s="8" t="n">
        <v>0.026910162529023</v>
      </c>
      <c r="F1755" s="4" t="n">
        <f aca="false">D1755*E1755</f>
        <v>150.67</v>
      </c>
      <c r="G1755" s="7" t="n">
        <v>1330</v>
      </c>
      <c r="H1755" s="9" t="n">
        <f aca="false">IF(G1755&gt;0,D1755/G1755,"")</f>
        <v>4.20977443609023</v>
      </c>
      <c r="I1755" s="10" t="n">
        <v>46302</v>
      </c>
      <c r="J1755" s="3" t="s">
        <v>793</v>
      </c>
      <c r="K1755" s="10" t="n">
        <v>46196</v>
      </c>
      <c r="L1755" s="3" t="s">
        <v>14</v>
      </c>
      <c r="M1755" s="7" t="n">
        <v>1000</v>
      </c>
      <c r="N1755" s="8" t="n">
        <v>0.1023</v>
      </c>
      <c r="O1755" s="4" t="n">
        <f aca="false">M1755*N1755</f>
        <v>102.3</v>
      </c>
    </row>
    <row r="1756" customFormat="false" ht="15" hidden="false" customHeight="false" outlineLevel="0" collapsed="false">
      <c r="A1756" s="0" t="s">
        <v>2707</v>
      </c>
      <c r="C1756" s="0" t="s">
        <v>31</v>
      </c>
      <c r="D1756" s="7" t="n">
        <v>55515</v>
      </c>
      <c r="E1756" s="8" t="n">
        <v>0.00271278032964064</v>
      </c>
      <c r="F1756" s="4" t="n">
        <f aca="false">D1756*E1756</f>
        <v>150.6</v>
      </c>
      <c r="G1756" s="7" t="n">
        <v>425</v>
      </c>
      <c r="H1756" s="9" t="n">
        <f aca="false">IF(G1756&gt;0,D1756/G1756,"")</f>
        <v>130.623529411765</v>
      </c>
      <c r="I1756" s="10" t="n">
        <v>46279</v>
      </c>
      <c r="J1756" s="3" t="s">
        <v>278</v>
      </c>
      <c r="K1756" s="10" t="n">
        <v>45967</v>
      </c>
      <c r="L1756" s="3" t="s">
        <v>16</v>
      </c>
      <c r="M1756" s="7" t="n">
        <v>55560</v>
      </c>
      <c r="N1756" s="8" t="n">
        <v>0.0027</v>
      </c>
      <c r="O1756" s="4" t="n">
        <f aca="false">M1756*N1756</f>
        <v>150.012</v>
      </c>
    </row>
    <row r="1757" customFormat="false" ht="15" hidden="false" customHeight="false" outlineLevel="0" collapsed="false">
      <c r="A1757" s="0" t="s">
        <v>2708</v>
      </c>
      <c r="C1757" s="0" t="s">
        <v>497</v>
      </c>
      <c r="D1757" s="7" t="n">
        <v>1191</v>
      </c>
      <c r="E1757" s="8" t="n">
        <v>0.126356003358522</v>
      </c>
      <c r="F1757" s="4" t="n">
        <f aca="false">D1757*E1757</f>
        <v>150.49</v>
      </c>
      <c r="G1757" s="7" t="n">
        <v>1011</v>
      </c>
      <c r="H1757" s="9" t="n">
        <f aca="false">IF(G1757&gt;0,D1757/G1757,"")</f>
        <v>1.17804154302671</v>
      </c>
      <c r="I1757" s="10" t="n">
        <v>46119</v>
      </c>
      <c r="J1757" s="3" t="s">
        <v>852</v>
      </c>
      <c r="K1757" s="10" t="n">
        <v>45883</v>
      </c>
      <c r="L1757" s="3" t="s">
        <v>15</v>
      </c>
      <c r="M1757" s="7" t="n">
        <v>2168</v>
      </c>
      <c r="N1757" s="8" t="n">
        <v>0.1184</v>
      </c>
      <c r="O1757" s="4" t="n">
        <f aca="false">M1757*N1757</f>
        <v>256.6912</v>
      </c>
    </row>
    <row r="1758" customFormat="false" ht="15" hidden="false" customHeight="false" outlineLevel="0" collapsed="false">
      <c r="A1758" s="0" t="s">
        <v>2709</v>
      </c>
      <c r="C1758" s="0" t="s">
        <v>34</v>
      </c>
      <c r="D1758" s="7" t="n">
        <v>93</v>
      </c>
      <c r="E1758" s="8" t="n">
        <v>1.61806451612903</v>
      </c>
      <c r="F1758" s="4" t="n">
        <f aca="false">D1758*E1758</f>
        <v>150.48</v>
      </c>
      <c r="G1758" s="7" t="n">
        <v>50</v>
      </c>
      <c r="H1758" s="9" t="n">
        <f aca="false">IF(G1758&gt;0,D1758/G1758,"")</f>
        <v>1.86</v>
      </c>
      <c r="I1758" s="10" t="n">
        <v>46008</v>
      </c>
      <c r="J1758" s="3" t="s">
        <v>2710</v>
      </c>
      <c r="K1758" s="10" t="n">
        <v>46006</v>
      </c>
      <c r="L1758" s="3" t="s">
        <v>2203</v>
      </c>
      <c r="M1758" s="7" t="n">
        <v>60</v>
      </c>
      <c r="N1758" s="8" t="n">
        <v>1.7898</v>
      </c>
      <c r="O1758" s="4" t="n">
        <f aca="false">M1758*N1758</f>
        <v>107.388</v>
      </c>
    </row>
    <row r="1759" customFormat="false" ht="15" hidden="false" customHeight="false" outlineLevel="0" collapsed="false">
      <c r="A1759" s="0" t="s">
        <v>2711</v>
      </c>
      <c r="C1759" s="0" t="s">
        <v>31</v>
      </c>
      <c r="D1759" s="7" t="n">
        <v>31338</v>
      </c>
      <c r="E1759" s="8" t="n">
        <v>0.00480183802412407</v>
      </c>
      <c r="F1759" s="4" t="n">
        <f aca="false">D1759*E1759</f>
        <v>150.48</v>
      </c>
      <c r="G1759" s="7" t="n">
        <v>12585</v>
      </c>
      <c r="H1759" s="9" t="n">
        <f aca="false">IF(G1759&gt;0,D1759/G1759,"")</f>
        <v>2.49010727056019</v>
      </c>
      <c r="I1759" s="10" t="n">
        <v>46309</v>
      </c>
      <c r="J1759" s="3" t="s">
        <v>2712</v>
      </c>
      <c r="K1759" s="10" t="n">
        <v>45463</v>
      </c>
      <c r="L1759" s="3" t="s">
        <v>19</v>
      </c>
      <c r="M1759" s="7" t="n">
        <v>10000</v>
      </c>
      <c r="N1759" s="8" t="n">
        <v>0.0081</v>
      </c>
      <c r="O1759" s="4" t="n">
        <f aca="false">M1759*N1759</f>
        <v>81</v>
      </c>
    </row>
    <row r="1760" customFormat="false" ht="15" hidden="false" customHeight="false" outlineLevel="0" collapsed="false">
      <c r="A1760" s="0" t="s">
        <v>2713</v>
      </c>
      <c r="C1760" s="0" t="s">
        <v>31</v>
      </c>
      <c r="D1760" s="7" t="n">
        <v>13666</v>
      </c>
      <c r="E1760" s="8" t="n">
        <v>0.0110061466412996</v>
      </c>
      <c r="F1760" s="4" t="n">
        <f aca="false">D1760*E1760</f>
        <v>150.41</v>
      </c>
      <c r="G1760" s="7" t="n">
        <v>258</v>
      </c>
      <c r="H1760" s="9" t="n">
        <f aca="false">IF(G1760&gt;0,D1760/G1760,"")</f>
        <v>52.968992248062</v>
      </c>
      <c r="I1760" s="10" t="n">
        <v>46210</v>
      </c>
      <c r="J1760" s="3" t="s">
        <v>940</v>
      </c>
      <c r="K1760" s="10" t="n">
        <v>46231</v>
      </c>
      <c r="L1760" s="3" t="s">
        <v>16</v>
      </c>
      <c r="M1760" s="7" t="n">
        <v>13650</v>
      </c>
      <c r="N1760" s="8" t="n">
        <v>0.011</v>
      </c>
      <c r="O1760" s="4" t="n">
        <f aca="false">M1760*N1760</f>
        <v>150.15</v>
      </c>
    </row>
    <row r="1761" customFormat="false" ht="15" hidden="false" customHeight="false" outlineLevel="0" collapsed="false">
      <c r="A1761" s="0" t="s">
        <v>2714</v>
      </c>
      <c r="C1761" s="0" t="s">
        <v>34</v>
      </c>
      <c r="D1761" s="7" t="n">
        <v>1060</v>
      </c>
      <c r="E1761" s="8" t="n">
        <v>0.141896226415094</v>
      </c>
      <c r="F1761" s="4" t="n">
        <f aca="false">D1761*E1761</f>
        <v>150.41</v>
      </c>
      <c r="G1761" s="7" t="n">
        <v>161</v>
      </c>
      <c r="H1761" s="9" t="n">
        <f aca="false">IF(G1761&gt;0,D1761/G1761,"")</f>
        <v>6.58385093167702</v>
      </c>
      <c r="I1761" s="10" t="n">
        <v>46154</v>
      </c>
      <c r="J1761" s="3" t="s">
        <v>570</v>
      </c>
      <c r="K1761" s="10" t="n">
        <v>46106</v>
      </c>
      <c r="L1761" s="3" t="s">
        <v>16</v>
      </c>
      <c r="M1761" s="7" t="n">
        <v>1221</v>
      </c>
      <c r="N1761" s="8" t="n">
        <v>0.1419</v>
      </c>
      <c r="O1761" s="4" t="n">
        <f aca="false">M1761*N1761</f>
        <v>173.2599</v>
      </c>
    </row>
    <row r="1762" customFormat="false" ht="15" hidden="false" customHeight="false" outlineLevel="0" collapsed="false">
      <c r="A1762" s="0" t="s">
        <v>2715</v>
      </c>
      <c r="C1762" s="0" t="s">
        <v>31</v>
      </c>
      <c r="D1762" s="7" t="n">
        <v>9975</v>
      </c>
      <c r="E1762" s="8" t="n">
        <v>0.0150696741854637</v>
      </c>
      <c r="F1762" s="4" t="n">
        <f aca="false">D1762*E1762</f>
        <v>150.32</v>
      </c>
      <c r="G1762" s="7" t="n">
        <v>655</v>
      </c>
      <c r="H1762" s="9" t="n">
        <f aca="false">IF(G1762&gt;0,D1762/G1762,"")</f>
        <v>15.2290076335878</v>
      </c>
      <c r="I1762" s="10" t="n">
        <v>46314</v>
      </c>
      <c r="J1762" s="3" t="s">
        <v>2716</v>
      </c>
      <c r="K1762" s="10" t="n">
        <v>46160</v>
      </c>
      <c r="L1762" s="3" t="s">
        <v>16</v>
      </c>
      <c r="M1762" s="7" t="n">
        <v>10070</v>
      </c>
      <c r="N1762" s="8" t="n">
        <v>0.0149</v>
      </c>
      <c r="O1762" s="4" t="n">
        <f aca="false">M1762*N1762</f>
        <v>150.043</v>
      </c>
    </row>
    <row r="1763" customFormat="false" ht="15" hidden="false" customHeight="false" outlineLevel="0" collapsed="false">
      <c r="A1763" s="0" t="s">
        <v>2717</v>
      </c>
      <c r="C1763" s="0" t="s">
        <v>34</v>
      </c>
      <c r="D1763" s="7" t="n">
        <v>10375</v>
      </c>
      <c r="E1763" s="8" t="n">
        <v>0.0144886746987952</v>
      </c>
      <c r="F1763" s="4" t="n">
        <f aca="false">D1763*E1763</f>
        <v>150.32</v>
      </c>
      <c r="G1763" s="7" t="n">
        <v>966</v>
      </c>
      <c r="H1763" s="9" t="n">
        <f aca="false">IF(G1763&gt;0,D1763/G1763,"")</f>
        <v>10.74016563147</v>
      </c>
      <c r="I1763" s="10" t="n">
        <v>46268</v>
      </c>
      <c r="J1763" s="3" t="s">
        <v>2573</v>
      </c>
      <c r="K1763" s="10" t="n">
        <v>46142</v>
      </c>
      <c r="L1763" s="3" t="s">
        <v>16</v>
      </c>
      <c r="M1763" s="7" t="n">
        <v>10500</v>
      </c>
      <c r="N1763" s="8" t="n">
        <v>0.0143</v>
      </c>
      <c r="O1763" s="4" t="n">
        <f aca="false">M1763*N1763</f>
        <v>150.15</v>
      </c>
    </row>
    <row r="1764" customFormat="false" ht="15" hidden="false" customHeight="false" outlineLevel="0" collapsed="false">
      <c r="A1764" s="0" t="s">
        <v>2718</v>
      </c>
      <c r="C1764" s="0" t="s">
        <v>765</v>
      </c>
      <c r="D1764" s="7" t="n">
        <v>12323</v>
      </c>
      <c r="E1764" s="8" t="n">
        <v>0.0121983283291406</v>
      </c>
      <c r="F1764" s="4" t="n">
        <f aca="false">D1764*E1764</f>
        <v>150.32</v>
      </c>
      <c r="G1764" s="7" t="n">
        <v>237</v>
      </c>
      <c r="H1764" s="9" t="n">
        <f aca="false">IF(G1764&gt;0,D1764/G1764,"")</f>
        <v>51.9957805907173</v>
      </c>
      <c r="I1764" s="10" t="n">
        <v>46146</v>
      </c>
      <c r="J1764" s="3" t="s">
        <v>2719</v>
      </c>
      <c r="K1764" s="10" t="n">
        <v>46049</v>
      </c>
      <c r="L1764" s="3" t="s">
        <v>16</v>
      </c>
      <c r="M1764" s="7" t="n">
        <v>12789</v>
      </c>
      <c r="N1764" s="8" t="n">
        <v>0.0122</v>
      </c>
      <c r="O1764" s="4" t="n">
        <f aca="false">M1764*N1764</f>
        <v>156.0258</v>
      </c>
    </row>
    <row r="1765" customFormat="false" ht="15" hidden="false" customHeight="false" outlineLevel="0" collapsed="false">
      <c r="A1765" s="0" t="s">
        <v>2720</v>
      </c>
      <c r="C1765" s="0" t="s">
        <v>31</v>
      </c>
      <c r="D1765" s="7" t="n">
        <v>6275</v>
      </c>
      <c r="E1765" s="8" t="n">
        <v>0.0239410358565737</v>
      </c>
      <c r="F1765" s="4" t="n">
        <f aca="false">D1765*E1765</f>
        <v>150.23</v>
      </c>
      <c r="G1765" s="7" t="n">
        <v>126</v>
      </c>
      <c r="H1765" s="9" t="n">
        <f aca="false">IF(G1765&gt;0,D1765/G1765,"")</f>
        <v>49.8015873015873</v>
      </c>
      <c r="I1765" s="10" t="n">
        <v>46269</v>
      </c>
      <c r="J1765" s="3" t="s">
        <v>2573</v>
      </c>
      <c r="K1765" s="10" t="n">
        <v>46142</v>
      </c>
      <c r="L1765" s="3" t="s">
        <v>16</v>
      </c>
      <c r="M1765" s="7" t="n">
        <v>6300</v>
      </c>
      <c r="N1765" s="8" t="n">
        <v>0.0239</v>
      </c>
      <c r="O1765" s="4" t="n">
        <f aca="false">M1765*N1765</f>
        <v>150.57</v>
      </c>
    </row>
    <row r="1766" customFormat="false" ht="15" hidden="false" customHeight="false" outlineLevel="0" collapsed="false">
      <c r="A1766" s="0" t="s">
        <v>2721</v>
      </c>
      <c r="C1766" s="0" t="s">
        <v>340</v>
      </c>
      <c r="D1766" s="7" t="n">
        <v>23399</v>
      </c>
      <c r="E1766" s="8" t="n">
        <v>0.0064160861575281</v>
      </c>
      <c r="F1766" s="4" t="n">
        <f aca="false">D1766*E1766</f>
        <v>150.13</v>
      </c>
      <c r="G1766" s="7" t="n">
        <v>5830</v>
      </c>
      <c r="H1766" s="9" t="n">
        <f aca="false">IF(G1766&gt;0,D1766/G1766,"")</f>
        <v>4.01355060034305</v>
      </c>
      <c r="I1766" s="10" t="n">
        <v>46253</v>
      </c>
      <c r="J1766" s="3" t="s">
        <v>2358</v>
      </c>
      <c r="K1766" s="10" t="n">
        <v>44272</v>
      </c>
      <c r="L1766" s="3" t="s">
        <v>15</v>
      </c>
      <c r="M1766" s="7" t="n">
        <v>32000</v>
      </c>
      <c r="N1766" s="8" t="n">
        <v>0.00641</v>
      </c>
      <c r="O1766" s="4" t="n">
        <f aca="false">M1766*N1766</f>
        <v>205.12</v>
      </c>
    </row>
    <row r="1767" customFormat="false" ht="15" hidden="false" customHeight="false" outlineLevel="0" collapsed="false">
      <c r="A1767" s="0" t="s">
        <v>2722</v>
      </c>
      <c r="C1767" s="0" t="s">
        <v>31</v>
      </c>
      <c r="D1767" s="7" t="n">
        <v>6700</v>
      </c>
      <c r="E1767" s="8" t="n">
        <v>0.0224</v>
      </c>
      <c r="F1767" s="4" t="n">
        <f aca="false">D1767*E1767</f>
        <v>150.08</v>
      </c>
      <c r="G1767" s="7" t="n">
        <v>750</v>
      </c>
      <c r="H1767" s="9" t="n">
        <f aca="false">IF(G1767&gt;0,D1767/G1767,"")</f>
        <v>8.93333333333333</v>
      </c>
      <c r="I1767" s="10" t="n">
        <v>46101</v>
      </c>
      <c r="J1767" s="3" t="s">
        <v>2723</v>
      </c>
      <c r="K1767" s="10" t="n">
        <v>46084</v>
      </c>
      <c r="L1767" s="3" t="s">
        <v>19</v>
      </c>
      <c r="M1767" s="7" t="n">
        <v>250</v>
      </c>
      <c r="N1767" s="8" t="n">
        <v>0.0885</v>
      </c>
      <c r="O1767" s="4" t="n">
        <f aca="false">M1767*N1767</f>
        <v>22.125</v>
      </c>
    </row>
    <row r="1768" customFormat="false" ht="15" hidden="false" customHeight="false" outlineLevel="0" collapsed="false">
      <c r="A1768" s="0" t="s">
        <v>2724</v>
      </c>
      <c r="C1768" s="0" t="s">
        <v>32</v>
      </c>
      <c r="D1768" s="7" t="n">
        <v>1318</v>
      </c>
      <c r="E1768" s="8" t="n">
        <v>0.113869499241275</v>
      </c>
      <c r="F1768" s="4" t="n">
        <f aca="false">D1768*E1768</f>
        <v>150.08</v>
      </c>
      <c r="G1768" s="7" t="n">
        <v>4</v>
      </c>
      <c r="H1768" s="9" t="n">
        <f aca="false">IF(G1768&gt;0,D1768/G1768,"")</f>
        <v>329.5</v>
      </c>
      <c r="I1768" s="10" t="n">
        <v>46160</v>
      </c>
      <c r="J1768" s="3" t="s">
        <v>2282</v>
      </c>
      <c r="K1768" s="10" t="n">
        <v>44361</v>
      </c>
      <c r="L1768" s="3" t="s">
        <v>16</v>
      </c>
      <c r="M1768" s="7" t="n">
        <v>1459</v>
      </c>
      <c r="N1768" s="8" t="n">
        <v>0.1139</v>
      </c>
      <c r="O1768" s="4" t="n">
        <f aca="false">M1768*N1768</f>
        <v>166.1801</v>
      </c>
    </row>
    <row r="1769" customFormat="false" ht="15" hidden="false" customHeight="false" outlineLevel="0" collapsed="false">
      <c r="A1769" s="0" t="s">
        <v>2725</v>
      </c>
      <c r="C1769" s="0" t="s">
        <v>1039</v>
      </c>
      <c r="D1769" s="7" t="n">
        <v>34790</v>
      </c>
      <c r="E1769" s="8" t="n">
        <v>0.00431359586087956</v>
      </c>
      <c r="F1769" s="4" t="n">
        <f aca="false">D1769*E1769</f>
        <v>150.07</v>
      </c>
      <c r="G1769" s="7" t="n">
        <v>5580</v>
      </c>
      <c r="H1769" s="9" t="n">
        <f aca="false">IF(G1769&gt;0,D1769/G1769,"")</f>
        <v>6.23476702508961</v>
      </c>
      <c r="I1769" s="10" t="n">
        <v>46254</v>
      </c>
      <c r="J1769" s="3" t="s">
        <v>1576</v>
      </c>
      <c r="K1769" s="10" t="n">
        <v>46196</v>
      </c>
      <c r="L1769" s="3" t="s">
        <v>16</v>
      </c>
      <c r="M1769" s="7" t="n">
        <v>34900</v>
      </c>
      <c r="N1769" s="8" t="n">
        <v>0.0043</v>
      </c>
      <c r="O1769" s="4" t="n">
        <f aca="false">M1769*N1769</f>
        <v>150.07</v>
      </c>
    </row>
    <row r="1770" customFormat="false" ht="15" hidden="false" customHeight="false" outlineLevel="0" collapsed="false">
      <c r="A1770" s="0" t="s">
        <v>2726</v>
      </c>
      <c r="C1770" s="0" t="s">
        <v>44</v>
      </c>
      <c r="D1770" s="7" t="n">
        <v>20</v>
      </c>
      <c r="E1770" s="8" t="n">
        <v>7.503</v>
      </c>
      <c r="F1770" s="4" t="n">
        <f aca="false">D1770*E1770</f>
        <v>150.06</v>
      </c>
      <c r="G1770" s="7" t="n">
        <v>15</v>
      </c>
      <c r="H1770" s="9" t="n">
        <f aca="false">IF(G1770&gt;0,D1770/G1770,"")</f>
        <v>1.33333333333333</v>
      </c>
      <c r="I1770" s="10" t="n">
        <v>46034</v>
      </c>
      <c r="J1770" s="3" t="s">
        <v>283</v>
      </c>
      <c r="K1770" s="10" t="n">
        <v>46287</v>
      </c>
      <c r="L1770" s="3" t="s">
        <v>14</v>
      </c>
      <c r="M1770" s="7" t="n">
        <v>20</v>
      </c>
      <c r="N1770" s="8" t="n">
        <v>7.503</v>
      </c>
      <c r="O1770" s="4" t="n">
        <f aca="false">M1770*N1770</f>
        <v>150.06</v>
      </c>
    </row>
    <row r="1771" customFormat="false" ht="15" hidden="false" customHeight="false" outlineLevel="0" collapsed="false">
      <c r="A1771" s="0" t="s">
        <v>2727</v>
      </c>
      <c r="C1771" s="0" t="s">
        <v>39</v>
      </c>
      <c r="D1771" s="7" t="n">
        <v>136</v>
      </c>
      <c r="E1771" s="8" t="n">
        <v>1.10338235294118</v>
      </c>
      <c r="F1771" s="4" t="n">
        <f aca="false">D1771*E1771</f>
        <v>150.06</v>
      </c>
      <c r="G1771" s="7" t="n">
        <v>62</v>
      </c>
      <c r="H1771" s="9" t="n">
        <f aca="false">IF(G1771&gt;0,D1771/G1771,"")</f>
        <v>2.19354838709677</v>
      </c>
      <c r="I1771" s="10" t="n">
        <v>46288</v>
      </c>
      <c r="J1771" s="3" t="s">
        <v>1440</v>
      </c>
      <c r="K1771" s="10" t="n">
        <v>46280</v>
      </c>
      <c r="L1771" s="3" t="s">
        <v>18</v>
      </c>
      <c r="M1771" s="7" t="n">
        <v>155</v>
      </c>
      <c r="N1771" s="8" t="n">
        <v>1.0247</v>
      </c>
      <c r="O1771" s="4" t="n">
        <f aca="false">M1771*N1771</f>
        <v>158.8285</v>
      </c>
    </row>
    <row r="1772" customFormat="false" ht="15" hidden="false" customHeight="false" outlineLevel="0" collapsed="false">
      <c r="A1772" s="0" t="s">
        <v>2728</v>
      </c>
      <c r="C1772" s="0" t="s">
        <v>340</v>
      </c>
      <c r="D1772" s="7" t="n">
        <v>54555</v>
      </c>
      <c r="E1772" s="8" t="n">
        <v>0.00275006873797086</v>
      </c>
      <c r="F1772" s="4" t="n">
        <f aca="false">D1772*E1772</f>
        <v>150.03</v>
      </c>
      <c r="G1772" s="7" t="n">
        <v>23145</v>
      </c>
      <c r="H1772" s="9" t="n">
        <f aca="false">IF(G1772&gt;0,D1772/G1772,"")</f>
        <v>2.35709656513286</v>
      </c>
      <c r="I1772" s="10" t="n">
        <v>46296</v>
      </c>
      <c r="J1772" s="3" t="s">
        <v>1676</v>
      </c>
      <c r="K1772" s="10" t="n">
        <v>45721</v>
      </c>
      <c r="L1772" s="3" t="s">
        <v>15</v>
      </c>
      <c r="M1772" s="7" t="n">
        <v>78200</v>
      </c>
      <c r="N1772" s="8" t="n">
        <v>0.00275</v>
      </c>
      <c r="O1772" s="4" t="n">
        <f aca="false">M1772*N1772</f>
        <v>215.05</v>
      </c>
    </row>
    <row r="1773" customFormat="false" ht="15" hidden="false" customHeight="false" outlineLevel="0" collapsed="false">
      <c r="A1773" s="0" t="s">
        <v>2729</v>
      </c>
      <c r="C1773" s="0" t="s">
        <v>31</v>
      </c>
      <c r="D1773" s="7" t="n">
        <v>28850</v>
      </c>
      <c r="E1773" s="8" t="n">
        <v>0.0052</v>
      </c>
      <c r="F1773" s="4" t="n">
        <f aca="false">D1773*E1773</f>
        <v>150.02</v>
      </c>
      <c r="G1773" s="7" t="n">
        <v>50</v>
      </c>
      <c r="H1773" s="9" t="n">
        <f aca="false">IF(G1773&gt;0,D1773/G1773,"")</f>
        <v>577</v>
      </c>
      <c r="I1773" s="10" t="n">
        <v>45966</v>
      </c>
      <c r="J1773" s="3" t="s">
        <v>2573</v>
      </c>
      <c r="K1773" s="10" t="n">
        <v>46142</v>
      </c>
      <c r="L1773" s="3" t="s">
        <v>16</v>
      </c>
      <c r="M1773" s="7" t="n">
        <v>28850</v>
      </c>
      <c r="N1773" s="8" t="n">
        <v>0.0052</v>
      </c>
      <c r="O1773" s="4" t="n">
        <f aca="false">M1773*N1773</f>
        <v>150.02</v>
      </c>
    </row>
    <row r="1774" customFormat="false" ht="15" hidden="false" customHeight="false" outlineLevel="0" collapsed="false">
      <c r="A1774" s="0" t="s">
        <v>2730</v>
      </c>
      <c r="C1774" s="0" t="s">
        <v>34</v>
      </c>
      <c r="D1774" s="7" t="n">
        <v>7896</v>
      </c>
      <c r="E1774" s="8" t="n">
        <v>0.018999493414387</v>
      </c>
      <c r="F1774" s="4" t="n">
        <f aca="false">D1774*E1774</f>
        <v>150.02</v>
      </c>
      <c r="G1774" s="7" t="n">
        <v>180</v>
      </c>
      <c r="H1774" s="9" t="n">
        <f aca="false">IF(G1774&gt;0,D1774/G1774,"")</f>
        <v>43.8666666666667</v>
      </c>
      <c r="I1774" s="10" t="n">
        <v>46258</v>
      </c>
      <c r="J1774" s="3" t="s">
        <v>457</v>
      </c>
      <c r="K1774" s="10" t="n">
        <v>45866</v>
      </c>
      <c r="L1774" s="3" t="s">
        <v>16</v>
      </c>
      <c r="M1774" s="7" t="n">
        <v>8096</v>
      </c>
      <c r="N1774" s="8" t="n">
        <v>0.019</v>
      </c>
      <c r="O1774" s="4" t="n">
        <f aca="false">M1774*N1774</f>
        <v>153.824</v>
      </c>
    </row>
    <row r="1775" customFormat="false" ht="15" hidden="false" customHeight="false" outlineLevel="0" collapsed="false">
      <c r="A1775" s="0" t="s">
        <v>2731</v>
      </c>
      <c r="C1775" s="0" t="s">
        <v>31</v>
      </c>
      <c r="D1775" s="7" t="n">
        <v>26313</v>
      </c>
      <c r="E1775" s="8" t="n">
        <v>0.00569984418348345</v>
      </c>
      <c r="F1775" s="4" t="n">
        <f aca="false">D1775*E1775</f>
        <v>149.98</v>
      </c>
      <c r="G1775" s="7" t="n">
        <v>878</v>
      </c>
      <c r="H1775" s="9" t="n">
        <f aca="false">IF(G1775&gt;0,D1775/G1775,"")</f>
        <v>29.9692482915718</v>
      </c>
      <c r="I1775" s="10" t="n">
        <v>46316</v>
      </c>
      <c r="J1775" s="3" t="s">
        <v>2732</v>
      </c>
      <c r="K1775" s="10" t="n">
        <v>45867</v>
      </c>
      <c r="L1775" s="3" t="s">
        <v>19</v>
      </c>
      <c r="M1775" s="7" t="n">
        <v>1000</v>
      </c>
      <c r="N1775" s="8" t="n">
        <v>0.025</v>
      </c>
      <c r="O1775" s="4" t="n">
        <f aca="false">M1775*N1775</f>
        <v>25</v>
      </c>
    </row>
    <row r="1776" customFormat="false" ht="15" hidden="false" customHeight="false" outlineLevel="0" collapsed="false">
      <c r="A1776" s="0" t="s">
        <v>2733</v>
      </c>
      <c r="C1776" s="0" t="s">
        <v>31</v>
      </c>
      <c r="D1776" s="7" t="n">
        <v>60061</v>
      </c>
      <c r="E1776" s="8" t="n">
        <v>0.00249696142255374</v>
      </c>
      <c r="F1776" s="4" t="n">
        <f aca="false">D1776*E1776</f>
        <v>149.97</v>
      </c>
      <c r="G1776" s="7" t="n">
        <v>41357</v>
      </c>
      <c r="H1776" s="9" t="n">
        <f aca="false">IF(G1776&gt;0,D1776/G1776,"")</f>
        <v>1.45225717532703</v>
      </c>
      <c r="I1776" s="10" t="n">
        <v>46316</v>
      </c>
      <c r="J1776" s="3" t="s">
        <v>2392</v>
      </c>
      <c r="K1776" s="10" t="n">
        <v>46274</v>
      </c>
      <c r="L1776" s="3" t="s">
        <v>16</v>
      </c>
      <c r="M1776" s="7" t="n">
        <v>59415</v>
      </c>
      <c r="N1776" s="8" t="n">
        <v>0.0025</v>
      </c>
      <c r="O1776" s="4" t="n">
        <f aca="false">M1776*N1776</f>
        <v>148.5375</v>
      </c>
    </row>
    <row r="1777" customFormat="false" ht="15" hidden="false" customHeight="false" outlineLevel="0" collapsed="false">
      <c r="A1777" s="0" t="s">
        <v>2734</v>
      </c>
      <c r="C1777" s="0" t="s">
        <v>34</v>
      </c>
      <c r="D1777" s="7" t="n">
        <v>17838</v>
      </c>
      <c r="E1777" s="8" t="n">
        <v>0.00840621145868371</v>
      </c>
      <c r="F1777" s="4" t="n">
        <f aca="false">D1777*E1777</f>
        <v>149.95</v>
      </c>
      <c r="G1777" s="7" t="n">
        <v>2130</v>
      </c>
      <c r="H1777" s="9" t="n">
        <f aca="false">IF(G1777&gt;0,D1777/G1777,"")</f>
        <v>8.37464788732394</v>
      </c>
      <c r="I1777" s="10" t="n">
        <v>46310</v>
      </c>
      <c r="J1777" s="3" t="s">
        <v>2735</v>
      </c>
      <c r="K1777" s="10" t="n">
        <v>46119</v>
      </c>
      <c r="L1777" s="3" t="s">
        <v>19</v>
      </c>
      <c r="M1777" s="7" t="n">
        <v>1500</v>
      </c>
      <c r="N1777" s="8" t="n">
        <v>0.0399</v>
      </c>
      <c r="O1777" s="4" t="n">
        <f aca="false">M1777*N1777</f>
        <v>59.85</v>
      </c>
    </row>
    <row r="1778" customFormat="false" ht="15" hidden="false" customHeight="false" outlineLevel="0" collapsed="false">
      <c r="A1778" s="0" t="s">
        <v>2736</v>
      </c>
      <c r="C1778" s="0" t="s">
        <v>31</v>
      </c>
      <c r="D1778" s="7" t="n">
        <v>6687</v>
      </c>
      <c r="E1778" s="8" t="n">
        <v>0.0223971885748467</v>
      </c>
      <c r="F1778" s="4" t="n">
        <f aca="false">D1778*E1778</f>
        <v>149.77</v>
      </c>
      <c r="G1778" s="7" t="n">
        <v>173</v>
      </c>
      <c r="H1778" s="9" t="n">
        <f aca="false">IF(G1778&gt;0,D1778/G1778,"")</f>
        <v>38.6531791907514</v>
      </c>
      <c r="I1778" s="10" t="n">
        <v>46268</v>
      </c>
      <c r="J1778" s="3" t="s">
        <v>2737</v>
      </c>
      <c r="K1778" s="10" t="n">
        <v>46189</v>
      </c>
      <c r="L1778" s="3" t="s">
        <v>26</v>
      </c>
      <c r="M1778" s="7" t="n">
        <v>50</v>
      </c>
      <c r="N1778" s="8" t="n">
        <v>0.0543</v>
      </c>
      <c r="O1778" s="4" t="n">
        <f aca="false">M1778*N1778</f>
        <v>2.715</v>
      </c>
    </row>
    <row r="1779" customFormat="false" ht="15" hidden="false" customHeight="false" outlineLevel="0" collapsed="false">
      <c r="A1779" s="0" t="s">
        <v>2738</v>
      </c>
      <c r="C1779" s="0" t="s">
        <v>31</v>
      </c>
      <c r="D1779" s="7" t="n">
        <v>5966</v>
      </c>
      <c r="E1779" s="8" t="n">
        <v>0.0251005698960778</v>
      </c>
      <c r="F1779" s="4" t="n">
        <f aca="false">D1779*E1779</f>
        <v>149.75</v>
      </c>
      <c r="G1779" s="7" t="n">
        <v>34</v>
      </c>
      <c r="H1779" s="9" t="n">
        <f aca="false">IF(G1779&gt;0,D1779/G1779,"")</f>
        <v>175.470588235294</v>
      </c>
      <c r="I1779" s="10" t="n">
        <v>46169</v>
      </c>
      <c r="J1779" s="3" t="s">
        <v>2739</v>
      </c>
      <c r="K1779" s="10" t="n">
        <v>46142</v>
      </c>
      <c r="L1779" s="3" t="s">
        <v>16</v>
      </c>
      <c r="M1779" s="7" t="n">
        <v>6000</v>
      </c>
      <c r="N1779" s="8" t="n">
        <v>0.0251</v>
      </c>
      <c r="O1779" s="4" t="n">
        <f aca="false">M1779*N1779</f>
        <v>150.6</v>
      </c>
    </row>
    <row r="1780" customFormat="false" ht="15" hidden="false" customHeight="false" outlineLevel="0" collapsed="false">
      <c r="A1780" s="0" t="s">
        <v>2740</v>
      </c>
      <c r="C1780" s="0" t="s">
        <v>340</v>
      </c>
      <c r="D1780" s="7" t="n">
        <v>855</v>
      </c>
      <c r="E1780" s="8" t="n">
        <v>0.175099415204678</v>
      </c>
      <c r="F1780" s="4" t="n">
        <f aca="false">D1780*E1780</f>
        <v>149.71</v>
      </c>
      <c r="G1780" s="7" t="n">
        <v>701</v>
      </c>
      <c r="H1780" s="9" t="n">
        <f aca="false">IF(G1780&gt;0,D1780/G1780,"")</f>
        <v>1.21968616262482</v>
      </c>
      <c r="I1780" s="10" t="n">
        <v>46304</v>
      </c>
      <c r="J1780" s="3" t="s">
        <v>1651</v>
      </c>
      <c r="K1780" s="10" t="n">
        <v>46069</v>
      </c>
      <c r="L1780" s="3" t="s">
        <v>16</v>
      </c>
      <c r="M1780" s="7" t="n">
        <v>983</v>
      </c>
      <c r="N1780" s="8" t="n">
        <v>0.1751</v>
      </c>
      <c r="O1780" s="4" t="n">
        <f aca="false">M1780*N1780</f>
        <v>172.1233</v>
      </c>
    </row>
    <row r="1781" customFormat="false" ht="15" hidden="false" customHeight="false" outlineLevel="0" collapsed="false">
      <c r="A1781" s="0" t="s">
        <v>2741</v>
      </c>
      <c r="C1781" s="0" t="s">
        <v>31</v>
      </c>
      <c r="D1781" s="7" t="n">
        <v>8181</v>
      </c>
      <c r="E1781" s="8" t="n">
        <v>0.018299718860775</v>
      </c>
      <c r="F1781" s="4" t="n">
        <f aca="false">D1781*E1781</f>
        <v>149.71</v>
      </c>
      <c r="G1781" s="7" t="n">
        <v>28</v>
      </c>
      <c r="H1781" s="9" t="n">
        <f aca="false">IF(G1781&gt;0,D1781/G1781,"")</f>
        <v>292.178571428571</v>
      </c>
      <c r="I1781" s="10" t="n">
        <v>46316</v>
      </c>
      <c r="J1781" s="3" t="s">
        <v>2573</v>
      </c>
      <c r="K1781" s="10" t="n">
        <v>46142</v>
      </c>
      <c r="L1781" s="3" t="s">
        <v>16</v>
      </c>
      <c r="M1781" s="7" t="n">
        <v>8200</v>
      </c>
      <c r="N1781" s="8" t="n">
        <v>0.0183</v>
      </c>
      <c r="O1781" s="4" t="n">
        <f aca="false">M1781*N1781</f>
        <v>150.06</v>
      </c>
    </row>
    <row r="1782" customFormat="false" ht="15" hidden="false" customHeight="false" outlineLevel="0" collapsed="false">
      <c r="A1782" s="0" t="s">
        <v>2742</v>
      </c>
      <c r="C1782" s="0" t="s">
        <v>31</v>
      </c>
      <c r="D1782" s="7" t="n">
        <v>68042</v>
      </c>
      <c r="E1782" s="8" t="n">
        <v>0.00219996472766821</v>
      </c>
      <c r="F1782" s="4" t="n">
        <f aca="false">D1782*E1782</f>
        <v>149.69</v>
      </c>
      <c r="G1782" s="7" t="n">
        <v>287</v>
      </c>
      <c r="H1782" s="9" t="n">
        <f aca="false">IF(G1782&gt;0,D1782/G1782,"")</f>
        <v>237.080139372822</v>
      </c>
      <c r="I1782" s="10" t="n">
        <v>46147</v>
      </c>
      <c r="J1782" s="3" t="s">
        <v>2743</v>
      </c>
      <c r="K1782" s="10" t="n">
        <v>46084</v>
      </c>
      <c r="L1782" s="3" t="s">
        <v>16</v>
      </c>
      <c r="M1782" s="7" t="n">
        <v>68200</v>
      </c>
      <c r="N1782" s="8" t="n">
        <v>0.0022</v>
      </c>
      <c r="O1782" s="4" t="n">
        <f aca="false">M1782*N1782</f>
        <v>150.04</v>
      </c>
    </row>
    <row r="1783" customFormat="false" ht="15" hidden="false" customHeight="false" outlineLevel="0" collapsed="false">
      <c r="A1783" s="0" t="s">
        <v>2744</v>
      </c>
      <c r="C1783" s="0" t="s">
        <v>31</v>
      </c>
      <c r="D1783" s="7" t="n">
        <v>520</v>
      </c>
      <c r="E1783" s="8" t="n">
        <v>0.287807692307692</v>
      </c>
      <c r="F1783" s="4" t="n">
        <f aca="false">D1783*E1783</f>
        <v>149.66</v>
      </c>
      <c r="G1783" s="7" t="n">
        <v>5</v>
      </c>
      <c r="H1783" s="9" t="n">
        <f aca="false">IF(G1783&gt;0,D1783/G1783,"")</f>
        <v>104</v>
      </c>
      <c r="I1783" s="10" t="n">
        <v>46108</v>
      </c>
      <c r="J1783" s="3" t="s">
        <v>2385</v>
      </c>
      <c r="K1783" s="10" t="n">
        <v>45629</v>
      </c>
      <c r="L1783" s="3" t="s">
        <v>16</v>
      </c>
      <c r="M1783" s="7" t="n">
        <v>525</v>
      </c>
      <c r="N1783" s="8" t="n">
        <v>0.2878</v>
      </c>
      <c r="O1783" s="4" t="n">
        <f aca="false">M1783*N1783</f>
        <v>151.095</v>
      </c>
    </row>
    <row r="1784" customFormat="false" ht="15" hidden="false" customHeight="false" outlineLevel="0" collapsed="false">
      <c r="A1784" s="0" t="s">
        <v>2745</v>
      </c>
      <c r="C1784" s="0" t="s">
        <v>1169</v>
      </c>
      <c r="D1784" s="7" t="n">
        <v>2375</v>
      </c>
      <c r="E1784" s="8" t="n">
        <v>0.0629978947368421</v>
      </c>
      <c r="F1784" s="4" t="n">
        <f aca="false">D1784*E1784</f>
        <v>149.62</v>
      </c>
      <c r="G1784" s="7" t="n">
        <v>1176</v>
      </c>
      <c r="H1784" s="9" t="n">
        <f aca="false">IF(G1784&gt;0,D1784/G1784,"")</f>
        <v>2.01955782312925</v>
      </c>
      <c r="I1784" s="10" t="n">
        <v>46314</v>
      </c>
      <c r="J1784" s="3" t="s">
        <v>926</v>
      </c>
      <c r="K1784" s="10" t="n">
        <v>46009</v>
      </c>
      <c r="L1784" s="3" t="s">
        <v>21</v>
      </c>
      <c r="M1784" s="7" t="n">
        <v>1600</v>
      </c>
      <c r="N1784" s="8" t="n">
        <v>0.063</v>
      </c>
      <c r="O1784" s="4" t="n">
        <f aca="false">M1784*N1784</f>
        <v>100.8</v>
      </c>
    </row>
    <row r="1785" customFormat="false" ht="15" hidden="false" customHeight="false" outlineLevel="0" collapsed="false">
      <c r="A1785" s="0" t="s">
        <v>2746</v>
      </c>
      <c r="C1785" s="0" t="s">
        <v>35</v>
      </c>
      <c r="D1785" s="7" t="n">
        <v>779</v>
      </c>
      <c r="E1785" s="8" t="n">
        <v>0.191976893453145</v>
      </c>
      <c r="F1785" s="4" t="n">
        <f aca="false">D1785*E1785</f>
        <v>149.55</v>
      </c>
      <c r="G1785" s="7" t="n">
        <v>475</v>
      </c>
      <c r="H1785" s="9" t="n">
        <f aca="false">IF(G1785&gt;0,D1785/G1785,"")</f>
        <v>1.64</v>
      </c>
      <c r="I1785" s="10" t="n">
        <v>46260</v>
      </c>
      <c r="J1785" s="3" t="s">
        <v>633</v>
      </c>
      <c r="K1785" s="10" t="n">
        <v>45758</v>
      </c>
      <c r="L1785" s="3" t="s">
        <v>20</v>
      </c>
      <c r="M1785" s="7" t="n">
        <v>1310</v>
      </c>
      <c r="N1785" s="8" t="n">
        <v>0.192</v>
      </c>
      <c r="O1785" s="4" t="n">
        <f aca="false">M1785*N1785</f>
        <v>251.52</v>
      </c>
    </row>
    <row r="1786" customFormat="false" ht="15" hidden="false" customHeight="false" outlineLevel="0" collapsed="false">
      <c r="A1786" s="0" t="s">
        <v>2747</v>
      </c>
      <c r="C1786" s="0" t="s">
        <v>43</v>
      </c>
      <c r="D1786" s="7" t="n">
        <v>101</v>
      </c>
      <c r="E1786" s="8" t="n">
        <v>1.48009900990099</v>
      </c>
      <c r="F1786" s="4" t="n">
        <f aca="false">D1786*E1786</f>
        <v>149.49</v>
      </c>
      <c r="G1786" s="7" t="n">
        <v>12</v>
      </c>
      <c r="H1786" s="9" t="n">
        <f aca="false">IF(G1786&gt;0,D1786/G1786,"")</f>
        <v>8.41666666666667</v>
      </c>
      <c r="I1786" s="10" t="n">
        <v>46168</v>
      </c>
      <c r="J1786" s="3" t="s">
        <v>2748</v>
      </c>
      <c r="K1786" s="10" t="n">
        <v>44386</v>
      </c>
      <c r="L1786" s="3" t="s">
        <v>14</v>
      </c>
      <c r="M1786" s="7" t="n">
        <v>129</v>
      </c>
      <c r="N1786" s="8" t="n">
        <v>1.4801</v>
      </c>
      <c r="O1786" s="4" t="n">
        <f aca="false">M1786*N1786</f>
        <v>190.9329</v>
      </c>
    </row>
    <row r="1787" customFormat="false" ht="15" hidden="false" customHeight="false" outlineLevel="0" collapsed="false">
      <c r="A1787" s="0" t="s">
        <v>2749</v>
      </c>
      <c r="C1787" s="0" t="s">
        <v>31</v>
      </c>
      <c r="D1787" s="7" t="n">
        <v>1106</v>
      </c>
      <c r="E1787" s="8" t="n">
        <v>0.135099457504521</v>
      </c>
      <c r="F1787" s="4" t="n">
        <f aca="false">D1787*E1787</f>
        <v>149.42</v>
      </c>
      <c r="G1787" s="7" t="n">
        <v>67</v>
      </c>
      <c r="H1787" s="9" t="n">
        <f aca="false">IF(G1787&gt;0,D1787/G1787,"")</f>
        <v>16.5074626865672</v>
      </c>
      <c r="I1787" s="10" t="n">
        <v>46311</v>
      </c>
      <c r="J1787" s="3" t="s">
        <v>2464</v>
      </c>
      <c r="K1787" s="10" t="n">
        <v>46175</v>
      </c>
      <c r="L1787" s="3" t="s">
        <v>19</v>
      </c>
      <c r="M1787" s="7" t="n">
        <v>50</v>
      </c>
      <c r="N1787" s="8" t="n">
        <v>0.5053</v>
      </c>
      <c r="O1787" s="4" t="n">
        <f aca="false">M1787*N1787</f>
        <v>25.265</v>
      </c>
    </row>
    <row r="1788" customFormat="false" ht="15" hidden="false" customHeight="false" outlineLevel="0" collapsed="false">
      <c r="A1788" s="0" t="s">
        <v>2750</v>
      </c>
      <c r="C1788" s="0" t="s">
        <v>741</v>
      </c>
      <c r="D1788" s="7" t="n">
        <v>978</v>
      </c>
      <c r="E1788" s="8" t="n">
        <v>0.152760736196319</v>
      </c>
      <c r="F1788" s="4" t="n">
        <f aca="false">D1788*E1788</f>
        <v>149.4</v>
      </c>
      <c r="G1788" s="7" t="n">
        <v>20</v>
      </c>
      <c r="H1788" s="9" t="n">
        <f aca="false">IF(G1788&gt;0,D1788/G1788,"")</f>
        <v>48.9</v>
      </c>
      <c r="I1788" s="10" t="n">
        <v>46112</v>
      </c>
      <c r="J1788" s="3" t="s">
        <v>1891</v>
      </c>
      <c r="K1788" s="10" t="n">
        <v>46140</v>
      </c>
      <c r="L1788" s="3" t="s">
        <v>27</v>
      </c>
      <c r="M1788" s="7" t="n">
        <v>250</v>
      </c>
      <c r="N1788" s="8" t="n">
        <v>0.1896</v>
      </c>
      <c r="O1788" s="4" t="n">
        <f aca="false">M1788*N1788</f>
        <v>47.4</v>
      </c>
    </row>
    <row r="1789" customFormat="false" ht="15" hidden="false" customHeight="false" outlineLevel="0" collapsed="false">
      <c r="A1789" s="0" t="s">
        <v>2751</v>
      </c>
      <c r="C1789" s="0" t="s">
        <v>31</v>
      </c>
      <c r="D1789" s="7" t="n">
        <v>25712</v>
      </c>
      <c r="E1789" s="8" t="n">
        <v>0.00580546048537648</v>
      </c>
      <c r="F1789" s="4" t="n">
        <f aca="false">D1789*E1789</f>
        <v>149.27</v>
      </c>
      <c r="G1789" s="7" t="n">
        <v>2445</v>
      </c>
      <c r="H1789" s="9" t="n">
        <f aca="false">IF(G1789&gt;0,D1789/G1789,"")</f>
        <v>10.5161554192229</v>
      </c>
      <c r="I1789" s="10" t="n">
        <v>46314</v>
      </c>
      <c r="K1789" s="10"/>
      <c r="M1789" s="7"/>
      <c r="N1789" s="8"/>
      <c r="O1789" s="4"/>
    </row>
    <row r="1790" customFormat="false" ht="15" hidden="false" customHeight="false" outlineLevel="0" collapsed="false">
      <c r="A1790" s="0" t="s">
        <v>2752</v>
      </c>
      <c r="C1790" s="0" t="s">
        <v>34</v>
      </c>
      <c r="D1790" s="7" t="n">
        <v>21229</v>
      </c>
      <c r="E1790" s="8" t="n">
        <v>0.00703141928494041</v>
      </c>
      <c r="F1790" s="4" t="n">
        <f aca="false">D1790*E1790</f>
        <v>149.27</v>
      </c>
      <c r="G1790" s="7" t="n">
        <v>5228</v>
      </c>
      <c r="H1790" s="9" t="n">
        <f aca="false">IF(G1790&gt;0,D1790/G1790,"")</f>
        <v>4.0606350420811</v>
      </c>
      <c r="I1790" s="10" t="n">
        <v>46317</v>
      </c>
      <c r="J1790" s="3" t="s">
        <v>940</v>
      </c>
      <c r="K1790" s="10" t="n">
        <v>46231</v>
      </c>
      <c r="L1790" s="3" t="s">
        <v>16</v>
      </c>
      <c r="M1790" s="7" t="n">
        <v>21500</v>
      </c>
      <c r="N1790" s="8" t="n">
        <v>0.007</v>
      </c>
      <c r="O1790" s="4" t="n">
        <f aca="false">M1790*N1790</f>
        <v>150.5</v>
      </c>
    </row>
    <row r="1791" customFormat="false" ht="15" hidden="false" customHeight="false" outlineLevel="0" collapsed="false">
      <c r="A1791" s="0" t="s">
        <v>2753</v>
      </c>
      <c r="C1791" s="0" t="s">
        <v>31</v>
      </c>
      <c r="D1791" s="7" t="n">
        <v>19656</v>
      </c>
      <c r="E1791" s="8" t="n">
        <v>0.00758852258852259</v>
      </c>
      <c r="F1791" s="4" t="n">
        <f aca="false">D1791*E1791</f>
        <v>149.16</v>
      </c>
      <c r="G1791" s="7" t="n">
        <v>1853</v>
      </c>
      <c r="H1791" s="9" t="n">
        <f aca="false">IF(G1791&gt;0,D1791/G1791,"")</f>
        <v>10.6076632487858</v>
      </c>
      <c r="I1791" s="10" t="n">
        <v>46308</v>
      </c>
      <c r="J1791" s="3" t="s">
        <v>1192</v>
      </c>
      <c r="K1791" s="10" t="n">
        <v>45736</v>
      </c>
      <c r="L1791" s="3" t="s">
        <v>26</v>
      </c>
      <c r="M1791" s="7" t="n">
        <v>154</v>
      </c>
      <c r="N1791" s="8" t="n">
        <v>0.032467</v>
      </c>
      <c r="O1791" s="4" t="n">
        <f aca="false">M1791*N1791</f>
        <v>4.999918</v>
      </c>
    </row>
    <row r="1792" customFormat="false" ht="15" hidden="false" customHeight="false" outlineLevel="0" collapsed="false">
      <c r="A1792" s="0" t="s">
        <v>2754</v>
      </c>
      <c r="C1792" s="0" t="s">
        <v>31</v>
      </c>
      <c r="D1792" s="7" t="n">
        <v>1831</v>
      </c>
      <c r="E1792" s="8" t="n">
        <v>0.081398143091207</v>
      </c>
      <c r="F1792" s="4" t="n">
        <f aca="false">D1792*E1792</f>
        <v>149.04</v>
      </c>
      <c r="G1792" s="7" t="n">
        <v>30</v>
      </c>
      <c r="H1792" s="9" t="n">
        <f aca="false">IF(G1792&gt;0,D1792/G1792,"")</f>
        <v>61.0333333333333</v>
      </c>
      <c r="I1792" s="10" t="n">
        <v>46251</v>
      </c>
      <c r="J1792" s="3" t="s">
        <v>2755</v>
      </c>
      <c r="K1792" s="10" t="n">
        <v>45306</v>
      </c>
      <c r="L1792" s="3" t="s">
        <v>16</v>
      </c>
      <c r="M1792" s="7" t="n">
        <v>1922</v>
      </c>
      <c r="N1792" s="8" t="n">
        <v>0.0814</v>
      </c>
      <c r="O1792" s="4" t="n">
        <f aca="false">M1792*N1792</f>
        <v>156.4508</v>
      </c>
    </row>
    <row r="1793" customFormat="false" ht="15" hidden="false" customHeight="false" outlineLevel="0" collapsed="false">
      <c r="A1793" s="0" t="s">
        <v>2756</v>
      </c>
      <c r="C1793" s="0" t="s">
        <v>31</v>
      </c>
      <c r="D1793" s="7" t="n">
        <v>14749</v>
      </c>
      <c r="E1793" s="8" t="n">
        <v>0.0100861075327141</v>
      </c>
      <c r="F1793" s="4" t="n">
        <f aca="false">D1793*E1793</f>
        <v>148.76</v>
      </c>
      <c r="G1793" s="7" t="n">
        <v>744</v>
      </c>
      <c r="H1793" s="9" t="n">
        <f aca="false">IF(G1793&gt;0,D1793/G1793,"")</f>
        <v>19.8239247311828</v>
      </c>
      <c r="I1793" s="10" t="n">
        <v>46248</v>
      </c>
      <c r="J1793" s="3" t="s">
        <v>2757</v>
      </c>
      <c r="K1793" s="10" t="n">
        <v>44210</v>
      </c>
      <c r="L1793" s="3" t="s">
        <v>15</v>
      </c>
      <c r="M1793" s="7" t="n">
        <v>19661</v>
      </c>
      <c r="N1793" s="8" t="n">
        <v>0.01008</v>
      </c>
      <c r="O1793" s="4" t="n">
        <f aca="false">M1793*N1793</f>
        <v>198.18288</v>
      </c>
    </row>
    <row r="1794" customFormat="false" ht="15" hidden="false" customHeight="false" outlineLevel="0" collapsed="false">
      <c r="A1794" s="0" t="s">
        <v>2758</v>
      </c>
      <c r="C1794" s="0" t="s">
        <v>31</v>
      </c>
      <c r="D1794" s="7" t="n">
        <v>25643</v>
      </c>
      <c r="E1794" s="8" t="n">
        <v>0.00580002339819834</v>
      </c>
      <c r="F1794" s="4" t="n">
        <f aca="false">D1794*E1794</f>
        <v>148.73</v>
      </c>
      <c r="G1794" s="7" t="n">
        <v>316</v>
      </c>
      <c r="H1794" s="9" t="n">
        <f aca="false">IF(G1794&gt;0,D1794/G1794,"")</f>
        <v>81.1487341772152</v>
      </c>
      <c r="I1794" s="10" t="n">
        <v>46175</v>
      </c>
      <c r="J1794" s="3" t="s">
        <v>1198</v>
      </c>
      <c r="K1794" s="10" t="n">
        <v>45689</v>
      </c>
      <c r="L1794" s="3" t="s">
        <v>16</v>
      </c>
      <c r="M1794" s="7" t="n">
        <v>25865</v>
      </c>
      <c r="N1794" s="8" t="n">
        <v>0.0058</v>
      </c>
      <c r="O1794" s="4" t="n">
        <f aca="false">M1794*N1794</f>
        <v>150.017</v>
      </c>
    </row>
    <row r="1795" customFormat="false" ht="15" hidden="false" customHeight="false" outlineLevel="0" collapsed="false">
      <c r="A1795" s="0" t="s">
        <v>2759</v>
      </c>
      <c r="C1795" s="0" t="s">
        <v>855</v>
      </c>
      <c r="D1795" s="7" t="n">
        <v>33000</v>
      </c>
      <c r="E1795" s="8" t="n">
        <v>0.0045</v>
      </c>
      <c r="F1795" s="4" t="n">
        <f aca="false">D1795*E1795</f>
        <v>148.5</v>
      </c>
      <c r="G1795" s="7" t="n">
        <v>2551</v>
      </c>
      <c r="H1795" s="9" t="n">
        <f aca="false">IF(G1795&gt;0,D1795/G1795,"")</f>
        <v>12.9361034888279</v>
      </c>
      <c r="I1795" s="10" t="n">
        <v>46308</v>
      </c>
      <c r="J1795" s="3" t="s">
        <v>2760</v>
      </c>
      <c r="K1795" s="10" t="n">
        <v>46246</v>
      </c>
      <c r="L1795" s="3" t="s">
        <v>16</v>
      </c>
      <c r="M1795" s="7" t="n">
        <v>33500</v>
      </c>
      <c r="N1795" s="8" t="n">
        <v>0.0045</v>
      </c>
      <c r="O1795" s="4" t="n">
        <f aca="false">M1795*N1795</f>
        <v>150.75</v>
      </c>
    </row>
    <row r="1796" customFormat="false" ht="15" hidden="false" customHeight="false" outlineLevel="0" collapsed="false">
      <c r="A1796" s="0" t="s">
        <v>2761</v>
      </c>
      <c r="C1796" s="0" t="s">
        <v>41</v>
      </c>
      <c r="D1796" s="7" t="n">
        <v>10830</v>
      </c>
      <c r="E1796" s="8" t="n">
        <v>0.0137054478301016</v>
      </c>
      <c r="F1796" s="4" t="n">
        <f aca="false">D1796*E1796</f>
        <v>148.43</v>
      </c>
      <c r="G1796" s="7" t="n">
        <v>11</v>
      </c>
      <c r="H1796" s="9" t="n">
        <f aca="false">IF(G1796&gt;0,D1796/G1796,"")</f>
        <v>984.545454545455</v>
      </c>
      <c r="I1796" s="10" t="n">
        <v>46304</v>
      </c>
      <c r="J1796" s="3" t="s">
        <v>234</v>
      </c>
      <c r="K1796" s="10" t="n">
        <v>44726</v>
      </c>
      <c r="L1796" s="3" t="s">
        <v>15</v>
      </c>
      <c r="M1796" s="7" t="n">
        <v>11893</v>
      </c>
      <c r="N1796" s="8" t="n">
        <v>0.0135</v>
      </c>
      <c r="O1796" s="4" t="n">
        <v>162.783</v>
      </c>
    </row>
    <row r="1797" customFormat="false" ht="15" hidden="false" customHeight="false" outlineLevel="0" collapsed="false">
      <c r="A1797" s="0" t="s">
        <v>2762</v>
      </c>
      <c r="C1797" s="0" t="s">
        <v>31</v>
      </c>
      <c r="D1797" s="7" t="n">
        <v>19539</v>
      </c>
      <c r="E1797" s="8" t="n">
        <v>0.00758994830851118</v>
      </c>
      <c r="F1797" s="4" t="n">
        <f aca="false">D1797*E1797</f>
        <v>148.3</v>
      </c>
      <c r="G1797" s="7" t="n">
        <v>4905</v>
      </c>
      <c r="H1797" s="9" t="n">
        <f aca="false">IF(G1797&gt;0,D1797/G1797,"")</f>
        <v>3.98348623853211</v>
      </c>
      <c r="I1797" s="10" t="n">
        <v>46297</v>
      </c>
      <c r="J1797" s="3" t="s">
        <v>1192</v>
      </c>
      <c r="K1797" s="10" t="n">
        <v>45736</v>
      </c>
      <c r="L1797" s="3" t="s">
        <v>26</v>
      </c>
      <c r="M1797" s="7" t="n">
        <v>1500</v>
      </c>
      <c r="N1797" s="8" t="n">
        <v>0.0229</v>
      </c>
      <c r="O1797" s="4" t="n">
        <f aca="false">M1797*N1797</f>
        <v>34.35</v>
      </c>
    </row>
    <row r="1798" customFormat="false" ht="15" hidden="false" customHeight="false" outlineLevel="0" collapsed="false">
      <c r="A1798" s="0" t="s">
        <v>2763</v>
      </c>
      <c r="C1798" s="0" t="s">
        <v>34</v>
      </c>
      <c r="D1798" s="7" t="n">
        <v>1423</v>
      </c>
      <c r="E1798" s="8" t="n">
        <v>0.104096978215039</v>
      </c>
      <c r="F1798" s="4" t="n">
        <f aca="false">D1798*E1798</f>
        <v>148.13</v>
      </c>
      <c r="G1798" s="7" t="n">
        <v>47</v>
      </c>
      <c r="H1798" s="9" t="n">
        <f aca="false">IF(G1798&gt;0,D1798/G1798,"")</f>
        <v>30.2765957446809</v>
      </c>
      <c r="I1798" s="10" t="n">
        <v>46253</v>
      </c>
      <c r="J1798" s="3" t="s">
        <v>703</v>
      </c>
      <c r="K1798" s="10" t="n">
        <v>46155</v>
      </c>
      <c r="L1798" s="3" t="s">
        <v>14</v>
      </c>
      <c r="M1798" s="7" t="n">
        <v>25</v>
      </c>
      <c r="N1798" s="8" t="n">
        <v>0.2792</v>
      </c>
      <c r="O1798" s="4" t="n">
        <f aca="false">M1798*N1798</f>
        <v>6.98</v>
      </c>
    </row>
    <row r="1799" customFormat="false" ht="15" hidden="false" customHeight="false" outlineLevel="0" collapsed="false">
      <c r="A1799" s="0" t="s">
        <v>2764</v>
      </c>
      <c r="C1799" s="0" t="s">
        <v>34</v>
      </c>
      <c r="D1799" s="7" t="n">
        <v>4352</v>
      </c>
      <c r="E1799" s="8" t="n">
        <v>0.0339981617647059</v>
      </c>
      <c r="F1799" s="4" t="n">
        <f aca="false">D1799*E1799</f>
        <v>147.96</v>
      </c>
      <c r="G1799" s="7" t="n">
        <v>3200</v>
      </c>
      <c r="H1799" s="9" t="n">
        <f aca="false">IF(G1799&gt;0,D1799/G1799,"")</f>
        <v>1.36</v>
      </c>
      <c r="I1799" s="10" t="n">
        <v>46275</v>
      </c>
      <c r="J1799" s="3" t="s">
        <v>2743</v>
      </c>
      <c r="K1799" s="10" t="n">
        <v>46084</v>
      </c>
      <c r="L1799" s="3" t="s">
        <v>16</v>
      </c>
      <c r="M1799" s="7" t="n">
        <v>6861</v>
      </c>
      <c r="N1799" s="8" t="n">
        <v>0.034</v>
      </c>
      <c r="O1799" s="4" t="n">
        <f aca="false">M1799*N1799</f>
        <v>233.274</v>
      </c>
    </row>
    <row r="1800" customFormat="false" ht="15" hidden="false" customHeight="false" outlineLevel="0" collapsed="false">
      <c r="A1800" s="0" t="s">
        <v>2765</v>
      </c>
      <c r="C1800" s="0" t="s">
        <v>31</v>
      </c>
      <c r="D1800" s="7" t="n">
        <v>32121</v>
      </c>
      <c r="E1800" s="8" t="n">
        <v>0.00460290775505121</v>
      </c>
      <c r="F1800" s="4" t="n">
        <f aca="false">D1800*E1800</f>
        <v>147.85</v>
      </c>
      <c r="G1800" s="7" t="n">
        <v>8710</v>
      </c>
      <c r="H1800" s="9" t="n">
        <f aca="false">IF(G1800&gt;0,D1800/G1800,"")</f>
        <v>3.68783008036739</v>
      </c>
      <c r="I1800" s="10" t="n">
        <v>46290</v>
      </c>
      <c r="J1800" s="3" t="s">
        <v>1461</v>
      </c>
      <c r="K1800" s="10" t="n">
        <v>45296</v>
      </c>
      <c r="L1800" s="3" t="s">
        <v>19</v>
      </c>
      <c r="M1800" s="7" t="n">
        <v>2500</v>
      </c>
      <c r="N1800" s="8" t="n">
        <v>0.0129</v>
      </c>
      <c r="O1800" s="4" t="n">
        <f aca="false">M1800*N1800</f>
        <v>32.25</v>
      </c>
    </row>
    <row r="1801" customFormat="false" ht="15" hidden="false" customHeight="false" outlineLevel="0" collapsed="false">
      <c r="A1801" s="0" t="s">
        <v>2766</v>
      </c>
      <c r="C1801" s="0" t="s">
        <v>32</v>
      </c>
      <c r="D1801" s="7" t="n">
        <v>52723</v>
      </c>
      <c r="E1801" s="8" t="n">
        <v>0.00280029588604594</v>
      </c>
      <c r="F1801" s="4" t="n">
        <f aca="false">D1801*E1801</f>
        <v>147.64</v>
      </c>
      <c r="G1801" s="7" t="n">
        <v>2686</v>
      </c>
      <c r="H1801" s="9" t="n">
        <f aca="false">IF(G1801&gt;0,D1801/G1801,"")</f>
        <v>19.6288160833954</v>
      </c>
      <c r="I1801" s="10" t="n">
        <v>46296</v>
      </c>
      <c r="J1801" s="3" t="s">
        <v>2767</v>
      </c>
      <c r="K1801" s="10" t="n">
        <v>44330</v>
      </c>
      <c r="L1801" s="3" t="s">
        <v>18</v>
      </c>
      <c r="M1801" s="7" t="n">
        <v>80800</v>
      </c>
      <c r="N1801" s="8" t="n">
        <v>0.0028</v>
      </c>
      <c r="O1801" s="4" t="n">
        <f aca="false">M1801*N1801</f>
        <v>226.24</v>
      </c>
    </row>
    <row r="1802" customFormat="false" ht="15" hidden="false" customHeight="false" outlineLevel="0" collapsed="false">
      <c r="A1802" s="0" t="s">
        <v>2768</v>
      </c>
      <c r="C1802" s="0" t="s">
        <v>31</v>
      </c>
      <c r="D1802" s="7" t="n">
        <v>6835</v>
      </c>
      <c r="E1802" s="8" t="n">
        <v>0.0215991221653255</v>
      </c>
      <c r="F1802" s="4" t="n">
        <f aca="false">D1802*E1802</f>
        <v>147.63</v>
      </c>
      <c r="G1802" s="7" t="n">
        <v>275</v>
      </c>
      <c r="H1802" s="9" t="n">
        <f aca="false">IF(G1802&gt;0,D1802/G1802,"")</f>
        <v>24.8545454545455</v>
      </c>
      <c r="I1802" s="10" t="n">
        <v>46304</v>
      </c>
      <c r="J1802" s="3" t="s">
        <v>2097</v>
      </c>
      <c r="K1802" s="10" t="n">
        <v>44351</v>
      </c>
      <c r="L1802" s="3" t="s">
        <v>16</v>
      </c>
      <c r="M1802" s="7" t="n">
        <v>10875</v>
      </c>
      <c r="N1802" s="8" t="n">
        <v>0.0217</v>
      </c>
      <c r="O1802" s="4" t="n">
        <f aca="false">M1802*N1802</f>
        <v>235.9875</v>
      </c>
    </row>
    <row r="1803" customFormat="false" ht="15" hidden="false" customHeight="false" outlineLevel="0" collapsed="false">
      <c r="A1803" s="0" t="s">
        <v>2769</v>
      </c>
      <c r="C1803" s="0" t="s">
        <v>118</v>
      </c>
      <c r="D1803" s="7" t="n">
        <v>9648</v>
      </c>
      <c r="E1803" s="8" t="n">
        <v>0.0153005804311775</v>
      </c>
      <c r="F1803" s="4" t="n">
        <f aca="false">D1803*E1803</f>
        <v>147.62</v>
      </c>
      <c r="G1803" s="7" t="n">
        <v>96</v>
      </c>
      <c r="H1803" s="9" t="n">
        <f aca="false">IF(G1803&gt;0,D1803/G1803,"")</f>
        <v>100.5</v>
      </c>
      <c r="I1803" s="10" t="n">
        <v>46310</v>
      </c>
      <c r="K1803" s="10"/>
      <c r="M1803" s="7"/>
      <c r="N1803" s="8"/>
      <c r="O1803" s="4"/>
    </row>
    <row r="1804" customFormat="false" ht="15" hidden="false" customHeight="false" outlineLevel="0" collapsed="false">
      <c r="A1804" s="0" t="s">
        <v>2770</v>
      </c>
      <c r="C1804" s="0" t="s">
        <v>38</v>
      </c>
      <c r="D1804" s="7" t="n">
        <v>1131</v>
      </c>
      <c r="E1804" s="8" t="n">
        <v>0.130353669319187</v>
      </c>
      <c r="F1804" s="4" t="n">
        <f aca="false">D1804*E1804</f>
        <v>147.43</v>
      </c>
      <c r="G1804" s="7" t="n">
        <v>209</v>
      </c>
      <c r="H1804" s="9" t="n">
        <f aca="false">IF(G1804&gt;0,D1804/G1804,"")</f>
        <v>5.41148325358852</v>
      </c>
      <c r="I1804" s="10" t="n">
        <v>46316</v>
      </c>
      <c r="J1804" s="3" t="s">
        <v>574</v>
      </c>
      <c r="K1804" s="10" t="n">
        <v>44728</v>
      </c>
      <c r="L1804" s="3" t="s">
        <v>19</v>
      </c>
      <c r="M1804" s="7" t="n">
        <v>1878</v>
      </c>
      <c r="N1804" s="8" t="n">
        <v>0.1316</v>
      </c>
      <c r="O1804" s="4" t="n">
        <f aca="false">M1804*N1804</f>
        <v>247.1448</v>
      </c>
    </row>
    <row r="1805" customFormat="false" ht="15" hidden="false" customHeight="false" outlineLevel="0" collapsed="false">
      <c r="A1805" s="0" t="s">
        <v>2771</v>
      </c>
      <c r="C1805" s="0" t="s">
        <v>275</v>
      </c>
      <c r="D1805" s="7" t="n">
        <v>2</v>
      </c>
      <c r="E1805" s="8" t="n">
        <v>73.69</v>
      </c>
      <c r="F1805" s="4" t="n">
        <f aca="false">D1805*E1805</f>
        <v>147.38</v>
      </c>
      <c r="G1805" s="7" t="n">
        <v>2</v>
      </c>
      <c r="H1805" s="9" t="n">
        <f aca="false">IF(G1805&gt;0,D1805/G1805,"")</f>
        <v>1</v>
      </c>
      <c r="I1805" s="10" t="n">
        <v>46029</v>
      </c>
      <c r="J1805" s="3" t="s">
        <v>791</v>
      </c>
      <c r="K1805" s="10" t="n">
        <v>46013</v>
      </c>
      <c r="L1805" s="3" t="s">
        <v>14</v>
      </c>
      <c r="M1805" s="7" t="n">
        <v>4</v>
      </c>
      <c r="N1805" s="8" t="n">
        <v>73.69</v>
      </c>
      <c r="O1805" s="4" t="n">
        <f aca="false">M1805*N1805</f>
        <v>294.76</v>
      </c>
    </row>
    <row r="1806" customFormat="false" ht="15" hidden="false" customHeight="false" outlineLevel="0" collapsed="false">
      <c r="A1806" s="0" t="s">
        <v>2772</v>
      </c>
      <c r="C1806" s="0" t="s">
        <v>615</v>
      </c>
      <c r="D1806" s="7" t="n">
        <v>21052</v>
      </c>
      <c r="E1806" s="8" t="n">
        <v>0.00699980999429983</v>
      </c>
      <c r="F1806" s="4" t="n">
        <f aca="false">D1806*E1806</f>
        <v>147.36</v>
      </c>
      <c r="G1806" s="7" t="n">
        <v>6875</v>
      </c>
      <c r="H1806" s="9" t="n">
        <f aca="false">IF(G1806&gt;0,D1806/G1806,"")</f>
        <v>3.06210909090909</v>
      </c>
      <c r="I1806" s="10" t="n">
        <v>46030</v>
      </c>
      <c r="J1806" s="3" t="s">
        <v>2358</v>
      </c>
      <c r="K1806" s="10" t="n">
        <v>44272</v>
      </c>
      <c r="L1806" s="3" t="s">
        <v>15</v>
      </c>
      <c r="M1806" s="7" t="n">
        <v>29000</v>
      </c>
      <c r="N1806" s="8" t="n">
        <v>0.007</v>
      </c>
      <c r="O1806" s="4" t="n">
        <f aca="false">M1806*N1806</f>
        <v>203</v>
      </c>
    </row>
    <row r="1807" customFormat="false" ht="15" hidden="false" customHeight="false" outlineLevel="0" collapsed="false">
      <c r="A1807" s="0" t="s">
        <v>2773</v>
      </c>
      <c r="C1807" s="0" t="s">
        <v>31</v>
      </c>
      <c r="D1807" s="7" t="n">
        <v>10553</v>
      </c>
      <c r="E1807" s="8" t="n">
        <v>0.0139628541646925</v>
      </c>
      <c r="F1807" s="4" t="n">
        <f aca="false">D1807*E1807</f>
        <v>147.35</v>
      </c>
      <c r="G1807" s="7" t="n">
        <v>375</v>
      </c>
      <c r="H1807" s="9" t="n">
        <f aca="false">IF(G1807&gt;0,D1807/G1807,"")</f>
        <v>28.1413333333333</v>
      </c>
      <c r="I1807" s="10" t="n">
        <v>46189</v>
      </c>
      <c r="J1807" s="3" t="s">
        <v>1565</v>
      </c>
      <c r="K1807" s="10" t="n">
        <v>45516</v>
      </c>
      <c r="L1807" s="3" t="s">
        <v>16</v>
      </c>
      <c r="M1807" s="7" t="n">
        <v>3966</v>
      </c>
      <c r="N1807" s="8" t="n">
        <v>0.00594</v>
      </c>
      <c r="O1807" s="4" t="n">
        <v>20.96544</v>
      </c>
    </row>
    <row r="1808" customFormat="false" ht="15" hidden="false" customHeight="false" outlineLevel="0" collapsed="false">
      <c r="A1808" s="0" t="s">
        <v>2774</v>
      </c>
      <c r="C1808" s="0" t="s">
        <v>1169</v>
      </c>
      <c r="D1808" s="7" t="n">
        <v>4086</v>
      </c>
      <c r="E1808" s="8" t="n">
        <v>0.0359960841899168</v>
      </c>
      <c r="F1808" s="4" t="n">
        <f aca="false">D1808*E1808</f>
        <v>147.08</v>
      </c>
      <c r="G1808" s="7" t="n">
        <v>218</v>
      </c>
      <c r="H1808" s="9" t="n">
        <f aca="false">IF(G1808&gt;0,D1808/G1808,"")</f>
        <v>18.743119266055</v>
      </c>
      <c r="I1808" s="10" t="n">
        <v>46279</v>
      </c>
      <c r="J1808" s="3" t="s">
        <v>2470</v>
      </c>
      <c r="K1808" s="10" t="n">
        <v>45093</v>
      </c>
      <c r="L1808" s="3" t="s">
        <v>21</v>
      </c>
      <c r="M1808" s="7" t="n">
        <v>5000</v>
      </c>
      <c r="N1808" s="8" t="n">
        <v>0.036</v>
      </c>
      <c r="O1808" s="4" t="n">
        <f aca="false">M1808*N1808</f>
        <v>180</v>
      </c>
    </row>
    <row r="1809" customFormat="false" ht="15" hidden="false" customHeight="false" outlineLevel="0" collapsed="false">
      <c r="A1809" s="0" t="s">
        <v>2775</v>
      </c>
      <c r="C1809" s="0" t="s">
        <v>31</v>
      </c>
      <c r="D1809" s="7" t="n">
        <v>22695</v>
      </c>
      <c r="E1809" s="8" t="n">
        <v>0.00647543511786737</v>
      </c>
      <c r="F1809" s="4" t="n">
        <f aca="false">D1809*E1809</f>
        <v>146.96</v>
      </c>
      <c r="G1809" s="7" t="n">
        <v>614</v>
      </c>
      <c r="H1809" s="9" t="n">
        <f aca="false">IF(G1809&gt;0,D1809/G1809,"")</f>
        <v>36.9625407166124</v>
      </c>
      <c r="I1809" s="10" t="n">
        <v>46247</v>
      </c>
      <c r="K1809" s="10"/>
      <c r="M1809" s="7"/>
      <c r="N1809" s="8"/>
      <c r="O1809" s="4"/>
    </row>
    <row r="1810" customFormat="false" ht="15" hidden="false" customHeight="false" outlineLevel="0" collapsed="false">
      <c r="A1810" s="0" t="s">
        <v>2776</v>
      </c>
      <c r="C1810" s="0" t="s">
        <v>31</v>
      </c>
      <c r="D1810" s="7" t="n">
        <v>6023</v>
      </c>
      <c r="E1810" s="8" t="n">
        <v>0.024399800763739</v>
      </c>
      <c r="F1810" s="4" t="n">
        <f aca="false">D1810*E1810</f>
        <v>146.96</v>
      </c>
      <c r="G1810" s="7" t="n">
        <v>95</v>
      </c>
      <c r="H1810" s="9" t="n">
        <f aca="false">IF(G1810&gt;0,D1810/G1810,"")</f>
        <v>63.4</v>
      </c>
      <c r="I1810" s="10" t="n">
        <v>46234</v>
      </c>
      <c r="J1810" s="3" t="s">
        <v>2777</v>
      </c>
      <c r="K1810" s="10" t="n">
        <v>45763</v>
      </c>
      <c r="L1810" s="3" t="s">
        <v>16</v>
      </c>
      <c r="M1810" s="7" t="n">
        <v>6150</v>
      </c>
      <c r="N1810" s="8" t="n">
        <v>0.0244</v>
      </c>
      <c r="O1810" s="4" t="n">
        <f aca="false">M1810*N1810</f>
        <v>150.06</v>
      </c>
    </row>
    <row r="1811" customFormat="false" ht="15" hidden="false" customHeight="false" outlineLevel="0" collapsed="false">
      <c r="A1811" s="0" t="s">
        <v>2778</v>
      </c>
      <c r="C1811" s="0" t="s">
        <v>37</v>
      </c>
      <c r="D1811" s="7" t="n">
        <v>510</v>
      </c>
      <c r="E1811" s="8" t="n">
        <v>0.288019607843137</v>
      </c>
      <c r="F1811" s="4" t="n">
        <f aca="false">D1811*E1811</f>
        <v>146.89</v>
      </c>
      <c r="G1811" s="7" t="n">
        <v>10</v>
      </c>
      <c r="H1811" s="9" t="n">
        <f aca="false">IF(G1811&gt;0,D1811/G1811,"")</f>
        <v>51</v>
      </c>
      <c r="I1811" s="10" t="n">
        <v>46248</v>
      </c>
      <c r="J1811" s="3" t="s">
        <v>341</v>
      </c>
      <c r="K1811" s="10" t="n">
        <v>46078</v>
      </c>
      <c r="L1811" s="3" t="s">
        <v>15</v>
      </c>
      <c r="M1811" s="7" t="n">
        <v>8</v>
      </c>
      <c r="N1811" s="8" t="n">
        <v>0.33044</v>
      </c>
      <c r="O1811" s="4" t="n">
        <f aca="false">M1811*N1811</f>
        <v>2.64352</v>
      </c>
    </row>
    <row r="1812" customFormat="false" ht="15" hidden="false" customHeight="false" outlineLevel="0" collapsed="false">
      <c r="A1812" s="0" t="s">
        <v>2779</v>
      </c>
      <c r="C1812" s="0" t="s">
        <v>340</v>
      </c>
      <c r="D1812" s="7" t="n">
        <v>2715</v>
      </c>
      <c r="E1812" s="8" t="n">
        <v>0.0541031307550645</v>
      </c>
      <c r="F1812" s="4" t="n">
        <f aca="false">D1812*E1812</f>
        <v>146.89</v>
      </c>
      <c r="G1812" s="7" t="n">
        <v>100</v>
      </c>
      <c r="H1812" s="9" t="n">
        <f aca="false">IF(G1812&gt;0,D1812/G1812,"")</f>
        <v>27.15</v>
      </c>
      <c r="I1812" s="10" t="n">
        <v>46304</v>
      </c>
      <c r="J1812" s="3" t="s">
        <v>2780</v>
      </c>
      <c r="K1812" s="10" t="n">
        <v>46043</v>
      </c>
      <c r="L1812" s="3" t="s">
        <v>16</v>
      </c>
      <c r="M1812" s="7" t="n">
        <v>2815</v>
      </c>
      <c r="N1812" s="8" t="n">
        <v>0.0541</v>
      </c>
      <c r="O1812" s="4" t="n">
        <f aca="false">M1812*N1812</f>
        <v>152.2915</v>
      </c>
    </row>
    <row r="1813" customFormat="false" ht="15" hidden="false" customHeight="false" outlineLevel="0" collapsed="false">
      <c r="A1813" s="0" t="s">
        <v>2781</v>
      </c>
      <c r="C1813" s="0" t="s">
        <v>33</v>
      </c>
      <c r="D1813" s="7" t="n">
        <v>6586</v>
      </c>
      <c r="E1813" s="8" t="n">
        <v>0.0222912238080777</v>
      </c>
      <c r="F1813" s="4" t="n">
        <f aca="false">D1813*E1813</f>
        <v>146.81</v>
      </c>
      <c r="G1813" s="7" t="n">
        <v>1906</v>
      </c>
      <c r="H1813" s="9" t="n">
        <f aca="false">IF(G1813&gt;0,D1813/G1813,"")</f>
        <v>3.45540398740818</v>
      </c>
      <c r="I1813" s="10" t="n">
        <v>46301</v>
      </c>
      <c r="J1813" s="3" t="s">
        <v>1883</v>
      </c>
      <c r="K1813" s="10" t="n">
        <v>44845</v>
      </c>
      <c r="L1813" s="3" t="s">
        <v>14</v>
      </c>
      <c r="M1813" s="7" t="n">
        <v>5309</v>
      </c>
      <c r="N1813" s="8" t="n">
        <v>0</v>
      </c>
      <c r="O1813" s="4" t="n">
        <v>127.1516</v>
      </c>
    </row>
    <row r="1814" customFormat="false" ht="15" hidden="false" customHeight="false" outlineLevel="0" collapsed="false">
      <c r="A1814" s="0" t="s">
        <v>2782</v>
      </c>
      <c r="C1814" s="0" t="s">
        <v>31</v>
      </c>
      <c r="D1814" s="7" t="n">
        <v>2862</v>
      </c>
      <c r="E1814" s="8" t="n">
        <v>0.0512159329140461</v>
      </c>
      <c r="F1814" s="4" t="n">
        <f aca="false">D1814*E1814</f>
        <v>146.58</v>
      </c>
      <c r="G1814" s="7" t="n">
        <v>112</v>
      </c>
      <c r="H1814" s="9" t="n">
        <f aca="false">IF(G1814&gt;0,D1814/G1814,"")</f>
        <v>25.5535714285714</v>
      </c>
      <c r="I1814" s="10" t="n">
        <v>46294</v>
      </c>
      <c r="K1814" s="10"/>
      <c r="M1814" s="7"/>
      <c r="N1814" s="8"/>
      <c r="O1814" s="4"/>
    </row>
    <row r="1815" customFormat="false" ht="15" hidden="false" customHeight="false" outlineLevel="0" collapsed="false">
      <c r="A1815" s="0" t="s">
        <v>2783</v>
      </c>
      <c r="C1815" s="0" t="s">
        <v>615</v>
      </c>
      <c r="D1815" s="7" t="n">
        <v>488</v>
      </c>
      <c r="E1815" s="8" t="n">
        <v>0.3</v>
      </c>
      <c r="F1815" s="4" t="n">
        <f aca="false">D1815*E1815</f>
        <v>146.4</v>
      </c>
      <c r="G1815" s="7" t="n">
        <v>2</v>
      </c>
      <c r="H1815" s="9" t="n">
        <f aca="false">IF(G1815&gt;0,D1815/G1815,"")</f>
        <v>244</v>
      </c>
      <c r="I1815" s="10" t="n">
        <v>46139</v>
      </c>
      <c r="J1815" s="3" t="s">
        <v>990</v>
      </c>
      <c r="K1815" s="10" t="n">
        <v>44235</v>
      </c>
      <c r="L1815" s="3" t="s">
        <v>15</v>
      </c>
      <c r="M1815" s="7" t="n">
        <v>610</v>
      </c>
      <c r="N1815" s="8" t="n">
        <v>0.3</v>
      </c>
      <c r="O1815" s="4" t="n">
        <f aca="false">M1815*N1815</f>
        <v>183</v>
      </c>
    </row>
    <row r="1816" customFormat="false" ht="15" hidden="false" customHeight="false" outlineLevel="0" collapsed="false">
      <c r="A1816" s="0" t="s">
        <v>2784</v>
      </c>
      <c r="C1816" s="0" t="s">
        <v>34</v>
      </c>
      <c r="D1816" s="7" t="n">
        <v>862</v>
      </c>
      <c r="E1816" s="8" t="n">
        <v>0.169791183294664</v>
      </c>
      <c r="F1816" s="4" t="n">
        <f aca="false">D1816*E1816</f>
        <v>146.36</v>
      </c>
      <c r="G1816" s="7" t="n">
        <v>185</v>
      </c>
      <c r="H1816" s="9" t="n">
        <f aca="false">IF(G1816&gt;0,D1816/G1816,"")</f>
        <v>4.65945945945946</v>
      </c>
      <c r="I1816" s="10" t="n">
        <v>46251</v>
      </c>
      <c r="K1816" s="10"/>
      <c r="M1816" s="7"/>
      <c r="N1816" s="8"/>
      <c r="O1816" s="4"/>
    </row>
    <row r="1817" customFormat="false" ht="15" hidden="false" customHeight="false" outlineLevel="0" collapsed="false">
      <c r="A1817" s="0" t="s">
        <v>2785</v>
      </c>
      <c r="C1817" s="0" t="s">
        <v>855</v>
      </c>
      <c r="D1817" s="7" t="n">
        <v>44232</v>
      </c>
      <c r="E1817" s="8" t="n">
        <v>0.00330529933080123</v>
      </c>
      <c r="F1817" s="4" t="n">
        <f aca="false">D1817*E1817</f>
        <v>146.2</v>
      </c>
      <c r="G1817" s="7" t="n">
        <v>11295</v>
      </c>
      <c r="H1817" s="9" t="n">
        <f aca="false">IF(G1817&gt;0,D1817/G1817,"")</f>
        <v>3.91606905710491</v>
      </c>
      <c r="I1817" s="10" t="n">
        <v>46283</v>
      </c>
      <c r="J1817" s="3" t="s">
        <v>1576</v>
      </c>
      <c r="K1817" s="10" t="n">
        <v>46196</v>
      </c>
      <c r="L1817" s="3" t="s">
        <v>16</v>
      </c>
      <c r="M1817" s="7" t="n">
        <v>45500</v>
      </c>
      <c r="N1817" s="8" t="n">
        <v>0.0033</v>
      </c>
      <c r="O1817" s="4" t="n">
        <f aca="false">M1817*N1817</f>
        <v>150.15</v>
      </c>
    </row>
    <row r="1818" customFormat="false" ht="15" hidden="false" customHeight="false" outlineLevel="0" collapsed="false">
      <c r="A1818" s="0" t="s">
        <v>2786</v>
      </c>
      <c r="C1818" s="0" t="s">
        <v>855</v>
      </c>
      <c r="D1818" s="7" t="n">
        <v>20306</v>
      </c>
      <c r="E1818" s="8" t="n">
        <v>0.00719984241111002</v>
      </c>
      <c r="F1818" s="4" t="n">
        <f aca="false">D1818*E1818</f>
        <v>146.2</v>
      </c>
      <c r="G1818" s="7" t="n">
        <v>544</v>
      </c>
      <c r="H1818" s="9" t="n">
        <f aca="false">IF(G1818&gt;0,D1818/G1818,"")</f>
        <v>37.3272058823529</v>
      </c>
      <c r="I1818" s="10" t="n">
        <v>46057</v>
      </c>
      <c r="J1818" s="3" t="s">
        <v>2787</v>
      </c>
      <c r="K1818" s="10" t="n">
        <v>45972</v>
      </c>
      <c r="L1818" s="3" t="s">
        <v>16</v>
      </c>
      <c r="M1818" s="7" t="n">
        <v>20850</v>
      </c>
      <c r="N1818" s="8" t="n">
        <v>0.0072</v>
      </c>
      <c r="O1818" s="4" t="n">
        <f aca="false">M1818*N1818</f>
        <v>150.12</v>
      </c>
    </row>
    <row r="1819" customFormat="false" ht="15" hidden="false" customHeight="false" outlineLevel="0" collapsed="false">
      <c r="A1819" s="0" t="s">
        <v>2788</v>
      </c>
      <c r="C1819" s="0" t="s">
        <v>855</v>
      </c>
      <c r="D1819" s="7" t="n">
        <v>4921</v>
      </c>
      <c r="E1819" s="8" t="n">
        <v>0.029701280227596</v>
      </c>
      <c r="F1819" s="4" t="n">
        <f aca="false">D1819*E1819</f>
        <v>146.16</v>
      </c>
      <c r="G1819" s="7" t="n">
        <v>1685</v>
      </c>
      <c r="H1819" s="9" t="n">
        <f aca="false">IF(G1819&gt;0,D1819/G1819,"")</f>
        <v>2.92047477744807</v>
      </c>
      <c r="I1819" s="10" t="n">
        <v>46190</v>
      </c>
      <c r="J1819" s="3" t="s">
        <v>2789</v>
      </c>
      <c r="K1819" s="10" t="n">
        <v>44256</v>
      </c>
      <c r="L1819" s="3" t="s">
        <v>15</v>
      </c>
      <c r="M1819" s="7" t="n">
        <v>6769</v>
      </c>
      <c r="N1819" s="8" t="n">
        <v>0.0297</v>
      </c>
      <c r="O1819" s="4" t="n">
        <f aca="false">M1819*N1819</f>
        <v>201.0393</v>
      </c>
    </row>
    <row r="1820" customFormat="false" ht="15" hidden="false" customHeight="false" outlineLevel="0" collapsed="false">
      <c r="A1820" s="0" t="s">
        <v>2790</v>
      </c>
      <c r="C1820" s="0" t="s">
        <v>118</v>
      </c>
      <c r="D1820" s="7" t="n">
        <v>572</v>
      </c>
      <c r="E1820" s="8" t="n">
        <v>0.25541958041958</v>
      </c>
      <c r="F1820" s="4" t="n">
        <f aca="false">D1820*E1820</f>
        <v>146.1</v>
      </c>
      <c r="G1820" s="7" t="n">
        <v>4</v>
      </c>
      <c r="H1820" s="9" t="n">
        <f aca="false">IF(G1820&gt;0,D1820/G1820,"")</f>
        <v>143</v>
      </c>
      <c r="I1820" s="10" t="n">
        <v>45996</v>
      </c>
      <c r="K1820" s="10"/>
      <c r="M1820" s="7"/>
      <c r="N1820" s="8"/>
      <c r="O1820" s="4"/>
    </row>
    <row r="1821" customFormat="false" ht="15" hidden="false" customHeight="false" outlineLevel="0" collapsed="false">
      <c r="A1821" s="0" t="s">
        <v>2791</v>
      </c>
      <c r="C1821" s="0" t="s">
        <v>36</v>
      </c>
      <c r="D1821" s="7" t="n">
        <v>2972</v>
      </c>
      <c r="E1821" s="8" t="n">
        <v>0.0491520861372813</v>
      </c>
      <c r="F1821" s="4" t="n">
        <f aca="false">D1821*E1821</f>
        <v>146.08</v>
      </c>
      <c r="G1821" s="7" t="n">
        <v>2246</v>
      </c>
      <c r="H1821" s="9" t="n">
        <f aca="false">IF(G1821&gt;0,D1821/G1821,"")</f>
        <v>1.32324131789849</v>
      </c>
      <c r="I1821" s="10" t="n">
        <v>46317</v>
      </c>
      <c r="J1821" s="3" t="s">
        <v>2353</v>
      </c>
      <c r="K1821" s="10" t="n">
        <v>44246</v>
      </c>
      <c r="L1821" s="3" t="s">
        <v>15</v>
      </c>
      <c r="M1821" s="7" t="n">
        <v>10000</v>
      </c>
      <c r="N1821" s="8" t="n">
        <v>0.04915</v>
      </c>
      <c r="O1821" s="4" t="n">
        <f aca="false">M1821*N1821</f>
        <v>491.5</v>
      </c>
    </row>
    <row r="1822" customFormat="false" ht="15" hidden="false" customHeight="false" outlineLevel="0" collapsed="false">
      <c r="A1822" s="0" t="s">
        <v>2792</v>
      </c>
      <c r="C1822" s="0" t="s">
        <v>31</v>
      </c>
      <c r="D1822" s="7" t="n">
        <v>58417</v>
      </c>
      <c r="E1822" s="8" t="n">
        <v>0.00250012838728452</v>
      </c>
      <c r="F1822" s="4" t="n">
        <f aca="false">D1822*E1822</f>
        <v>146.05</v>
      </c>
      <c r="G1822" s="7" t="n">
        <v>3064</v>
      </c>
      <c r="H1822" s="9" t="n">
        <f aca="false">IF(G1822&gt;0,D1822/G1822,"")</f>
        <v>19.0656005221932</v>
      </c>
      <c r="I1822" s="10" t="n">
        <v>46304</v>
      </c>
      <c r="J1822" s="3" t="s">
        <v>1209</v>
      </c>
      <c r="K1822" s="10" t="n">
        <v>45993</v>
      </c>
      <c r="L1822" s="3" t="s">
        <v>16</v>
      </c>
      <c r="M1822" s="7" t="n">
        <v>60000</v>
      </c>
      <c r="N1822" s="8" t="n">
        <v>0.0025</v>
      </c>
      <c r="O1822" s="4" t="n">
        <f aca="false">M1822*N1822</f>
        <v>150</v>
      </c>
    </row>
    <row r="1823" customFormat="false" ht="15" hidden="false" customHeight="false" outlineLevel="0" collapsed="false">
      <c r="A1823" s="0" t="s">
        <v>2793</v>
      </c>
      <c r="C1823" s="0" t="s">
        <v>31</v>
      </c>
      <c r="D1823" s="7" t="n">
        <v>8388</v>
      </c>
      <c r="E1823" s="8" t="n">
        <v>0.0173998569384836</v>
      </c>
      <c r="F1823" s="4" t="n">
        <f aca="false">D1823*E1823</f>
        <v>145.95</v>
      </c>
      <c r="G1823" s="7" t="n">
        <v>968</v>
      </c>
      <c r="H1823" s="9" t="n">
        <f aca="false">IF(G1823&gt;0,D1823/G1823,"")</f>
        <v>8.66528925619835</v>
      </c>
      <c r="I1823" s="10" t="n">
        <v>46290</v>
      </c>
      <c r="J1823" s="3" t="s">
        <v>2417</v>
      </c>
      <c r="K1823" s="10" t="n">
        <v>46049</v>
      </c>
      <c r="L1823" s="3" t="s">
        <v>19</v>
      </c>
      <c r="M1823" s="7" t="n">
        <v>500</v>
      </c>
      <c r="N1823" s="8" t="n">
        <v>0.0397</v>
      </c>
      <c r="O1823" s="4" t="n">
        <f aca="false">M1823*N1823</f>
        <v>19.85</v>
      </c>
    </row>
    <row r="1824" customFormat="false" ht="15" hidden="false" customHeight="false" outlineLevel="0" collapsed="false">
      <c r="A1824" s="0" t="s">
        <v>2794</v>
      </c>
      <c r="C1824" s="0" t="s">
        <v>61</v>
      </c>
      <c r="D1824" s="7" t="n">
        <v>39</v>
      </c>
      <c r="E1824" s="8" t="n">
        <v>3.74230769230769</v>
      </c>
      <c r="F1824" s="4" t="n">
        <f aca="false">D1824*E1824</f>
        <v>145.95</v>
      </c>
      <c r="G1824" s="7" t="n">
        <v>18</v>
      </c>
      <c r="H1824" s="9" t="n">
        <f aca="false">IF(G1824&gt;0,D1824/G1824,"")</f>
        <v>2.16666666666667</v>
      </c>
      <c r="I1824" s="10" t="n">
        <v>46069</v>
      </c>
      <c r="J1824" s="3" t="s">
        <v>2348</v>
      </c>
      <c r="K1824" s="10" t="n">
        <v>45789</v>
      </c>
      <c r="L1824" s="3" t="s">
        <v>14</v>
      </c>
      <c r="M1824" s="7" t="n">
        <v>57</v>
      </c>
      <c r="N1824" s="8" t="n">
        <v>3.7422</v>
      </c>
      <c r="O1824" s="4" t="n">
        <f aca="false">M1824*N1824</f>
        <v>213.3054</v>
      </c>
    </row>
    <row r="1825" customFormat="false" ht="15" hidden="false" customHeight="false" outlineLevel="0" collapsed="false">
      <c r="A1825" s="0" t="s">
        <v>2795</v>
      </c>
      <c r="C1825" s="0" t="s">
        <v>741</v>
      </c>
      <c r="D1825" s="7" t="n">
        <v>1181</v>
      </c>
      <c r="E1825" s="8" t="n">
        <v>0.123403895004234</v>
      </c>
      <c r="F1825" s="4" t="n">
        <f aca="false">D1825*E1825</f>
        <v>145.74</v>
      </c>
      <c r="G1825" s="7" t="n">
        <v>20</v>
      </c>
      <c r="H1825" s="9" t="n">
        <f aca="false">IF(G1825&gt;0,D1825/G1825,"")</f>
        <v>59.05</v>
      </c>
      <c r="I1825" s="10" t="n">
        <v>46112</v>
      </c>
      <c r="J1825" s="3" t="s">
        <v>2796</v>
      </c>
      <c r="K1825" s="10" t="n">
        <v>45632</v>
      </c>
      <c r="L1825" s="3" t="s">
        <v>27</v>
      </c>
      <c r="M1825" s="7" t="n">
        <v>810</v>
      </c>
      <c r="N1825" s="8" t="n">
        <v>0.1246</v>
      </c>
      <c r="O1825" s="4" t="n">
        <f aca="false">M1825*N1825</f>
        <v>100.926</v>
      </c>
    </row>
    <row r="1826" customFormat="false" ht="15" hidden="false" customHeight="false" outlineLevel="0" collapsed="false">
      <c r="A1826" s="0" t="s">
        <v>2797</v>
      </c>
      <c r="C1826" s="0" t="s">
        <v>34</v>
      </c>
      <c r="D1826" s="7" t="n">
        <v>8470</v>
      </c>
      <c r="E1826" s="8" t="n">
        <v>0.0171711924439197</v>
      </c>
      <c r="F1826" s="4" t="n">
        <f aca="false">D1826*E1826</f>
        <v>145.44</v>
      </c>
      <c r="G1826" s="7" t="n">
        <v>496</v>
      </c>
      <c r="H1826" s="9" t="n">
        <f aca="false">IF(G1826&gt;0,D1826/G1826,"")</f>
        <v>17.0766129032258</v>
      </c>
      <c r="I1826" s="10" t="n">
        <v>46279</v>
      </c>
      <c r="J1826" s="3" t="s">
        <v>628</v>
      </c>
      <c r="K1826" s="10" t="n">
        <v>46128</v>
      </c>
      <c r="L1826" s="3" t="s">
        <v>16</v>
      </c>
      <c r="M1826" s="7" t="n">
        <v>8675</v>
      </c>
      <c r="N1826" s="8" t="n">
        <v>0.0173</v>
      </c>
      <c r="O1826" s="4" t="n">
        <f aca="false">M1826*N1826</f>
        <v>150.0775</v>
      </c>
    </row>
    <row r="1827" customFormat="false" ht="15" hidden="false" customHeight="false" outlineLevel="0" collapsed="false">
      <c r="A1827" s="0" t="s">
        <v>2798</v>
      </c>
      <c r="C1827" s="0" t="s">
        <v>41</v>
      </c>
      <c r="D1827" s="7" t="n">
        <v>4779</v>
      </c>
      <c r="E1827" s="8" t="n">
        <v>0.0303996652019251</v>
      </c>
      <c r="F1827" s="4" t="n">
        <f aca="false">D1827*E1827</f>
        <v>145.28</v>
      </c>
      <c r="G1827" s="7" t="n">
        <v>580</v>
      </c>
      <c r="H1827" s="9" t="n">
        <f aca="false">IF(G1827&gt;0,D1827/G1827,"")</f>
        <v>8.23965517241379</v>
      </c>
      <c r="I1827" s="10" t="n">
        <v>46279</v>
      </c>
      <c r="J1827" s="3" t="s">
        <v>2716</v>
      </c>
      <c r="K1827" s="10" t="n">
        <v>46160</v>
      </c>
      <c r="L1827" s="3" t="s">
        <v>16</v>
      </c>
      <c r="M1827" s="7" t="n">
        <v>5000</v>
      </c>
      <c r="N1827" s="8" t="n">
        <v>0.0304</v>
      </c>
      <c r="O1827" s="4" t="n">
        <f aca="false">M1827*N1827</f>
        <v>152</v>
      </c>
    </row>
    <row r="1828" customFormat="false" ht="15" hidden="false" customHeight="false" outlineLevel="0" collapsed="false">
      <c r="A1828" s="0" t="s">
        <v>2799</v>
      </c>
      <c r="C1828" s="0" t="s">
        <v>31</v>
      </c>
      <c r="D1828" s="7" t="n">
        <v>58120</v>
      </c>
      <c r="E1828" s="8" t="n">
        <v>0.00249827942188575</v>
      </c>
      <c r="F1828" s="4" t="n">
        <f aca="false">D1828*E1828</f>
        <v>145.2</v>
      </c>
      <c r="G1828" s="7" t="n">
        <v>3917</v>
      </c>
      <c r="H1828" s="9" t="n">
        <f aca="false">IF(G1828&gt;0,D1828/G1828,"")</f>
        <v>14.83788613735</v>
      </c>
      <c r="I1828" s="10" t="n">
        <v>46308</v>
      </c>
      <c r="J1828" s="3" t="s">
        <v>2716</v>
      </c>
      <c r="K1828" s="10" t="n">
        <v>46160</v>
      </c>
      <c r="L1828" s="3" t="s">
        <v>16</v>
      </c>
      <c r="M1828" s="7" t="n">
        <v>60000</v>
      </c>
      <c r="N1828" s="8" t="n">
        <v>0.0025</v>
      </c>
      <c r="O1828" s="4" t="n">
        <f aca="false">M1828*N1828</f>
        <v>150</v>
      </c>
    </row>
    <row r="1829" customFormat="false" ht="15" hidden="false" customHeight="false" outlineLevel="0" collapsed="false">
      <c r="A1829" s="0" t="s">
        <v>2800</v>
      </c>
      <c r="C1829" s="0" t="s">
        <v>37</v>
      </c>
      <c r="D1829" s="7" t="n">
        <v>1896</v>
      </c>
      <c r="E1829" s="8" t="n">
        <v>0.0765664556962025</v>
      </c>
      <c r="F1829" s="4" t="n">
        <f aca="false">D1829*E1829</f>
        <v>145.17</v>
      </c>
      <c r="G1829" s="7" t="n">
        <v>113</v>
      </c>
      <c r="H1829" s="9" t="n">
        <f aca="false">IF(G1829&gt;0,D1829/G1829,"")</f>
        <v>16.7787610619469</v>
      </c>
      <c r="I1829" s="10" t="n">
        <v>46237</v>
      </c>
      <c r="J1829" s="3" t="s">
        <v>1936</v>
      </c>
      <c r="K1829" s="10" t="n">
        <v>45057</v>
      </c>
      <c r="L1829" s="3" t="s">
        <v>15</v>
      </c>
      <c r="M1829" s="7" t="n">
        <v>2335</v>
      </c>
      <c r="N1829" s="8" t="n">
        <v>0.07658</v>
      </c>
      <c r="O1829" s="4" t="n">
        <f aca="false">M1829*N1829</f>
        <v>178.8143</v>
      </c>
    </row>
    <row r="1830" customFormat="false" ht="15" hidden="false" customHeight="false" outlineLevel="0" collapsed="false">
      <c r="A1830" s="0" t="s">
        <v>2801</v>
      </c>
      <c r="C1830" s="0" t="s">
        <v>38</v>
      </c>
      <c r="D1830" s="7" t="n">
        <v>61445</v>
      </c>
      <c r="E1830" s="8" t="n">
        <v>0.00235902026202295</v>
      </c>
      <c r="F1830" s="4" t="n">
        <f aca="false">D1830*E1830</f>
        <v>144.95</v>
      </c>
      <c r="G1830" s="7" t="n">
        <v>4841</v>
      </c>
      <c r="H1830" s="9" t="n">
        <f aca="false">IF(G1830&gt;0,D1830/G1830,"")</f>
        <v>12.6926254906011</v>
      </c>
      <c r="I1830" s="10" t="n">
        <v>46317</v>
      </c>
      <c r="J1830" s="3" t="s">
        <v>131</v>
      </c>
      <c r="K1830" s="10" t="n">
        <v>44719</v>
      </c>
      <c r="L1830" s="3" t="s">
        <v>15</v>
      </c>
      <c r="M1830" s="7" t="n">
        <v>10900</v>
      </c>
      <c r="N1830" s="8" t="n">
        <v>0.00264</v>
      </c>
      <c r="O1830" s="4" t="n">
        <f aca="false">M1830*N1830</f>
        <v>28.776</v>
      </c>
    </row>
    <row r="1831" customFormat="false" ht="15" hidden="false" customHeight="false" outlineLevel="0" collapsed="false">
      <c r="A1831" s="0" t="s">
        <v>2802</v>
      </c>
      <c r="C1831" s="0" t="s">
        <v>34</v>
      </c>
      <c r="D1831" s="7" t="n">
        <v>5917</v>
      </c>
      <c r="E1831" s="8" t="n">
        <v>0.0244972114247085</v>
      </c>
      <c r="F1831" s="4" t="n">
        <f aca="false">D1831*E1831</f>
        <v>144.95</v>
      </c>
      <c r="G1831" s="7" t="n">
        <v>941</v>
      </c>
      <c r="H1831" s="9" t="n">
        <f aca="false">IF(G1831&gt;0,D1831/G1831,"")</f>
        <v>6.28799149840595</v>
      </c>
      <c r="I1831" s="10" t="n">
        <v>46294</v>
      </c>
      <c r="J1831" s="3" t="s">
        <v>1192</v>
      </c>
      <c r="K1831" s="10" t="n">
        <v>45736</v>
      </c>
      <c r="L1831" s="3" t="s">
        <v>26</v>
      </c>
      <c r="M1831" s="7" t="n">
        <v>200</v>
      </c>
      <c r="N1831" s="8" t="n">
        <v>0.0581</v>
      </c>
      <c r="O1831" s="4" t="n">
        <f aca="false">M1831*N1831</f>
        <v>11.62</v>
      </c>
    </row>
    <row r="1832" customFormat="false" ht="15" hidden="false" customHeight="false" outlineLevel="0" collapsed="false">
      <c r="A1832" s="0" t="s">
        <v>2803</v>
      </c>
      <c r="C1832" s="0" t="s">
        <v>118</v>
      </c>
      <c r="D1832" s="7" t="n">
        <v>7395</v>
      </c>
      <c r="E1832" s="8" t="n">
        <v>0.0196010818120352</v>
      </c>
      <c r="F1832" s="4" t="n">
        <f aca="false">D1832*E1832</f>
        <v>144.95</v>
      </c>
      <c r="G1832" s="7" t="n">
        <v>320</v>
      </c>
      <c r="H1832" s="9" t="n">
        <f aca="false">IF(G1832&gt;0,D1832/G1832,"")</f>
        <v>23.109375</v>
      </c>
      <c r="I1832" s="10" t="n">
        <v>46308</v>
      </c>
      <c r="J1832" s="3" t="s">
        <v>457</v>
      </c>
      <c r="K1832" s="10" t="n">
        <v>45866</v>
      </c>
      <c r="L1832" s="3" t="s">
        <v>16</v>
      </c>
      <c r="M1832" s="7" t="n">
        <v>7700</v>
      </c>
      <c r="N1832" s="8" t="n">
        <v>0.0196</v>
      </c>
      <c r="O1832" s="4" t="n">
        <f aca="false">M1832*N1832</f>
        <v>150.92</v>
      </c>
    </row>
    <row r="1833" customFormat="false" ht="15" hidden="false" customHeight="false" outlineLevel="0" collapsed="false">
      <c r="A1833" s="0" t="s">
        <v>2804</v>
      </c>
      <c r="C1833" s="0" t="s">
        <v>32</v>
      </c>
      <c r="D1833" s="7" t="n">
        <v>5580</v>
      </c>
      <c r="E1833" s="8" t="n">
        <v>0.0259731182795699</v>
      </c>
      <c r="F1833" s="4" t="n">
        <f aca="false">D1833*E1833</f>
        <v>144.93</v>
      </c>
      <c r="G1833" s="7" t="n">
        <v>3305</v>
      </c>
      <c r="H1833" s="9" t="n">
        <f aca="false">IF(G1833&gt;0,D1833/G1833,"")</f>
        <v>1.68835098335855</v>
      </c>
      <c r="I1833" s="10" t="n">
        <v>46308</v>
      </c>
      <c r="J1833" s="3" t="s">
        <v>566</v>
      </c>
      <c r="K1833" s="10" t="n">
        <v>46204</v>
      </c>
      <c r="L1833" s="3" t="s">
        <v>14</v>
      </c>
      <c r="M1833" s="7" t="n">
        <v>5000</v>
      </c>
      <c r="N1833" s="8" t="n">
        <v>0.0257</v>
      </c>
      <c r="O1833" s="4" t="n">
        <f aca="false">M1833*N1833</f>
        <v>128.5</v>
      </c>
    </row>
    <row r="1834" customFormat="false" ht="15" hidden="false" customHeight="false" outlineLevel="0" collapsed="false">
      <c r="A1834" s="0" t="s">
        <v>2805</v>
      </c>
      <c r="C1834" s="0" t="s">
        <v>340</v>
      </c>
      <c r="D1834" s="7" t="n">
        <v>24992</v>
      </c>
      <c r="E1834" s="8" t="n">
        <v>0.00579745518565941</v>
      </c>
      <c r="F1834" s="4" t="n">
        <f aca="false">D1834*E1834</f>
        <v>144.89</v>
      </c>
      <c r="G1834" s="7" t="n">
        <v>5070</v>
      </c>
      <c r="H1834" s="9" t="n">
        <f aca="false">IF(G1834&gt;0,D1834/G1834,"")</f>
        <v>4.92938856015779</v>
      </c>
      <c r="I1834" s="10" t="n">
        <v>46314</v>
      </c>
      <c r="J1834" s="3" t="s">
        <v>570</v>
      </c>
      <c r="K1834" s="10" t="n">
        <v>46106</v>
      </c>
      <c r="L1834" s="3" t="s">
        <v>16</v>
      </c>
      <c r="M1834" s="7" t="n">
        <v>27832</v>
      </c>
      <c r="N1834" s="8" t="n">
        <v>0.0059</v>
      </c>
      <c r="O1834" s="4" t="n">
        <f aca="false">M1834*N1834</f>
        <v>164.2088</v>
      </c>
    </row>
    <row r="1835" customFormat="false" ht="15" hidden="false" customHeight="false" outlineLevel="0" collapsed="false">
      <c r="A1835" s="0" t="s">
        <v>2806</v>
      </c>
      <c r="C1835" s="0" t="s">
        <v>43</v>
      </c>
      <c r="D1835" s="7" t="n">
        <v>208</v>
      </c>
      <c r="E1835" s="8" t="n">
        <v>0.696298076923077</v>
      </c>
      <c r="F1835" s="4" t="n">
        <f aca="false">D1835*E1835</f>
        <v>144.83</v>
      </c>
      <c r="G1835" s="7" t="n">
        <v>70</v>
      </c>
      <c r="H1835" s="9" t="n">
        <f aca="false">IF(G1835&gt;0,D1835/G1835,"")</f>
        <v>2.97142857142857</v>
      </c>
      <c r="I1835" s="10" t="n">
        <v>46174</v>
      </c>
      <c r="K1835" s="10"/>
      <c r="M1835" s="7"/>
      <c r="N1835" s="8"/>
      <c r="O1835" s="4"/>
    </row>
    <row r="1836" customFormat="false" ht="15" hidden="false" customHeight="false" outlineLevel="0" collapsed="false">
      <c r="A1836" s="0" t="s">
        <v>2807</v>
      </c>
      <c r="C1836" s="0" t="s">
        <v>118</v>
      </c>
      <c r="D1836" s="7" t="n">
        <v>2204</v>
      </c>
      <c r="E1836" s="8" t="n">
        <v>0.0657078039927405</v>
      </c>
      <c r="F1836" s="4" t="n">
        <f aca="false">D1836*E1836</f>
        <v>144.82</v>
      </c>
      <c r="G1836" s="7" t="n">
        <v>576</v>
      </c>
      <c r="H1836" s="9" t="n">
        <f aca="false">IF(G1836&gt;0,D1836/G1836,"")</f>
        <v>3.82638888888889</v>
      </c>
      <c r="I1836" s="10" t="n">
        <v>46293</v>
      </c>
      <c r="J1836" s="3" t="s">
        <v>1959</v>
      </c>
      <c r="K1836" s="10" t="n">
        <v>46164</v>
      </c>
      <c r="L1836" s="3" t="s">
        <v>15</v>
      </c>
      <c r="M1836" s="7" t="n">
        <v>2350</v>
      </c>
      <c r="N1836" s="8" t="n">
        <v>0.0657</v>
      </c>
      <c r="O1836" s="4" t="n">
        <f aca="false">M1836*N1836</f>
        <v>154.395</v>
      </c>
    </row>
    <row r="1837" customFormat="false" ht="15" hidden="false" customHeight="false" outlineLevel="0" collapsed="false">
      <c r="A1837" s="0" t="s">
        <v>2808</v>
      </c>
      <c r="C1837" s="0" t="s">
        <v>370</v>
      </c>
      <c r="D1837" s="7" t="n">
        <v>2226</v>
      </c>
      <c r="E1837" s="8" t="n">
        <v>0.065</v>
      </c>
      <c r="F1837" s="4" t="n">
        <f aca="false">D1837*E1837</f>
        <v>144.69</v>
      </c>
      <c r="G1837" s="7" t="n">
        <v>145</v>
      </c>
      <c r="H1837" s="9" t="n">
        <f aca="false">IF(G1837&gt;0,D1837/G1837,"")</f>
        <v>15.351724137931</v>
      </c>
      <c r="I1837" s="10" t="n">
        <v>46210</v>
      </c>
      <c r="J1837" s="3" t="s">
        <v>2186</v>
      </c>
      <c r="K1837" s="10" t="n">
        <v>44309</v>
      </c>
      <c r="L1837" s="3" t="s">
        <v>21</v>
      </c>
      <c r="M1837" s="7" t="n">
        <v>5000</v>
      </c>
      <c r="N1837" s="8" t="n">
        <v>0.065</v>
      </c>
      <c r="O1837" s="4" t="n">
        <f aca="false">M1837*N1837</f>
        <v>325</v>
      </c>
    </row>
    <row r="1838" customFormat="false" ht="15" hidden="false" customHeight="false" outlineLevel="0" collapsed="false">
      <c r="A1838" s="0" t="s">
        <v>2809</v>
      </c>
      <c r="C1838" s="0" t="s">
        <v>979</v>
      </c>
      <c r="D1838" s="7" t="n">
        <v>1607</v>
      </c>
      <c r="E1838" s="8" t="n">
        <v>0.09</v>
      </c>
      <c r="F1838" s="4" t="n">
        <f aca="false">D1838*E1838</f>
        <v>144.63</v>
      </c>
      <c r="G1838" s="7" t="n">
        <v>1235</v>
      </c>
      <c r="H1838" s="9" t="n">
        <f aca="false">IF(G1838&gt;0,D1838/G1838,"")</f>
        <v>1.30121457489879</v>
      </c>
      <c r="I1838" s="10" t="n">
        <v>46315</v>
      </c>
      <c r="J1838" s="3" t="s">
        <v>114</v>
      </c>
      <c r="K1838" s="10" t="n">
        <v>46224</v>
      </c>
      <c r="L1838" s="3" t="s">
        <v>18</v>
      </c>
      <c r="M1838" s="7" t="n">
        <v>1882</v>
      </c>
      <c r="N1838" s="8" t="n">
        <v>0.0903</v>
      </c>
      <c r="O1838" s="4" t="n">
        <f aca="false">M1838*N1838</f>
        <v>169.9446</v>
      </c>
    </row>
    <row r="1839" customFormat="false" ht="15" hidden="false" customHeight="false" outlineLevel="0" collapsed="false">
      <c r="A1839" s="0" t="s">
        <v>2810</v>
      </c>
      <c r="C1839" s="0" t="s">
        <v>33</v>
      </c>
      <c r="D1839" s="7" t="n">
        <v>2602</v>
      </c>
      <c r="E1839" s="8" t="n">
        <v>0.0555572636433513</v>
      </c>
      <c r="F1839" s="4" t="n">
        <f aca="false">D1839*E1839</f>
        <v>144.56</v>
      </c>
      <c r="G1839" s="7" t="n">
        <v>1345</v>
      </c>
      <c r="H1839" s="9" t="n">
        <f aca="false">IF(G1839&gt;0,D1839/G1839,"")</f>
        <v>1.93457249070632</v>
      </c>
      <c r="I1839" s="10" t="n">
        <v>46283</v>
      </c>
      <c r="J1839" s="3" t="s">
        <v>230</v>
      </c>
      <c r="K1839" s="10" t="n">
        <v>46303</v>
      </c>
      <c r="L1839" s="3" t="s">
        <v>18</v>
      </c>
      <c r="M1839" s="7" t="n">
        <v>980</v>
      </c>
      <c r="N1839" s="8" t="n">
        <v>0.0534</v>
      </c>
      <c r="O1839" s="4" t="n">
        <f aca="false">M1839*N1839</f>
        <v>52.332</v>
      </c>
    </row>
    <row r="1840" customFormat="false" ht="15" hidden="false" customHeight="false" outlineLevel="0" collapsed="false">
      <c r="A1840" s="0" t="s">
        <v>2811</v>
      </c>
      <c r="C1840" s="0" t="s">
        <v>31</v>
      </c>
      <c r="D1840" s="7" t="n">
        <v>14823</v>
      </c>
      <c r="E1840" s="8" t="n">
        <v>0.00974701477433718</v>
      </c>
      <c r="F1840" s="4" t="n">
        <f aca="false">D1840*E1840</f>
        <v>144.48</v>
      </c>
      <c r="G1840" s="7" t="n">
        <v>13443</v>
      </c>
      <c r="H1840" s="9" t="n">
        <f aca="false">IF(G1840&gt;0,D1840/G1840,"")</f>
        <v>1.10265565721937</v>
      </c>
      <c r="I1840" s="10" t="n">
        <v>46309</v>
      </c>
      <c r="J1840" s="3" t="s">
        <v>523</v>
      </c>
      <c r="K1840" s="10" t="n">
        <v>46148</v>
      </c>
      <c r="L1840" s="3" t="s">
        <v>16</v>
      </c>
      <c r="M1840" s="7" t="n">
        <v>15500</v>
      </c>
      <c r="N1840" s="8" t="n">
        <v>0.0097</v>
      </c>
      <c r="O1840" s="4" t="n">
        <f aca="false">M1840*N1840</f>
        <v>150.35</v>
      </c>
    </row>
    <row r="1841" customFormat="false" ht="15" hidden="false" customHeight="false" outlineLevel="0" collapsed="false">
      <c r="A1841" s="0" t="s">
        <v>2812</v>
      </c>
      <c r="C1841" s="0" t="s">
        <v>398</v>
      </c>
      <c r="D1841" s="7" t="n">
        <v>10739</v>
      </c>
      <c r="E1841" s="8" t="n">
        <v>0.013451904274141</v>
      </c>
      <c r="F1841" s="4" t="n">
        <f aca="false">D1841*E1841</f>
        <v>144.46</v>
      </c>
      <c r="G1841" s="7" t="n">
        <v>514</v>
      </c>
      <c r="H1841" s="9" t="n">
        <f aca="false">IF(G1841&gt;0,D1841/G1841,"")</f>
        <v>20.8929961089494</v>
      </c>
      <c r="I1841" s="10" t="n">
        <v>46309</v>
      </c>
      <c r="K1841" s="10"/>
      <c r="M1841" s="7"/>
      <c r="N1841" s="8"/>
      <c r="O1841" s="4"/>
    </row>
    <row r="1842" customFormat="false" ht="15" hidden="false" customHeight="false" outlineLevel="0" collapsed="false">
      <c r="A1842" s="0" t="s">
        <v>2813</v>
      </c>
      <c r="C1842" s="0" t="s">
        <v>45</v>
      </c>
      <c r="D1842" s="7" t="n">
        <v>1190</v>
      </c>
      <c r="E1842" s="8" t="n">
        <v>0.121394957983193</v>
      </c>
      <c r="F1842" s="4" t="n">
        <f aca="false">D1842*E1842</f>
        <v>144.46</v>
      </c>
      <c r="G1842" s="7" t="n">
        <v>810</v>
      </c>
      <c r="H1842" s="9" t="n">
        <f aca="false">IF(G1842&gt;0,D1842/G1842,"")</f>
        <v>1.46913580246914</v>
      </c>
      <c r="I1842" s="10" t="n">
        <v>46293</v>
      </c>
      <c r="J1842" s="3" t="s">
        <v>1423</v>
      </c>
      <c r="K1842" s="10" t="n">
        <v>45786</v>
      </c>
      <c r="L1842" s="3" t="s">
        <v>23</v>
      </c>
      <c r="M1842" s="7" t="n">
        <v>2000</v>
      </c>
      <c r="N1842" s="8" t="n">
        <v>0.1214</v>
      </c>
      <c r="O1842" s="4" t="n">
        <f aca="false">M1842*N1842</f>
        <v>242.8</v>
      </c>
    </row>
    <row r="1843" customFormat="false" ht="15" hidden="false" customHeight="false" outlineLevel="0" collapsed="false">
      <c r="A1843" s="0" t="s">
        <v>2814</v>
      </c>
      <c r="C1843" s="0" t="s">
        <v>1169</v>
      </c>
      <c r="D1843" s="7" t="n">
        <v>390</v>
      </c>
      <c r="E1843" s="8" t="n">
        <v>0.369769230769231</v>
      </c>
      <c r="F1843" s="4" t="n">
        <f aca="false">D1843*E1843</f>
        <v>144.21</v>
      </c>
      <c r="G1843" s="7" t="n">
        <v>200</v>
      </c>
      <c r="H1843" s="9" t="n">
        <f aca="false">IF(G1843&gt;0,D1843/G1843,"")</f>
        <v>1.95</v>
      </c>
      <c r="I1843" s="10" t="n">
        <v>46253</v>
      </c>
      <c r="J1843" s="3" t="s">
        <v>2815</v>
      </c>
      <c r="K1843" s="10" t="n">
        <v>44720</v>
      </c>
      <c r="L1843" s="3" t="s">
        <v>19</v>
      </c>
      <c r="M1843" s="7" t="n">
        <v>809</v>
      </c>
      <c r="N1843" s="8" t="n">
        <v>0</v>
      </c>
      <c r="O1843" s="4" t="n">
        <v>300.748</v>
      </c>
    </row>
    <row r="1844" customFormat="false" ht="15" hidden="false" customHeight="false" outlineLevel="0" collapsed="false">
      <c r="A1844" s="0" t="s">
        <v>2816</v>
      </c>
      <c r="C1844" s="0" t="s">
        <v>31</v>
      </c>
      <c r="D1844" s="7" t="n">
        <v>28621</v>
      </c>
      <c r="E1844" s="8" t="n">
        <v>0.00503790922749031</v>
      </c>
      <c r="F1844" s="4" t="n">
        <f aca="false">D1844*E1844</f>
        <v>144.19</v>
      </c>
      <c r="G1844" s="7" t="n">
        <v>1975</v>
      </c>
      <c r="H1844" s="9" t="n">
        <f aca="false">IF(G1844&gt;0,D1844/G1844,"")</f>
        <v>14.4916455696203</v>
      </c>
      <c r="I1844" s="10" t="n">
        <v>46259</v>
      </c>
      <c r="K1844" s="10"/>
      <c r="M1844" s="7"/>
      <c r="N1844" s="8"/>
      <c r="O1844" s="4"/>
    </row>
    <row r="1845" customFormat="false" ht="15" hidden="false" customHeight="false" outlineLevel="0" collapsed="false">
      <c r="A1845" s="0" t="s">
        <v>2817</v>
      </c>
      <c r="C1845" s="0" t="s">
        <v>31</v>
      </c>
      <c r="D1845" s="7" t="n">
        <v>10602</v>
      </c>
      <c r="E1845" s="8" t="n">
        <v>0.0135993208828523</v>
      </c>
      <c r="F1845" s="4" t="n">
        <f aca="false">D1845*E1845</f>
        <v>144.18</v>
      </c>
      <c r="G1845" s="7" t="n">
        <v>383</v>
      </c>
      <c r="H1845" s="9" t="n">
        <f aca="false">IF(G1845&gt;0,D1845/G1845,"")</f>
        <v>27.6814621409922</v>
      </c>
      <c r="I1845" s="10" t="n">
        <v>46281</v>
      </c>
      <c r="J1845" s="3" t="s">
        <v>2385</v>
      </c>
      <c r="K1845" s="10" t="n">
        <v>45629</v>
      </c>
      <c r="L1845" s="3" t="s">
        <v>16</v>
      </c>
      <c r="M1845" s="7" t="n">
        <v>11030</v>
      </c>
      <c r="N1845" s="8" t="n">
        <v>0.0136</v>
      </c>
      <c r="O1845" s="4" t="n">
        <f aca="false">M1845*N1845</f>
        <v>150.008</v>
      </c>
    </row>
    <row r="1846" customFormat="false" ht="15" hidden="false" customHeight="false" outlineLevel="0" collapsed="false">
      <c r="A1846" s="0" t="s">
        <v>2818</v>
      </c>
      <c r="C1846" s="0" t="s">
        <v>33</v>
      </c>
      <c r="D1846" s="7" t="n">
        <v>319</v>
      </c>
      <c r="E1846" s="8" t="n">
        <v>0.451849529780564</v>
      </c>
      <c r="F1846" s="4" t="n">
        <f aca="false">D1846*E1846</f>
        <v>144.14</v>
      </c>
      <c r="G1846" s="7" t="n">
        <v>230</v>
      </c>
      <c r="H1846" s="9" t="n">
        <f aca="false">IF(G1846&gt;0,D1846/G1846,"")</f>
        <v>1.38695652173913</v>
      </c>
      <c r="I1846" s="10" t="n">
        <v>46269</v>
      </c>
      <c r="J1846" s="3" t="s">
        <v>230</v>
      </c>
      <c r="K1846" s="10" t="n">
        <v>46303</v>
      </c>
      <c r="L1846" s="3" t="s">
        <v>18</v>
      </c>
      <c r="M1846" s="7" t="n">
        <v>120</v>
      </c>
      <c r="N1846" s="8" t="n">
        <v>0.4428</v>
      </c>
      <c r="O1846" s="4" t="n">
        <f aca="false">M1846*N1846</f>
        <v>53.136</v>
      </c>
    </row>
    <row r="1847" customFormat="false" ht="15" hidden="false" customHeight="false" outlineLevel="0" collapsed="false">
      <c r="A1847" s="0" t="s">
        <v>2819</v>
      </c>
      <c r="C1847" s="0" t="s">
        <v>31</v>
      </c>
      <c r="D1847" s="7" t="n">
        <v>25281</v>
      </c>
      <c r="E1847" s="8" t="n">
        <v>0.00569993275582453</v>
      </c>
      <c r="F1847" s="4" t="n">
        <f aca="false">D1847*E1847</f>
        <v>144.1</v>
      </c>
      <c r="G1847" s="7" t="n">
        <v>10980</v>
      </c>
      <c r="H1847" s="9" t="n">
        <f aca="false">IF(G1847&gt;0,D1847/G1847,"")</f>
        <v>2.30245901639344</v>
      </c>
      <c r="I1847" s="10" t="n">
        <v>46309</v>
      </c>
      <c r="J1847" s="3" t="s">
        <v>2820</v>
      </c>
      <c r="K1847" s="10" t="n">
        <v>45187</v>
      </c>
      <c r="L1847" s="3" t="s">
        <v>19</v>
      </c>
      <c r="M1847" s="7" t="n">
        <v>5000</v>
      </c>
      <c r="N1847" s="8" t="n">
        <v>0.0106</v>
      </c>
      <c r="O1847" s="4" t="n">
        <f aca="false">M1847*N1847</f>
        <v>53</v>
      </c>
    </row>
    <row r="1848" customFormat="false" ht="15" hidden="false" customHeight="false" outlineLevel="0" collapsed="false">
      <c r="A1848" s="0" t="s">
        <v>2821</v>
      </c>
      <c r="C1848" s="0" t="s">
        <v>1101</v>
      </c>
      <c r="D1848" s="7" t="n">
        <v>45</v>
      </c>
      <c r="E1848" s="8" t="n">
        <v>3.2</v>
      </c>
      <c r="F1848" s="4" t="n">
        <f aca="false">D1848*E1848</f>
        <v>144</v>
      </c>
      <c r="G1848" s="7" t="n">
        <v>3</v>
      </c>
      <c r="H1848" s="9" t="n">
        <f aca="false">IF(G1848&gt;0,D1848/G1848,"")</f>
        <v>15</v>
      </c>
      <c r="I1848" s="10" t="n">
        <v>46300</v>
      </c>
      <c r="J1848" s="3" t="s">
        <v>2700</v>
      </c>
      <c r="K1848" s="10" t="n">
        <v>45288</v>
      </c>
      <c r="L1848" s="3" t="s">
        <v>1103</v>
      </c>
      <c r="M1848" s="7" t="n">
        <v>50</v>
      </c>
      <c r="N1848" s="8" t="n">
        <v>3.2</v>
      </c>
      <c r="O1848" s="4" t="n">
        <f aca="false">M1848*N1848</f>
        <v>160</v>
      </c>
    </row>
    <row r="1849" customFormat="false" ht="15" hidden="false" customHeight="false" outlineLevel="0" collapsed="false">
      <c r="A1849" s="0" t="s">
        <v>2822</v>
      </c>
      <c r="C1849" s="0" t="s">
        <v>61</v>
      </c>
      <c r="D1849" s="7" t="n">
        <v>792</v>
      </c>
      <c r="E1849" s="8" t="n">
        <v>0.181805555555556</v>
      </c>
      <c r="F1849" s="4" t="n">
        <f aca="false">D1849*E1849</f>
        <v>143.99</v>
      </c>
      <c r="G1849" s="7" t="n">
        <v>330</v>
      </c>
      <c r="H1849" s="9" t="n">
        <f aca="false">IF(G1849&gt;0,D1849/G1849,"")</f>
        <v>2.4</v>
      </c>
      <c r="I1849" s="10" t="n">
        <v>46230</v>
      </c>
      <c r="J1849" s="3" t="s">
        <v>2823</v>
      </c>
      <c r="K1849" s="10" t="n">
        <v>45434</v>
      </c>
      <c r="L1849" s="3" t="s">
        <v>23</v>
      </c>
      <c r="M1849" s="7" t="n">
        <v>1200</v>
      </c>
      <c r="N1849" s="8" t="n">
        <v>0.1818</v>
      </c>
      <c r="O1849" s="4" t="n">
        <f aca="false">M1849*N1849</f>
        <v>218.16</v>
      </c>
    </row>
    <row r="1850" customFormat="false" ht="15" hidden="false" customHeight="false" outlineLevel="0" collapsed="false">
      <c r="A1850" s="0" t="s">
        <v>2824</v>
      </c>
      <c r="C1850" s="0" t="s">
        <v>221</v>
      </c>
      <c r="D1850" s="7" t="n">
        <v>507</v>
      </c>
      <c r="E1850" s="8" t="n">
        <v>0.283925049309665</v>
      </c>
      <c r="F1850" s="4" t="n">
        <f aca="false">D1850*E1850</f>
        <v>143.95</v>
      </c>
      <c r="G1850" s="7" t="n">
        <v>73</v>
      </c>
      <c r="H1850" s="9" t="n">
        <f aca="false">IF(G1850&gt;0,D1850/G1850,"")</f>
        <v>6.94520547945206</v>
      </c>
      <c r="I1850" s="10" t="n">
        <v>46252</v>
      </c>
      <c r="J1850" s="3" t="s">
        <v>590</v>
      </c>
      <c r="K1850" s="10" t="n">
        <v>45407</v>
      </c>
      <c r="L1850" s="3" t="s">
        <v>223</v>
      </c>
      <c r="M1850" s="7" t="n">
        <v>1000</v>
      </c>
      <c r="N1850" s="8" t="n">
        <v>0.284</v>
      </c>
      <c r="O1850" s="4" t="n">
        <f aca="false">M1850*N1850</f>
        <v>284</v>
      </c>
    </row>
    <row r="1851" customFormat="false" ht="15" hidden="false" customHeight="false" outlineLevel="0" collapsed="false">
      <c r="A1851" s="0" t="s">
        <v>2825</v>
      </c>
      <c r="C1851" s="0" t="s">
        <v>31</v>
      </c>
      <c r="D1851" s="7" t="n">
        <v>54396</v>
      </c>
      <c r="E1851" s="8" t="n">
        <v>0.00264394440767704</v>
      </c>
      <c r="F1851" s="4" t="n">
        <f aca="false">D1851*E1851</f>
        <v>143.82</v>
      </c>
      <c r="G1851" s="7" t="n">
        <v>11385</v>
      </c>
      <c r="H1851" s="9" t="n">
        <f aca="false">IF(G1851&gt;0,D1851/G1851,"")</f>
        <v>4.77786561264822</v>
      </c>
      <c r="I1851" s="10" t="n">
        <v>46246</v>
      </c>
      <c r="J1851" s="3" t="s">
        <v>1209</v>
      </c>
      <c r="K1851" s="10" t="n">
        <v>45993</v>
      </c>
      <c r="L1851" s="3" t="s">
        <v>16</v>
      </c>
      <c r="M1851" s="7" t="n">
        <v>58000</v>
      </c>
      <c r="N1851" s="8" t="n">
        <v>0.0026</v>
      </c>
      <c r="O1851" s="4" t="n">
        <f aca="false">M1851*N1851</f>
        <v>150.8</v>
      </c>
    </row>
    <row r="1852" customFormat="false" ht="15" hidden="false" customHeight="false" outlineLevel="0" collapsed="false">
      <c r="A1852" s="0" t="s">
        <v>2826</v>
      </c>
      <c r="C1852" s="0" t="s">
        <v>31</v>
      </c>
      <c r="D1852" s="7" t="n">
        <v>65390</v>
      </c>
      <c r="E1852" s="8" t="n">
        <v>0.00219896008564001</v>
      </c>
      <c r="F1852" s="4" t="n">
        <f aca="false">D1852*E1852</f>
        <v>143.79</v>
      </c>
      <c r="G1852" s="7" t="n">
        <v>25081</v>
      </c>
      <c r="H1852" s="9" t="n">
        <f aca="false">IF(G1852&gt;0,D1852/G1852,"")</f>
        <v>2.60715282484749</v>
      </c>
      <c r="I1852" s="10" t="n">
        <v>46317</v>
      </c>
      <c r="J1852" s="3" t="s">
        <v>2716</v>
      </c>
      <c r="K1852" s="10" t="n">
        <v>46160</v>
      </c>
      <c r="L1852" s="3" t="s">
        <v>16</v>
      </c>
      <c r="M1852" s="7" t="n">
        <v>68200</v>
      </c>
      <c r="N1852" s="8" t="n">
        <v>0.0022</v>
      </c>
      <c r="O1852" s="4" t="n">
        <f aca="false">M1852*N1852</f>
        <v>150.04</v>
      </c>
    </row>
    <row r="1853" customFormat="false" ht="15" hidden="false" customHeight="false" outlineLevel="0" collapsed="false">
      <c r="A1853" s="0" t="s">
        <v>2827</v>
      </c>
      <c r="C1853" s="0" t="s">
        <v>360</v>
      </c>
      <c r="D1853" s="7" t="n">
        <v>3034</v>
      </c>
      <c r="E1853" s="8" t="n">
        <v>0.0473434410019776</v>
      </c>
      <c r="F1853" s="4" t="n">
        <f aca="false">D1853*E1853</f>
        <v>143.64</v>
      </c>
      <c r="G1853" s="7" t="n">
        <v>25</v>
      </c>
      <c r="H1853" s="9" t="n">
        <f aca="false">IF(G1853&gt;0,D1853/G1853,"")</f>
        <v>121.36</v>
      </c>
      <c r="I1853" s="10" t="n">
        <v>46289</v>
      </c>
      <c r="K1853" s="10"/>
      <c r="M1853" s="7"/>
      <c r="N1853" s="8"/>
      <c r="O1853" s="4"/>
    </row>
    <row r="1854" customFormat="false" ht="15" hidden="false" customHeight="false" outlineLevel="0" collapsed="false">
      <c r="A1854" s="0" t="s">
        <v>2828</v>
      </c>
      <c r="C1854" s="0" t="s">
        <v>402</v>
      </c>
      <c r="D1854" s="7" t="n">
        <v>55</v>
      </c>
      <c r="E1854" s="8" t="n">
        <v>2.61</v>
      </c>
      <c r="F1854" s="4" t="n">
        <f aca="false">D1854*E1854</f>
        <v>143.55</v>
      </c>
      <c r="G1854" s="7" t="n">
        <v>5</v>
      </c>
      <c r="H1854" s="9" t="n">
        <f aca="false">IF(G1854&gt;0,D1854/G1854,"")</f>
        <v>11</v>
      </c>
      <c r="I1854" s="10" t="n">
        <v>45966</v>
      </c>
      <c r="J1854" s="3" t="s">
        <v>2829</v>
      </c>
      <c r="K1854" s="10" t="n">
        <v>45796</v>
      </c>
      <c r="L1854" s="3" t="s">
        <v>834</v>
      </c>
      <c r="M1854" s="7" t="n">
        <v>105</v>
      </c>
      <c r="N1854" s="8" t="n">
        <v>2.61</v>
      </c>
      <c r="O1854" s="4" t="n">
        <f aca="false">M1854*N1854</f>
        <v>274.05</v>
      </c>
    </row>
    <row r="1855" customFormat="false" ht="15" hidden="false" customHeight="false" outlineLevel="0" collapsed="false">
      <c r="A1855" s="0" t="s">
        <v>2830</v>
      </c>
      <c r="C1855" s="0" t="s">
        <v>31</v>
      </c>
      <c r="D1855" s="7" t="n">
        <v>17665</v>
      </c>
      <c r="E1855" s="8" t="n">
        <v>0.00812567223322955</v>
      </c>
      <c r="F1855" s="4" t="n">
        <f aca="false">D1855*E1855</f>
        <v>143.54</v>
      </c>
      <c r="G1855" s="7" t="n">
        <v>1202</v>
      </c>
      <c r="H1855" s="9" t="n">
        <f aca="false">IF(G1855&gt;0,D1855/G1855,"")</f>
        <v>14.6963394342762</v>
      </c>
      <c r="I1855" s="10" t="n">
        <v>46308</v>
      </c>
      <c r="J1855" s="3" t="s">
        <v>278</v>
      </c>
      <c r="K1855" s="10" t="n">
        <v>45967</v>
      </c>
      <c r="L1855" s="3" t="s">
        <v>16</v>
      </c>
      <c r="M1855" s="7" t="n">
        <v>18500</v>
      </c>
      <c r="N1855" s="8" t="n">
        <v>0.00812</v>
      </c>
      <c r="O1855" s="4" t="n">
        <f aca="false">M1855*N1855</f>
        <v>150.22</v>
      </c>
    </row>
    <row r="1856" customFormat="false" ht="15" hidden="false" customHeight="false" outlineLevel="0" collapsed="false">
      <c r="A1856" s="0" t="s">
        <v>2831</v>
      </c>
      <c r="C1856" s="0" t="s">
        <v>40</v>
      </c>
      <c r="D1856" s="7" t="n">
        <v>5579</v>
      </c>
      <c r="E1856" s="8" t="n">
        <v>0.0257232478938878</v>
      </c>
      <c r="F1856" s="4" t="n">
        <f aca="false">D1856*E1856</f>
        <v>143.51</v>
      </c>
      <c r="G1856" s="7" t="n">
        <v>2350</v>
      </c>
      <c r="H1856" s="9" t="n">
        <f aca="false">IF(G1856&gt;0,D1856/G1856,"")</f>
        <v>2.37404255319149</v>
      </c>
      <c r="I1856" s="10" t="n">
        <v>46287</v>
      </c>
      <c r="J1856" s="3" t="s">
        <v>1910</v>
      </c>
      <c r="K1856" s="10" t="n">
        <v>46188</v>
      </c>
      <c r="L1856" s="3" t="s">
        <v>28</v>
      </c>
      <c r="M1856" s="7" t="n">
        <v>3300</v>
      </c>
      <c r="N1856" s="8" t="n">
        <v>0.0256</v>
      </c>
      <c r="O1856" s="4" t="n">
        <f aca="false">M1856*N1856</f>
        <v>84.48</v>
      </c>
    </row>
    <row r="1857" customFormat="false" ht="15" hidden="false" customHeight="false" outlineLevel="0" collapsed="false">
      <c r="A1857" s="0" t="s">
        <v>2832</v>
      </c>
      <c r="C1857" s="0" t="s">
        <v>360</v>
      </c>
      <c r="D1857" s="7" t="n">
        <v>9841</v>
      </c>
      <c r="E1857" s="8" t="n">
        <v>0.0145798191240728</v>
      </c>
      <c r="F1857" s="4" t="n">
        <f aca="false">D1857*E1857</f>
        <v>143.48</v>
      </c>
      <c r="G1857" s="7" t="n">
        <v>38</v>
      </c>
      <c r="H1857" s="9" t="n">
        <f aca="false">IF(G1857&gt;0,D1857/G1857,"")</f>
        <v>258.973684210526</v>
      </c>
      <c r="I1857" s="10" t="n">
        <v>45953</v>
      </c>
      <c r="K1857" s="10"/>
      <c r="M1857" s="7"/>
      <c r="N1857" s="8"/>
      <c r="O1857" s="4"/>
    </row>
    <row r="1858" customFormat="false" ht="15" hidden="false" customHeight="false" outlineLevel="0" collapsed="false">
      <c r="A1858" s="0" t="s">
        <v>2833</v>
      </c>
      <c r="C1858" s="0" t="s">
        <v>31</v>
      </c>
      <c r="D1858" s="7" t="n">
        <v>35236</v>
      </c>
      <c r="E1858" s="8" t="n">
        <v>0.00407112044499943</v>
      </c>
      <c r="F1858" s="4" t="n">
        <f aca="false">D1858*E1858</f>
        <v>143.45</v>
      </c>
      <c r="G1858" s="7" t="n">
        <v>11115</v>
      </c>
      <c r="H1858" s="9" t="n">
        <f aca="false">IF(G1858&gt;0,D1858/G1858,"")</f>
        <v>3.17013045434098</v>
      </c>
      <c r="I1858" s="10" t="n">
        <v>46252</v>
      </c>
      <c r="K1858" s="10"/>
      <c r="M1858" s="7"/>
      <c r="N1858" s="8"/>
      <c r="O1858" s="4"/>
    </row>
    <row r="1859" customFormat="false" ht="15" hidden="false" customHeight="false" outlineLevel="0" collapsed="false">
      <c r="A1859" s="0" t="s">
        <v>2834</v>
      </c>
      <c r="C1859" s="0" t="s">
        <v>1529</v>
      </c>
      <c r="D1859" s="7" t="n">
        <v>515</v>
      </c>
      <c r="E1859" s="8" t="n">
        <v>0.278504854368932</v>
      </c>
      <c r="F1859" s="4" t="n">
        <f aca="false">D1859*E1859</f>
        <v>143.43</v>
      </c>
      <c r="G1859" s="7" t="n">
        <v>444</v>
      </c>
      <c r="H1859" s="9" t="n">
        <f aca="false">IF(G1859&gt;0,D1859/G1859,"")</f>
        <v>1.15990990990991</v>
      </c>
      <c r="I1859" s="10" t="n">
        <v>46279</v>
      </c>
      <c r="J1859" s="3" t="s">
        <v>2835</v>
      </c>
      <c r="K1859" s="10" t="n">
        <v>45176</v>
      </c>
      <c r="L1859" s="3" t="s">
        <v>14</v>
      </c>
      <c r="M1859" s="7" t="n">
        <v>1500</v>
      </c>
      <c r="N1859" s="8" t="n">
        <v>0.2785</v>
      </c>
      <c r="O1859" s="4" t="n">
        <f aca="false">M1859*N1859</f>
        <v>417.75</v>
      </c>
    </row>
    <row r="1860" customFormat="false" ht="15" hidden="false" customHeight="false" outlineLevel="0" collapsed="false">
      <c r="A1860" s="0" t="s">
        <v>2836</v>
      </c>
      <c r="C1860" s="0" t="s">
        <v>31</v>
      </c>
      <c r="D1860" s="7" t="n">
        <v>628</v>
      </c>
      <c r="E1860" s="8" t="n">
        <v>0.228057324840764</v>
      </c>
      <c r="F1860" s="4" t="n">
        <f aca="false">D1860*E1860</f>
        <v>143.22</v>
      </c>
      <c r="G1860" s="7" t="n">
        <v>16</v>
      </c>
      <c r="H1860" s="9" t="n">
        <f aca="false">IF(G1860&gt;0,D1860/G1860,"")</f>
        <v>39.25</v>
      </c>
      <c r="I1860" s="10" t="n">
        <v>46220</v>
      </c>
      <c r="J1860" s="3" t="s">
        <v>2837</v>
      </c>
      <c r="K1860" s="10" t="n">
        <v>45877</v>
      </c>
      <c r="L1860" s="3" t="s">
        <v>16</v>
      </c>
      <c r="M1860" s="7" t="n">
        <v>710</v>
      </c>
      <c r="N1860" s="8" t="n">
        <v>0.22806</v>
      </c>
      <c r="O1860" s="4" t="n">
        <f aca="false">M1860*N1860</f>
        <v>161.9226</v>
      </c>
    </row>
    <row r="1861" customFormat="false" ht="15" hidden="false" customHeight="false" outlineLevel="0" collapsed="false">
      <c r="A1861" s="0" t="s">
        <v>2838</v>
      </c>
      <c r="C1861" s="0" t="s">
        <v>31</v>
      </c>
      <c r="D1861" s="7" t="n">
        <v>47724</v>
      </c>
      <c r="E1861" s="8" t="n">
        <v>0.00299995809236443</v>
      </c>
      <c r="F1861" s="4" t="n">
        <f aca="false">D1861*E1861</f>
        <v>143.17</v>
      </c>
      <c r="G1861" s="7" t="n">
        <v>1276</v>
      </c>
      <c r="H1861" s="9" t="n">
        <f aca="false">IF(G1861&gt;0,D1861/G1861,"")</f>
        <v>37.4012539184953</v>
      </c>
      <c r="I1861" s="10" t="n">
        <v>46134</v>
      </c>
      <c r="J1861" s="3" t="s">
        <v>1563</v>
      </c>
      <c r="K1861" s="10" t="n">
        <v>45768</v>
      </c>
      <c r="L1861" s="3" t="s">
        <v>16</v>
      </c>
      <c r="M1861" s="7" t="n">
        <v>50000</v>
      </c>
      <c r="N1861" s="8" t="n">
        <v>0.003</v>
      </c>
      <c r="O1861" s="4" t="n">
        <f aca="false">M1861*N1861</f>
        <v>150</v>
      </c>
    </row>
    <row r="1862" customFormat="false" ht="15" hidden="false" customHeight="false" outlineLevel="0" collapsed="false">
      <c r="A1862" s="0" t="s">
        <v>2839</v>
      </c>
      <c r="D1862" s="7" t="n">
        <v>146</v>
      </c>
      <c r="E1862" s="8" t="n">
        <v>0.98041095890411</v>
      </c>
      <c r="F1862" s="4" t="n">
        <f aca="false">D1862*E1862</f>
        <v>143.14</v>
      </c>
      <c r="G1862" s="7" t="n">
        <v>9</v>
      </c>
      <c r="H1862" s="9" t="n">
        <f aca="false">IF(G1862&gt;0,D1862/G1862,"")</f>
        <v>16.2222222222222</v>
      </c>
      <c r="I1862" s="10" t="n">
        <v>46274</v>
      </c>
      <c r="J1862" s="3" t="s">
        <v>2840</v>
      </c>
      <c r="K1862" s="10" t="n">
        <v>45930</v>
      </c>
      <c r="L1862" s="3" t="s">
        <v>14</v>
      </c>
      <c r="M1862" s="7" t="n">
        <v>254</v>
      </c>
      <c r="N1862" s="8" t="n">
        <v>0.9804</v>
      </c>
      <c r="O1862" s="4" t="n">
        <f aca="false">M1862*N1862</f>
        <v>249.0216</v>
      </c>
    </row>
    <row r="1863" customFormat="false" ht="15" hidden="false" customHeight="false" outlineLevel="0" collapsed="false">
      <c r="A1863" s="0" t="s">
        <v>2841</v>
      </c>
      <c r="C1863" s="0" t="s">
        <v>61</v>
      </c>
      <c r="D1863" s="7" t="n">
        <v>413</v>
      </c>
      <c r="E1863" s="8" t="n">
        <v>0.346513317191283</v>
      </c>
      <c r="F1863" s="4" t="n">
        <f aca="false">D1863*E1863</f>
        <v>143.11</v>
      </c>
      <c r="G1863" s="7" t="n">
        <v>2</v>
      </c>
      <c r="H1863" s="9" t="n">
        <f aca="false">IF(G1863&gt;0,D1863/G1863,"")</f>
        <v>206.5</v>
      </c>
      <c r="I1863" s="10" t="n">
        <v>46014</v>
      </c>
      <c r="J1863" s="3" t="s">
        <v>2646</v>
      </c>
      <c r="K1863" s="10" t="n">
        <v>44991</v>
      </c>
      <c r="L1863" s="3" t="s">
        <v>23</v>
      </c>
      <c r="M1863" s="7" t="n">
        <v>600</v>
      </c>
      <c r="N1863" s="8" t="n">
        <v>0.3465</v>
      </c>
      <c r="O1863" s="4" t="n">
        <f aca="false">M1863*N1863</f>
        <v>207.9</v>
      </c>
    </row>
    <row r="1864" customFormat="false" ht="15" hidden="false" customHeight="false" outlineLevel="0" collapsed="false">
      <c r="A1864" s="0" t="s">
        <v>2842</v>
      </c>
      <c r="C1864" s="0" t="s">
        <v>741</v>
      </c>
      <c r="D1864" s="7" t="n">
        <v>932</v>
      </c>
      <c r="E1864" s="8" t="n">
        <v>0.153540772532189</v>
      </c>
      <c r="F1864" s="4" t="n">
        <f aca="false">D1864*E1864</f>
        <v>143.1</v>
      </c>
      <c r="G1864" s="7" t="n">
        <v>666</v>
      </c>
      <c r="H1864" s="9" t="n">
        <f aca="false">IF(G1864&gt;0,D1864/G1864,"")</f>
        <v>1.3993993993994</v>
      </c>
      <c r="I1864" s="10" t="n">
        <v>46290</v>
      </c>
      <c r="J1864" s="3" t="s">
        <v>1891</v>
      </c>
      <c r="K1864" s="10" t="n">
        <v>46140</v>
      </c>
      <c r="L1864" s="3" t="s">
        <v>27</v>
      </c>
      <c r="M1864" s="7" t="n">
        <v>250</v>
      </c>
      <c r="N1864" s="8" t="n">
        <v>0.1789</v>
      </c>
      <c r="O1864" s="4" t="n">
        <f aca="false">M1864*N1864</f>
        <v>44.725</v>
      </c>
    </row>
    <row r="1865" customFormat="false" ht="15" hidden="false" customHeight="false" outlineLevel="0" collapsed="false">
      <c r="A1865" s="0" t="s">
        <v>2843</v>
      </c>
      <c r="C1865" s="0" t="s">
        <v>34</v>
      </c>
      <c r="D1865" s="7" t="n">
        <v>2926</v>
      </c>
      <c r="E1865" s="8" t="n">
        <v>0.0488995215311005</v>
      </c>
      <c r="F1865" s="4" t="n">
        <f aca="false">D1865*E1865</f>
        <v>143.08</v>
      </c>
      <c r="G1865" s="7" t="n">
        <v>44</v>
      </c>
      <c r="H1865" s="9" t="n">
        <f aca="false">IF(G1865&gt;0,D1865/G1865,"")</f>
        <v>66.5</v>
      </c>
      <c r="I1865" s="10" t="n">
        <v>46294</v>
      </c>
      <c r="J1865" s="3" t="s">
        <v>2844</v>
      </c>
      <c r="K1865" s="10" t="n">
        <v>45839</v>
      </c>
      <c r="L1865" s="3" t="s">
        <v>16</v>
      </c>
      <c r="M1865" s="7" t="n">
        <v>3070</v>
      </c>
      <c r="N1865" s="8" t="n">
        <v>0.0489</v>
      </c>
      <c r="O1865" s="4" t="n">
        <f aca="false">M1865*N1865</f>
        <v>150.123</v>
      </c>
    </row>
    <row r="1866" customFormat="false" ht="15" hidden="false" customHeight="false" outlineLevel="0" collapsed="false">
      <c r="A1866" s="0" t="s">
        <v>2845</v>
      </c>
      <c r="C1866" s="0" t="s">
        <v>95</v>
      </c>
      <c r="D1866" s="7" t="n">
        <v>510</v>
      </c>
      <c r="E1866" s="8" t="n">
        <v>0.280294117647059</v>
      </c>
      <c r="F1866" s="4" t="n">
        <f aca="false">D1866*E1866</f>
        <v>142.95</v>
      </c>
      <c r="G1866" s="7" t="n">
        <v>100</v>
      </c>
      <c r="H1866" s="9" t="n">
        <f aca="false">IF(G1866&gt;0,D1866/G1866,"")</f>
        <v>5.1</v>
      </c>
      <c r="I1866" s="10" t="n">
        <v>46213</v>
      </c>
      <c r="J1866" s="3" t="s">
        <v>2846</v>
      </c>
      <c r="K1866" s="10" t="n">
        <v>46205</v>
      </c>
      <c r="L1866" s="3" t="s">
        <v>936</v>
      </c>
      <c r="M1866" s="7" t="n">
        <v>548</v>
      </c>
      <c r="N1866" s="8" t="n">
        <v>0.2803</v>
      </c>
      <c r="O1866" s="4" t="n">
        <f aca="false">M1866*N1866</f>
        <v>153.6044</v>
      </c>
    </row>
    <row r="1867" customFormat="false" ht="15" hidden="false" customHeight="false" outlineLevel="0" collapsed="false">
      <c r="A1867" s="0" t="s">
        <v>2847</v>
      </c>
      <c r="C1867" s="0" t="s">
        <v>41</v>
      </c>
      <c r="D1867" s="7" t="n">
        <v>11910</v>
      </c>
      <c r="E1867" s="8" t="n">
        <v>0.012</v>
      </c>
      <c r="F1867" s="4" t="n">
        <f aca="false">D1867*E1867</f>
        <v>142.92</v>
      </c>
      <c r="G1867" s="7" t="n">
        <v>510</v>
      </c>
      <c r="H1867" s="9" t="n">
        <f aca="false">IF(G1867&gt;0,D1867/G1867,"")</f>
        <v>23.3529411764706</v>
      </c>
      <c r="I1867" s="10" t="n">
        <v>46311</v>
      </c>
      <c r="J1867" s="3" t="s">
        <v>2848</v>
      </c>
      <c r="K1867" s="10" t="n">
        <v>45358</v>
      </c>
      <c r="L1867" s="3" t="s">
        <v>19</v>
      </c>
      <c r="M1867" s="7" t="n">
        <v>40074</v>
      </c>
      <c r="N1867" s="8" t="n">
        <v>0.012</v>
      </c>
      <c r="O1867" s="4" t="n">
        <f aca="false">M1867*N1867</f>
        <v>480.888</v>
      </c>
    </row>
    <row r="1868" customFormat="false" ht="15" hidden="false" customHeight="false" outlineLevel="0" collapsed="false">
      <c r="A1868" s="0" t="s">
        <v>2849</v>
      </c>
      <c r="C1868" s="0" t="s">
        <v>378</v>
      </c>
      <c r="D1868" s="7" t="n">
        <v>468</v>
      </c>
      <c r="E1868" s="8" t="n">
        <v>0.305106837606838</v>
      </c>
      <c r="F1868" s="4" t="n">
        <f aca="false">D1868*E1868</f>
        <v>142.79</v>
      </c>
      <c r="G1868" s="7" t="n">
        <v>2</v>
      </c>
      <c r="H1868" s="9" t="n">
        <f aca="false">IF(G1868&gt;0,D1868/G1868,"")</f>
        <v>234</v>
      </c>
      <c r="I1868" s="10" t="n">
        <v>46175</v>
      </c>
      <c r="J1868" s="3" t="s">
        <v>1167</v>
      </c>
      <c r="K1868" s="10" t="n">
        <v>44221</v>
      </c>
      <c r="L1868" s="3" t="s">
        <v>14</v>
      </c>
      <c r="M1868" s="7" t="n">
        <v>1000</v>
      </c>
      <c r="N1868" s="8" t="n">
        <v>0.3051</v>
      </c>
      <c r="O1868" s="4" t="n">
        <f aca="false">M1868*N1868</f>
        <v>305.1</v>
      </c>
    </row>
    <row r="1869" customFormat="false" ht="15" hidden="false" customHeight="false" outlineLevel="0" collapsed="false">
      <c r="A1869" s="0" t="s">
        <v>2850</v>
      </c>
      <c r="C1869" s="0" t="s">
        <v>31</v>
      </c>
      <c r="D1869" s="7" t="n">
        <v>68252</v>
      </c>
      <c r="E1869" s="8" t="n">
        <v>0.00208829045302702</v>
      </c>
      <c r="F1869" s="4" t="n">
        <f aca="false">D1869*E1869</f>
        <v>142.53</v>
      </c>
      <c r="G1869" s="7" t="n">
        <v>3200</v>
      </c>
      <c r="H1869" s="9" t="n">
        <f aca="false">IF(G1869&gt;0,D1869/G1869,"")</f>
        <v>21.32875</v>
      </c>
      <c r="I1869" s="10" t="n">
        <v>46297</v>
      </c>
      <c r="K1869" s="10"/>
      <c r="M1869" s="7"/>
      <c r="N1869" s="8"/>
      <c r="O1869" s="4"/>
    </row>
    <row r="1870" customFormat="false" ht="15" hidden="false" customHeight="false" outlineLevel="0" collapsed="false">
      <c r="A1870" s="0" t="s">
        <v>2851</v>
      </c>
      <c r="C1870" s="0" t="s">
        <v>31</v>
      </c>
      <c r="D1870" s="7" t="n">
        <v>4755</v>
      </c>
      <c r="E1870" s="8" t="n">
        <v>0.0299558359621451</v>
      </c>
      <c r="F1870" s="4" t="n">
        <f aca="false">D1870*E1870</f>
        <v>142.44</v>
      </c>
      <c r="G1870" s="7" t="n">
        <v>163</v>
      </c>
      <c r="H1870" s="9" t="n">
        <f aca="false">IF(G1870&gt;0,D1870/G1870,"")</f>
        <v>29.1717791411043</v>
      </c>
      <c r="I1870" s="10" t="n">
        <v>46286</v>
      </c>
      <c r="K1870" s="10"/>
      <c r="M1870" s="7"/>
      <c r="N1870" s="8"/>
      <c r="O1870" s="4"/>
    </row>
    <row r="1871" customFormat="false" ht="15" hidden="false" customHeight="false" outlineLevel="0" collapsed="false">
      <c r="A1871" s="0" t="s">
        <v>2852</v>
      </c>
      <c r="C1871" s="0" t="s">
        <v>295</v>
      </c>
      <c r="D1871" s="7" t="n">
        <v>15254</v>
      </c>
      <c r="E1871" s="8" t="n">
        <v>0.00933001180018356</v>
      </c>
      <c r="F1871" s="4" t="n">
        <f aca="false">D1871*E1871</f>
        <v>142.32</v>
      </c>
      <c r="G1871" s="7" t="n">
        <v>320</v>
      </c>
      <c r="H1871" s="9" t="n">
        <f aca="false">IF(G1871&gt;0,D1871/G1871,"")</f>
        <v>47.66875</v>
      </c>
      <c r="I1871" s="10" t="n">
        <v>46231</v>
      </c>
      <c r="K1871" s="10"/>
      <c r="M1871" s="7"/>
      <c r="N1871" s="8"/>
      <c r="O1871" s="4"/>
    </row>
    <row r="1872" customFormat="false" ht="15" hidden="false" customHeight="false" outlineLevel="0" collapsed="false">
      <c r="A1872" s="0" t="s">
        <v>2853</v>
      </c>
      <c r="C1872" s="0" t="s">
        <v>2854</v>
      </c>
      <c r="D1872" s="7" t="n">
        <v>79</v>
      </c>
      <c r="E1872" s="8" t="n">
        <v>1.8</v>
      </c>
      <c r="F1872" s="4" t="n">
        <f aca="false">D1872*E1872</f>
        <v>142.2</v>
      </c>
      <c r="G1872" s="7" t="n">
        <v>34</v>
      </c>
      <c r="H1872" s="9" t="n">
        <f aca="false">IF(G1872&gt;0,D1872/G1872,"")</f>
        <v>2.32352941176471</v>
      </c>
      <c r="I1872" s="10" t="n">
        <v>46274</v>
      </c>
      <c r="K1872" s="10"/>
      <c r="M1872" s="7"/>
      <c r="N1872" s="8"/>
      <c r="O1872" s="4"/>
    </row>
    <row r="1873" customFormat="false" ht="15" hidden="false" customHeight="false" outlineLevel="0" collapsed="false">
      <c r="A1873" s="0" t="s">
        <v>2855</v>
      </c>
      <c r="C1873" s="0" t="s">
        <v>31</v>
      </c>
      <c r="D1873" s="7" t="n">
        <v>14213</v>
      </c>
      <c r="E1873" s="8" t="n">
        <v>0.01</v>
      </c>
      <c r="F1873" s="4" t="n">
        <f aca="false">D1873*E1873</f>
        <v>142.13</v>
      </c>
      <c r="G1873" s="7" t="n">
        <v>2852</v>
      </c>
      <c r="H1873" s="9" t="n">
        <f aca="false">IF(G1873&gt;0,D1873/G1873,"")</f>
        <v>4.98352033660589</v>
      </c>
      <c r="I1873" s="10" t="n">
        <v>46268</v>
      </c>
      <c r="J1873" s="3" t="s">
        <v>2026</v>
      </c>
      <c r="K1873" s="10" t="n">
        <v>45167</v>
      </c>
      <c r="L1873" s="3" t="s">
        <v>16</v>
      </c>
      <c r="M1873" s="7" t="n">
        <v>20000</v>
      </c>
      <c r="N1873" s="8" t="n">
        <v>0.0053</v>
      </c>
      <c r="O1873" s="4" t="n">
        <f aca="false">M1873*N1873</f>
        <v>106</v>
      </c>
    </row>
    <row r="1874" customFormat="false" ht="15" hidden="false" customHeight="false" outlineLevel="0" collapsed="false">
      <c r="A1874" s="0" t="s">
        <v>2856</v>
      </c>
      <c r="C1874" s="0" t="s">
        <v>31</v>
      </c>
      <c r="D1874" s="7" t="n">
        <v>3109</v>
      </c>
      <c r="E1874" s="8" t="n">
        <v>0.0457027983274365</v>
      </c>
      <c r="F1874" s="4" t="n">
        <f aca="false">D1874*E1874</f>
        <v>142.09</v>
      </c>
      <c r="G1874" s="7" t="n">
        <v>39</v>
      </c>
      <c r="H1874" s="9" t="n">
        <f aca="false">IF(G1874&gt;0,D1874/G1874,"")</f>
        <v>79.7179487179487</v>
      </c>
      <c r="I1874" s="10" t="n">
        <v>46150</v>
      </c>
      <c r="K1874" s="10"/>
      <c r="M1874" s="7"/>
      <c r="N1874" s="8"/>
      <c r="O1874" s="4"/>
    </row>
    <row r="1875" customFormat="false" ht="15" hidden="false" customHeight="false" outlineLevel="0" collapsed="false">
      <c r="A1875" s="0" t="s">
        <v>2857</v>
      </c>
      <c r="C1875" s="0" t="s">
        <v>777</v>
      </c>
      <c r="D1875" s="7" t="n">
        <v>261</v>
      </c>
      <c r="E1875" s="8" t="n">
        <v>0.544291187739464</v>
      </c>
      <c r="F1875" s="4" t="n">
        <f aca="false">D1875*E1875</f>
        <v>142.06</v>
      </c>
      <c r="G1875" s="7" t="n">
        <v>44</v>
      </c>
      <c r="H1875" s="9" t="n">
        <f aca="false">IF(G1875&gt;0,D1875/G1875,"")</f>
        <v>5.93181818181818</v>
      </c>
      <c r="I1875" s="10" t="n">
        <v>46119</v>
      </c>
      <c r="J1875" s="3" t="s">
        <v>1425</v>
      </c>
      <c r="K1875" s="10" t="n">
        <v>45890</v>
      </c>
      <c r="L1875" s="3" t="s">
        <v>15</v>
      </c>
      <c r="M1875" s="7" t="n">
        <v>305</v>
      </c>
      <c r="N1875" s="8" t="n">
        <v>0.5443</v>
      </c>
      <c r="O1875" s="4" t="n">
        <f aca="false">M1875*N1875</f>
        <v>166.0115</v>
      </c>
    </row>
    <row r="1876" customFormat="false" ht="15" hidden="false" customHeight="false" outlineLevel="0" collapsed="false">
      <c r="A1876" s="0" t="s">
        <v>2858</v>
      </c>
      <c r="C1876" s="0" t="s">
        <v>438</v>
      </c>
      <c r="D1876" s="7" t="n">
        <v>592</v>
      </c>
      <c r="E1876" s="8" t="n">
        <v>0.239695945945946</v>
      </c>
      <c r="F1876" s="4" t="n">
        <f aca="false">D1876*E1876</f>
        <v>141.9</v>
      </c>
      <c r="G1876" s="7" t="n">
        <v>2</v>
      </c>
      <c r="H1876" s="9" t="n">
        <f aca="false">IF(G1876&gt;0,D1876/G1876,"")</f>
        <v>296</v>
      </c>
      <c r="I1876" s="10" t="n">
        <v>45964</v>
      </c>
      <c r="J1876" s="3" t="s">
        <v>1459</v>
      </c>
      <c r="K1876" s="10" t="n">
        <v>45883</v>
      </c>
      <c r="L1876" s="3" t="s">
        <v>27</v>
      </c>
      <c r="M1876" s="7" t="n">
        <v>500</v>
      </c>
      <c r="N1876" s="8" t="n">
        <v>0.2572</v>
      </c>
      <c r="O1876" s="4" t="n">
        <f aca="false">M1876*N1876</f>
        <v>128.6</v>
      </c>
    </row>
    <row r="1877" customFormat="false" ht="15" hidden="false" customHeight="false" outlineLevel="0" collapsed="false">
      <c r="A1877" s="0" t="s">
        <v>2859</v>
      </c>
      <c r="C1877" s="0" t="s">
        <v>31</v>
      </c>
      <c r="D1877" s="7" t="n">
        <v>33000</v>
      </c>
      <c r="E1877" s="8" t="n">
        <v>0.0043</v>
      </c>
      <c r="F1877" s="4" t="n">
        <f aca="false">D1877*E1877</f>
        <v>141.9</v>
      </c>
      <c r="G1877" s="7" t="n">
        <v>2000</v>
      </c>
      <c r="H1877" s="9" t="n">
        <f aca="false">IF(G1877&gt;0,D1877/G1877,"")</f>
        <v>16.5</v>
      </c>
      <c r="I1877" s="10" t="n">
        <v>46139</v>
      </c>
      <c r="J1877" s="3" t="s">
        <v>1313</v>
      </c>
      <c r="K1877" s="10" t="n">
        <v>46086</v>
      </c>
      <c r="L1877" s="3" t="s">
        <v>16</v>
      </c>
      <c r="M1877" s="7" t="n">
        <v>35000</v>
      </c>
      <c r="N1877" s="8" t="n">
        <v>0.0043</v>
      </c>
      <c r="O1877" s="4" t="n">
        <f aca="false">M1877*N1877</f>
        <v>150.5</v>
      </c>
    </row>
    <row r="1878" customFormat="false" ht="15" hidden="false" customHeight="false" outlineLevel="0" collapsed="false">
      <c r="A1878" s="0" t="s">
        <v>2860</v>
      </c>
      <c r="C1878" s="0" t="s">
        <v>1169</v>
      </c>
      <c r="D1878" s="7" t="n">
        <v>2626</v>
      </c>
      <c r="E1878" s="8" t="n">
        <v>0.054002284843869</v>
      </c>
      <c r="F1878" s="4" t="n">
        <f aca="false">D1878*E1878</f>
        <v>141.81</v>
      </c>
      <c r="G1878" s="7" t="n">
        <v>568</v>
      </c>
      <c r="H1878" s="9" t="n">
        <f aca="false">IF(G1878&gt;0,D1878/G1878,"")</f>
        <v>4.62323943661972</v>
      </c>
      <c r="I1878" s="10" t="n">
        <v>46282</v>
      </c>
      <c r="J1878" s="3" t="s">
        <v>926</v>
      </c>
      <c r="K1878" s="10" t="n">
        <v>46009</v>
      </c>
      <c r="L1878" s="3" t="s">
        <v>21</v>
      </c>
      <c r="M1878" s="7" t="n">
        <v>1900</v>
      </c>
      <c r="N1878" s="8" t="n">
        <v>0.054</v>
      </c>
      <c r="O1878" s="4" t="n">
        <f aca="false">M1878*N1878</f>
        <v>102.6</v>
      </c>
    </row>
    <row r="1879" customFormat="false" ht="15" hidden="false" customHeight="false" outlineLevel="0" collapsed="false">
      <c r="A1879" s="0" t="s">
        <v>2861</v>
      </c>
      <c r="C1879" s="0" t="s">
        <v>889</v>
      </c>
      <c r="D1879" s="7" t="n">
        <v>12479</v>
      </c>
      <c r="E1879" s="8" t="n">
        <v>0.0113574805673532</v>
      </c>
      <c r="F1879" s="4" t="n">
        <f aca="false">D1879*E1879</f>
        <v>141.73</v>
      </c>
      <c r="G1879" s="7" t="n">
        <v>665</v>
      </c>
      <c r="H1879" s="9" t="n">
        <f aca="false">IF(G1879&gt;0,D1879/G1879,"")</f>
        <v>18.7654135338346</v>
      </c>
      <c r="I1879" s="10" t="n">
        <v>46266</v>
      </c>
      <c r="J1879" s="3" t="s">
        <v>249</v>
      </c>
      <c r="K1879" s="10" t="n">
        <v>44314</v>
      </c>
      <c r="L1879" s="3" t="s">
        <v>15</v>
      </c>
      <c r="M1879" s="7" t="n">
        <v>1670</v>
      </c>
      <c r="N1879" s="8" t="n">
        <v>0.01257</v>
      </c>
      <c r="O1879" s="4" t="n">
        <f aca="false">M1879*N1879</f>
        <v>20.9919</v>
      </c>
    </row>
    <row r="1880" customFormat="false" ht="15" hidden="false" customHeight="false" outlineLevel="0" collapsed="false">
      <c r="A1880" s="0" t="s">
        <v>2862</v>
      </c>
      <c r="C1880" s="0" t="s">
        <v>889</v>
      </c>
      <c r="D1880" s="7" t="n">
        <v>27250</v>
      </c>
      <c r="E1880" s="8" t="n">
        <v>0.0052</v>
      </c>
      <c r="F1880" s="4" t="n">
        <f aca="false">D1880*E1880</f>
        <v>141.7</v>
      </c>
      <c r="G1880" s="7" t="n">
        <v>14000</v>
      </c>
      <c r="H1880" s="9" t="n">
        <f aca="false">IF(G1880&gt;0,D1880/G1880,"")</f>
        <v>1.94642857142857</v>
      </c>
      <c r="I1880" s="10" t="n">
        <v>46276</v>
      </c>
      <c r="J1880" s="3" t="s">
        <v>1099</v>
      </c>
      <c r="K1880" s="10" t="n">
        <v>45984</v>
      </c>
      <c r="L1880" s="3" t="s">
        <v>15</v>
      </c>
      <c r="M1880" s="7" t="n">
        <v>41250</v>
      </c>
      <c r="N1880" s="8" t="n">
        <v>0.0052</v>
      </c>
      <c r="O1880" s="4" t="n">
        <f aca="false">M1880*N1880</f>
        <v>214.5</v>
      </c>
    </row>
    <row r="1881" customFormat="false" ht="15" hidden="false" customHeight="false" outlineLevel="0" collapsed="false">
      <c r="A1881" s="0" t="s">
        <v>2863</v>
      </c>
      <c r="C1881" s="0" t="s">
        <v>31</v>
      </c>
      <c r="D1881" s="7" t="n">
        <v>26668</v>
      </c>
      <c r="E1881" s="8" t="n">
        <v>0.00531085945702715</v>
      </c>
      <c r="F1881" s="4" t="n">
        <f aca="false">D1881*E1881</f>
        <v>141.63</v>
      </c>
      <c r="G1881" s="7" t="n">
        <v>10400</v>
      </c>
      <c r="H1881" s="9" t="n">
        <f aca="false">IF(G1881&gt;0,D1881/G1881,"")</f>
        <v>2.56423076923077</v>
      </c>
      <c r="I1881" s="10" t="n">
        <v>46301</v>
      </c>
      <c r="J1881" s="3" t="s">
        <v>278</v>
      </c>
      <c r="K1881" s="10" t="n">
        <v>45967</v>
      </c>
      <c r="L1881" s="3" t="s">
        <v>16</v>
      </c>
      <c r="M1881" s="7" t="n">
        <v>27000</v>
      </c>
      <c r="N1881" s="8" t="n">
        <v>0.0056</v>
      </c>
      <c r="O1881" s="4" t="n">
        <f aca="false">M1881*N1881</f>
        <v>151.2</v>
      </c>
    </row>
    <row r="1882" customFormat="false" ht="15" hidden="false" customHeight="false" outlineLevel="0" collapsed="false">
      <c r="A1882" s="0" t="s">
        <v>2864</v>
      </c>
      <c r="C1882" s="0" t="s">
        <v>38</v>
      </c>
      <c r="D1882" s="7" t="n">
        <v>5318</v>
      </c>
      <c r="E1882" s="8" t="n">
        <v>0.0266303121474238</v>
      </c>
      <c r="F1882" s="4" t="n">
        <f aca="false">D1882*E1882</f>
        <v>141.62</v>
      </c>
      <c r="G1882" s="7" t="n">
        <v>551</v>
      </c>
      <c r="H1882" s="9" t="n">
        <f aca="false">IF(G1882&gt;0,D1882/G1882,"")</f>
        <v>9.65154264972777</v>
      </c>
      <c r="I1882" s="10" t="n">
        <v>46280</v>
      </c>
      <c r="J1882" s="3" t="s">
        <v>568</v>
      </c>
      <c r="K1882" s="10" t="n">
        <v>46268</v>
      </c>
      <c r="L1882" s="3" t="s">
        <v>14</v>
      </c>
      <c r="M1882" s="7" t="n">
        <v>5000</v>
      </c>
      <c r="N1882" s="8" t="n">
        <v>0.0272</v>
      </c>
      <c r="O1882" s="4" t="n">
        <f aca="false">M1882*N1882</f>
        <v>136</v>
      </c>
    </row>
    <row r="1883" customFormat="false" ht="15" hidden="false" customHeight="false" outlineLevel="0" collapsed="false">
      <c r="A1883" s="0" t="s">
        <v>2865</v>
      </c>
      <c r="C1883" s="0" t="s">
        <v>889</v>
      </c>
      <c r="D1883" s="7" t="n">
        <v>901</v>
      </c>
      <c r="E1883" s="8" t="n">
        <v>0.157069922308546</v>
      </c>
      <c r="F1883" s="4" t="n">
        <f aca="false">D1883*E1883</f>
        <v>141.52</v>
      </c>
      <c r="G1883" s="7" t="n">
        <v>25</v>
      </c>
      <c r="H1883" s="9" t="n">
        <f aca="false">IF(G1883&gt;0,D1883/G1883,"")</f>
        <v>36.04</v>
      </c>
      <c r="I1883" s="10" t="n">
        <v>46092</v>
      </c>
      <c r="K1883" s="10"/>
      <c r="M1883" s="7"/>
      <c r="N1883" s="8"/>
      <c r="O1883" s="4"/>
    </row>
    <row r="1884" customFormat="false" ht="15" hidden="false" customHeight="false" outlineLevel="0" collapsed="false">
      <c r="A1884" s="0" t="s">
        <v>2866</v>
      </c>
      <c r="C1884" s="0" t="s">
        <v>35</v>
      </c>
      <c r="D1884" s="7" t="n">
        <v>278</v>
      </c>
      <c r="E1884" s="8" t="n">
        <v>0.508992805755396</v>
      </c>
      <c r="F1884" s="4" t="n">
        <f aca="false">D1884*E1884</f>
        <v>141.5</v>
      </c>
      <c r="G1884" s="7" t="n">
        <v>2</v>
      </c>
      <c r="H1884" s="9" t="n">
        <f aca="false">IF(G1884&gt;0,D1884/G1884,"")</f>
        <v>139</v>
      </c>
      <c r="I1884" s="10" t="n">
        <v>46266</v>
      </c>
      <c r="J1884" s="3" t="s">
        <v>633</v>
      </c>
      <c r="K1884" s="10" t="n">
        <v>45758</v>
      </c>
      <c r="L1884" s="3" t="s">
        <v>20</v>
      </c>
      <c r="M1884" s="7" t="n">
        <v>500</v>
      </c>
      <c r="N1884" s="8" t="n">
        <v>0.509</v>
      </c>
      <c r="O1884" s="4" t="n">
        <f aca="false">M1884*N1884</f>
        <v>254.5</v>
      </c>
    </row>
    <row r="1885" customFormat="false" ht="15" hidden="false" customHeight="false" outlineLevel="0" collapsed="false">
      <c r="A1885" s="0" t="s">
        <v>2867</v>
      </c>
      <c r="C1885" s="0" t="s">
        <v>741</v>
      </c>
      <c r="D1885" s="7" t="n">
        <v>961</v>
      </c>
      <c r="E1885" s="8" t="n">
        <v>0.147242455775234</v>
      </c>
      <c r="F1885" s="4" t="n">
        <f aca="false">D1885*E1885</f>
        <v>141.5</v>
      </c>
      <c r="G1885" s="7" t="n">
        <v>599</v>
      </c>
      <c r="H1885" s="9" t="n">
        <f aca="false">IF(G1885&gt;0,D1885/G1885,"")</f>
        <v>1.60434056761269</v>
      </c>
      <c r="I1885" s="10" t="n">
        <v>46308</v>
      </c>
      <c r="J1885" s="3" t="s">
        <v>1891</v>
      </c>
      <c r="K1885" s="10" t="n">
        <v>46140</v>
      </c>
      <c r="L1885" s="3" t="s">
        <v>27</v>
      </c>
      <c r="M1885" s="7" t="n">
        <v>350</v>
      </c>
      <c r="N1885" s="8" t="n">
        <v>0.1845</v>
      </c>
      <c r="O1885" s="4" t="n">
        <f aca="false">M1885*N1885</f>
        <v>64.575</v>
      </c>
    </row>
    <row r="1886" customFormat="false" ht="15" hidden="false" customHeight="false" outlineLevel="0" collapsed="false">
      <c r="A1886" s="0" t="s">
        <v>2868</v>
      </c>
      <c r="C1886" s="0" t="s">
        <v>1802</v>
      </c>
      <c r="D1886" s="7" t="n">
        <v>133</v>
      </c>
      <c r="E1886" s="8" t="n">
        <v>1.06375939849624</v>
      </c>
      <c r="F1886" s="4" t="n">
        <f aca="false">D1886*E1886</f>
        <v>141.48</v>
      </c>
      <c r="G1886" s="7" t="n">
        <v>45</v>
      </c>
      <c r="H1886" s="9" t="n">
        <f aca="false">IF(G1886&gt;0,D1886/G1886,"")</f>
        <v>2.95555555555556</v>
      </c>
      <c r="I1886" s="10" t="n">
        <v>46308</v>
      </c>
      <c r="J1886" s="3" t="s">
        <v>2869</v>
      </c>
      <c r="K1886" s="10" t="n">
        <v>44321</v>
      </c>
      <c r="L1886" s="3" t="s">
        <v>14</v>
      </c>
      <c r="M1886" s="7" t="n">
        <v>500</v>
      </c>
      <c r="N1886" s="8" t="n">
        <v>1.06375</v>
      </c>
      <c r="O1886" s="4" t="n">
        <f aca="false">M1886*N1886</f>
        <v>531.875</v>
      </c>
    </row>
    <row r="1887" customFormat="false" ht="15" hidden="false" customHeight="false" outlineLevel="0" collapsed="false">
      <c r="A1887" s="0" t="s">
        <v>2870</v>
      </c>
      <c r="C1887" s="0" t="s">
        <v>37</v>
      </c>
      <c r="D1887" s="7" t="n">
        <v>1931</v>
      </c>
      <c r="E1887" s="8" t="n">
        <v>0.0732625582599689</v>
      </c>
      <c r="F1887" s="4" t="n">
        <f aca="false">D1887*E1887</f>
        <v>141.47</v>
      </c>
      <c r="G1887" s="7" t="n">
        <v>45</v>
      </c>
      <c r="H1887" s="9" t="n">
        <f aca="false">IF(G1887&gt;0,D1887/G1887,"")</f>
        <v>42.9111111111111</v>
      </c>
      <c r="I1887" s="10" t="n">
        <v>46314</v>
      </c>
      <c r="J1887" s="3" t="s">
        <v>1936</v>
      </c>
      <c r="K1887" s="10" t="n">
        <v>45057</v>
      </c>
      <c r="L1887" s="3" t="s">
        <v>15</v>
      </c>
      <c r="M1887" s="7" t="n">
        <v>2750</v>
      </c>
      <c r="N1887" s="8" t="n">
        <v>0.07326</v>
      </c>
      <c r="O1887" s="4" t="n">
        <f aca="false">M1887*N1887</f>
        <v>201.465</v>
      </c>
    </row>
    <row r="1888" customFormat="false" ht="15" hidden="false" customHeight="false" outlineLevel="0" collapsed="false">
      <c r="A1888" s="0" t="s">
        <v>2871</v>
      </c>
      <c r="C1888" s="0" t="s">
        <v>340</v>
      </c>
      <c r="D1888" s="7" t="n">
        <v>6972</v>
      </c>
      <c r="E1888" s="8" t="n">
        <v>0.0202911646586345</v>
      </c>
      <c r="F1888" s="4" t="n">
        <f aca="false">D1888*E1888</f>
        <v>141.47</v>
      </c>
      <c r="G1888" s="7" t="n">
        <v>720</v>
      </c>
      <c r="H1888" s="9" t="n">
        <f aca="false">IF(G1888&gt;0,D1888/G1888,"")</f>
        <v>9.68333333333333</v>
      </c>
      <c r="I1888" s="10" t="n">
        <v>46188</v>
      </c>
      <c r="J1888" s="3" t="s">
        <v>1140</v>
      </c>
      <c r="K1888" s="10" t="n">
        <v>45614</v>
      </c>
      <c r="L1888" s="3" t="s">
        <v>15</v>
      </c>
      <c r="M1888" s="7" t="n">
        <v>10000</v>
      </c>
      <c r="N1888" s="8" t="n">
        <v>0.02029</v>
      </c>
      <c r="O1888" s="4" t="n">
        <f aca="false">M1888*N1888</f>
        <v>202.9</v>
      </c>
    </row>
    <row r="1889" customFormat="false" ht="15" hidden="false" customHeight="false" outlineLevel="0" collapsed="false">
      <c r="A1889" s="0" t="s">
        <v>2872</v>
      </c>
      <c r="C1889" s="0" t="s">
        <v>1169</v>
      </c>
      <c r="D1889" s="7" t="n">
        <v>1867</v>
      </c>
      <c r="E1889" s="8" t="n">
        <v>0.0757096946973755</v>
      </c>
      <c r="F1889" s="4" t="n">
        <f aca="false">D1889*E1889</f>
        <v>141.35</v>
      </c>
      <c r="G1889" s="7" t="n">
        <v>102</v>
      </c>
      <c r="H1889" s="9" t="n">
        <f aca="false">IF(G1889&gt;0,D1889/G1889,"")</f>
        <v>18.3039215686275</v>
      </c>
      <c r="I1889" s="10" t="n">
        <v>46147</v>
      </c>
      <c r="J1889" s="3" t="s">
        <v>2873</v>
      </c>
      <c r="K1889" s="10" t="n">
        <v>45013</v>
      </c>
      <c r="L1889" s="3" t="s">
        <v>2203</v>
      </c>
      <c r="M1889" s="7" t="n">
        <v>2500</v>
      </c>
      <c r="N1889" s="8" t="n">
        <v>0.0757</v>
      </c>
      <c r="O1889" s="4" t="n">
        <f aca="false">M1889*N1889</f>
        <v>189.25</v>
      </c>
    </row>
    <row r="1890" customFormat="false" ht="15" hidden="false" customHeight="false" outlineLevel="0" collapsed="false">
      <c r="A1890" s="0" t="s">
        <v>2874</v>
      </c>
      <c r="C1890" s="0" t="s">
        <v>31</v>
      </c>
      <c r="D1890" s="7" t="n">
        <v>37394</v>
      </c>
      <c r="E1890" s="8" t="n">
        <v>0.00377948333957319</v>
      </c>
      <c r="F1890" s="4" t="n">
        <f aca="false">D1890*E1890</f>
        <v>141.33</v>
      </c>
      <c r="G1890" s="7" t="n">
        <v>10396</v>
      </c>
      <c r="H1890" s="9" t="n">
        <f aca="false">IF(G1890&gt;0,D1890/G1890,"")</f>
        <v>3.59696036937284</v>
      </c>
      <c r="I1890" s="10" t="n">
        <v>46308</v>
      </c>
      <c r="J1890" s="3" t="s">
        <v>278</v>
      </c>
      <c r="K1890" s="10" t="n">
        <v>45967</v>
      </c>
      <c r="L1890" s="3" t="s">
        <v>16</v>
      </c>
      <c r="M1890" s="7" t="n">
        <v>40000</v>
      </c>
      <c r="N1890" s="8" t="n">
        <v>0.00378</v>
      </c>
      <c r="O1890" s="4" t="n">
        <f aca="false">M1890*N1890</f>
        <v>151.2</v>
      </c>
    </row>
    <row r="1891" customFormat="false" ht="15" hidden="false" customHeight="false" outlineLevel="0" collapsed="false">
      <c r="A1891" s="0" t="s">
        <v>2875</v>
      </c>
      <c r="C1891" s="0" t="s">
        <v>777</v>
      </c>
      <c r="D1891" s="7" t="n">
        <v>990</v>
      </c>
      <c r="E1891" s="8" t="n">
        <v>0.14249494949495</v>
      </c>
      <c r="F1891" s="4" t="n">
        <f aca="false">D1891*E1891</f>
        <v>141.07</v>
      </c>
      <c r="G1891" s="7" t="n">
        <v>200</v>
      </c>
      <c r="H1891" s="9" t="n">
        <f aca="false">IF(G1891&gt;0,D1891/G1891,"")</f>
        <v>4.95</v>
      </c>
      <c r="I1891" s="10" t="n">
        <v>46287</v>
      </c>
      <c r="J1891" s="3" t="s">
        <v>1425</v>
      </c>
      <c r="K1891" s="10" t="n">
        <v>45890</v>
      </c>
      <c r="L1891" s="3" t="s">
        <v>15</v>
      </c>
      <c r="M1891" s="7" t="n">
        <v>1190</v>
      </c>
      <c r="N1891" s="8" t="n">
        <v>0.1425</v>
      </c>
      <c r="O1891" s="4" t="n">
        <f aca="false">M1891*N1891</f>
        <v>169.575</v>
      </c>
    </row>
    <row r="1892" customFormat="false" ht="15" hidden="false" customHeight="false" outlineLevel="0" collapsed="false">
      <c r="A1892" s="0" t="s">
        <v>2876</v>
      </c>
      <c r="C1892" s="0" t="s">
        <v>285</v>
      </c>
      <c r="D1892" s="7" t="n">
        <v>32411</v>
      </c>
      <c r="E1892" s="8" t="n">
        <v>0.00435006633550338</v>
      </c>
      <c r="F1892" s="4" t="n">
        <f aca="false">D1892*E1892</f>
        <v>140.99</v>
      </c>
      <c r="G1892" s="7" t="n">
        <v>5300</v>
      </c>
      <c r="H1892" s="9" t="n">
        <f aca="false">IF(G1892&gt;0,D1892/G1892,"")</f>
        <v>6.11528301886793</v>
      </c>
      <c r="I1892" s="10" t="n">
        <v>46210</v>
      </c>
      <c r="K1892" s="10"/>
      <c r="M1892" s="7"/>
      <c r="N1892" s="8"/>
      <c r="O1892" s="4"/>
    </row>
    <row r="1893" customFormat="false" ht="15" hidden="false" customHeight="false" outlineLevel="0" collapsed="false">
      <c r="A1893" s="0" t="s">
        <v>2877</v>
      </c>
      <c r="C1893" s="0" t="s">
        <v>31</v>
      </c>
      <c r="D1893" s="7" t="n">
        <v>45021</v>
      </c>
      <c r="E1893" s="8" t="n">
        <v>0.00312898425179361</v>
      </c>
      <c r="F1893" s="4" t="n">
        <f aca="false">D1893*E1893</f>
        <v>140.87</v>
      </c>
      <c r="G1893" s="7" t="n">
        <v>5740</v>
      </c>
      <c r="H1893" s="9" t="n">
        <f aca="false">IF(G1893&gt;0,D1893/G1893,"")</f>
        <v>7.84337979094077</v>
      </c>
      <c r="I1893" s="10" t="n">
        <v>46281</v>
      </c>
      <c r="J1893" s="3" t="s">
        <v>558</v>
      </c>
      <c r="K1893" s="10" t="n">
        <v>45457</v>
      </c>
      <c r="L1893" s="3" t="s">
        <v>15</v>
      </c>
      <c r="M1893" s="7" t="n">
        <v>150000</v>
      </c>
      <c r="N1893" s="8" t="n">
        <v>0.00313</v>
      </c>
      <c r="O1893" s="4" t="n">
        <f aca="false">M1893*N1893</f>
        <v>469.5</v>
      </c>
    </row>
    <row r="1894" customFormat="false" ht="15" hidden="false" customHeight="false" outlineLevel="0" collapsed="false">
      <c r="A1894" s="0" t="s">
        <v>2878</v>
      </c>
      <c r="C1894" s="0" t="s">
        <v>45</v>
      </c>
      <c r="D1894" s="7" t="n">
        <v>845</v>
      </c>
      <c r="E1894" s="8" t="n">
        <v>0.166603550295858</v>
      </c>
      <c r="F1894" s="4" t="n">
        <f aca="false">D1894*E1894</f>
        <v>140.78</v>
      </c>
      <c r="G1894" s="7" t="n">
        <v>190</v>
      </c>
      <c r="H1894" s="9" t="n">
        <f aca="false">IF(G1894&gt;0,D1894/G1894,"")</f>
        <v>4.44736842105263</v>
      </c>
      <c r="I1894" s="10" t="n">
        <v>46314</v>
      </c>
      <c r="J1894" s="3" t="s">
        <v>1423</v>
      </c>
      <c r="K1894" s="10" t="n">
        <v>45786</v>
      </c>
      <c r="L1894" s="3" t="s">
        <v>23</v>
      </c>
      <c r="M1894" s="7" t="n">
        <v>1500</v>
      </c>
      <c r="N1894" s="8" t="n">
        <v>0.1666</v>
      </c>
      <c r="O1894" s="4" t="n">
        <f aca="false">M1894*N1894</f>
        <v>249.9</v>
      </c>
    </row>
    <row r="1895" customFormat="false" ht="15" hidden="false" customHeight="false" outlineLevel="0" collapsed="false">
      <c r="A1895" s="0" t="s">
        <v>2879</v>
      </c>
      <c r="C1895" s="0" t="s">
        <v>118</v>
      </c>
      <c r="D1895" s="7" t="n">
        <v>14072</v>
      </c>
      <c r="E1895" s="8" t="n">
        <v>0.01</v>
      </c>
      <c r="F1895" s="4" t="n">
        <f aca="false">D1895*E1895</f>
        <v>140.72</v>
      </c>
      <c r="G1895" s="7" t="n">
        <v>2774</v>
      </c>
      <c r="H1895" s="9" t="n">
        <f aca="false">IF(G1895&gt;0,D1895/G1895,"")</f>
        <v>5.07281903388609</v>
      </c>
      <c r="I1895" s="10" t="n">
        <v>46304</v>
      </c>
      <c r="J1895" s="3" t="s">
        <v>2276</v>
      </c>
      <c r="K1895" s="10" t="n">
        <v>44959</v>
      </c>
      <c r="L1895" s="3" t="s">
        <v>15</v>
      </c>
      <c r="M1895" s="7" t="n">
        <v>18440</v>
      </c>
      <c r="N1895" s="8" t="n">
        <v>0.01326</v>
      </c>
      <c r="O1895" s="4" t="n">
        <f aca="false">M1895*N1895</f>
        <v>244.5144</v>
      </c>
    </row>
    <row r="1896" customFormat="false" ht="15" hidden="false" customHeight="false" outlineLevel="0" collapsed="false">
      <c r="A1896" s="0" t="s">
        <v>2880</v>
      </c>
      <c r="C1896" s="0" t="s">
        <v>807</v>
      </c>
      <c r="D1896" s="7" t="n">
        <v>5</v>
      </c>
      <c r="E1896" s="8" t="n">
        <v>28.14</v>
      </c>
      <c r="F1896" s="4" t="n">
        <f aca="false">D1896*E1896</f>
        <v>140.7</v>
      </c>
      <c r="G1896" s="7" t="n">
        <v>5</v>
      </c>
      <c r="H1896" s="9" t="n">
        <f aca="false">IF(G1896&gt;0,D1896/G1896,"")</f>
        <v>1</v>
      </c>
      <c r="I1896" s="10" t="n">
        <v>45958</v>
      </c>
      <c r="J1896" s="3" t="s">
        <v>2881</v>
      </c>
      <c r="K1896" s="10" t="n">
        <v>45889</v>
      </c>
      <c r="L1896" s="3" t="s">
        <v>145</v>
      </c>
      <c r="M1896" s="7" t="n">
        <v>10</v>
      </c>
      <c r="N1896" s="8" t="n">
        <v>28.14</v>
      </c>
      <c r="O1896" s="4" t="n">
        <f aca="false">M1896*N1896</f>
        <v>281.4</v>
      </c>
    </row>
    <row r="1897" customFormat="false" ht="15" hidden="false" customHeight="false" outlineLevel="0" collapsed="false">
      <c r="A1897" s="0" t="s">
        <v>2882</v>
      </c>
      <c r="C1897" s="0" t="s">
        <v>32</v>
      </c>
      <c r="D1897" s="7" t="n">
        <v>639</v>
      </c>
      <c r="E1897" s="8" t="n">
        <v>0.22</v>
      </c>
      <c r="F1897" s="4" t="n">
        <f aca="false">D1897*E1897</f>
        <v>140.58</v>
      </c>
      <c r="G1897" s="7" t="n">
        <v>328</v>
      </c>
      <c r="H1897" s="9" t="n">
        <f aca="false">IF(G1897&gt;0,D1897/G1897,"")</f>
        <v>1.94817073170732</v>
      </c>
      <c r="I1897" s="10" t="n">
        <v>46282</v>
      </c>
      <c r="J1897" s="3" t="s">
        <v>2883</v>
      </c>
      <c r="K1897" s="10" t="n">
        <v>45594</v>
      </c>
      <c r="L1897" s="3" t="s">
        <v>18</v>
      </c>
      <c r="M1897" s="7" t="n">
        <v>110</v>
      </c>
      <c r="N1897" s="8" t="n">
        <v>0.2223</v>
      </c>
      <c r="O1897" s="4" t="n">
        <f aca="false">M1897*N1897</f>
        <v>24.453</v>
      </c>
    </row>
    <row r="1898" customFormat="false" ht="15" hidden="false" customHeight="false" outlineLevel="0" collapsed="false">
      <c r="A1898" s="0" t="s">
        <v>2884</v>
      </c>
      <c r="C1898" s="0" t="s">
        <v>41</v>
      </c>
      <c r="D1898" s="7" t="n">
        <v>9351</v>
      </c>
      <c r="E1898" s="8" t="n">
        <v>0.0150336862367661</v>
      </c>
      <c r="F1898" s="4" t="n">
        <f aca="false">D1898*E1898</f>
        <v>140.58</v>
      </c>
      <c r="G1898" s="7" t="n">
        <v>1512</v>
      </c>
      <c r="H1898" s="9" t="n">
        <f aca="false">IF(G1898&gt;0,D1898/G1898,"")</f>
        <v>6.18452380952381</v>
      </c>
      <c r="I1898" s="10" t="n">
        <v>46265</v>
      </c>
      <c r="K1898" s="10"/>
      <c r="M1898" s="7"/>
      <c r="N1898" s="8"/>
      <c r="O1898" s="4"/>
    </row>
    <row r="1899" customFormat="false" ht="15" hidden="false" customHeight="false" outlineLevel="0" collapsed="false">
      <c r="A1899" s="0" t="s">
        <v>2885</v>
      </c>
      <c r="C1899" s="0" t="s">
        <v>40</v>
      </c>
      <c r="D1899" s="7" t="n">
        <v>504</v>
      </c>
      <c r="E1899" s="8" t="n">
        <v>0.27890873015873</v>
      </c>
      <c r="F1899" s="4" t="n">
        <f aca="false">D1899*E1899</f>
        <v>140.57</v>
      </c>
      <c r="G1899" s="7" t="n">
        <v>208</v>
      </c>
      <c r="H1899" s="9" t="n">
        <f aca="false">IF(G1899&gt;0,D1899/G1899,"")</f>
        <v>2.42307692307692</v>
      </c>
      <c r="I1899" s="10" t="n">
        <v>46238</v>
      </c>
      <c r="K1899" s="10"/>
      <c r="M1899" s="7"/>
      <c r="N1899" s="8"/>
      <c r="O1899" s="4"/>
    </row>
    <row r="1900" customFormat="false" ht="15" hidden="false" customHeight="false" outlineLevel="0" collapsed="false">
      <c r="A1900" s="0" t="s">
        <v>2886</v>
      </c>
      <c r="C1900" s="0" t="s">
        <v>31</v>
      </c>
      <c r="D1900" s="7" t="n">
        <v>53880</v>
      </c>
      <c r="E1900" s="8" t="n">
        <v>0.00260560504825538</v>
      </c>
      <c r="F1900" s="4" t="n">
        <f aca="false">D1900*E1900</f>
        <v>140.39</v>
      </c>
      <c r="G1900" s="7" t="n">
        <v>8088</v>
      </c>
      <c r="H1900" s="9" t="n">
        <f aca="false">IF(G1900&gt;0,D1900/G1900,"")</f>
        <v>6.66172106824926</v>
      </c>
      <c r="I1900" s="10" t="n">
        <v>46245</v>
      </c>
      <c r="J1900" s="3" t="s">
        <v>1209</v>
      </c>
      <c r="K1900" s="10" t="n">
        <v>45993</v>
      </c>
      <c r="L1900" s="3" t="s">
        <v>16</v>
      </c>
      <c r="M1900" s="7" t="n">
        <v>58000</v>
      </c>
      <c r="N1900" s="8" t="n">
        <v>0.0026</v>
      </c>
      <c r="O1900" s="4" t="n">
        <f aca="false">M1900*N1900</f>
        <v>150.8</v>
      </c>
    </row>
    <row r="1901" customFormat="false" ht="15" hidden="false" customHeight="false" outlineLevel="0" collapsed="false">
      <c r="A1901" s="0" t="s">
        <v>2887</v>
      </c>
      <c r="C1901" s="0" t="s">
        <v>31</v>
      </c>
      <c r="D1901" s="7" t="n">
        <v>2090</v>
      </c>
      <c r="E1901" s="8" t="n">
        <v>0.0671052631578947</v>
      </c>
      <c r="F1901" s="4" t="n">
        <f aca="false">D1901*E1901</f>
        <v>140.25</v>
      </c>
      <c r="G1901" s="7" t="n">
        <v>445</v>
      </c>
      <c r="H1901" s="9" t="n">
        <f aca="false">IF(G1901&gt;0,D1901/G1901,"")</f>
        <v>4.69662921348315</v>
      </c>
      <c r="I1901" s="10" t="n">
        <v>46314</v>
      </c>
      <c r="J1901" s="3" t="s">
        <v>2888</v>
      </c>
      <c r="K1901" s="10" t="n">
        <v>45984</v>
      </c>
      <c r="L1901" s="3" t="s">
        <v>16</v>
      </c>
      <c r="M1901" s="7" t="n">
        <v>2500</v>
      </c>
      <c r="N1901" s="8" t="n">
        <v>0.0671</v>
      </c>
      <c r="O1901" s="4" t="n">
        <f aca="false">M1901*N1901</f>
        <v>167.75</v>
      </c>
    </row>
    <row r="1902" customFormat="false" ht="15" hidden="false" customHeight="false" outlineLevel="0" collapsed="false">
      <c r="A1902" s="0" t="s">
        <v>2889</v>
      </c>
      <c r="C1902" s="0" t="s">
        <v>31</v>
      </c>
      <c r="D1902" s="7" t="n">
        <v>2151</v>
      </c>
      <c r="E1902" s="8" t="n">
        <v>0.0652022315202232</v>
      </c>
      <c r="F1902" s="4" t="n">
        <f aca="false">D1902*E1902</f>
        <v>140.25</v>
      </c>
      <c r="G1902" s="7" t="n">
        <v>150</v>
      </c>
      <c r="H1902" s="9" t="n">
        <f aca="false">IF(G1902&gt;0,D1902/G1902,"")</f>
        <v>14.34</v>
      </c>
      <c r="I1902" s="10" t="n">
        <v>46259</v>
      </c>
      <c r="J1902" s="3" t="s">
        <v>2890</v>
      </c>
      <c r="K1902" s="10" t="n">
        <v>46198</v>
      </c>
      <c r="L1902" s="3" t="s">
        <v>16</v>
      </c>
      <c r="M1902" s="7" t="n">
        <v>2301</v>
      </c>
      <c r="N1902" s="8" t="n">
        <v>0.0652</v>
      </c>
      <c r="O1902" s="4" t="n">
        <f aca="false">M1902*N1902</f>
        <v>150.0252</v>
      </c>
    </row>
    <row r="1903" customFormat="false" ht="15" hidden="false" customHeight="false" outlineLevel="0" collapsed="false">
      <c r="A1903" s="0" t="s">
        <v>2891</v>
      </c>
      <c r="C1903" s="0" t="s">
        <v>31</v>
      </c>
      <c r="D1903" s="7" t="n">
        <v>4835</v>
      </c>
      <c r="E1903" s="8" t="n">
        <v>0.0289989658738366</v>
      </c>
      <c r="F1903" s="4" t="n">
        <f aca="false">D1903*E1903</f>
        <v>140.21</v>
      </c>
      <c r="G1903" s="7" t="n">
        <v>4716</v>
      </c>
      <c r="H1903" s="9" t="n">
        <f aca="false">IF(G1903&gt;0,D1903/G1903,"")</f>
        <v>1.02523324851569</v>
      </c>
      <c r="I1903" s="10" t="n">
        <v>46282</v>
      </c>
      <c r="J1903" s="3" t="s">
        <v>1122</v>
      </c>
      <c r="K1903" s="10" t="n">
        <v>45659</v>
      </c>
      <c r="L1903" s="3" t="s">
        <v>25</v>
      </c>
      <c r="M1903" s="7" t="n">
        <v>15000</v>
      </c>
      <c r="N1903" s="8" t="n">
        <v>0.029</v>
      </c>
      <c r="O1903" s="4" t="n">
        <f aca="false">M1903*N1903</f>
        <v>435</v>
      </c>
    </row>
    <row r="1904" customFormat="false" ht="15" hidden="false" customHeight="false" outlineLevel="0" collapsed="false">
      <c r="A1904" s="0" t="s">
        <v>2892</v>
      </c>
      <c r="C1904" s="0" t="s">
        <v>31</v>
      </c>
      <c r="D1904" s="7" t="n">
        <v>8802</v>
      </c>
      <c r="E1904" s="8" t="n">
        <v>0.0159213815042036</v>
      </c>
      <c r="F1904" s="4" t="n">
        <f aca="false">D1904*E1904</f>
        <v>140.14</v>
      </c>
      <c r="G1904" s="7" t="n">
        <v>1441</v>
      </c>
      <c r="H1904" s="9" t="n">
        <f aca="false">IF(G1904&gt;0,D1904/G1904,"")</f>
        <v>6.10825815405968</v>
      </c>
      <c r="I1904" s="10" t="n">
        <v>46308</v>
      </c>
      <c r="J1904" s="3" t="s">
        <v>278</v>
      </c>
      <c r="K1904" s="10" t="n">
        <v>45967</v>
      </c>
      <c r="L1904" s="3" t="s">
        <v>16</v>
      </c>
      <c r="M1904" s="7" t="n">
        <v>10000</v>
      </c>
      <c r="N1904" s="8" t="n">
        <v>0.01582</v>
      </c>
      <c r="O1904" s="4" t="n">
        <f aca="false">M1904*N1904</f>
        <v>158.2</v>
      </c>
    </row>
    <row r="1905" customFormat="false" ht="15" hidden="false" customHeight="false" outlineLevel="0" collapsed="false">
      <c r="A1905" s="0" t="s">
        <v>2893</v>
      </c>
      <c r="C1905" s="0" t="s">
        <v>31</v>
      </c>
      <c r="D1905" s="7" t="n">
        <v>56200</v>
      </c>
      <c r="E1905" s="8" t="n">
        <v>0.00249199288256228</v>
      </c>
      <c r="F1905" s="4" t="n">
        <f aca="false">D1905*E1905</f>
        <v>140.05</v>
      </c>
      <c r="G1905" s="7" t="n">
        <v>26310</v>
      </c>
      <c r="H1905" s="9" t="n">
        <f aca="false">IF(G1905&gt;0,D1905/G1905,"")</f>
        <v>2.13606993538579</v>
      </c>
      <c r="I1905" s="10" t="n">
        <v>46317</v>
      </c>
      <c r="J1905" s="3" t="s">
        <v>2573</v>
      </c>
      <c r="K1905" s="10" t="n">
        <v>46142</v>
      </c>
      <c r="L1905" s="3" t="s">
        <v>16</v>
      </c>
      <c r="M1905" s="7" t="n">
        <v>60000</v>
      </c>
      <c r="N1905" s="8" t="n">
        <v>0.0025</v>
      </c>
      <c r="O1905" s="4" t="n">
        <f aca="false">M1905*N1905</f>
        <v>150</v>
      </c>
    </row>
    <row r="1906" customFormat="false" ht="15" hidden="false" customHeight="false" outlineLevel="0" collapsed="false">
      <c r="A1906" s="0" t="s">
        <v>2894</v>
      </c>
      <c r="C1906" s="0" t="s">
        <v>120</v>
      </c>
      <c r="D1906" s="7" t="n">
        <v>1882</v>
      </c>
      <c r="E1906" s="8" t="n">
        <v>0.0742667375132837</v>
      </c>
      <c r="F1906" s="4" t="n">
        <f aca="false">D1906*E1906</f>
        <v>139.77</v>
      </c>
      <c r="G1906" s="7" t="n">
        <v>734</v>
      </c>
      <c r="H1906" s="9" t="n">
        <f aca="false">IF(G1906&gt;0,D1906/G1906,"")</f>
        <v>2.56403269754768</v>
      </c>
      <c r="I1906" s="10" t="n">
        <v>46295</v>
      </c>
      <c r="J1906" s="3" t="s">
        <v>2496</v>
      </c>
      <c r="K1906" s="10" t="n">
        <v>45978</v>
      </c>
      <c r="L1906" s="3" t="s">
        <v>14</v>
      </c>
      <c r="M1906" s="7" t="n">
        <v>2152</v>
      </c>
      <c r="N1906" s="8" t="n">
        <v>0.07414</v>
      </c>
      <c r="O1906" s="4" t="n">
        <f aca="false">M1906*N1906</f>
        <v>159.54928</v>
      </c>
    </row>
    <row r="1907" customFormat="false" ht="15" hidden="false" customHeight="false" outlineLevel="0" collapsed="false">
      <c r="A1907" s="0" t="s">
        <v>2895</v>
      </c>
      <c r="C1907" s="0" t="s">
        <v>31</v>
      </c>
      <c r="D1907" s="7" t="n">
        <v>13185</v>
      </c>
      <c r="E1907" s="8" t="n">
        <v>0.0105999241562382</v>
      </c>
      <c r="F1907" s="4" t="n">
        <f aca="false">D1907*E1907</f>
        <v>139.76</v>
      </c>
      <c r="G1907" s="7" t="n">
        <v>1120</v>
      </c>
      <c r="H1907" s="9" t="n">
        <f aca="false">IF(G1907&gt;0,D1907/G1907,"")</f>
        <v>11.7723214285714</v>
      </c>
      <c r="I1907" s="10" t="n">
        <v>46286</v>
      </c>
      <c r="J1907" s="3" t="s">
        <v>2385</v>
      </c>
      <c r="K1907" s="10" t="n">
        <v>45629</v>
      </c>
      <c r="L1907" s="3" t="s">
        <v>16</v>
      </c>
      <c r="M1907" s="7" t="n">
        <v>14200</v>
      </c>
      <c r="N1907" s="8" t="n">
        <v>0.0106</v>
      </c>
      <c r="O1907" s="4" t="n">
        <f aca="false">M1907*N1907</f>
        <v>150.52</v>
      </c>
    </row>
    <row r="1908" customFormat="false" ht="15" hidden="false" customHeight="false" outlineLevel="0" collapsed="false">
      <c r="A1908" s="0" t="s">
        <v>2896</v>
      </c>
      <c r="C1908" s="0" t="s">
        <v>34</v>
      </c>
      <c r="D1908" s="7" t="n">
        <v>5815</v>
      </c>
      <c r="E1908" s="8" t="n">
        <v>0.0240326741186586</v>
      </c>
      <c r="F1908" s="4" t="n">
        <f aca="false">D1908*E1908</f>
        <v>139.75</v>
      </c>
      <c r="G1908" s="7" t="n">
        <v>453</v>
      </c>
      <c r="H1908" s="9" t="n">
        <f aca="false">IF(G1908&gt;0,D1908/G1908,"")</f>
        <v>12.8366445916115</v>
      </c>
      <c r="I1908" s="10" t="n">
        <v>46195</v>
      </c>
      <c r="J1908" s="3" t="s">
        <v>2897</v>
      </c>
      <c r="K1908" s="10" t="n">
        <v>45232</v>
      </c>
      <c r="L1908" s="3" t="s">
        <v>16</v>
      </c>
      <c r="M1908" s="7" t="n">
        <v>8525</v>
      </c>
      <c r="N1908" s="8" t="n">
        <v>0.02403</v>
      </c>
      <c r="O1908" s="4" t="n">
        <f aca="false">M1908*N1908</f>
        <v>204.85575</v>
      </c>
    </row>
    <row r="1909" customFormat="false" ht="15" hidden="false" customHeight="false" outlineLevel="0" collapsed="false">
      <c r="A1909" s="0" t="s">
        <v>2898</v>
      </c>
      <c r="C1909" s="0" t="s">
        <v>298</v>
      </c>
      <c r="D1909" s="7" t="n">
        <v>13496</v>
      </c>
      <c r="E1909" s="8" t="n">
        <v>0.0103482513337285</v>
      </c>
      <c r="F1909" s="4" t="n">
        <f aca="false">D1909*E1909</f>
        <v>139.66</v>
      </c>
      <c r="G1909" s="7" t="n">
        <v>5417</v>
      </c>
      <c r="H1909" s="9" t="n">
        <f aca="false">IF(G1909&gt;0,D1909/G1909,"")</f>
        <v>2.4914159128669</v>
      </c>
      <c r="I1909" s="10" t="n">
        <v>46302</v>
      </c>
      <c r="J1909" s="3" t="s">
        <v>1211</v>
      </c>
      <c r="K1909" s="10" t="n">
        <v>45750</v>
      </c>
      <c r="L1909" s="3" t="s">
        <v>26</v>
      </c>
      <c r="M1909" s="7" t="n">
        <v>2000</v>
      </c>
      <c r="N1909" s="8" t="n">
        <v>0.0274</v>
      </c>
      <c r="O1909" s="4" t="n">
        <f aca="false">M1909*N1909</f>
        <v>54.8</v>
      </c>
    </row>
    <row r="1910" customFormat="false" ht="15" hidden="false" customHeight="false" outlineLevel="0" collapsed="false">
      <c r="A1910" s="0" t="s">
        <v>2899</v>
      </c>
      <c r="C1910" s="0" t="s">
        <v>1169</v>
      </c>
      <c r="D1910" s="7" t="n">
        <v>2405</v>
      </c>
      <c r="E1910" s="8" t="n">
        <v>0.058</v>
      </c>
      <c r="F1910" s="4" t="n">
        <f aca="false">D1910*E1910</f>
        <v>139.49</v>
      </c>
      <c r="G1910" s="7" t="n">
        <v>544</v>
      </c>
      <c r="H1910" s="9" t="n">
        <f aca="false">IF(G1910&gt;0,D1910/G1910,"")</f>
        <v>4.42095588235294</v>
      </c>
      <c r="I1910" s="10" t="n">
        <v>46293</v>
      </c>
      <c r="J1910" s="3" t="s">
        <v>2900</v>
      </c>
      <c r="K1910" s="10" t="n">
        <v>45468</v>
      </c>
      <c r="L1910" s="3" t="s">
        <v>21</v>
      </c>
      <c r="M1910" s="7" t="n">
        <v>2500</v>
      </c>
      <c r="N1910" s="8" t="n">
        <v>0.058</v>
      </c>
      <c r="O1910" s="4" t="n">
        <f aca="false">M1910*N1910</f>
        <v>145</v>
      </c>
    </row>
    <row r="1911" customFormat="false" ht="15" hidden="false" customHeight="false" outlineLevel="0" collapsed="false">
      <c r="A1911" s="0" t="s">
        <v>2901</v>
      </c>
      <c r="C1911" s="0" t="s">
        <v>35</v>
      </c>
      <c r="D1911" s="7" t="n">
        <v>47</v>
      </c>
      <c r="E1911" s="8" t="n">
        <v>2.96744680851064</v>
      </c>
      <c r="F1911" s="4" t="n">
        <f aca="false">D1911*E1911</f>
        <v>139.47</v>
      </c>
      <c r="G1911" s="7" t="n">
        <v>16</v>
      </c>
      <c r="H1911" s="9" t="n">
        <f aca="false">IF(G1911&gt;0,D1911/G1911,"")</f>
        <v>2.9375</v>
      </c>
      <c r="I1911" s="10" t="n">
        <v>46139</v>
      </c>
      <c r="J1911" s="3" t="s">
        <v>796</v>
      </c>
      <c r="K1911" s="10" t="n">
        <v>45555</v>
      </c>
      <c r="L1911" s="3" t="s">
        <v>14</v>
      </c>
      <c r="M1911" s="7" t="n">
        <v>100</v>
      </c>
      <c r="N1911" s="8" t="n">
        <v>2.9676</v>
      </c>
      <c r="O1911" s="4" t="n">
        <f aca="false">M1911*N1911</f>
        <v>296.76</v>
      </c>
    </row>
    <row r="1912" customFormat="false" ht="15" hidden="false" customHeight="false" outlineLevel="0" collapsed="false">
      <c r="A1912" s="0" t="s">
        <v>2902</v>
      </c>
      <c r="C1912" s="0" t="s">
        <v>1169</v>
      </c>
      <c r="D1912" s="7" t="n">
        <v>2967</v>
      </c>
      <c r="E1912" s="8" t="n">
        <v>0.0470003370407819</v>
      </c>
      <c r="F1912" s="4" t="n">
        <f aca="false">D1912*E1912</f>
        <v>139.45</v>
      </c>
      <c r="G1912" s="7" t="n">
        <v>10</v>
      </c>
      <c r="H1912" s="9" t="n">
        <f aca="false">IF(G1912&gt;0,D1912/G1912,"")</f>
        <v>296.7</v>
      </c>
      <c r="I1912" s="10" t="n">
        <v>46185</v>
      </c>
      <c r="J1912" s="3" t="s">
        <v>2903</v>
      </c>
      <c r="K1912" s="10" t="n">
        <v>44301</v>
      </c>
      <c r="L1912" s="3" t="s">
        <v>21</v>
      </c>
      <c r="M1912" s="7" t="n">
        <v>3000</v>
      </c>
      <c r="N1912" s="8" t="n">
        <v>0.047</v>
      </c>
      <c r="O1912" s="4" t="n">
        <f aca="false">M1912*N1912</f>
        <v>141</v>
      </c>
    </row>
    <row r="1913" customFormat="false" ht="15" hidden="false" customHeight="false" outlineLevel="0" collapsed="false">
      <c r="A1913" s="0" t="s">
        <v>2904</v>
      </c>
      <c r="C1913" s="0" t="s">
        <v>34</v>
      </c>
      <c r="D1913" s="7" t="n">
        <v>866</v>
      </c>
      <c r="E1913" s="8" t="n">
        <v>0.161004618937644</v>
      </c>
      <c r="F1913" s="4" t="n">
        <f aca="false">D1913*E1913</f>
        <v>139.43</v>
      </c>
      <c r="G1913" s="7" t="n">
        <v>234</v>
      </c>
      <c r="H1913" s="9" t="n">
        <f aca="false">IF(G1913&gt;0,D1913/G1913,"")</f>
        <v>3.7008547008547</v>
      </c>
      <c r="I1913" s="10" t="n">
        <v>46314</v>
      </c>
      <c r="J1913" s="3" t="s">
        <v>940</v>
      </c>
      <c r="K1913" s="10" t="n">
        <v>46231</v>
      </c>
      <c r="L1913" s="3" t="s">
        <v>16</v>
      </c>
      <c r="M1913" s="7" t="n">
        <v>950</v>
      </c>
      <c r="N1913" s="8" t="n">
        <v>0.161</v>
      </c>
      <c r="O1913" s="4" t="n">
        <f aca="false">M1913*N1913</f>
        <v>152.95</v>
      </c>
    </row>
    <row r="1914" customFormat="false" ht="15" hidden="false" customHeight="false" outlineLevel="0" collapsed="false">
      <c r="A1914" s="0" t="s">
        <v>2905</v>
      </c>
      <c r="C1914" s="0" t="s">
        <v>79</v>
      </c>
      <c r="D1914" s="7" t="n">
        <v>190</v>
      </c>
      <c r="E1914" s="8" t="n">
        <v>0.733578947368421</v>
      </c>
      <c r="F1914" s="4" t="n">
        <f aca="false">D1914*E1914</f>
        <v>139.38</v>
      </c>
      <c r="G1914" s="7" t="n">
        <v>10</v>
      </c>
      <c r="H1914" s="9" t="n">
        <f aca="false">IF(G1914&gt;0,D1914/G1914,"")</f>
        <v>19</v>
      </c>
      <c r="I1914" s="10" t="n">
        <v>46122</v>
      </c>
      <c r="J1914" s="3" t="s">
        <v>2282</v>
      </c>
      <c r="K1914" s="10" t="n">
        <v>44361</v>
      </c>
      <c r="L1914" s="3" t="s">
        <v>16</v>
      </c>
      <c r="M1914" s="7" t="n">
        <v>2200</v>
      </c>
      <c r="N1914" s="8" t="n">
        <v>0.7336</v>
      </c>
      <c r="O1914" s="4" t="n">
        <f aca="false">M1914*N1914</f>
        <v>1613.92</v>
      </c>
    </row>
    <row r="1915" customFormat="false" ht="15" hidden="false" customHeight="false" outlineLevel="0" collapsed="false">
      <c r="A1915" s="0" t="s">
        <v>2906</v>
      </c>
      <c r="C1915" s="0" t="s">
        <v>285</v>
      </c>
      <c r="D1915" s="7" t="n">
        <v>992</v>
      </c>
      <c r="E1915" s="8" t="n">
        <v>0.140383064516129</v>
      </c>
      <c r="F1915" s="4" t="n">
        <f aca="false">D1915*E1915</f>
        <v>139.26</v>
      </c>
      <c r="G1915" s="7" t="n">
        <v>327</v>
      </c>
      <c r="H1915" s="9" t="n">
        <f aca="false">IF(G1915&gt;0,D1915/G1915,"")</f>
        <v>3.03363914373089</v>
      </c>
      <c r="I1915" s="10" t="n">
        <v>46106</v>
      </c>
      <c r="J1915" s="3" t="s">
        <v>2907</v>
      </c>
      <c r="K1915" s="10" t="n">
        <v>45337</v>
      </c>
      <c r="L1915" s="3" t="s">
        <v>15</v>
      </c>
      <c r="M1915" s="7" t="n">
        <v>1741</v>
      </c>
      <c r="N1915" s="8" t="n">
        <v>0.14036</v>
      </c>
      <c r="O1915" s="4" t="n">
        <f aca="false">M1915*N1915</f>
        <v>244.36676</v>
      </c>
    </row>
    <row r="1916" customFormat="false" ht="15" hidden="false" customHeight="false" outlineLevel="0" collapsed="false">
      <c r="A1916" s="0" t="s">
        <v>2908</v>
      </c>
      <c r="C1916" s="0" t="s">
        <v>34</v>
      </c>
      <c r="D1916" s="7" t="n">
        <v>354</v>
      </c>
      <c r="E1916" s="8" t="n">
        <v>0.392909604519774</v>
      </c>
      <c r="F1916" s="4" t="n">
        <f aca="false">D1916*E1916</f>
        <v>139.09</v>
      </c>
      <c r="G1916" s="7" t="n">
        <v>3</v>
      </c>
      <c r="H1916" s="9" t="n">
        <f aca="false">IF(G1916&gt;0,D1916/G1916,"")</f>
        <v>118</v>
      </c>
      <c r="I1916" s="10" t="n">
        <v>46251</v>
      </c>
      <c r="K1916" s="10"/>
      <c r="M1916" s="7"/>
      <c r="N1916" s="8"/>
      <c r="O1916" s="4"/>
    </row>
    <row r="1917" customFormat="false" ht="15" hidden="false" customHeight="false" outlineLevel="0" collapsed="false">
      <c r="A1917" s="0" t="s">
        <v>2909</v>
      </c>
      <c r="C1917" s="0" t="s">
        <v>39</v>
      </c>
      <c r="D1917" s="7" t="n">
        <v>124</v>
      </c>
      <c r="E1917" s="8" t="n">
        <v>1.12153225806452</v>
      </c>
      <c r="F1917" s="4" t="n">
        <f aca="false">D1917*E1917</f>
        <v>139.07</v>
      </c>
      <c r="G1917" s="7" t="n">
        <v>10</v>
      </c>
      <c r="H1917" s="9" t="n">
        <f aca="false">IF(G1917&gt;0,D1917/G1917,"")</f>
        <v>12.4</v>
      </c>
      <c r="I1917" s="10" t="n">
        <v>46189</v>
      </c>
      <c r="K1917" s="10"/>
      <c r="M1917" s="7"/>
      <c r="N1917" s="8"/>
      <c r="O1917" s="4"/>
    </row>
    <row r="1918" customFormat="false" ht="15" hidden="false" customHeight="false" outlineLevel="0" collapsed="false">
      <c r="A1918" s="0" t="s">
        <v>2910</v>
      </c>
      <c r="C1918" s="0" t="s">
        <v>31</v>
      </c>
      <c r="D1918" s="7" t="n">
        <v>5475</v>
      </c>
      <c r="E1918" s="8" t="n">
        <v>0.0253990867579909</v>
      </c>
      <c r="F1918" s="4" t="n">
        <f aca="false">D1918*E1918</f>
        <v>139.06</v>
      </c>
      <c r="G1918" s="7" t="n">
        <v>551</v>
      </c>
      <c r="H1918" s="9" t="n">
        <f aca="false">IF(G1918&gt;0,D1918/G1918,"")</f>
        <v>9.93647912885662</v>
      </c>
      <c r="I1918" s="10" t="n">
        <v>46268</v>
      </c>
      <c r="J1918" s="3" t="s">
        <v>2780</v>
      </c>
      <c r="K1918" s="10" t="n">
        <v>46043</v>
      </c>
      <c r="L1918" s="3" t="s">
        <v>16</v>
      </c>
      <c r="M1918" s="7" t="n">
        <v>6000</v>
      </c>
      <c r="N1918" s="8" t="n">
        <v>0.0254</v>
      </c>
      <c r="O1918" s="4" t="n">
        <f aca="false">M1918*N1918</f>
        <v>152.4</v>
      </c>
    </row>
    <row r="1919" customFormat="false" ht="15" hidden="false" customHeight="false" outlineLevel="0" collapsed="false">
      <c r="A1919" s="0" t="s">
        <v>2911</v>
      </c>
      <c r="C1919" s="0" t="s">
        <v>370</v>
      </c>
      <c r="D1919" s="7" t="n">
        <v>2781</v>
      </c>
      <c r="E1919" s="8" t="n">
        <v>0.05</v>
      </c>
      <c r="F1919" s="4" t="n">
        <f aca="false">D1919*E1919</f>
        <v>139.05</v>
      </c>
      <c r="G1919" s="7" t="n">
        <v>1628</v>
      </c>
      <c r="H1919" s="9" t="n">
        <f aca="false">IF(G1919&gt;0,D1919/G1919,"")</f>
        <v>1.70823095823096</v>
      </c>
      <c r="I1919" s="10" t="n">
        <v>46311</v>
      </c>
      <c r="J1919" s="3" t="s">
        <v>2912</v>
      </c>
      <c r="K1919" s="10" t="n">
        <v>46231</v>
      </c>
      <c r="L1919" s="3" t="s">
        <v>21</v>
      </c>
      <c r="M1919" s="7" t="n">
        <v>2000</v>
      </c>
      <c r="N1919" s="8" t="n">
        <v>0.05</v>
      </c>
      <c r="O1919" s="4" t="n">
        <f aca="false">M1919*N1919</f>
        <v>100</v>
      </c>
    </row>
    <row r="1920" customFormat="false" ht="15" hidden="false" customHeight="false" outlineLevel="0" collapsed="false">
      <c r="A1920" s="0" t="s">
        <v>2913</v>
      </c>
      <c r="C1920" s="0" t="s">
        <v>34</v>
      </c>
      <c r="D1920" s="7" t="n">
        <v>991</v>
      </c>
      <c r="E1920" s="8" t="n">
        <v>0.14029263370333</v>
      </c>
      <c r="F1920" s="4" t="n">
        <f aca="false">D1920*E1920</f>
        <v>139.03</v>
      </c>
      <c r="G1920" s="7" t="n">
        <v>52</v>
      </c>
      <c r="H1920" s="9" t="n">
        <f aca="false">IF(G1920&gt;0,D1920/G1920,"")</f>
        <v>19.0576923076923</v>
      </c>
      <c r="I1920" s="10" t="n">
        <v>46286</v>
      </c>
      <c r="J1920" s="3" t="s">
        <v>2914</v>
      </c>
      <c r="K1920" s="10" t="n">
        <v>45562</v>
      </c>
      <c r="L1920" s="3" t="s">
        <v>16</v>
      </c>
      <c r="M1920" s="7" t="n">
        <v>1070</v>
      </c>
      <c r="N1920" s="8" t="n">
        <v>0.1403</v>
      </c>
      <c r="O1920" s="4" t="n">
        <f aca="false">M1920*N1920</f>
        <v>150.121</v>
      </c>
    </row>
    <row r="1921" customFormat="false" ht="15" hidden="false" customHeight="false" outlineLevel="0" collapsed="false">
      <c r="A1921" s="0" t="s">
        <v>2915</v>
      </c>
      <c r="C1921" s="0" t="s">
        <v>31</v>
      </c>
      <c r="D1921" s="7" t="n">
        <v>12867</v>
      </c>
      <c r="E1921" s="8" t="n">
        <v>0.0108020517603171</v>
      </c>
      <c r="F1921" s="4" t="n">
        <f aca="false">D1921*E1921</f>
        <v>138.99</v>
      </c>
      <c r="G1921" s="7" t="n">
        <v>1136</v>
      </c>
      <c r="H1921" s="9" t="n">
        <f aca="false">IF(G1921&gt;0,D1921/G1921,"")</f>
        <v>11.3265845070423</v>
      </c>
      <c r="I1921" s="10" t="n">
        <v>46308</v>
      </c>
      <c r="J1921" s="3" t="s">
        <v>2573</v>
      </c>
      <c r="K1921" s="10" t="n">
        <v>46142</v>
      </c>
      <c r="L1921" s="3" t="s">
        <v>16</v>
      </c>
      <c r="M1921" s="7" t="n">
        <v>13900</v>
      </c>
      <c r="N1921" s="8" t="n">
        <v>0.0108</v>
      </c>
      <c r="O1921" s="4" t="n">
        <f aca="false">M1921*N1921</f>
        <v>150.12</v>
      </c>
    </row>
    <row r="1922" customFormat="false" ht="15" hidden="false" customHeight="false" outlineLevel="0" collapsed="false">
      <c r="A1922" s="0" t="s">
        <v>2916</v>
      </c>
      <c r="C1922" s="0" t="s">
        <v>378</v>
      </c>
      <c r="D1922" s="7" t="n">
        <v>297</v>
      </c>
      <c r="E1922" s="8" t="n">
        <v>0.467777777777778</v>
      </c>
      <c r="F1922" s="4" t="n">
        <f aca="false">D1922*E1922</f>
        <v>138.93</v>
      </c>
      <c r="G1922" s="7" t="n">
        <v>8</v>
      </c>
      <c r="H1922" s="9" t="n">
        <f aca="false">IF(G1922&gt;0,D1922/G1922,"")</f>
        <v>37.125</v>
      </c>
      <c r="I1922" s="10" t="n">
        <v>46027</v>
      </c>
      <c r="J1922" s="3" t="s">
        <v>2917</v>
      </c>
      <c r="K1922" s="10" t="n">
        <v>45494</v>
      </c>
      <c r="L1922" s="3" t="s">
        <v>14</v>
      </c>
      <c r="M1922" s="7" t="n">
        <v>855</v>
      </c>
      <c r="N1922" s="8" t="n">
        <v>0.4678</v>
      </c>
      <c r="O1922" s="4" t="n">
        <f aca="false">M1922*N1922</f>
        <v>399.969</v>
      </c>
    </row>
    <row r="1923" customFormat="false" ht="15" hidden="false" customHeight="false" outlineLevel="0" collapsed="false">
      <c r="A1923" s="0" t="s">
        <v>2918</v>
      </c>
      <c r="C1923" s="0" t="s">
        <v>61</v>
      </c>
      <c r="D1923" s="7" t="n">
        <v>466</v>
      </c>
      <c r="E1923" s="8" t="n">
        <v>0.298111587982833</v>
      </c>
      <c r="F1923" s="4" t="n">
        <f aca="false">D1923*E1923</f>
        <v>138.92</v>
      </c>
      <c r="G1923" s="7" t="n">
        <v>80</v>
      </c>
      <c r="H1923" s="9" t="n">
        <f aca="false">IF(G1923&gt;0,D1923/G1923,"")</f>
        <v>5.825</v>
      </c>
      <c r="I1923" s="10" t="n">
        <v>46309</v>
      </c>
      <c r="J1923" s="3" t="s">
        <v>2154</v>
      </c>
      <c r="K1923" s="10" t="n">
        <v>44337</v>
      </c>
      <c r="L1923" s="3" t="s">
        <v>16</v>
      </c>
      <c r="M1923" s="7" t="n">
        <v>2608</v>
      </c>
      <c r="N1923" s="8" t="n">
        <v>0.2981</v>
      </c>
      <c r="O1923" s="4" t="n">
        <f aca="false">M1923*N1923</f>
        <v>777.4448</v>
      </c>
    </row>
    <row r="1924" customFormat="false" ht="15" hidden="false" customHeight="false" outlineLevel="0" collapsed="false">
      <c r="A1924" s="0" t="s">
        <v>2919</v>
      </c>
      <c r="C1924" s="0" t="s">
        <v>370</v>
      </c>
      <c r="D1924" s="7" t="n">
        <v>2395</v>
      </c>
      <c r="E1924" s="8" t="n">
        <v>0.058</v>
      </c>
      <c r="F1924" s="4" t="n">
        <f aca="false">D1924*E1924</f>
        <v>138.91</v>
      </c>
      <c r="G1924" s="7" t="n">
        <v>175</v>
      </c>
      <c r="H1924" s="9" t="n">
        <f aca="false">IF(G1924&gt;0,D1924/G1924,"")</f>
        <v>13.6857142857143</v>
      </c>
      <c r="I1924" s="10" t="n">
        <v>46171</v>
      </c>
      <c r="J1924" s="3" t="s">
        <v>2920</v>
      </c>
      <c r="K1924" s="10" t="n">
        <v>45084</v>
      </c>
      <c r="L1924" s="3" t="s">
        <v>2203</v>
      </c>
      <c r="M1924" s="7" t="n">
        <v>200</v>
      </c>
      <c r="N1924" s="8" t="n">
        <v>0.1611</v>
      </c>
      <c r="O1924" s="4" t="n">
        <f aca="false">M1924*N1924</f>
        <v>32.22</v>
      </c>
    </row>
    <row r="1925" customFormat="false" ht="15" hidden="false" customHeight="false" outlineLevel="0" collapsed="false">
      <c r="A1925" s="0" t="s">
        <v>2921</v>
      </c>
      <c r="C1925" s="0" t="s">
        <v>383</v>
      </c>
      <c r="D1925" s="7" t="n">
        <v>1388</v>
      </c>
      <c r="E1925" s="8" t="n">
        <v>0.100014409221902</v>
      </c>
      <c r="F1925" s="4" t="n">
        <f aca="false">D1925*E1925</f>
        <v>138.82</v>
      </c>
      <c r="G1925" s="7" t="n">
        <v>202</v>
      </c>
      <c r="H1925" s="9" t="n">
        <f aca="false">IF(G1925&gt;0,D1925/G1925,"")</f>
        <v>6.87128712871287</v>
      </c>
      <c r="I1925" s="10" t="n">
        <v>46220</v>
      </c>
      <c r="K1925" s="10"/>
      <c r="M1925" s="7"/>
      <c r="N1925" s="8"/>
      <c r="O1925" s="4"/>
    </row>
    <row r="1926" customFormat="false" ht="15" hidden="false" customHeight="false" outlineLevel="0" collapsed="false">
      <c r="A1926" s="0" t="s">
        <v>2922</v>
      </c>
      <c r="C1926" s="0" t="s">
        <v>807</v>
      </c>
      <c r="D1926" s="7" t="n">
        <v>11</v>
      </c>
      <c r="E1926" s="8" t="n">
        <v>12.62</v>
      </c>
      <c r="F1926" s="4" t="n">
        <f aca="false">D1926*E1926</f>
        <v>138.82</v>
      </c>
      <c r="G1926" s="7" t="n">
        <v>10</v>
      </c>
      <c r="H1926" s="9" t="n">
        <f aca="false">IF(G1926&gt;0,D1926/G1926,"")</f>
        <v>1.1</v>
      </c>
      <c r="I1926" s="10" t="n">
        <v>46304</v>
      </c>
      <c r="J1926" s="3" t="s">
        <v>1115</v>
      </c>
      <c r="K1926" s="10" t="n">
        <v>46295</v>
      </c>
      <c r="L1926" s="3" t="s">
        <v>145</v>
      </c>
      <c r="M1926" s="7" t="n">
        <v>21</v>
      </c>
      <c r="N1926" s="8" t="n">
        <v>12.62</v>
      </c>
      <c r="O1926" s="4" t="n">
        <f aca="false">M1926*N1926</f>
        <v>265.02</v>
      </c>
    </row>
    <row r="1927" customFormat="false" ht="15" hidden="false" customHeight="false" outlineLevel="0" collapsed="false">
      <c r="A1927" s="0" t="s">
        <v>2923</v>
      </c>
      <c r="C1927" s="0" t="s">
        <v>35</v>
      </c>
      <c r="D1927" s="7" t="n">
        <v>309</v>
      </c>
      <c r="E1927" s="8" t="n">
        <v>0.448964401294498</v>
      </c>
      <c r="F1927" s="4" t="n">
        <f aca="false">D1927*E1927</f>
        <v>138.73</v>
      </c>
      <c r="G1927" s="7" t="n">
        <v>26</v>
      </c>
      <c r="H1927" s="9" t="n">
        <f aca="false">IF(G1927&gt;0,D1927/G1927,"")</f>
        <v>11.8846153846154</v>
      </c>
      <c r="I1927" s="10" t="n">
        <v>46055</v>
      </c>
      <c r="J1927" s="3" t="s">
        <v>2924</v>
      </c>
      <c r="K1927" s="10" t="n">
        <v>44281</v>
      </c>
      <c r="L1927" s="3" t="s">
        <v>20</v>
      </c>
      <c r="M1927" s="7" t="n">
        <v>397</v>
      </c>
      <c r="N1927" s="8" t="n">
        <v>0.449</v>
      </c>
      <c r="O1927" s="4" t="n">
        <f aca="false">M1927*N1927</f>
        <v>178.253</v>
      </c>
    </row>
    <row r="1928" customFormat="false" ht="15" hidden="false" customHeight="false" outlineLevel="0" collapsed="false">
      <c r="A1928" s="0" t="s">
        <v>2925</v>
      </c>
      <c r="C1928" s="0" t="s">
        <v>36</v>
      </c>
      <c r="D1928" s="7" t="n">
        <v>390</v>
      </c>
      <c r="E1928" s="8" t="n">
        <v>0.355692307692308</v>
      </c>
      <c r="F1928" s="4" t="n">
        <f aca="false">D1928*E1928</f>
        <v>138.72</v>
      </c>
      <c r="G1928" s="7" t="n">
        <v>108</v>
      </c>
      <c r="H1928" s="9" t="n">
        <f aca="false">IF(G1928&gt;0,D1928/G1928,"")</f>
        <v>3.61111111111111</v>
      </c>
      <c r="I1928" s="10" t="n">
        <v>46317</v>
      </c>
      <c r="J1928" s="3" t="s">
        <v>373</v>
      </c>
      <c r="K1928" s="10" t="n">
        <v>46275</v>
      </c>
      <c r="L1928" s="3" t="s">
        <v>18</v>
      </c>
      <c r="M1928" s="7" t="n">
        <v>442</v>
      </c>
      <c r="N1928" s="8" t="n">
        <v>0.3557</v>
      </c>
      <c r="O1928" s="4" t="n">
        <f aca="false">M1928*N1928</f>
        <v>157.2194</v>
      </c>
    </row>
    <row r="1929" customFormat="false" ht="15" hidden="false" customHeight="false" outlineLevel="0" collapsed="false">
      <c r="A1929" s="0" t="s">
        <v>2926</v>
      </c>
      <c r="C1929" s="0" t="s">
        <v>44</v>
      </c>
      <c r="D1929" s="7" t="n">
        <v>17</v>
      </c>
      <c r="E1929" s="8" t="n">
        <v>8.15588235294118</v>
      </c>
      <c r="F1929" s="4" t="n">
        <f aca="false">D1929*E1929</f>
        <v>138.65</v>
      </c>
      <c r="G1929" s="7" t="n">
        <v>5</v>
      </c>
      <c r="H1929" s="9" t="n">
        <f aca="false">IF(G1929&gt;0,D1929/G1929,"")</f>
        <v>3.4</v>
      </c>
      <c r="I1929" s="10" t="n">
        <v>46105</v>
      </c>
      <c r="J1929" s="3" t="s">
        <v>167</v>
      </c>
      <c r="K1929" s="10" t="n">
        <v>44750</v>
      </c>
      <c r="L1929" s="3" t="s">
        <v>14</v>
      </c>
      <c r="M1929" s="7" t="n">
        <v>51</v>
      </c>
      <c r="N1929" s="8" t="n">
        <v>8.1562</v>
      </c>
      <c r="O1929" s="4" t="n">
        <f aca="false">M1929*N1929</f>
        <v>415.9662</v>
      </c>
    </row>
    <row r="1930" customFormat="false" ht="15" hidden="false" customHeight="false" outlineLevel="0" collapsed="false">
      <c r="A1930" s="0" t="s">
        <v>2927</v>
      </c>
      <c r="C1930" s="0" t="s">
        <v>39</v>
      </c>
      <c r="D1930" s="7" t="n">
        <v>64</v>
      </c>
      <c r="E1930" s="8" t="n">
        <v>2.165625</v>
      </c>
      <c r="F1930" s="4" t="n">
        <f aca="false">D1930*E1930</f>
        <v>138.6</v>
      </c>
      <c r="G1930" s="7" t="n">
        <v>42</v>
      </c>
      <c r="H1930" s="9" t="n">
        <f aca="false">IF(G1930&gt;0,D1930/G1930,"")</f>
        <v>1.52380952380952</v>
      </c>
      <c r="I1930" s="10" t="n">
        <v>46230</v>
      </c>
      <c r="J1930" s="3" t="s">
        <v>763</v>
      </c>
      <c r="K1930" s="10" t="n">
        <v>46231</v>
      </c>
      <c r="L1930" s="3" t="s">
        <v>14</v>
      </c>
      <c r="M1930" s="7" t="n">
        <v>100</v>
      </c>
      <c r="N1930" s="8" t="n">
        <v>2.1544</v>
      </c>
      <c r="O1930" s="4" t="n">
        <f aca="false">M1930*N1930</f>
        <v>215.44</v>
      </c>
    </row>
    <row r="1931" customFormat="false" ht="15" hidden="false" customHeight="false" outlineLevel="0" collapsed="false">
      <c r="A1931" s="0" t="s">
        <v>2928</v>
      </c>
      <c r="C1931" s="0" t="s">
        <v>979</v>
      </c>
      <c r="D1931" s="7" t="n">
        <v>3900</v>
      </c>
      <c r="E1931" s="8" t="n">
        <v>0.0355</v>
      </c>
      <c r="F1931" s="4" t="n">
        <f aca="false">D1931*E1931</f>
        <v>138.45</v>
      </c>
      <c r="G1931" s="7" t="n">
        <v>620</v>
      </c>
      <c r="H1931" s="9" t="n">
        <f aca="false">IF(G1931&gt;0,D1931/G1931,"")</f>
        <v>6.29032258064516</v>
      </c>
      <c r="I1931" s="10" t="n">
        <v>46280</v>
      </c>
      <c r="J1931" s="3" t="s">
        <v>2929</v>
      </c>
      <c r="K1931" s="10" t="n">
        <v>44988</v>
      </c>
      <c r="L1931" s="3" t="s">
        <v>18</v>
      </c>
      <c r="M1931" s="7" t="n">
        <v>5600</v>
      </c>
      <c r="N1931" s="8" t="n">
        <v>0.0355</v>
      </c>
      <c r="O1931" s="4" t="n">
        <f aca="false">M1931*N1931</f>
        <v>198.8</v>
      </c>
    </row>
    <row r="1932" customFormat="false" ht="15" hidden="false" customHeight="false" outlineLevel="0" collapsed="false">
      <c r="A1932" s="0" t="s">
        <v>2930</v>
      </c>
      <c r="C1932" s="0" t="s">
        <v>31</v>
      </c>
      <c r="D1932" s="7" t="n">
        <v>51267</v>
      </c>
      <c r="E1932" s="8" t="n">
        <v>0.00269998244484756</v>
      </c>
      <c r="F1932" s="4" t="n">
        <f aca="false">D1932*E1932</f>
        <v>138.42</v>
      </c>
      <c r="G1932" s="7" t="n">
        <v>2430</v>
      </c>
      <c r="H1932" s="9" t="n">
        <f aca="false">IF(G1932&gt;0,D1932/G1932,"")</f>
        <v>21.0975308641975</v>
      </c>
      <c r="I1932" s="10" t="n">
        <v>46294</v>
      </c>
      <c r="J1932" s="3" t="s">
        <v>2633</v>
      </c>
      <c r="K1932" s="10" t="n">
        <v>45813</v>
      </c>
      <c r="L1932" s="3" t="s">
        <v>16</v>
      </c>
      <c r="M1932" s="7" t="n">
        <v>55560</v>
      </c>
      <c r="N1932" s="8" t="n">
        <v>0.0027</v>
      </c>
      <c r="O1932" s="4" t="n">
        <f aca="false">M1932*N1932</f>
        <v>150.012</v>
      </c>
    </row>
    <row r="1933" customFormat="false" ht="15" hidden="false" customHeight="false" outlineLevel="0" collapsed="false">
      <c r="A1933" s="0" t="s">
        <v>2931</v>
      </c>
      <c r="C1933" s="0" t="s">
        <v>889</v>
      </c>
      <c r="D1933" s="7" t="n">
        <v>4404</v>
      </c>
      <c r="E1933" s="8" t="n">
        <v>0.0314009990917348</v>
      </c>
      <c r="F1933" s="4" t="n">
        <f aca="false">D1933*E1933</f>
        <v>138.29</v>
      </c>
      <c r="G1933" s="7" t="n">
        <v>260</v>
      </c>
      <c r="H1933" s="9" t="n">
        <f aca="false">IF(G1933&gt;0,D1933/G1933,"")</f>
        <v>16.9384615384615</v>
      </c>
      <c r="I1933" s="10" t="n">
        <v>46234</v>
      </c>
      <c r="K1933" s="10"/>
      <c r="M1933" s="7"/>
      <c r="N1933" s="8"/>
      <c r="O1933" s="4"/>
    </row>
    <row r="1934" customFormat="false" ht="15" hidden="false" customHeight="false" outlineLevel="0" collapsed="false">
      <c r="A1934" s="0" t="s">
        <v>2932</v>
      </c>
      <c r="C1934" s="0" t="s">
        <v>438</v>
      </c>
      <c r="D1934" s="7" t="n">
        <v>72</v>
      </c>
      <c r="E1934" s="8" t="n">
        <v>1.92</v>
      </c>
      <c r="F1934" s="4" t="n">
        <f aca="false">D1934*E1934</f>
        <v>138.24</v>
      </c>
      <c r="G1934" s="7" t="n">
        <v>1</v>
      </c>
      <c r="H1934" s="9" t="n">
        <f aca="false">IF(G1934&gt;0,D1934/G1934,"")</f>
        <v>72</v>
      </c>
      <c r="I1934" s="10" t="n">
        <v>46021</v>
      </c>
      <c r="J1934" s="3" t="s">
        <v>2653</v>
      </c>
      <c r="K1934" s="10" t="n">
        <v>44729</v>
      </c>
      <c r="L1934" s="3" t="s">
        <v>1878</v>
      </c>
      <c r="M1934" s="7" t="n">
        <v>100</v>
      </c>
      <c r="N1934" s="8" t="n">
        <v>1.92</v>
      </c>
      <c r="O1934" s="4" t="n">
        <f aca="false">M1934*N1934</f>
        <v>192</v>
      </c>
    </row>
    <row r="1935" customFormat="false" ht="15" hidden="false" customHeight="false" outlineLevel="0" collapsed="false">
      <c r="A1935" s="0" t="s">
        <v>2933</v>
      </c>
      <c r="C1935" s="0" t="s">
        <v>31</v>
      </c>
      <c r="D1935" s="7" t="n">
        <v>7338</v>
      </c>
      <c r="E1935" s="8" t="n">
        <v>0.0188293813028073</v>
      </c>
      <c r="F1935" s="4" t="n">
        <f aca="false">D1935*E1935</f>
        <v>138.17</v>
      </c>
      <c r="G1935" s="7" t="n">
        <v>325</v>
      </c>
      <c r="H1935" s="9" t="n">
        <f aca="false">IF(G1935&gt;0,D1935/G1935,"")</f>
        <v>22.5784615384615</v>
      </c>
      <c r="I1935" s="10" t="n">
        <v>46317</v>
      </c>
      <c r="J1935" s="3" t="s">
        <v>1142</v>
      </c>
      <c r="K1935" s="10" t="n">
        <v>44734</v>
      </c>
      <c r="L1935" s="3" t="s">
        <v>16</v>
      </c>
      <c r="M1935" s="7" t="n">
        <v>9886</v>
      </c>
      <c r="N1935" s="8" t="n">
        <v>0.0188</v>
      </c>
      <c r="O1935" s="4" t="n">
        <f aca="false">M1935*N1935</f>
        <v>185.8568</v>
      </c>
    </row>
    <row r="1936" customFormat="false" ht="15" hidden="false" customHeight="false" outlineLevel="0" collapsed="false">
      <c r="A1936" s="0" t="s">
        <v>2934</v>
      </c>
      <c r="C1936" s="0" t="s">
        <v>1169</v>
      </c>
      <c r="D1936" s="7" t="n">
        <v>2288</v>
      </c>
      <c r="E1936" s="8" t="n">
        <v>0.060388986013986</v>
      </c>
      <c r="F1936" s="4" t="n">
        <f aca="false">D1936*E1936</f>
        <v>138.17</v>
      </c>
      <c r="G1936" s="7" t="n">
        <v>40</v>
      </c>
      <c r="H1936" s="9" t="n">
        <f aca="false">IF(G1936&gt;0,D1936/G1936,"")</f>
        <v>57.2</v>
      </c>
      <c r="I1936" s="10" t="n">
        <v>46133</v>
      </c>
      <c r="J1936" s="3" t="s">
        <v>2470</v>
      </c>
      <c r="K1936" s="10" t="n">
        <v>45093</v>
      </c>
      <c r="L1936" s="3" t="s">
        <v>21</v>
      </c>
      <c r="M1936" s="7" t="n">
        <v>2500</v>
      </c>
      <c r="N1936" s="8" t="n">
        <v>0.06</v>
      </c>
      <c r="O1936" s="4" t="n">
        <f aca="false">M1936*N1936</f>
        <v>150</v>
      </c>
    </row>
    <row r="1937" customFormat="false" ht="15" hidden="false" customHeight="false" outlineLevel="0" collapsed="false">
      <c r="A1937" s="0" t="s">
        <v>2935</v>
      </c>
      <c r="C1937" s="0" t="s">
        <v>31</v>
      </c>
      <c r="D1937" s="7" t="n">
        <v>21248</v>
      </c>
      <c r="E1937" s="8" t="n">
        <v>0.00650178840361446</v>
      </c>
      <c r="F1937" s="4" t="n">
        <f aca="false">D1937*E1937</f>
        <v>138.15</v>
      </c>
      <c r="G1937" s="7" t="n">
        <v>8592</v>
      </c>
      <c r="H1937" s="9" t="n">
        <f aca="false">IF(G1937&gt;0,D1937/G1937,"")</f>
        <v>2.47299813780261</v>
      </c>
      <c r="I1937" s="10" t="n">
        <v>46300</v>
      </c>
      <c r="J1937" s="3" t="s">
        <v>278</v>
      </c>
      <c r="K1937" s="10" t="n">
        <v>45967</v>
      </c>
      <c r="L1937" s="3" t="s">
        <v>16</v>
      </c>
      <c r="M1937" s="7" t="n">
        <v>23000</v>
      </c>
      <c r="N1937" s="8" t="n">
        <v>0.00665</v>
      </c>
      <c r="O1937" s="4" t="n">
        <f aca="false">M1937*N1937</f>
        <v>152.95</v>
      </c>
    </row>
    <row r="1938" customFormat="false" ht="15" hidden="false" customHeight="false" outlineLevel="0" collapsed="false">
      <c r="A1938" s="0" t="s">
        <v>2936</v>
      </c>
      <c r="C1938" s="0" t="s">
        <v>855</v>
      </c>
      <c r="D1938" s="7" t="n">
        <v>3890</v>
      </c>
      <c r="E1938" s="8" t="n">
        <v>0.0355012853470437</v>
      </c>
      <c r="F1938" s="4" t="n">
        <f aca="false">D1938*E1938</f>
        <v>138.1</v>
      </c>
      <c r="G1938" s="7" t="n">
        <v>26</v>
      </c>
      <c r="H1938" s="9" t="n">
        <f aca="false">IF(G1938&gt;0,D1938/G1938,"")</f>
        <v>149.615384615385</v>
      </c>
      <c r="I1938" s="10" t="n">
        <v>46224</v>
      </c>
      <c r="J1938" s="3" t="s">
        <v>2937</v>
      </c>
      <c r="K1938" s="10" t="n">
        <v>45336</v>
      </c>
      <c r="L1938" s="3" t="s">
        <v>16</v>
      </c>
      <c r="M1938" s="7" t="n">
        <v>4230</v>
      </c>
      <c r="N1938" s="8" t="n">
        <v>0.0355</v>
      </c>
      <c r="O1938" s="4" t="n">
        <f aca="false">M1938*N1938</f>
        <v>150.165</v>
      </c>
    </row>
    <row r="1939" customFormat="false" ht="15" hidden="false" customHeight="false" outlineLevel="0" collapsed="false">
      <c r="A1939" s="0" t="s">
        <v>2938</v>
      </c>
      <c r="C1939" s="0" t="s">
        <v>31</v>
      </c>
      <c r="D1939" s="7" t="n">
        <v>44540</v>
      </c>
      <c r="E1939" s="8" t="n">
        <v>0.00309968567579704</v>
      </c>
      <c r="F1939" s="4" t="n">
        <f aca="false">D1939*E1939</f>
        <v>138.06</v>
      </c>
      <c r="G1939" s="7" t="n">
        <v>1640</v>
      </c>
      <c r="H1939" s="9" t="n">
        <f aca="false">IF(G1939&gt;0,D1939/G1939,"")</f>
        <v>27.1585365853659</v>
      </c>
      <c r="I1939" s="10" t="n">
        <v>46216</v>
      </c>
      <c r="K1939" s="10"/>
      <c r="M1939" s="7"/>
      <c r="N1939" s="8"/>
      <c r="O1939" s="4"/>
    </row>
    <row r="1940" customFormat="false" ht="15" hidden="false" customHeight="false" outlineLevel="0" collapsed="false">
      <c r="A1940" s="0" t="s">
        <v>2939</v>
      </c>
      <c r="C1940" s="0" t="s">
        <v>128</v>
      </c>
      <c r="D1940" s="7" t="n">
        <v>251</v>
      </c>
      <c r="E1940" s="8" t="n">
        <v>0.55</v>
      </c>
      <c r="F1940" s="4" t="n">
        <f aca="false">D1940*E1940</f>
        <v>138.05</v>
      </c>
      <c r="G1940" s="7" t="n">
        <v>179</v>
      </c>
      <c r="H1940" s="9" t="n">
        <f aca="false">IF(G1940&gt;0,D1940/G1940,"")</f>
        <v>1.40223463687151</v>
      </c>
      <c r="I1940" s="10" t="n">
        <v>46150</v>
      </c>
      <c r="J1940" s="3" t="s">
        <v>2940</v>
      </c>
      <c r="K1940" s="10" t="n">
        <v>45882</v>
      </c>
      <c r="L1940" s="3" t="s">
        <v>223</v>
      </c>
      <c r="M1940" s="7" t="n">
        <v>500</v>
      </c>
      <c r="N1940" s="8" t="n">
        <v>0.55</v>
      </c>
      <c r="O1940" s="4" t="n">
        <f aca="false">M1940*N1940</f>
        <v>275</v>
      </c>
    </row>
    <row r="1941" customFormat="false" ht="15" hidden="false" customHeight="false" outlineLevel="0" collapsed="false">
      <c r="A1941" s="0" t="s">
        <v>2941</v>
      </c>
      <c r="D1941" s="7" t="n">
        <v>15488</v>
      </c>
      <c r="E1941" s="8" t="n">
        <v>0.00890947830578512</v>
      </c>
      <c r="F1941" s="4" t="n">
        <f aca="false">D1941*E1941</f>
        <v>137.99</v>
      </c>
      <c r="G1941" s="7" t="n">
        <v>1000</v>
      </c>
      <c r="H1941" s="9" t="n">
        <f aca="false">IF(G1941&gt;0,D1941/G1941,"")</f>
        <v>15.488</v>
      </c>
      <c r="I1941" s="10" t="n">
        <v>46043</v>
      </c>
      <c r="K1941" s="10"/>
      <c r="M1941" s="7"/>
      <c r="N1941" s="8"/>
      <c r="O1941" s="4"/>
    </row>
    <row r="1942" customFormat="false" ht="15" hidden="false" customHeight="false" outlineLevel="0" collapsed="false">
      <c r="A1942" s="0" t="s">
        <v>2942</v>
      </c>
      <c r="C1942" s="0" t="s">
        <v>741</v>
      </c>
      <c r="D1942" s="7" t="n">
        <v>1210</v>
      </c>
      <c r="E1942" s="8" t="n">
        <v>0.11402479338843</v>
      </c>
      <c r="F1942" s="4" t="n">
        <f aca="false">D1942*E1942</f>
        <v>137.97</v>
      </c>
      <c r="G1942" s="7" t="n">
        <v>445</v>
      </c>
      <c r="H1942" s="9" t="n">
        <f aca="false">IF(G1942&gt;0,D1942/G1942,"")</f>
        <v>2.71910112359551</v>
      </c>
      <c r="I1942" s="10" t="n">
        <v>46140</v>
      </c>
      <c r="J1942" s="3" t="s">
        <v>2219</v>
      </c>
      <c r="K1942" s="10" t="n">
        <v>46014</v>
      </c>
      <c r="L1942" s="3" t="s">
        <v>27</v>
      </c>
      <c r="M1942" s="7" t="n">
        <v>750</v>
      </c>
      <c r="N1942" s="8" t="n">
        <v>0.1236</v>
      </c>
      <c r="O1942" s="4" t="n">
        <f aca="false">M1942*N1942</f>
        <v>92.7</v>
      </c>
    </row>
    <row r="1943" customFormat="false" ht="15" hidden="false" customHeight="false" outlineLevel="0" collapsed="false">
      <c r="A1943" s="0" t="s">
        <v>2943</v>
      </c>
      <c r="C1943" s="0" t="s">
        <v>1169</v>
      </c>
      <c r="D1943" s="7" t="n">
        <v>2553</v>
      </c>
      <c r="E1943" s="8" t="n">
        <v>0.0539992166079123</v>
      </c>
      <c r="F1943" s="4" t="n">
        <f aca="false">D1943*E1943</f>
        <v>137.86</v>
      </c>
      <c r="G1943" s="7" t="n">
        <v>73</v>
      </c>
      <c r="H1943" s="9" t="n">
        <f aca="false">IF(G1943&gt;0,D1943/G1943,"")</f>
        <v>34.972602739726</v>
      </c>
      <c r="I1943" s="10" t="n">
        <v>46269</v>
      </c>
      <c r="J1943" s="3" t="s">
        <v>2470</v>
      </c>
      <c r="K1943" s="10" t="n">
        <v>45093</v>
      </c>
      <c r="L1943" s="3" t="s">
        <v>21</v>
      </c>
      <c r="M1943" s="7" t="n">
        <v>3000</v>
      </c>
      <c r="N1943" s="8" t="n">
        <v>0.054</v>
      </c>
      <c r="O1943" s="4" t="n">
        <f aca="false">M1943*N1943</f>
        <v>162</v>
      </c>
    </row>
    <row r="1944" customFormat="false" ht="15" hidden="false" customHeight="false" outlineLevel="0" collapsed="false">
      <c r="A1944" s="0" t="s">
        <v>2944</v>
      </c>
      <c r="C1944" s="0" t="s">
        <v>38</v>
      </c>
      <c r="D1944" s="7" t="n">
        <v>44337</v>
      </c>
      <c r="E1944" s="8" t="n">
        <v>0.00309989399372984</v>
      </c>
      <c r="F1944" s="4" t="n">
        <f aca="false">D1944*E1944</f>
        <v>137.44</v>
      </c>
      <c r="G1944" s="7" t="n">
        <v>12887</v>
      </c>
      <c r="H1944" s="9" t="n">
        <f aca="false">IF(G1944&gt;0,D1944/G1944,"")</f>
        <v>3.44044385815163</v>
      </c>
      <c r="I1944" s="10" t="n">
        <v>46314</v>
      </c>
      <c r="J1944" s="3" t="s">
        <v>2945</v>
      </c>
      <c r="K1944" s="10" t="n">
        <v>44267</v>
      </c>
      <c r="L1944" s="3" t="s">
        <v>465</v>
      </c>
      <c r="M1944" s="7" t="n">
        <v>109000</v>
      </c>
      <c r="N1944" s="8" t="n">
        <v>0.0031</v>
      </c>
      <c r="O1944" s="4" t="n">
        <f aca="false">M1944*N1944</f>
        <v>337.9</v>
      </c>
    </row>
    <row r="1945" customFormat="false" ht="15" hidden="false" customHeight="false" outlineLevel="0" collapsed="false">
      <c r="A1945" s="0" t="s">
        <v>2946</v>
      </c>
      <c r="C1945" s="0" t="s">
        <v>34</v>
      </c>
      <c r="D1945" s="7" t="n">
        <v>2508</v>
      </c>
      <c r="E1945" s="8" t="n">
        <v>0.0548006379585327</v>
      </c>
      <c r="F1945" s="4" t="n">
        <f aca="false">D1945*E1945</f>
        <v>137.44</v>
      </c>
      <c r="G1945" s="7" t="n">
        <v>742</v>
      </c>
      <c r="H1945" s="9" t="n">
        <f aca="false">IF(G1945&gt;0,D1945/G1945,"")</f>
        <v>3.3800539083558</v>
      </c>
      <c r="I1945" s="10" t="n">
        <v>46287</v>
      </c>
      <c r="J1945" s="3" t="s">
        <v>1318</v>
      </c>
      <c r="K1945" s="10" t="n">
        <v>46213</v>
      </c>
      <c r="L1945" s="3" t="s">
        <v>16</v>
      </c>
      <c r="M1945" s="7" t="n">
        <v>2750</v>
      </c>
      <c r="N1945" s="8" t="n">
        <v>0.0548</v>
      </c>
      <c r="O1945" s="4" t="n">
        <f aca="false">M1945*N1945</f>
        <v>150.7</v>
      </c>
    </row>
    <row r="1946" customFormat="false" ht="15" hidden="false" customHeight="false" outlineLevel="0" collapsed="false">
      <c r="A1946" s="0" t="s">
        <v>2947</v>
      </c>
      <c r="C1946" s="0" t="s">
        <v>360</v>
      </c>
      <c r="D1946" s="7" t="n">
        <v>14168</v>
      </c>
      <c r="E1946" s="8" t="n">
        <v>0.00969932241671372</v>
      </c>
      <c r="F1946" s="4" t="n">
        <f aca="false">D1946*E1946</f>
        <v>137.42</v>
      </c>
      <c r="G1946" s="7" t="n">
        <v>1097</v>
      </c>
      <c r="H1946" s="9" t="n">
        <f aca="false">IF(G1946&gt;0,D1946/G1946,"")</f>
        <v>12.9152233363719</v>
      </c>
      <c r="I1946" s="10" t="n">
        <v>46181</v>
      </c>
      <c r="K1946" s="10"/>
      <c r="M1946" s="7"/>
      <c r="N1946" s="8"/>
      <c r="O1946" s="4"/>
    </row>
    <row r="1947" customFormat="false" ht="15" hidden="false" customHeight="false" outlineLevel="0" collapsed="false">
      <c r="A1947" s="0" t="s">
        <v>2948</v>
      </c>
      <c r="C1947" s="0" t="s">
        <v>889</v>
      </c>
      <c r="D1947" s="7" t="n">
        <v>68664</v>
      </c>
      <c r="E1947" s="8" t="n">
        <v>0.00200002912734475</v>
      </c>
      <c r="F1947" s="4" t="n">
        <f aca="false">D1947*E1947</f>
        <v>137.33</v>
      </c>
      <c r="G1947" s="7" t="n">
        <v>5160</v>
      </c>
      <c r="H1947" s="9" t="n">
        <f aca="false">IF(G1947&gt;0,D1947/G1947,"")</f>
        <v>13.306976744186</v>
      </c>
      <c r="I1947" s="10" t="n">
        <v>46276</v>
      </c>
      <c r="K1947" s="10"/>
      <c r="M1947" s="7"/>
      <c r="N1947" s="8"/>
      <c r="O1947" s="4"/>
    </row>
    <row r="1948" customFormat="false" ht="15" hidden="false" customHeight="false" outlineLevel="0" collapsed="false">
      <c r="A1948" s="0" t="s">
        <v>2949</v>
      </c>
      <c r="C1948" s="0" t="s">
        <v>285</v>
      </c>
      <c r="D1948" s="7" t="n">
        <v>2541</v>
      </c>
      <c r="E1948" s="8" t="n">
        <v>0.0540377804014168</v>
      </c>
      <c r="F1948" s="4" t="n">
        <f aca="false">D1948*E1948</f>
        <v>137.31</v>
      </c>
      <c r="G1948" s="7" t="n">
        <v>1570</v>
      </c>
      <c r="H1948" s="9" t="n">
        <f aca="false">IF(G1948&gt;0,D1948/G1948,"")</f>
        <v>1.61847133757962</v>
      </c>
      <c r="I1948" s="10" t="n">
        <v>46246</v>
      </c>
      <c r="J1948" s="3" t="s">
        <v>1786</v>
      </c>
      <c r="K1948" s="10" t="n">
        <v>45026</v>
      </c>
      <c r="L1948" s="3" t="s">
        <v>15</v>
      </c>
      <c r="M1948" s="7" t="n">
        <v>5875</v>
      </c>
      <c r="N1948" s="8" t="n">
        <v>0.05404</v>
      </c>
      <c r="O1948" s="4" t="n">
        <f aca="false">M1948*N1948</f>
        <v>317.485</v>
      </c>
    </row>
    <row r="1949" customFormat="false" ht="15" hidden="false" customHeight="false" outlineLevel="0" collapsed="false">
      <c r="A1949" s="0" t="s">
        <v>2950</v>
      </c>
      <c r="C1949" s="0" t="s">
        <v>31</v>
      </c>
      <c r="D1949" s="7" t="n">
        <v>22583</v>
      </c>
      <c r="E1949" s="8" t="n">
        <v>0.00607448080414471</v>
      </c>
      <c r="F1949" s="4" t="n">
        <f aca="false">D1949*E1949</f>
        <v>137.18</v>
      </c>
      <c r="G1949" s="7" t="n">
        <v>542</v>
      </c>
      <c r="H1949" s="9" t="n">
        <f aca="false">IF(G1949&gt;0,D1949/G1949,"")</f>
        <v>41.6660516605166</v>
      </c>
      <c r="I1949" s="10" t="n">
        <v>46309</v>
      </c>
      <c r="J1949" s="3" t="s">
        <v>2951</v>
      </c>
      <c r="K1949" s="10" t="n">
        <v>44235</v>
      </c>
      <c r="L1949" s="3" t="s">
        <v>15</v>
      </c>
      <c r="M1949" s="7" t="n">
        <v>25936</v>
      </c>
      <c r="N1949" s="8" t="n">
        <v>0.00607</v>
      </c>
      <c r="O1949" s="4" t="n">
        <f aca="false">M1949*N1949</f>
        <v>157.43152</v>
      </c>
    </row>
    <row r="1950" customFormat="false" ht="15" hidden="false" customHeight="false" outlineLevel="0" collapsed="false">
      <c r="A1950" s="0" t="s">
        <v>2952</v>
      </c>
      <c r="C1950" s="0" t="s">
        <v>741</v>
      </c>
      <c r="D1950" s="7" t="n">
        <v>1008</v>
      </c>
      <c r="E1950" s="8" t="n">
        <v>0.136071428571429</v>
      </c>
      <c r="F1950" s="4" t="n">
        <f aca="false">D1950*E1950</f>
        <v>137.16</v>
      </c>
      <c r="G1950" s="7" t="n">
        <v>19</v>
      </c>
      <c r="H1950" s="9" t="n">
        <f aca="false">IF(G1950&gt;0,D1950/G1950,"")</f>
        <v>53.0526315789474</v>
      </c>
      <c r="I1950" s="10" t="n">
        <v>46112</v>
      </c>
      <c r="J1950" s="3" t="s">
        <v>1891</v>
      </c>
      <c r="K1950" s="10" t="n">
        <v>46140</v>
      </c>
      <c r="L1950" s="3" t="s">
        <v>27</v>
      </c>
      <c r="M1950" s="7" t="n">
        <v>300</v>
      </c>
      <c r="N1950" s="8" t="n">
        <v>0.1588</v>
      </c>
      <c r="O1950" s="4" t="n">
        <f aca="false">M1950*N1950</f>
        <v>47.64</v>
      </c>
    </row>
    <row r="1951" customFormat="false" ht="15" hidden="false" customHeight="false" outlineLevel="0" collapsed="false">
      <c r="A1951" s="0" t="s">
        <v>2953</v>
      </c>
      <c r="C1951" s="0" t="s">
        <v>31</v>
      </c>
      <c r="D1951" s="7" t="n">
        <v>24079</v>
      </c>
      <c r="E1951" s="8" t="n">
        <v>0.00569085094895968</v>
      </c>
      <c r="F1951" s="4" t="n">
        <f aca="false">D1951*E1951</f>
        <v>137.03</v>
      </c>
      <c r="G1951" s="7" t="n">
        <v>62</v>
      </c>
      <c r="H1951" s="9" t="n">
        <f aca="false">IF(G1951&gt;0,D1951/G1951,"")</f>
        <v>388.370967741936</v>
      </c>
      <c r="I1951" s="10" t="n">
        <v>46150</v>
      </c>
      <c r="K1951" s="10"/>
      <c r="M1951" s="7"/>
      <c r="N1951" s="8"/>
      <c r="O1951" s="4"/>
    </row>
    <row r="1952" customFormat="false" ht="15" hidden="false" customHeight="false" outlineLevel="0" collapsed="false">
      <c r="A1952" s="0" t="s">
        <v>2954</v>
      </c>
      <c r="C1952" s="0" t="s">
        <v>285</v>
      </c>
      <c r="D1952" s="7" t="n">
        <v>14768</v>
      </c>
      <c r="E1952" s="8" t="n">
        <v>0.00927004333694475</v>
      </c>
      <c r="F1952" s="4" t="n">
        <f aca="false">D1952*E1952</f>
        <v>136.9</v>
      </c>
      <c r="G1952" s="7" t="n">
        <v>595</v>
      </c>
      <c r="H1952" s="9" t="n">
        <f aca="false">IF(G1952&gt;0,D1952/G1952,"")</f>
        <v>24.8201680672269</v>
      </c>
      <c r="I1952" s="10" t="n">
        <v>46230</v>
      </c>
      <c r="K1952" s="10"/>
      <c r="M1952" s="7"/>
      <c r="N1952" s="8"/>
      <c r="O1952" s="4"/>
    </row>
    <row r="1953" customFormat="false" ht="15" hidden="false" customHeight="false" outlineLevel="0" collapsed="false">
      <c r="A1953" s="0" t="s">
        <v>2955</v>
      </c>
      <c r="C1953" s="0" t="s">
        <v>42</v>
      </c>
      <c r="D1953" s="7" t="n">
        <v>350</v>
      </c>
      <c r="E1953" s="8" t="n">
        <v>0.390571428571429</v>
      </c>
      <c r="F1953" s="4" t="n">
        <f aca="false">D1953*E1953</f>
        <v>136.7</v>
      </c>
      <c r="G1953" s="7" t="n">
        <v>316</v>
      </c>
      <c r="H1953" s="9" t="n">
        <f aca="false">IF(G1953&gt;0,D1953/G1953,"")</f>
        <v>1.10759493670886</v>
      </c>
      <c r="I1953" s="10" t="n">
        <v>46275</v>
      </c>
      <c r="J1953" s="3" t="s">
        <v>711</v>
      </c>
      <c r="K1953" s="10" t="n">
        <v>46105</v>
      </c>
      <c r="L1953" s="3" t="s">
        <v>14</v>
      </c>
      <c r="M1953" s="7" t="n">
        <v>500</v>
      </c>
      <c r="N1953" s="8" t="n">
        <v>0.3906</v>
      </c>
      <c r="O1953" s="4" t="n">
        <f aca="false">M1953*N1953</f>
        <v>195.3</v>
      </c>
    </row>
    <row r="1954" customFormat="false" ht="15" hidden="false" customHeight="false" outlineLevel="0" collapsed="false">
      <c r="A1954" s="0" t="s">
        <v>2956</v>
      </c>
      <c r="C1954" s="0" t="s">
        <v>31</v>
      </c>
      <c r="D1954" s="7" t="n">
        <v>1610</v>
      </c>
      <c r="E1954" s="8" t="n">
        <v>0.0849006211180124</v>
      </c>
      <c r="F1954" s="4" t="n">
        <f aca="false">D1954*E1954</f>
        <v>136.69</v>
      </c>
      <c r="G1954" s="7" t="n">
        <v>160</v>
      </c>
      <c r="H1954" s="9" t="n">
        <f aca="false">IF(G1954&gt;0,D1954/G1954,"")</f>
        <v>10.0625</v>
      </c>
      <c r="I1954" s="10" t="n">
        <v>46317</v>
      </c>
      <c r="J1954" s="3" t="s">
        <v>1955</v>
      </c>
      <c r="K1954" s="10" t="n">
        <v>46268</v>
      </c>
      <c r="L1954" s="3" t="s">
        <v>16</v>
      </c>
      <c r="M1954" s="7" t="n">
        <v>1770</v>
      </c>
      <c r="N1954" s="8" t="n">
        <v>0.0849</v>
      </c>
      <c r="O1954" s="4" t="n">
        <f aca="false">M1954*N1954</f>
        <v>150.273</v>
      </c>
    </row>
    <row r="1955" customFormat="false" ht="15" hidden="false" customHeight="false" outlineLevel="0" collapsed="false">
      <c r="A1955" s="0" t="s">
        <v>2957</v>
      </c>
      <c r="C1955" s="0" t="s">
        <v>34</v>
      </c>
      <c r="D1955" s="7" t="n">
        <v>198</v>
      </c>
      <c r="E1955" s="8" t="n">
        <v>0.69020202020202</v>
      </c>
      <c r="F1955" s="4" t="n">
        <f aca="false">D1955*E1955</f>
        <v>136.66</v>
      </c>
      <c r="G1955" s="7" t="n">
        <v>5</v>
      </c>
      <c r="H1955" s="9" t="n">
        <f aca="false">IF(G1955&gt;0,D1955/G1955,"")</f>
        <v>39.6</v>
      </c>
      <c r="I1955" s="10" t="n">
        <v>46211</v>
      </c>
      <c r="K1955" s="10"/>
      <c r="M1955" s="7"/>
      <c r="N1955" s="8"/>
      <c r="O1955" s="4"/>
    </row>
    <row r="1956" customFormat="false" ht="15" hidden="false" customHeight="false" outlineLevel="0" collapsed="false">
      <c r="A1956" s="0" t="s">
        <v>2958</v>
      </c>
      <c r="C1956" s="0" t="s">
        <v>31</v>
      </c>
      <c r="D1956" s="7" t="n">
        <v>43629</v>
      </c>
      <c r="E1956" s="8" t="n">
        <v>0.00313209104036306</v>
      </c>
      <c r="F1956" s="4" t="n">
        <f aca="false">D1956*E1956</f>
        <v>136.65</v>
      </c>
      <c r="G1956" s="7" t="n">
        <v>32705</v>
      </c>
      <c r="H1956" s="9" t="n">
        <f aca="false">IF(G1956&gt;0,D1956/G1956,"")</f>
        <v>1.33401620547317</v>
      </c>
      <c r="I1956" s="10" t="n">
        <v>46317</v>
      </c>
      <c r="J1956" s="3" t="s">
        <v>2959</v>
      </c>
      <c r="K1956" s="10" t="n">
        <v>45580</v>
      </c>
      <c r="L1956" s="3" t="s">
        <v>14</v>
      </c>
      <c r="M1956" s="7" t="n">
        <v>13897</v>
      </c>
      <c r="N1956" s="8" t="n">
        <v>0.0043</v>
      </c>
      <c r="O1956" s="4" t="n">
        <f aca="false">M1956*N1956</f>
        <v>59.7571</v>
      </c>
    </row>
    <row r="1957" customFormat="false" ht="15" hidden="false" customHeight="false" outlineLevel="0" collapsed="false">
      <c r="A1957" s="0" t="s">
        <v>2960</v>
      </c>
      <c r="C1957" s="0" t="s">
        <v>45</v>
      </c>
      <c r="D1957" s="7" t="n">
        <v>167</v>
      </c>
      <c r="E1957" s="8" t="n">
        <v>0.817844311377246</v>
      </c>
      <c r="F1957" s="4" t="n">
        <f aca="false">D1957*E1957</f>
        <v>136.58</v>
      </c>
      <c r="G1957" s="7" t="n">
        <v>17</v>
      </c>
      <c r="H1957" s="9" t="n">
        <f aca="false">IF(G1957&gt;0,D1957/G1957,"")</f>
        <v>9.82352941176471</v>
      </c>
      <c r="I1957" s="10" t="n">
        <v>46260</v>
      </c>
      <c r="J1957" s="3" t="s">
        <v>2961</v>
      </c>
      <c r="K1957" s="10" t="n">
        <v>45509</v>
      </c>
      <c r="L1957" s="3" t="s">
        <v>23</v>
      </c>
      <c r="M1957" s="7" t="n">
        <v>400</v>
      </c>
      <c r="N1957" s="8" t="n">
        <v>0.8179</v>
      </c>
      <c r="O1957" s="4" t="n">
        <f aca="false">M1957*N1957</f>
        <v>327.16</v>
      </c>
    </row>
    <row r="1958" customFormat="false" ht="15" hidden="false" customHeight="false" outlineLevel="0" collapsed="false">
      <c r="A1958" s="0" t="s">
        <v>2962</v>
      </c>
      <c r="C1958" s="0" t="s">
        <v>31</v>
      </c>
      <c r="D1958" s="7" t="n">
        <v>30400</v>
      </c>
      <c r="E1958" s="8" t="n">
        <v>0.00449276315789474</v>
      </c>
      <c r="F1958" s="4" t="n">
        <f aca="false">D1958*E1958</f>
        <v>136.58</v>
      </c>
      <c r="G1958" s="7" t="n">
        <v>1363</v>
      </c>
      <c r="H1958" s="9" t="n">
        <f aca="false">IF(G1958&gt;0,D1958/G1958,"")</f>
        <v>22.3037417461482</v>
      </c>
      <c r="I1958" s="10" t="n">
        <v>46287</v>
      </c>
      <c r="K1958" s="10"/>
      <c r="M1958" s="7"/>
      <c r="N1958" s="8"/>
      <c r="O1958" s="4"/>
    </row>
    <row r="1959" customFormat="false" ht="15" hidden="false" customHeight="false" outlineLevel="0" collapsed="false">
      <c r="A1959" s="0" t="s">
        <v>2963</v>
      </c>
      <c r="C1959" s="0" t="s">
        <v>889</v>
      </c>
      <c r="D1959" s="7" t="n">
        <v>253</v>
      </c>
      <c r="E1959" s="8" t="n">
        <v>0.539486166007905</v>
      </c>
      <c r="F1959" s="4" t="n">
        <f aca="false">D1959*E1959</f>
        <v>136.49</v>
      </c>
      <c r="G1959" s="7" t="n">
        <v>10</v>
      </c>
      <c r="H1959" s="9" t="n">
        <f aca="false">IF(G1959&gt;0,D1959/G1959,"")</f>
        <v>25.3</v>
      </c>
      <c r="I1959" s="10" t="n">
        <v>46218</v>
      </c>
      <c r="K1959" s="10"/>
      <c r="M1959" s="7"/>
      <c r="N1959" s="8"/>
      <c r="O1959" s="4"/>
    </row>
    <row r="1960" customFormat="false" ht="15" hidden="false" customHeight="false" outlineLevel="0" collapsed="false">
      <c r="A1960" s="0" t="s">
        <v>2964</v>
      </c>
      <c r="C1960" s="0" t="s">
        <v>1169</v>
      </c>
      <c r="D1960" s="7" t="n">
        <v>2200</v>
      </c>
      <c r="E1960" s="8" t="n">
        <v>0.0619954545454546</v>
      </c>
      <c r="F1960" s="4" t="n">
        <f aca="false">D1960*E1960</f>
        <v>136.39</v>
      </c>
      <c r="G1960" s="7" t="n">
        <v>1105</v>
      </c>
      <c r="H1960" s="9" t="n">
        <f aca="false">IF(G1960&gt;0,D1960/G1960,"")</f>
        <v>1.99095022624434</v>
      </c>
      <c r="I1960" s="10" t="n">
        <v>46273</v>
      </c>
      <c r="J1960" s="3" t="s">
        <v>2912</v>
      </c>
      <c r="K1960" s="10" t="n">
        <v>46231</v>
      </c>
      <c r="L1960" s="3" t="s">
        <v>21</v>
      </c>
      <c r="M1960" s="7" t="n">
        <v>1625</v>
      </c>
      <c r="N1960" s="8" t="n">
        <v>0.062</v>
      </c>
      <c r="O1960" s="4" t="n">
        <f aca="false">M1960*N1960</f>
        <v>100.75</v>
      </c>
    </row>
    <row r="1961" customFormat="false" ht="15" hidden="false" customHeight="false" outlineLevel="0" collapsed="false">
      <c r="A1961" s="0" t="s">
        <v>2965</v>
      </c>
      <c r="C1961" s="0" t="s">
        <v>40</v>
      </c>
      <c r="D1961" s="7" t="n">
        <v>1607</v>
      </c>
      <c r="E1961" s="8" t="n">
        <v>0.0846919726197884</v>
      </c>
      <c r="F1961" s="4" t="n">
        <f aca="false">D1961*E1961</f>
        <v>136.1</v>
      </c>
      <c r="G1961" s="7" t="n">
        <v>50</v>
      </c>
      <c r="H1961" s="9" t="n">
        <f aca="false">IF(G1961&gt;0,D1961/G1961,"")</f>
        <v>32.14</v>
      </c>
      <c r="I1961" s="10" t="n">
        <v>46290</v>
      </c>
      <c r="J1961" s="3" t="s">
        <v>2966</v>
      </c>
      <c r="K1961" s="10" t="n">
        <v>44596</v>
      </c>
      <c r="L1961" s="3" t="s">
        <v>18</v>
      </c>
      <c r="M1961" s="7" t="n">
        <v>3595</v>
      </c>
      <c r="N1961" s="8" t="n">
        <v>0.0847</v>
      </c>
      <c r="O1961" s="4" t="n">
        <f aca="false">M1961*N1961</f>
        <v>304.4965</v>
      </c>
    </row>
    <row r="1962" customFormat="false" ht="15" hidden="false" customHeight="false" outlineLevel="0" collapsed="false">
      <c r="A1962" s="0" t="s">
        <v>2967</v>
      </c>
      <c r="C1962" s="0" t="s">
        <v>61</v>
      </c>
      <c r="D1962" s="7" t="n">
        <v>98</v>
      </c>
      <c r="E1962" s="8" t="n">
        <v>1.38867346938776</v>
      </c>
      <c r="F1962" s="4" t="n">
        <f aca="false">D1962*E1962</f>
        <v>136.09</v>
      </c>
      <c r="G1962" s="7" t="n">
        <v>50</v>
      </c>
      <c r="H1962" s="9" t="n">
        <f aca="false">IF(G1962&gt;0,D1962/G1962,"")</f>
        <v>1.96</v>
      </c>
      <c r="I1962" s="10" t="n">
        <v>46078</v>
      </c>
      <c r="J1962" s="3" t="s">
        <v>1233</v>
      </c>
      <c r="K1962" s="10" t="n">
        <v>46069</v>
      </c>
      <c r="L1962" s="3" t="s">
        <v>14</v>
      </c>
      <c r="M1962" s="7" t="n">
        <v>139</v>
      </c>
      <c r="N1962" s="8" t="n">
        <v>1.3886</v>
      </c>
      <c r="O1962" s="4" t="n">
        <f aca="false">M1962*N1962</f>
        <v>193.0154</v>
      </c>
    </row>
    <row r="1963" customFormat="false" ht="15" hidden="false" customHeight="false" outlineLevel="0" collapsed="false">
      <c r="A1963" s="0" t="s">
        <v>2968</v>
      </c>
      <c r="C1963" s="0" t="s">
        <v>34</v>
      </c>
      <c r="D1963" s="7" t="n">
        <v>8289</v>
      </c>
      <c r="E1963" s="8" t="n">
        <v>0.0164084931837375</v>
      </c>
      <c r="F1963" s="4" t="n">
        <f aca="false">D1963*E1963</f>
        <v>136.01</v>
      </c>
      <c r="G1963" s="7" t="n">
        <v>125</v>
      </c>
      <c r="H1963" s="9" t="n">
        <f aca="false">IF(G1963&gt;0,D1963/G1963,"")</f>
        <v>66.312</v>
      </c>
      <c r="I1963" s="10" t="n">
        <v>46147</v>
      </c>
      <c r="J1963" s="3" t="s">
        <v>1731</v>
      </c>
      <c r="K1963" s="10" t="n">
        <v>44356</v>
      </c>
      <c r="L1963" s="3" t="s">
        <v>19</v>
      </c>
      <c r="M1963" s="7" t="n">
        <v>25000</v>
      </c>
      <c r="N1963" s="8" t="n">
        <v>0.0164</v>
      </c>
      <c r="O1963" s="4" t="n">
        <f aca="false">M1963*N1963</f>
        <v>410</v>
      </c>
    </row>
    <row r="1964" customFormat="false" ht="15" hidden="false" customHeight="false" outlineLevel="0" collapsed="false">
      <c r="A1964" s="0" t="s">
        <v>2969</v>
      </c>
      <c r="C1964" s="0" t="s">
        <v>31</v>
      </c>
      <c r="D1964" s="7" t="n">
        <v>2427</v>
      </c>
      <c r="E1964" s="8" t="n">
        <v>0.0559909353110836</v>
      </c>
      <c r="F1964" s="4" t="n">
        <f aca="false">D1964*E1964</f>
        <v>135.89</v>
      </c>
      <c r="G1964" s="7" t="n">
        <v>1958</v>
      </c>
      <c r="H1964" s="9" t="n">
        <f aca="false">IF(G1964&gt;0,D1964/G1964,"")</f>
        <v>1.23953013278856</v>
      </c>
      <c r="I1964" s="10" t="n">
        <v>46304</v>
      </c>
      <c r="J1964" s="3" t="s">
        <v>852</v>
      </c>
      <c r="K1964" s="10" t="n">
        <v>45883</v>
      </c>
      <c r="L1964" s="3" t="s">
        <v>15</v>
      </c>
      <c r="M1964" s="7" t="n">
        <v>4385</v>
      </c>
      <c r="N1964" s="8" t="n">
        <v>0.05599</v>
      </c>
      <c r="O1964" s="4" t="n">
        <f aca="false">M1964*N1964</f>
        <v>245.51615</v>
      </c>
    </row>
    <row r="1965" customFormat="false" ht="15" hidden="false" customHeight="false" outlineLevel="0" collapsed="false">
      <c r="A1965" s="0" t="s">
        <v>2970</v>
      </c>
      <c r="C1965" s="0" t="s">
        <v>1169</v>
      </c>
      <c r="D1965" s="7" t="n">
        <v>2366</v>
      </c>
      <c r="E1965" s="8" t="n">
        <v>0.0574091293322063</v>
      </c>
      <c r="F1965" s="4" t="n">
        <f aca="false">D1965*E1965</f>
        <v>135.83</v>
      </c>
      <c r="G1965" s="7" t="n">
        <v>64</v>
      </c>
      <c r="H1965" s="9" t="n">
        <f aca="false">IF(G1965&gt;0,D1965/G1965,"")</f>
        <v>36.96875</v>
      </c>
      <c r="I1965" s="10" t="n">
        <v>46209</v>
      </c>
      <c r="J1965" s="3" t="s">
        <v>2900</v>
      </c>
      <c r="K1965" s="10" t="n">
        <v>45468</v>
      </c>
      <c r="L1965" s="3" t="s">
        <v>21</v>
      </c>
      <c r="M1965" s="7" t="n">
        <v>2500</v>
      </c>
      <c r="N1965" s="8" t="n">
        <v>0.056</v>
      </c>
      <c r="O1965" s="4" t="n">
        <f aca="false">M1965*N1965</f>
        <v>140</v>
      </c>
    </row>
    <row r="1966" customFormat="false" ht="15" hidden="false" customHeight="false" outlineLevel="0" collapsed="false">
      <c r="A1966" s="0" t="s">
        <v>2971</v>
      </c>
      <c r="C1966" s="0" t="s">
        <v>118</v>
      </c>
      <c r="D1966" s="7" t="n">
        <v>5496</v>
      </c>
      <c r="E1966" s="8" t="n">
        <v>0.0247016011644833</v>
      </c>
      <c r="F1966" s="4" t="n">
        <f aca="false">D1966*E1966</f>
        <v>135.76</v>
      </c>
      <c r="G1966" s="7" t="n">
        <v>651</v>
      </c>
      <c r="H1966" s="9" t="n">
        <f aca="false">IF(G1966&gt;0,D1966/G1966,"")</f>
        <v>8.44239631336406</v>
      </c>
      <c r="I1966" s="10" t="n">
        <v>46311</v>
      </c>
      <c r="J1966" s="3" t="s">
        <v>457</v>
      </c>
      <c r="K1966" s="10" t="n">
        <v>45866</v>
      </c>
      <c r="L1966" s="3" t="s">
        <v>16</v>
      </c>
      <c r="M1966" s="7" t="n">
        <v>6100</v>
      </c>
      <c r="N1966" s="8" t="n">
        <v>0.0247</v>
      </c>
      <c r="O1966" s="4" t="n">
        <f aca="false">M1966*N1966</f>
        <v>150.67</v>
      </c>
    </row>
    <row r="1967" customFormat="false" ht="15" hidden="false" customHeight="false" outlineLevel="0" collapsed="false">
      <c r="A1967" s="0" t="s">
        <v>2972</v>
      </c>
      <c r="C1967" s="0" t="s">
        <v>61</v>
      </c>
      <c r="D1967" s="7" t="n">
        <v>367</v>
      </c>
      <c r="E1967" s="8" t="n">
        <v>0.369482288828338</v>
      </c>
      <c r="F1967" s="4" t="n">
        <f aca="false">D1967*E1967</f>
        <v>135.6</v>
      </c>
      <c r="G1967" s="7" t="n">
        <v>5</v>
      </c>
      <c r="H1967" s="9" t="n">
        <f aca="false">IF(G1967&gt;0,D1967/G1967,"")</f>
        <v>73.4</v>
      </c>
      <c r="I1967" s="10" t="n">
        <v>45957</v>
      </c>
      <c r="J1967" s="3" t="s">
        <v>2973</v>
      </c>
      <c r="K1967" s="10" t="n">
        <v>44834</v>
      </c>
      <c r="L1967" s="3" t="s">
        <v>23</v>
      </c>
      <c r="M1967" s="7" t="n">
        <v>600</v>
      </c>
      <c r="N1967" s="8" t="n">
        <v>0.3695</v>
      </c>
      <c r="O1967" s="4" t="n">
        <f aca="false">M1967*N1967</f>
        <v>221.7</v>
      </c>
    </row>
    <row r="1968" customFormat="false" ht="15" hidden="false" customHeight="false" outlineLevel="0" collapsed="false">
      <c r="A1968" s="0" t="s">
        <v>2974</v>
      </c>
      <c r="C1968" s="0" t="s">
        <v>438</v>
      </c>
      <c r="D1968" s="7" t="n">
        <v>372</v>
      </c>
      <c r="E1968" s="8" t="n">
        <v>0.363897849462366</v>
      </c>
      <c r="F1968" s="4" t="n">
        <f aca="false">D1968*E1968</f>
        <v>135.37</v>
      </c>
      <c r="G1968" s="7" t="n">
        <v>9</v>
      </c>
      <c r="H1968" s="9" t="n">
        <f aca="false">IF(G1968&gt;0,D1968/G1968,"")</f>
        <v>41.3333333333333</v>
      </c>
      <c r="I1968" s="10" t="n">
        <v>46202</v>
      </c>
      <c r="J1968" s="3" t="s">
        <v>2142</v>
      </c>
      <c r="K1968" s="10" t="n">
        <v>45975</v>
      </c>
      <c r="L1968" s="3" t="s">
        <v>27</v>
      </c>
      <c r="M1968" s="7" t="n">
        <v>250</v>
      </c>
      <c r="N1968" s="8" t="n">
        <v>0.4267</v>
      </c>
      <c r="O1968" s="4" t="n">
        <f aca="false">M1968*N1968</f>
        <v>106.675</v>
      </c>
    </row>
    <row r="1969" customFormat="false" ht="15" hidden="false" customHeight="false" outlineLevel="0" collapsed="false">
      <c r="A1969" s="0" t="s">
        <v>2975</v>
      </c>
      <c r="C1969" s="0" t="s">
        <v>889</v>
      </c>
      <c r="D1969" s="7" t="n">
        <v>14772</v>
      </c>
      <c r="E1969" s="8" t="n">
        <v>0.00915989710262659</v>
      </c>
      <c r="F1969" s="4" t="n">
        <f aca="false">D1969*E1969</f>
        <v>135.31</v>
      </c>
      <c r="G1969" s="7" t="n">
        <v>100</v>
      </c>
      <c r="H1969" s="9" t="n">
        <f aca="false">IF(G1969&gt;0,D1969/G1969,"")</f>
        <v>147.72</v>
      </c>
      <c r="I1969" s="10" t="n">
        <v>46111</v>
      </c>
      <c r="J1969" s="3" t="s">
        <v>1648</v>
      </c>
      <c r="K1969" s="10" t="n">
        <v>45672</v>
      </c>
      <c r="L1969" s="3" t="s">
        <v>15</v>
      </c>
      <c r="M1969" s="7" t="n">
        <v>73050</v>
      </c>
      <c r="N1969" s="8" t="n">
        <v>0.00916</v>
      </c>
      <c r="O1969" s="4" t="n">
        <f aca="false">M1969*N1969</f>
        <v>669.138</v>
      </c>
    </row>
    <row r="1970" customFormat="false" ht="15" hidden="false" customHeight="false" outlineLevel="0" collapsed="false">
      <c r="A1970" s="0" t="s">
        <v>2976</v>
      </c>
      <c r="C1970" s="0" t="s">
        <v>32</v>
      </c>
      <c r="D1970" s="7" t="n">
        <v>528</v>
      </c>
      <c r="E1970" s="8" t="n">
        <v>0.256117424242424</v>
      </c>
      <c r="F1970" s="4" t="n">
        <f aca="false">D1970*E1970</f>
        <v>135.23</v>
      </c>
      <c r="G1970" s="7" t="n">
        <v>121</v>
      </c>
      <c r="H1970" s="9" t="n">
        <f aca="false">IF(G1970&gt;0,D1970/G1970,"")</f>
        <v>4.36363636363636</v>
      </c>
      <c r="I1970" s="10" t="n">
        <v>46302</v>
      </c>
      <c r="J1970" s="3" t="s">
        <v>2977</v>
      </c>
      <c r="K1970" s="10" t="n">
        <v>45876</v>
      </c>
      <c r="L1970" s="3" t="s">
        <v>18</v>
      </c>
      <c r="M1970" s="7" t="n">
        <v>1237</v>
      </c>
      <c r="N1970" s="8" t="n">
        <v>0.2561</v>
      </c>
      <c r="O1970" s="4" t="n">
        <f aca="false">M1970*N1970</f>
        <v>316.7957</v>
      </c>
    </row>
    <row r="1971" customFormat="false" ht="15" hidden="false" customHeight="false" outlineLevel="0" collapsed="false">
      <c r="A1971" s="0" t="s">
        <v>2978</v>
      </c>
      <c r="C1971" s="0" t="s">
        <v>615</v>
      </c>
      <c r="D1971" s="7" t="n">
        <v>1716</v>
      </c>
      <c r="E1971" s="8" t="n">
        <v>0.0787995337995338</v>
      </c>
      <c r="F1971" s="4" t="n">
        <f aca="false">D1971*E1971</f>
        <v>135.22</v>
      </c>
      <c r="G1971" s="7" t="n">
        <v>10</v>
      </c>
      <c r="H1971" s="9" t="n">
        <f aca="false">IF(G1971&gt;0,D1971/G1971,"")</f>
        <v>171.6</v>
      </c>
      <c r="I1971" s="10" t="n">
        <v>46203</v>
      </c>
      <c r="J1971" s="3" t="s">
        <v>2979</v>
      </c>
      <c r="K1971" s="10" t="n">
        <v>45616</v>
      </c>
      <c r="L1971" s="3" t="s">
        <v>15</v>
      </c>
      <c r="M1971" s="7" t="n">
        <v>1810</v>
      </c>
      <c r="N1971" s="8" t="n">
        <v>0.0788</v>
      </c>
      <c r="O1971" s="4" t="n">
        <f aca="false">M1971*N1971</f>
        <v>142.628</v>
      </c>
    </row>
    <row r="1972" customFormat="false" ht="15" hidden="false" customHeight="false" outlineLevel="0" collapsed="false">
      <c r="A1972" s="0" t="s">
        <v>2980</v>
      </c>
      <c r="C1972" s="0" t="s">
        <v>2981</v>
      </c>
      <c r="D1972" s="7" t="n">
        <v>22</v>
      </c>
      <c r="E1972" s="8" t="n">
        <v>6.14227272727273</v>
      </c>
      <c r="F1972" s="4" t="n">
        <f aca="false">D1972*E1972</f>
        <v>135.13</v>
      </c>
      <c r="G1972" s="7" t="n">
        <v>18</v>
      </c>
      <c r="H1972" s="9" t="n">
        <f aca="false">IF(G1972&gt;0,D1972/G1972,"")</f>
        <v>1.22222222222222</v>
      </c>
      <c r="I1972" s="10" t="n">
        <v>46078</v>
      </c>
      <c r="J1972" s="3" t="s">
        <v>2982</v>
      </c>
      <c r="K1972" s="10" t="n">
        <v>45689</v>
      </c>
      <c r="L1972" s="3" t="s">
        <v>936</v>
      </c>
      <c r="M1972" s="7" t="n">
        <v>50</v>
      </c>
      <c r="N1972" s="8" t="n">
        <v>6.1423</v>
      </c>
      <c r="O1972" s="4" t="n">
        <f aca="false">M1972*N1972</f>
        <v>307.115</v>
      </c>
    </row>
    <row r="1973" customFormat="false" ht="15" hidden="false" customHeight="false" outlineLevel="0" collapsed="false">
      <c r="A1973" s="0" t="s">
        <v>2983</v>
      </c>
      <c r="C1973" s="0" t="s">
        <v>360</v>
      </c>
      <c r="D1973" s="7" t="n">
        <v>16077</v>
      </c>
      <c r="E1973" s="8" t="n">
        <v>0.00840393108166947</v>
      </c>
      <c r="F1973" s="4" t="n">
        <f aca="false">D1973*E1973</f>
        <v>135.11</v>
      </c>
      <c r="G1973" s="7" t="n">
        <v>10128</v>
      </c>
      <c r="H1973" s="9" t="n">
        <f aca="false">IF(G1973&gt;0,D1973/G1973,"")</f>
        <v>1.58738151658768</v>
      </c>
      <c r="I1973" s="10" t="n">
        <v>46317</v>
      </c>
      <c r="J1973" s="3" t="s">
        <v>1955</v>
      </c>
      <c r="K1973" s="10" t="n">
        <v>46268</v>
      </c>
      <c r="L1973" s="3" t="s">
        <v>16</v>
      </c>
      <c r="M1973" s="7" t="n">
        <v>16522</v>
      </c>
      <c r="N1973" s="8" t="n">
        <v>0.0084</v>
      </c>
      <c r="O1973" s="4" t="n">
        <f aca="false">M1973*N1973</f>
        <v>138.7848</v>
      </c>
    </row>
    <row r="1974" customFormat="false" ht="15" hidden="false" customHeight="false" outlineLevel="0" collapsed="false">
      <c r="A1974" s="0" t="s">
        <v>2984</v>
      </c>
      <c r="C1974" s="0" t="s">
        <v>741</v>
      </c>
      <c r="D1974" s="7" t="n">
        <v>998</v>
      </c>
      <c r="E1974" s="8" t="n">
        <v>0.135290581162325</v>
      </c>
      <c r="F1974" s="4" t="n">
        <f aca="false">D1974*E1974</f>
        <v>135.02</v>
      </c>
      <c r="G1974" s="7" t="n">
        <v>29</v>
      </c>
      <c r="H1974" s="9" t="n">
        <f aca="false">IF(G1974&gt;0,D1974/G1974,"")</f>
        <v>34.4137931034483</v>
      </c>
      <c r="I1974" s="10" t="n">
        <v>46112</v>
      </c>
      <c r="J1974" s="3" t="s">
        <v>1891</v>
      </c>
      <c r="K1974" s="10" t="n">
        <v>46140</v>
      </c>
      <c r="L1974" s="3" t="s">
        <v>27</v>
      </c>
      <c r="M1974" s="7" t="n">
        <v>350</v>
      </c>
      <c r="N1974" s="8" t="n">
        <v>0.1597</v>
      </c>
      <c r="O1974" s="4" t="n">
        <f aca="false">M1974*N1974</f>
        <v>55.895</v>
      </c>
    </row>
    <row r="1975" customFormat="false" ht="15" hidden="false" customHeight="false" outlineLevel="0" collapsed="false">
      <c r="A1975" s="0" t="s">
        <v>2985</v>
      </c>
      <c r="C1975" s="0" t="s">
        <v>40</v>
      </c>
      <c r="D1975" s="7" t="n">
        <v>19564</v>
      </c>
      <c r="E1975" s="8" t="n">
        <v>0.00690042936004907</v>
      </c>
      <c r="F1975" s="4" t="n">
        <f aca="false">D1975*E1975</f>
        <v>135</v>
      </c>
      <c r="G1975" s="7" t="n">
        <v>6315</v>
      </c>
      <c r="H1975" s="9" t="n">
        <f aca="false">IF(G1975&gt;0,D1975/G1975,"")</f>
        <v>3.09802058590657</v>
      </c>
      <c r="I1975" s="10" t="n">
        <v>46255</v>
      </c>
      <c r="J1975" s="3" t="s">
        <v>1905</v>
      </c>
      <c r="K1975" s="10" t="n">
        <v>45672</v>
      </c>
      <c r="L1975" s="3" t="s">
        <v>18</v>
      </c>
      <c r="M1975" s="7" t="n">
        <v>14000</v>
      </c>
      <c r="N1975" s="8" t="n">
        <v>0.0069</v>
      </c>
      <c r="O1975" s="4" t="n">
        <f aca="false">M1975*N1975</f>
        <v>96.6</v>
      </c>
    </row>
    <row r="1976" customFormat="false" ht="15" hidden="false" customHeight="false" outlineLevel="0" collapsed="false">
      <c r="A1976" s="0" t="s">
        <v>2986</v>
      </c>
      <c r="C1976" s="0" t="s">
        <v>285</v>
      </c>
      <c r="D1976" s="7" t="n">
        <v>5743</v>
      </c>
      <c r="E1976" s="8" t="n">
        <v>0.0235016541877068</v>
      </c>
      <c r="F1976" s="4" t="n">
        <f aca="false">D1976*E1976</f>
        <v>134.97</v>
      </c>
      <c r="G1976" s="7" t="n">
        <v>4762</v>
      </c>
      <c r="H1976" s="9" t="n">
        <f aca="false">IF(G1976&gt;0,D1976/G1976,"")</f>
        <v>1.2060058798824</v>
      </c>
      <c r="I1976" s="10" t="n">
        <v>46147</v>
      </c>
      <c r="J1976" s="3" t="s">
        <v>2263</v>
      </c>
      <c r="K1976" s="10" t="n">
        <v>45630</v>
      </c>
      <c r="L1976" s="3" t="s">
        <v>15</v>
      </c>
      <c r="M1976" s="7" t="n">
        <v>11650</v>
      </c>
      <c r="N1976" s="8" t="n">
        <v>0.0235</v>
      </c>
      <c r="O1976" s="4" t="n">
        <f aca="false">M1976*N1976</f>
        <v>273.775</v>
      </c>
    </row>
    <row r="1977" customFormat="false" ht="15" hidden="false" customHeight="false" outlineLevel="0" collapsed="false">
      <c r="A1977" s="0" t="s">
        <v>2987</v>
      </c>
      <c r="C1977" s="0" t="s">
        <v>979</v>
      </c>
      <c r="D1977" s="7" t="n">
        <v>425</v>
      </c>
      <c r="E1977" s="8" t="n">
        <v>0.317223529411765</v>
      </c>
      <c r="F1977" s="4" t="n">
        <f aca="false">D1977*E1977</f>
        <v>134.82</v>
      </c>
      <c r="G1977" s="7" t="n">
        <v>160</v>
      </c>
      <c r="H1977" s="9" t="n">
        <f aca="false">IF(G1977&gt;0,D1977/G1977,"")</f>
        <v>2.65625</v>
      </c>
      <c r="I1977" s="10" t="n">
        <v>46287</v>
      </c>
      <c r="J1977" s="3" t="s">
        <v>193</v>
      </c>
      <c r="K1977" s="10" t="n">
        <v>46265</v>
      </c>
      <c r="L1977" s="3" t="s">
        <v>18</v>
      </c>
      <c r="M1977" s="7" t="n">
        <v>461</v>
      </c>
      <c r="N1977" s="8" t="n">
        <v>0.306</v>
      </c>
      <c r="O1977" s="4" t="n">
        <f aca="false">M1977*N1977</f>
        <v>141.066</v>
      </c>
    </row>
    <row r="1978" customFormat="false" ht="15" hidden="false" customHeight="false" outlineLevel="0" collapsed="false">
      <c r="A1978" s="0" t="s">
        <v>2988</v>
      </c>
      <c r="C1978" s="0" t="s">
        <v>31</v>
      </c>
      <c r="D1978" s="7" t="n">
        <v>67352</v>
      </c>
      <c r="E1978" s="8" t="n">
        <v>0.00199994061052382</v>
      </c>
      <c r="F1978" s="4" t="n">
        <f aca="false">D1978*E1978</f>
        <v>134.7</v>
      </c>
      <c r="G1978" s="7" t="n">
        <v>11070</v>
      </c>
      <c r="H1978" s="9" t="n">
        <f aca="false">IF(G1978&gt;0,D1978/G1978,"")</f>
        <v>6.08419150858175</v>
      </c>
      <c r="I1978" s="10" t="n">
        <v>46311</v>
      </c>
      <c r="J1978" s="3" t="s">
        <v>1209</v>
      </c>
      <c r="K1978" s="10" t="n">
        <v>45993</v>
      </c>
      <c r="L1978" s="3" t="s">
        <v>16</v>
      </c>
      <c r="M1978" s="7" t="n">
        <v>75000</v>
      </c>
      <c r="N1978" s="8" t="n">
        <v>0.002</v>
      </c>
      <c r="O1978" s="4" t="n">
        <f aca="false">M1978*N1978</f>
        <v>150</v>
      </c>
    </row>
    <row r="1979" customFormat="false" ht="15" hidden="false" customHeight="false" outlineLevel="0" collapsed="false">
      <c r="A1979" s="0" t="s">
        <v>2989</v>
      </c>
      <c r="C1979" s="0" t="s">
        <v>741</v>
      </c>
      <c r="D1979" s="7" t="n">
        <v>933</v>
      </c>
      <c r="E1979" s="8" t="n">
        <v>0.144362272240086</v>
      </c>
      <c r="F1979" s="4" t="n">
        <f aca="false">D1979*E1979</f>
        <v>134.69</v>
      </c>
      <c r="G1979" s="7" t="n">
        <v>54</v>
      </c>
      <c r="H1979" s="9" t="n">
        <f aca="false">IF(G1979&gt;0,D1979/G1979,"")</f>
        <v>17.2777777777778</v>
      </c>
      <c r="I1979" s="10" t="n">
        <v>46273</v>
      </c>
      <c r="J1979" s="3" t="s">
        <v>1891</v>
      </c>
      <c r="K1979" s="10" t="n">
        <v>46140</v>
      </c>
      <c r="L1979" s="3" t="s">
        <v>27</v>
      </c>
      <c r="M1979" s="7" t="n">
        <v>250</v>
      </c>
      <c r="N1979" s="8" t="n">
        <v>0.1781</v>
      </c>
      <c r="O1979" s="4" t="n">
        <f aca="false">M1979*N1979</f>
        <v>44.525</v>
      </c>
    </row>
    <row r="1980" customFormat="false" ht="15" hidden="false" customHeight="false" outlineLevel="0" collapsed="false">
      <c r="A1980" s="0" t="s">
        <v>2990</v>
      </c>
      <c r="C1980" s="0" t="s">
        <v>398</v>
      </c>
      <c r="D1980" s="7" t="n">
        <v>1469</v>
      </c>
      <c r="E1980" s="8" t="n">
        <v>0.091640571817563</v>
      </c>
      <c r="F1980" s="4" t="n">
        <f aca="false">D1980*E1980</f>
        <v>134.62</v>
      </c>
      <c r="G1980" s="7" t="n">
        <v>768</v>
      </c>
      <c r="H1980" s="9" t="n">
        <f aca="false">IF(G1980&gt;0,D1980/G1980,"")</f>
        <v>1.91276041666667</v>
      </c>
      <c r="I1980" s="10" t="n">
        <v>46210</v>
      </c>
      <c r="J1980" s="3" t="s">
        <v>2991</v>
      </c>
      <c r="K1980" s="10" t="n">
        <v>44467</v>
      </c>
      <c r="L1980" s="3" t="s">
        <v>16</v>
      </c>
      <c r="M1980" s="7" t="n">
        <v>4106</v>
      </c>
      <c r="N1980" s="8" t="n">
        <v>0</v>
      </c>
      <c r="O1980" s="4" t="n">
        <v>383.5472</v>
      </c>
    </row>
    <row r="1981" customFormat="false" ht="15" hidden="false" customHeight="false" outlineLevel="0" collapsed="false">
      <c r="A1981" s="0" t="s">
        <v>2992</v>
      </c>
      <c r="C1981" s="0" t="s">
        <v>31</v>
      </c>
      <c r="D1981" s="7" t="n">
        <v>3949</v>
      </c>
      <c r="E1981" s="8" t="n">
        <v>0.0340719169409977</v>
      </c>
      <c r="F1981" s="4" t="n">
        <f aca="false">D1981*E1981</f>
        <v>134.55</v>
      </c>
      <c r="G1981" s="7" t="n">
        <v>170</v>
      </c>
      <c r="H1981" s="9" t="n">
        <f aca="false">IF(G1981&gt;0,D1981/G1981,"")</f>
        <v>23.2294117647059</v>
      </c>
      <c r="I1981" s="10" t="n">
        <v>46217</v>
      </c>
      <c r="K1981" s="10"/>
      <c r="M1981" s="7"/>
      <c r="N1981" s="8"/>
      <c r="O1981" s="4"/>
    </row>
    <row r="1982" customFormat="false" ht="15" hidden="false" customHeight="false" outlineLevel="0" collapsed="false">
      <c r="A1982" s="0" t="s">
        <v>2993</v>
      </c>
      <c r="C1982" s="0" t="s">
        <v>1169</v>
      </c>
      <c r="D1982" s="7" t="n">
        <v>1393</v>
      </c>
      <c r="E1982" s="8" t="n">
        <v>0.0965326633165829</v>
      </c>
      <c r="F1982" s="4" t="n">
        <f aca="false">D1982*E1982</f>
        <v>134.47</v>
      </c>
      <c r="G1982" s="7" t="n">
        <v>100</v>
      </c>
      <c r="H1982" s="9" t="n">
        <f aca="false">IF(G1982&gt;0,D1982/G1982,"")</f>
        <v>13.93</v>
      </c>
      <c r="I1982" s="10" t="n">
        <v>46122</v>
      </c>
      <c r="J1982" s="3" t="s">
        <v>2202</v>
      </c>
      <c r="K1982" s="10" t="n">
        <v>46083</v>
      </c>
      <c r="L1982" s="3" t="s">
        <v>2203</v>
      </c>
      <c r="M1982" s="7" t="n">
        <v>100</v>
      </c>
      <c r="N1982" s="8" t="n">
        <v>0.3696</v>
      </c>
      <c r="O1982" s="4" t="n">
        <f aca="false">M1982*N1982</f>
        <v>36.96</v>
      </c>
    </row>
    <row r="1983" customFormat="false" ht="15" hidden="false" customHeight="false" outlineLevel="0" collapsed="false">
      <c r="A1983" s="0" t="s">
        <v>2994</v>
      </c>
      <c r="C1983" s="0" t="s">
        <v>225</v>
      </c>
      <c r="D1983" s="7" t="n">
        <v>6</v>
      </c>
      <c r="E1983" s="8" t="n">
        <v>22.4083333333333</v>
      </c>
      <c r="F1983" s="4" t="n">
        <f aca="false">D1983*E1983</f>
        <v>134.45</v>
      </c>
      <c r="G1983" s="7" t="n">
        <v>6</v>
      </c>
      <c r="H1983" s="9" t="n">
        <f aca="false">IF(G1983&gt;0,D1983/G1983,"")</f>
        <v>1</v>
      </c>
      <c r="I1983" s="10" t="n">
        <v>46108</v>
      </c>
      <c r="J1983" s="3" t="s">
        <v>2995</v>
      </c>
      <c r="K1983" s="10" t="n">
        <v>46101</v>
      </c>
      <c r="L1983" s="3" t="s">
        <v>14</v>
      </c>
      <c r="M1983" s="7" t="n">
        <v>8</v>
      </c>
      <c r="N1983" s="8" t="n">
        <v>23.6</v>
      </c>
      <c r="O1983" s="4" t="n">
        <f aca="false">M1983*N1983</f>
        <v>188.8</v>
      </c>
    </row>
    <row r="1984" customFormat="false" ht="15" hidden="false" customHeight="false" outlineLevel="0" collapsed="false">
      <c r="A1984" s="0" t="s">
        <v>2996</v>
      </c>
      <c r="C1984" s="0" t="s">
        <v>45</v>
      </c>
      <c r="D1984" s="7" t="n">
        <v>15</v>
      </c>
      <c r="E1984" s="8" t="n">
        <v>8.96333333333333</v>
      </c>
      <c r="F1984" s="4" t="n">
        <f aca="false">D1984*E1984</f>
        <v>134.45</v>
      </c>
      <c r="G1984" s="7" t="n">
        <v>5</v>
      </c>
      <c r="H1984" s="9" t="n">
        <f aca="false">IF(G1984&gt;0,D1984/G1984,"")</f>
        <v>3</v>
      </c>
      <c r="I1984" s="10" t="n">
        <v>45958</v>
      </c>
      <c r="J1984" s="3" t="s">
        <v>816</v>
      </c>
      <c r="K1984" s="10" t="n">
        <v>45607</v>
      </c>
      <c r="L1984" s="3" t="s">
        <v>14</v>
      </c>
      <c r="M1984" s="7" t="n">
        <v>45</v>
      </c>
      <c r="N1984" s="8" t="n">
        <v>8.9633</v>
      </c>
      <c r="O1984" s="4" t="n">
        <f aca="false">M1984*N1984</f>
        <v>403.3485</v>
      </c>
    </row>
    <row r="1985" customFormat="false" ht="15" hidden="false" customHeight="false" outlineLevel="0" collapsed="false">
      <c r="A1985" s="0" t="s">
        <v>2997</v>
      </c>
      <c r="C1985" s="0" t="s">
        <v>61</v>
      </c>
      <c r="D1985" s="7" t="n">
        <v>115</v>
      </c>
      <c r="E1985" s="8" t="n">
        <v>1.16817391304348</v>
      </c>
      <c r="F1985" s="4" t="n">
        <f aca="false">D1985*E1985</f>
        <v>134.34</v>
      </c>
      <c r="G1985" s="7" t="n">
        <v>24</v>
      </c>
      <c r="H1985" s="9" t="n">
        <f aca="false">IF(G1985&gt;0,D1985/G1985,"")</f>
        <v>4.79166666666667</v>
      </c>
      <c r="I1985" s="10" t="n">
        <v>46087</v>
      </c>
      <c r="J1985" s="3" t="s">
        <v>1663</v>
      </c>
      <c r="K1985" s="10" t="n">
        <v>44291</v>
      </c>
      <c r="L1985" s="3" t="s">
        <v>23</v>
      </c>
      <c r="M1985" s="7" t="n">
        <v>225</v>
      </c>
      <c r="N1985" s="8" t="n">
        <v>1.1681</v>
      </c>
      <c r="O1985" s="4" t="n">
        <f aca="false">M1985*N1985</f>
        <v>262.8225</v>
      </c>
    </row>
    <row r="1986" customFormat="false" ht="15" hidden="false" customHeight="false" outlineLevel="0" collapsed="false">
      <c r="A1986" s="0" t="s">
        <v>2998</v>
      </c>
      <c r="C1986" s="0" t="s">
        <v>41</v>
      </c>
      <c r="D1986" s="7" t="n">
        <v>29850</v>
      </c>
      <c r="E1986" s="8" t="n">
        <v>0.00450016750418761</v>
      </c>
      <c r="F1986" s="4" t="n">
        <f aca="false">D1986*E1986</f>
        <v>134.33</v>
      </c>
      <c r="G1986" s="7" t="n">
        <v>7048</v>
      </c>
      <c r="H1986" s="9" t="n">
        <f aca="false">IF(G1986&gt;0,D1986/G1986,"")</f>
        <v>4.23524404086266</v>
      </c>
      <c r="I1986" s="10" t="n">
        <v>46297</v>
      </c>
      <c r="J1986" s="3" t="s">
        <v>2502</v>
      </c>
      <c r="K1986" s="10" t="n">
        <v>46175</v>
      </c>
      <c r="L1986" s="3" t="s">
        <v>16</v>
      </c>
      <c r="M1986" s="7" t="n">
        <v>33350</v>
      </c>
      <c r="N1986" s="8" t="n">
        <v>0.0045</v>
      </c>
      <c r="O1986" s="4" t="n">
        <f aca="false">M1986*N1986</f>
        <v>150.075</v>
      </c>
    </row>
    <row r="1987" customFormat="false" ht="15" hidden="false" customHeight="false" outlineLevel="0" collapsed="false">
      <c r="A1987" s="0" t="s">
        <v>2999</v>
      </c>
      <c r="C1987" s="0" t="s">
        <v>298</v>
      </c>
      <c r="D1987" s="7" t="n">
        <v>822</v>
      </c>
      <c r="E1987" s="8" t="n">
        <v>0.163272506082725</v>
      </c>
      <c r="F1987" s="4" t="n">
        <f aca="false">D1987*E1987</f>
        <v>134.21</v>
      </c>
      <c r="G1987" s="7" t="n">
        <v>192</v>
      </c>
      <c r="H1987" s="9" t="n">
        <f aca="false">IF(G1987&gt;0,D1987/G1987,"")</f>
        <v>4.28125</v>
      </c>
      <c r="I1987" s="10" t="n">
        <v>46203</v>
      </c>
      <c r="J1987" s="3" t="s">
        <v>3000</v>
      </c>
      <c r="K1987" s="10" t="n">
        <v>44666</v>
      </c>
      <c r="L1987" s="3" t="s">
        <v>16</v>
      </c>
      <c r="M1987" s="7" t="n">
        <v>1939</v>
      </c>
      <c r="N1987" s="8" t="n">
        <v>0</v>
      </c>
      <c r="O1987" s="4" t="n">
        <v>290.851</v>
      </c>
    </row>
    <row r="1988" customFormat="false" ht="15" hidden="false" customHeight="false" outlineLevel="0" collapsed="false">
      <c r="A1988" s="0" t="s">
        <v>3001</v>
      </c>
      <c r="C1988" s="0" t="s">
        <v>889</v>
      </c>
      <c r="D1988" s="7" t="n">
        <v>1778</v>
      </c>
      <c r="E1988" s="8" t="n">
        <v>0.075466816647919</v>
      </c>
      <c r="F1988" s="4" t="n">
        <f aca="false">D1988*E1988</f>
        <v>134.18</v>
      </c>
      <c r="G1988" s="7" t="n">
        <v>100</v>
      </c>
      <c r="H1988" s="9" t="n">
        <f aca="false">IF(G1988&gt;0,D1988/G1988,"")</f>
        <v>17.78</v>
      </c>
      <c r="I1988" s="10" t="n">
        <v>46101</v>
      </c>
      <c r="J1988" s="3" t="s">
        <v>2531</v>
      </c>
      <c r="K1988" s="10" t="n">
        <v>45366</v>
      </c>
      <c r="L1988" s="3" t="s">
        <v>15</v>
      </c>
      <c r="M1988" s="7" t="n">
        <v>2635</v>
      </c>
      <c r="N1988" s="8" t="n">
        <v>0.07547</v>
      </c>
      <c r="O1988" s="4" t="n">
        <f aca="false">M1988*N1988</f>
        <v>198.86345</v>
      </c>
    </row>
    <row r="1989" customFormat="false" ht="15" hidden="false" customHeight="false" outlineLevel="0" collapsed="false">
      <c r="A1989" s="0" t="s">
        <v>3002</v>
      </c>
      <c r="C1989" s="0" t="s">
        <v>36</v>
      </c>
      <c r="D1989" s="7" t="n">
        <v>585</v>
      </c>
      <c r="E1989" s="8" t="n">
        <v>0.229299145299145</v>
      </c>
      <c r="F1989" s="4" t="n">
        <f aca="false">D1989*E1989</f>
        <v>134.14</v>
      </c>
      <c r="G1989" s="7" t="n">
        <v>2</v>
      </c>
      <c r="H1989" s="9" t="n">
        <f aca="false">IF(G1989&gt;0,D1989/G1989,"")</f>
        <v>292.5</v>
      </c>
      <c r="I1989" s="10" t="n">
        <v>46273</v>
      </c>
      <c r="J1989" s="3" t="s">
        <v>3003</v>
      </c>
      <c r="K1989" s="10" t="n">
        <v>45166</v>
      </c>
      <c r="L1989" s="3" t="s">
        <v>18</v>
      </c>
      <c r="M1989" s="7" t="n">
        <v>1200</v>
      </c>
      <c r="N1989" s="8" t="n">
        <v>0.2293</v>
      </c>
      <c r="O1989" s="4" t="n">
        <f aca="false">M1989*N1989</f>
        <v>275.16</v>
      </c>
    </row>
    <row r="1990" customFormat="false" ht="15" hidden="false" customHeight="false" outlineLevel="0" collapsed="false">
      <c r="A1990" s="0" t="s">
        <v>3004</v>
      </c>
      <c r="C1990" s="0" t="s">
        <v>1169</v>
      </c>
      <c r="D1990" s="7" t="n">
        <v>3966</v>
      </c>
      <c r="E1990" s="8" t="n">
        <v>0.0338199697428139</v>
      </c>
      <c r="F1990" s="4" t="n">
        <f aca="false">D1990*E1990</f>
        <v>134.13</v>
      </c>
      <c r="G1990" s="7" t="n">
        <v>239</v>
      </c>
      <c r="H1990" s="9" t="n">
        <f aca="false">IF(G1990&gt;0,D1990/G1990,"")</f>
        <v>16.5941422594142</v>
      </c>
      <c r="I1990" s="10" t="n">
        <v>46190</v>
      </c>
      <c r="J1990" s="3" t="s">
        <v>1170</v>
      </c>
      <c r="K1990" s="10" t="n">
        <v>45398</v>
      </c>
      <c r="L1990" s="3" t="s">
        <v>21</v>
      </c>
      <c r="M1990" s="7" t="n">
        <v>5000</v>
      </c>
      <c r="N1990" s="8" t="n">
        <v>0.029</v>
      </c>
      <c r="O1990" s="4" t="n">
        <f aca="false">M1990*N1990</f>
        <v>145</v>
      </c>
    </row>
    <row r="1991" customFormat="false" ht="15" hidden="false" customHeight="false" outlineLevel="0" collapsed="false">
      <c r="A1991" s="0" t="s">
        <v>3005</v>
      </c>
      <c r="C1991" s="0" t="s">
        <v>45</v>
      </c>
      <c r="D1991" s="7" t="n">
        <v>1960</v>
      </c>
      <c r="E1991" s="8" t="n">
        <v>0.0684183673469388</v>
      </c>
      <c r="F1991" s="4" t="n">
        <f aca="false">D1991*E1991</f>
        <v>134.1</v>
      </c>
      <c r="G1991" s="7" t="n">
        <v>209</v>
      </c>
      <c r="H1991" s="9" t="n">
        <f aca="false">IF(G1991&gt;0,D1991/G1991,"")</f>
        <v>9.37799043062201</v>
      </c>
      <c r="I1991" s="10" t="n">
        <v>46155</v>
      </c>
      <c r="J1991" s="3" t="s">
        <v>2290</v>
      </c>
      <c r="K1991" s="10" t="n">
        <v>44580</v>
      </c>
      <c r="L1991" s="3" t="s">
        <v>23</v>
      </c>
      <c r="M1991" s="7" t="n">
        <v>3087</v>
      </c>
      <c r="N1991" s="8" t="n">
        <v>0</v>
      </c>
      <c r="O1991" s="4" t="n">
        <v>214.8</v>
      </c>
    </row>
    <row r="1992" customFormat="false" ht="15" hidden="false" customHeight="false" outlineLevel="0" collapsed="false">
      <c r="A1992" s="0" t="s">
        <v>3006</v>
      </c>
      <c r="C1992" s="0" t="s">
        <v>1169</v>
      </c>
      <c r="D1992" s="7" t="n">
        <v>1839</v>
      </c>
      <c r="E1992" s="8" t="n">
        <v>0.0728004350190321</v>
      </c>
      <c r="F1992" s="4" t="n">
        <f aca="false">D1992*E1992</f>
        <v>133.88</v>
      </c>
      <c r="G1992" s="7" t="n">
        <v>80</v>
      </c>
      <c r="H1992" s="9" t="n">
        <f aca="false">IF(G1992&gt;0,D1992/G1992,"")</f>
        <v>22.9875</v>
      </c>
      <c r="I1992" s="10" t="n">
        <v>46133</v>
      </c>
      <c r="J1992" s="3" t="s">
        <v>2873</v>
      </c>
      <c r="K1992" s="10" t="n">
        <v>45013</v>
      </c>
      <c r="L1992" s="3" t="s">
        <v>2203</v>
      </c>
      <c r="M1992" s="7" t="n">
        <v>2500</v>
      </c>
      <c r="N1992" s="8" t="n">
        <v>0.0728</v>
      </c>
      <c r="O1992" s="4" t="n">
        <f aca="false">M1992*N1992</f>
        <v>182</v>
      </c>
    </row>
    <row r="1993" customFormat="false" ht="15" hidden="false" customHeight="false" outlineLevel="0" collapsed="false">
      <c r="A1993" s="0" t="s">
        <v>3007</v>
      </c>
      <c r="C1993" s="0" t="s">
        <v>807</v>
      </c>
      <c r="D1993" s="7" t="n">
        <v>11</v>
      </c>
      <c r="E1993" s="8" t="n">
        <v>12.17</v>
      </c>
      <c r="F1993" s="4" t="n">
        <f aca="false">D1993*E1993</f>
        <v>133.87</v>
      </c>
      <c r="G1993" s="7" t="n">
        <v>10</v>
      </c>
      <c r="H1993" s="9" t="n">
        <f aca="false">IF(G1993&gt;0,D1993/G1993,"")</f>
        <v>1.1</v>
      </c>
      <c r="I1993" s="10" t="n">
        <v>46014</v>
      </c>
      <c r="J1993" s="3" t="s">
        <v>3008</v>
      </c>
      <c r="K1993" s="10" t="n">
        <v>45958</v>
      </c>
      <c r="L1993" s="3" t="s">
        <v>145</v>
      </c>
      <c r="M1993" s="7" t="n">
        <v>21</v>
      </c>
      <c r="N1993" s="8" t="n">
        <v>12.17</v>
      </c>
      <c r="O1993" s="4" t="n">
        <f aca="false">M1993*N1993</f>
        <v>255.57</v>
      </c>
    </row>
    <row r="1994" customFormat="false" ht="15" hidden="false" customHeight="false" outlineLevel="0" collapsed="false">
      <c r="A1994" s="0" t="s">
        <v>3009</v>
      </c>
      <c r="C1994" s="0" t="s">
        <v>31</v>
      </c>
      <c r="D1994" s="7" t="n">
        <v>1638</v>
      </c>
      <c r="E1994" s="8" t="n">
        <v>0.0816971916971917</v>
      </c>
      <c r="F1994" s="4" t="n">
        <f aca="false">D1994*E1994</f>
        <v>133.82</v>
      </c>
      <c r="G1994" s="7" t="n">
        <v>85</v>
      </c>
      <c r="H1994" s="9" t="n">
        <f aca="false">IF(G1994&gt;0,D1994/G1994,"")</f>
        <v>19.2705882352941</v>
      </c>
      <c r="I1994" s="10" t="n">
        <v>46185</v>
      </c>
      <c r="J1994" s="3" t="s">
        <v>618</v>
      </c>
      <c r="K1994" s="10" t="n">
        <v>44729</v>
      </c>
      <c r="L1994" s="3" t="s">
        <v>16</v>
      </c>
      <c r="M1994" s="7" t="n">
        <v>2100</v>
      </c>
      <c r="N1994" s="8" t="n">
        <v>0.0817</v>
      </c>
      <c r="O1994" s="4" t="n">
        <f aca="false">M1994*N1994</f>
        <v>171.57</v>
      </c>
    </row>
    <row r="1995" customFormat="false" ht="15" hidden="false" customHeight="false" outlineLevel="0" collapsed="false">
      <c r="A1995" s="0" t="s">
        <v>3010</v>
      </c>
      <c r="C1995" s="0" t="s">
        <v>37</v>
      </c>
      <c r="D1995" s="7" t="n">
        <v>1716</v>
      </c>
      <c r="E1995" s="8" t="n">
        <v>0.0778962703962704</v>
      </c>
      <c r="F1995" s="4" t="n">
        <f aca="false">D1995*E1995</f>
        <v>133.67</v>
      </c>
      <c r="G1995" s="7" t="n">
        <v>24</v>
      </c>
      <c r="H1995" s="9" t="n">
        <f aca="false">IF(G1995&gt;0,D1995/G1995,"")</f>
        <v>71.5</v>
      </c>
      <c r="I1995" s="10" t="n">
        <v>46294</v>
      </c>
      <c r="J1995" s="3" t="s">
        <v>1936</v>
      </c>
      <c r="K1995" s="10" t="n">
        <v>45057</v>
      </c>
      <c r="L1995" s="3" t="s">
        <v>15</v>
      </c>
      <c r="M1995" s="7" t="n">
        <v>1860</v>
      </c>
      <c r="N1995" s="8" t="n">
        <v>0.0779</v>
      </c>
      <c r="O1995" s="4" t="n">
        <f aca="false">M1995*N1995</f>
        <v>144.894</v>
      </c>
    </row>
    <row r="1996" customFormat="false" ht="15" hidden="false" customHeight="false" outlineLevel="0" collapsed="false">
      <c r="A1996" s="0" t="s">
        <v>3011</v>
      </c>
      <c r="C1996" s="0" t="s">
        <v>979</v>
      </c>
      <c r="D1996" s="7" t="n">
        <v>8276</v>
      </c>
      <c r="E1996" s="8" t="n">
        <v>0.0161454809086515</v>
      </c>
      <c r="F1996" s="4" t="n">
        <f aca="false">D1996*E1996</f>
        <v>133.62</v>
      </c>
      <c r="G1996" s="7" t="n">
        <v>3790</v>
      </c>
      <c r="H1996" s="9" t="n">
        <f aca="false">IF(G1996&gt;0,D1996/G1996,"")</f>
        <v>2.18364116094987</v>
      </c>
      <c r="I1996" s="10" t="n">
        <v>46296</v>
      </c>
      <c r="J1996" s="3" t="s">
        <v>2627</v>
      </c>
      <c r="K1996" s="10" t="n">
        <v>44835</v>
      </c>
      <c r="L1996" s="3" t="s">
        <v>18</v>
      </c>
      <c r="M1996" s="7" t="n">
        <v>12000</v>
      </c>
      <c r="N1996" s="8" t="n">
        <v>0.017</v>
      </c>
      <c r="O1996" s="4" t="n">
        <f aca="false">M1996*N1996</f>
        <v>204</v>
      </c>
    </row>
    <row r="1997" customFormat="false" ht="15" hidden="false" customHeight="false" outlineLevel="0" collapsed="false">
      <c r="A1997" s="0" t="s">
        <v>3012</v>
      </c>
      <c r="C1997" s="0" t="s">
        <v>298</v>
      </c>
      <c r="D1997" s="7" t="n">
        <v>987</v>
      </c>
      <c r="E1997" s="8" t="n">
        <v>0.135288753799392</v>
      </c>
      <c r="F1997" s="4" t="n">
        <f aca="false">D1997*E1997</f>
        <v>133.53</v>
      </c>
      <c r="G1997" s="7" t="n">
        <v>223</v>
      </c>
      <c r="H1997" s="9" t="n">
        <f aca="false">IF(G1997&gt;0,D1997/G1997,"")</f>
        <v>4.42600896860987</v>
      </c>
      <c r="I1997" s="10" t="n">
        <v>46239</v>
      </c>
      <c r="J1997" s="3" t="s">
        <v>3013</v>
      </c>
      <c r="K1997" s="10" t="n">
        <v>45343</v>
      </c>
      <c r="L1997" s="3" t="s">
        <v>15</v>
      </c>
      <c r="M1997" s="7" t="n">
        <v>1550</v>
      </c>
      <c r="N1997" s="8" t="n">
        <v>0.13529</v>
      </c>
      <c r="O1997" s="4" t="n">
        <f aca="false">M1997*N1997</f>
        <v>209.6995</v>
      </c>
    </row>
    <row r="1998" customFormat="false" ht="15" hidden="false" customHeight="false" outlineLevel="0" collapsed="false">
      <c r="A1998" s="0" t="s">
        <v>3014</v>
      </c>
      <c r="C1998" s="0" t="s">
        <v>31</v>
      </c>
      <c r="D1998" s="7" t="n">
        <v>9953</v>
      </c>
      <c r="E1998" s="8" t="n">
        <v>0.0134130412940822</v>
      </c>
      <c r="F1998" s="4" t="n">
        <f aca="false">D1998*E1998</f>
        <v>133.5</v>
      </c>
      <c r="G1998" s="7" t="n">
        <v>684</v>
      </c>
      <c r="H1998" s="9" t="n">
        <f aca="false">IF(G1998&gt;0,D1998/G1998,"")</f>
        <v>14.5511695906433</v>
      </c>
      <c r="I1998" s="10" t="n">
        <v>46267</v>
      </c>
      <c r="J1998" s="3" t="s">
        <v>3015</v>
      </c>
      <c r="K1998" s="10" t="n">
        <v>44321</v>
      </c>
      <c r="L1998" s="3" t="s">
        <v>16</v>
      </c>
      <c r="M1998" s="7" t="n">
        <v>15000</v>
      </c>
      <c r="N1998" s="8" t="n">
        <v>0.01341</v>
      </c>
      <c r="O1998" s="4" t="n">
        <f aca="false">M1998*N1998</f>
        <v>201.15</v>
      </c>
    </row>
    <row r="1999" customFormat="false" ht="15" hidden="false" customHeight="false" outlineLevel="0" collapsed="false">
      <c r="A1999" s="0" t="s">
        <v>3016</v>
      </c>
      <c r="C1999" s="0" t="s">
        <v>298</v>
      </c>
      <c r="D1999" s="7" t="n">
        <v>1789</v>
      </c>
      <c r="E1999" s="8" t="n">
        <v>0.0744997205142538</v>
      </c>
      <c r="F1999" s="4" t="n">
        <f aca="false">D1999*E1999</f>
        <v>133.28</v>
      </c>
      <c r="G1999" s="7" t="n">
        <v>162</v>
      </c>
      <c r="H1999" s="9" t="n">
        <f aca="false">IF(G1999&gt;0,D1999/G1999,"")</f>
        <v>11.0432098765432</v>
      </c>
      <c r="I1999" s="10" t="n">
        <v>46309</v>
      </c>
      <c r="J1999" s="3" t="s">
        <v>1396</v>
      </c>
      <c r="K1999" s="10" t="n">
        <v>45398</v>
      </c>
      <c r="L1999" s="3" t="s">
        <v>15</v>
      </c>
      <c r="M1999" s="7" t="n">
        <v>3000</v>
      </c>
      <c r="N1999" s="8" t="n">
        <v>0.0745</v>
      </c>
      <c r="O1999" s="4" t="n">
        <f aca="false">M1999*N1999</f>
        <v>223.5</v>
      </c>
    </row>
    <row r="2000" customFormat="false" ht="15" hidden="false" customHeight="false" outlineLevel="0" collapsed="false">
      <c r="A2000" s="0" t="s">
        <v>3017</v>
      </c>
      <c r="C2000" s="0" t="s">
        <v>1169</v>
      </c>
      <c r="D2000" s="7" t="n">
        <v>2613</v>
      </c>
      <c r="E2000" s="8" t="n">
        <v>0.0509988518943743</v>
      </c>
      <c r="F2000" s="4" t="n">
        <f aca="false">D2000*E2000</f>
        <v>133.26</v>
      </c>
      <c r="G2000" s="7" t="n">
        <v>105</v>
      </c>
      <c r="H2000" s="9" t="n">
        <f aca="false">IF(G2000&gt;0,D2000/G2000,"")</f>
        <v>24.8857142857143</v>
      </c>
      <c r="I2000" s="10" t="n">
        <v>46076</v>
      </c>
      <c r="J2000" s="3" t="s">
        <v>2470</v>
      </c>
      <c r="K2000" s="10" t="n">
        <v>45093</v>
      </c>
      <c r="L2000" s="3" t="s">
        <v>21</v>
      </c>
      <c r="M2000" s="7" t="n">
        <v>3000</v>
      </c>
      <c r="N2000" s="8" t="n">
        <v>0.051</v>
      </c>
      <c r="O2000" s="4" t="n">
        <f aca="false">M2000*N2000</f>
        <v>153</v>
      </c>
    </row>
    <row r="2001" customFormat="false" ht="15" hidden="false" customHeight="false" outlineLevel="0" collapsed="false">
      <c r="A2001" s="0" t="s">
        <v>3018</v>
      </c>
      <c r="C2001" s="0" t="s">
        <v>33</v>
      </c>
      <c r="D2001" s="7" t="n">
        <v>1789</v>
      </c>
      <c r="E2001" s="8" t="n">
        <v>0.0743599776411403</v>
      </c>
      <c r="F2001" s="4" t="n">
        <f aca="false">D2001*E2001</f>
        <v>133.03</v>
      </c>
      <c r="G2001" s="7" t="n">
        <v>728</v>
      </c>
      <c r="H2001" s="9" t="n">
        <f aca="false">IF(G2001&gt;0,D2001/G2001,"")</f>
        <v>2.45741758241758</v>
      </c>
      <c r="I2001" s="10" t="n">
        <v>46290</v>
      </c>
      <c r="J2001" s="3" t="s">
        <v>230</v>
      </c>
      <c r="K2001" s="10" t="n">
        <v>46303</v>
      </c>
      <c r="L2001" s="3" t="s">
        <v>18</v>
      </c>
      <c r="M2001" s="7" t="n">
        <v>680</v>
      </c>
      <c r="N2001" s="8" t="n">
        <v>0.0743</v>
      </c>
      <c r="O2001" s="4" t="n">
        <f aca="false">M2001*N2001</f>
        <v>50.524</v>
      </c>
    </row>
    <row r="2002" customFormat="false" ht="15" hidden="false" customHeight="false" outlineLevel="0" collapsed="false">
      <c r="A2002" s="0" t="s">
        <v>3019</v>
      </c>
      <c r="C2002" s="0" t="s">
        <v>679</v>
      </c>
      <c r="D2002" s="7" t="n">
        <v>16</v>
      </c>
      <c r="E2002" s="8" t="n">
        <v>8.31</v>
      </c>
      <c r="F2002" s="4" t="n">
        <f aca="false">D2002*E2002</f>
        <v>132.96</v>
      </c>
      <c r="G2002" s="7" t="n">
        <v>4</v>
      </c>
      <c r="H2002" s="9" t="n">
        <f aca="false">IF(G2002&gt;0,D2002/G2002,"")</f>
        <v>4</v>
      </c>
      <c r="I2002" s="10" t="n">
        <v>46302</v>
      </c>
      <c r="J2002" s="3" t="s">
        <v>1288</v>
      </c>
      <c r="K2002" s="10" t="n">
        <v>46122</v>
      </c>
      <c r="L2002" s="3" t="s">
        <v>313</v>
      </c>
      <c r="M2002" s="7" t="n">
        <v>25</v>
      </c>
      <c r="N2002" s="8" t="n">
        <v>8.3101</v>
      </c>
      <c r="O2002" s="4" t="n">
        <f aca="false">M2002*N2002</f>
        <v>207.7525</v>
      </c>
    </row>
    <row r="2003" customFormat="false" ht="15" hidden="false" customHeight="false" outlineLevel="0" collapsed="false">
      <c r="A2003" s="0" t="s">
        <v>3020</v>
      </c>
      <c r="C2003" s="0" t="s">
        <v>34</v>
      </c>
      <c r="D2003" s="7" t="n">
        <v>381</v>
      </c>
      <c r="E2003" s="8" t="n">
        <v>0.348923884514436</v>
      </c>
      <c r="F2003" s="4" t="n">
        <f aca="false">D2003*E2003</f>
        <v>132.94</v>
      </c>
      <c r="G2003" s="7" t="n">
        <v>2</v>
      </c>
      <c r="H2003" s="9" t="n">
        <f aca="false">IF(G2003&gt;0,D2003/G2003,"")</f>
        <v>190.5</v>
      </c>
      <c r="I2003" s="10" t="n">
        <v>46169</v>
      </c>
      <c r="K2003" s="10"/>
      <c r="M2003" s="7"/>
      <c r="N2003" s="8"/>
      <c r="O2003" s="4"/>
    </row>
    <row r="2004" customFormat="false" ht="15" hidden="false" customHeight="false" outlineLevel="0" collapsed="false">
      <c r="A2004" s="0" t="s">
        <v>3021</v>
      </c>
      <c r="C2004" s="0" t="s">
        <v>340</v>
      </c>
      <c r="D2004" s="7" t="n">
        <v>1014</v>
      </c>
      <c r="E2004" s="8" t="n">
        <v>0.131045364891519</v>
      </c>
      <c r="F2004" s="4" t="n">
        <f aca="false">D2004*E2004</f>
        <v>132.88</v>
      </c>
      <c r="G2004" s="7" t="n">
        <v>741</v>
      </c>
      <c r="H2004" s="9" t="n">
        <f aca="false">IF(G2004&gt;0,D2004/G2004,"")</f>
        <v>1.36842105263158</v>
      </c>
      <c r="I2004" s="10" t="n">
        <v>46314</v>
      </c>
      <c r="J2004" s="3" t="s">
        <v>444</v>
      </c>
      <c r="K2004" s="10" t="n">
        <v>46240</v>
      </c>
      <c r="L2004" s="3" t="s">
        <v>16</v>
      </c>
      <c r="M2004" s="7" t="n">
        <v>1000</v>
      </c>
      <c r="N2004" s="8" t="n">
        <v>0.129</v>
      </c>
      <c r="O2004" s="4" t="n">
        <f aca="false">M2004*N2004</f>
        <v>129</v>
      </c>
    </row>
    <row r="2005" customFormat="false" ht="15" hidden="false" customHeight="false" outlineLevel="0" collapsed="false">
      <c r="A2005" s="0" t="s">
        <v>3022</v>
      </c>
      <c r="C2005" s="0" t="s">
        <v>37</v>
      </c>
      <c r="D2005" s="7" t="n">
        <v>1397</v>
      </c>
      <c r="E2005" s="8" t="n">
        <v>0.0950536864710093</v>
      </c>
      <c r="F2005" s="4" t="n">
        <f aca="false">D2005*E2005</f>
        <v>132.79</v>
      </c>
      <c r="G2005" s="7" t="n">
        <v>29</v>
      </c>
      <c r="H2005" s="9" t="n">
        <f aca="false">IF(G2005&gt;0,D2005/G2005,"")</f>
        <v>48.1724137931034</v>
      </c>
      <c r="I2005" s="10" t="n">
        <v>46168</v>
      </c>
      <c r="J2005" s="3" t="s">
        <v>1936</v>
      </c>
      <c r="K2005" s="10" t="n">
        <v>45057</v>
      </c>
      <c r="L2005" s="3" t="s">
        <v>15</v>
      </c>
      <c r="M2005" s="7" t="n">
        <v>2150</v>
      </c>
      <c r="N2005" s="8" t="n">
        <v>0.09506</v>
      </c>
      <c r="O2005" s="4" t="n">
        <f aca="false">M2005*N2005</f>
        <v>204.379</v>
      </c>
    </row>
    <row r="2006" customFormat="false" ht="15" hidden="false" customHeight="false" outlineLevel="0" collapsed="false">
      <c r="A2006" s="0" t="s">
        <v>3023</v>
      </c>
      <c r="C2006" s="0" t="s">
        <v>31</v>
      </c>
      <c r="D2006" s="7" t="n">
        <v>3737</v>
      </c>
      <c r="E2006" s="8" t="n">
        <v>0.0354054054054054</v>
      </c>
      <c r="F2006" s="4" t="n">
        <f aca="false">D2006*E2006</f>
        <v>132.31</v>
      </c>
      <c r="G2006" s="7" t="n">
        <v>339</v>
      </c>
      <c r="H2006" s="9" t="n">
        <f aca="false">IF(G2006&gt;0,D2006/G2006,"")</f>
        <v>11.023598820059</v>
      </c>
      <c r="I2006" s="10" t="n">
        <v>46195</v>
      </c>
      <c r="J2006" s="3" t="s">
        <v>3024</v>
      </c>
      <c r="K2006" s="10" t="n">
        <v>44242</v>
      </c>
      <c r="L2006" s="3" t="s">
        <v>16</v>
      </c>
      <c r="M2006" s="7" t="n">
        <v>4690</v>
      </c>
      <c r="N2006" s="8" t="n">
        <v>0.0354</v>
      </c>
      <c r="O2006" s="4" t="n">
        <f aca="false">M2006*N2006</f>
        <v>166.026</v>
      </c>
    </row>
    <row r="2007" customFormat="false" ht="15" hidden="false" customHeight="false" outlineLevel="0" collapsed="false">
      <c r="A2007" s="0" t="s">
        <v>3025</v>
      </c>
      <c r="C2007" s="0" t="s">
        <v>34</v>
      </c>
      <c r="D2007" s="7" t="n">
        <v>14540</v>
      </c>
      <c r="E2007" s="8" t="n">
        <v>0.0090990371389271</v>
      </c>
      <c r="F2007" s="4" t="n">
        <f aca="false">D2007*E2007</f>
        <v>132.3</v>
      </c>
      <c r="G2007" s="7" t="n">
        <v>5575</v>
      </c>
      <c r="H2007" s="9" t="n">
        <f aca="false">IF(G2007&gt;0,D2007/G2007,"")</f>
        <v>2.60807174887892</v>
      </c>
      <c r="I2007" s="10" t="n">
        <v>46197</v>
      </c>
      <c r="K2007" s="10"/>
      <c r="M2007" s="7"/>
      <c r="N2007" s="8"/>
      <c r="O2007" s="4"/>
    </row>
    <row r="2008" customFormat="false" ht="15" hidden="false" customHeight="false" outlineLevel="0" collapsed="false">
      <c r="A2008" s="0" t="s">
        <v>3026</v>
      </c>
      <c r="C2008" s="0" t="s">
        <v>118</v>
      </c>
      <c r="D2008" s="7" t="n">
        <v>3852</v>
      </c>
      <c r="E2008" s="8" t="n">
        <v>0.0342990654205608</v>
      </c>
      <c r="F2008" s="4" t="n">
        <f aca="false">D2008*E2008</f>
        <v>132.12</v>
      </c>
      <c r="G2008" s="7" t="n">
        <v>2146</v>
      </c>
      <c r="H2008" s="9" t="n">
        <f aca="false">IF(G2008&gt;0,D2008/G2008,"")</f>
        <v>1.79496738117428</v>
      </c>
      <c r="I2008" s="10" t="n">
        <v>46311</v>
      </c>
      <c r="J2008" s="3" t="s">
        <v>2392</v>
      </c>
      <c r="K2008" s="10" t="n">
        <v>46274</v>
      </c>
      <c r="L2008" s="3" t="s">
        <v>16</v>
      </c>
      <c r="M2008" s="7" t="n">
        <v>5000</v>
      </c>
      <c r="N2008" s="8" t="n">
        <v>0.0343</v>
      </c>
      <c r="O2008" s="4" t="n">
        <f aca="false">M2008*N2008</f>
        <v>171.5</v>
      </c>
    </row>
    <row r="2009" customFormat="false" ht="15" hidden="false" customHeight="false" outlineLevel="0" collapsed="false">
      <c r="A2009" s="0" t="s">
        <v>3027</v>
      </c>
      <c r="C2009" s="0" t="s">
        <v>39</v>
      </c>
      <c r="D2009" s="7" t="n">
        <v>2898</v>
      </c>
      <c r="E2009" s="8" t="n">
        <v>0.0455831608005521</v>
      </c>
      <c r="F2009" s="4" t="n">
        <f aca="false">D2009*E2009</f>
        <v>132.1</v>
      </c>
      <c r="G2009" s="7" t="n">
        <v>318</v>
      </c>
      <c r="H2009" s="9" t="n">
        <f aca="false">IF(G2009&gt;0,D2009/G2009,"")</f>
        <v>9.11320754716981</v>
      </c>
      <c r="I2009" s="10" t="n">
        <v>46314</v>
      </c>
      <c r="J2009" s="3" t="s">
        <v>1326</v>
      </c>
      <c r="K2009" s="10" t="n">
        <v>46177</v>
      </c>
      <c r="L2009" s="3" t="s">
        <v>18</v>
      </c>
      <c r="M2009" s="7" t="n">
        <v>2500</v>
      </c>
      <c r="N2009" s="8" t="n">
        <v>0.0441</v>
      </c>
      <c r="O2009" s="4" t="n">
        <f aca="false">M2009*N2009</f>
        <v>110.25</v>
      </c>
    </row>
    <row r="2010" customFormat="false" ht="15" hidden="false" customHeight="false" outlineLevel="0" collapsed="false">
      <c r="A2010" s="0" t="s">
        <v>3028</v>
      </c>
      <c r="C2010" s="0" t="s">
        <v>360</v>
      </c>
      <c r="D2010" s="7" t="n">
        <v>1854</v>
      </c>
      <c r="E2010" s="8" t="n">
        <v>0.0712513484358145</v>
      </c>
      <c r="F2010" s="4" t="n">
        <f aca="false">D2010*E2010</f>
        <v>132.1</v>
      </c>
      <c r="G2010" s="7" t="n">
        <v>208</v>
      </c>
      <c r="H2010" s="9" t="n">
        <f aca="false">IF(G2010&gt;0,D2010/G2010,"")</f>
        <v>8.91346153846154</v>
      </c>
      <c r="I2010" s="10" t="n">
        <v>46206</v>
      </c>
      <c r="J2010" s="3" t="s">
        <v>1849</v>
      </c>
      <c r="K2010" s="10" t="n">
        <v>44341</v>
      </c>
      <c r="L2010" s="3" t="s">
        <v>15</v>
      </c>
      <c r="M2010" s="7" t="n">
        <v>5000</v>
      </c>
      <c r="N2010" s="8" t="n">
        <v>0.07125</v>
      </c>
      <c r="O2010" s="4" t="n">
        <f aca="false">M2010*N2010</f>
        <v>356.25</v>
      </c>
    </row>
    <row r="2011" customFormat="false" ht="15" hidden="false" customHeight="false" outlineLevel="0" collapsed="false">
      <c r="A2011" s="0" t="s">
        <v>3029</v>
      </c>
      <c r="C2011" s="0" t="s">
        <v>298</v>
      </c>
      <c r="D2011" s="7" t="n">
        <v>137</v>
      </c>
      <c r="E2011" s="8" t="n">
        <v>0.963868613138686</v>
      </c>
      <c r="F2011" s="4" t="n">
        <f aca="false">D2011*E2011</f>
        <v>132.05</v>
      </c>
      <c r="G2011" s="7" t="n">
        <v>83</v>
      </c>
      <c r="H2011" s="9" t="n">
        <f aca="false">IF(G2011&gt;0,D2011/G2011,"")</f>
        <v>1.65060240963855</v>
      </c>
      <c r="I2011" s="10" t="n">
        <v>46309</v>
      </c>
      <c r="J2011" s="3" t="s">
        <v>3030</v>
      </c>
      <c r="K2011" s="10" t="n">
        <v>46126</v>
      </c>
      <c r="L2011" s="3" t="s">
        <v>14</v>
      </c>
      <c r="M2011" s="7" t="n">
        <v>100</v>
      </c>
      <c r="N2011" s="8" t="n">
        <v>0.9452</v>
      </c>
      <c r="O2011" s="4" t="n">
        <f aca="false">M2011*N2011</f>
        <v>94.52</v>
      </c>
    </row>
    <row r="2012" customFormat="false" ht="15" hidden="false" customHeight="false" outlineLevel="0" collapsed="false">
      <c r="A2012" s="0" t="s">
        <v>3031</v>
      </c>
      <c r="C2012" s="0" t="s">
        <v>340</v>
      </c>
      <c r="D2012" s="7" t="n">
        <v>4011</v>
      </c>
      <c r="E2012" s="8" t="n">
        <v>0.0329194714535029</v>
      </c>
      <c r="F2012" s="4" t="n">
        <f aca="false">D2012*E2012</f>
        <v>132.04</v>
      </c>
      <c r="G2012" s="7" t="n">
        <v>10</v>
      </c>
      <c r="H2012" s="9" t="n">
        <f aca="false">IF(G2012&gt;0,D2012/G2012,"")</f>
        <v>401.1</v>
      </c>
      <c r="I2012" s="10" t="n">
        <v>46163</v>
      </c>
      <c r="J2012" s="3" t="s">
        <v>341</v>
      </c>
      <c r="K2012" s="10" t="n">
        <v>46078</v>
      </c>
      <c r="L2012" s="3" t="s">
        <v>15</v>
      </c>
      <c r="M2012" s="7" t="n">
        <v>630</v>
      </c>
      <c r="N2012" s="8" t="n">
        <v>0.03517</v>
      </c>
      <c r="O2012" s="4" t="n">
        <f aca="false">M2012*N2012</f>
        <v>22.1571</v>
      </c>
    </row>
    <row r="2013" customFormat="false" ht="15" hidden="false" customHeight="false" outlineLevel="0" collapsed="false">
      <c r="A2013" s="0" t="s">
        <v>3032</v>
      </c>
      <c r="C2013" s="0" t="s">
        <v>118</v>
      </c>
      <c r="D2013" s="7" t="n">
        <v>6029</v>
      </c>
      <c r="E2013" s="8" t="n">
        <v>0.0218991540885719</v>
      </c>
      <c r="F2013" s="4" t="n">
        <f aca="false">D2013*E2013</f>
        <v>132.03</v>
      </c>
      <c r="G2013" s="7" t="n">
        <v>3930</v>
      </c>
      <c r="H2013" s="9" t="n">
        <f aca="false">IF(G2013&gt;0,D2013/G2013,"")</f>
        <v>1.53409669211196</v>
      </c>
      <c r="I2013" s="10" t="n">
        <v>46308</v>
      </c>
      <c r="K2013" s="10"/>
      <c r="M2013" s="7"/>
      <c r="N2013" s="8"/>
      <c r="O2013" s="4"/>
    </row>
    <row r="2014" customFormat="false" ht="15" hidden="false" customHeight="false" outlineLevel="0" collapsed="false">
      <c r="A2014" s="0" t="s">
        <v>3033</v>
      </c>
      <c r="C2014" s="0" t="s">
        <v>698</v>
      </c>
      <c r="D2014" s="7" t="n">
        <v>376</v>
      </c>
      <c r="E2014" s="8" t="n">
        <v>0.350797872340426</v>
      </c>
      <c r="F2014" s="4" t="n">
        <f aca="false">D2014*E2014</f>
        <v>131.9</v>
      </c>
      <c r="G2014" s="7" t="n">
        <v>30</v>
      </c>
      <c r="H2014" s="9" t="n">
        <f aca="false">IF(G2014&gt;0,D2014/G2014,"")</f>
        <v>12.5333333333333</v>
      </c>
      <c r="I2014" s="10" t="n">
        <v>46287</v>
      </c>
      <c r="J2014" s="3" t="s">
        <v>680</v>
      </c>
      <c r="K2014" s="10" t="n">
        <v>46240</v>
      </c>
      <c r="L2014" s="3" t="s">
        <v>14</v>
      </c>
      <c r="M2014" s="7" t="n">
        <v>406</v>
      </c>
      <c r="N2014" s="8" t="n">
        <v>0.3508</v>
      </c>
      <c r="O2014" s="4" t="n">
        <f aca="false">M2014*N2014</f>
        <v>142.4248</v>
      </c>
    </row>
    <row r="2015" customFormat="false" ht="15" hidden="false" customHeight="false" outlineLevel="0" collapsed="false">
      <c r="A2015" s="0" t="s">
        <v>3034</v>
      </c>
      <c r="C2015" s="0" t="s">
        <v>741</v>
      </c>
      <c r="D2015" s="7" t="n">
        <v>986</v>
      </c>
      <c r="E2015" s="8" t="n">
        <v>0.133722109533469</v>
      </c>
      <c r="F2015" s="4" t="n">
        <f aca="false">D2015*E2015</f>
        <v>131.85</v>
      </c>
      <c r="G2015" s="7" t="n">
        <v>30</v>
      </c>
      <c r="H2015" s="9" t="n">
        <f aca="false">IF(G2015&gt;0,D2015/G2015,"")</f>
        <v>32.8666666666667</v>
      </c>
      <c r="I2015" s="10" t="n">
        <v>46118</v>
      </c>
      <c r="J2015" s="3" t="s">
        <v>2796</v>
      </c>
      <c r="K2015" s="10" t="n">
        <v>45632</v>
      </c>
      <c r="L2015" s="3" t="s">
        <v>27</v>
      </c>
      <c r="M2015" s="7" t="n">
        <v>755</v>
      </c>
      <c r="N2015" s="8" t="n">
        <v>0.1331</v>
      </c>
      <c r="O2015" s="4" t="n">
        <f aca="false">M2015*N2015</f>
        <v>100.4905</v>
      </c>
    </row>
    <row r="2016" customFormat="false" ht="15" hidden="false" customHeight="false" outlineLevel="0" collapsed="false">
      <c r="A2016" s="0" t="s">
        <v>3035</v>
      </c>
      <c r="C2016" s="0" t="s">
        <v>340</v>
      </c>
      <c r="D2016" s="7" t="n">
        <v>4406</v>
      </c>
      <c r="E2016" s="8" t="n">
        <v>0.0298978665456196</v>
      </c>
      <c r="F2016" s="4" t="n">
        <f aca="false">D2016*E2016</f>
        <v>131.73</v>
      </c>
      <c r="G2016" s="7" t="n">
        <v>50</v>
      </c>
      <c r="H2016" s="9" t="n">
        <f aca="false">IF(G2016&gt;0,D2016/G2016,"")</f>
        <v>88.12</v>
      </c>
      <c r="I2016" s="10" t="n">
        <v>46267</v>
      </c>
      <c r="J2016" s="3" t="s">
        <v>2780</v>
      </c>
      <c r="K2016" s="10" t="n">
        <v>46043</v>
      </c>
      <c r="L2016" s="3" t="s">
        <v>16</v>
      </c>
      <c r="M2016" s="7" t="n">
        <v>4456</v>
      </c>
      <c r="N2016" s="8" t="n">
        <v>0.0299</v>
      </c>
      <c r="O2016" s="4" t="n">
        <f aca="false">M2016*N2016</f>
        <v>133.2344</v>
      </c>
    </row>
    <row r="2017" customFormat="false" ht="15" hidden="false" customHeight="false" outlineLevel="0" collapsed="false">
      <c r="A2017" s="0" t="s">
        <v>3036</v>
      </c>
      <c r="C2017" s="0" t="s">
        <v>31</v>
      </c>
      <c r="D2017" s="7" t="n">
        <v>7230</v>
      </c>
      <c r="E2017" s="8" t="n">
        <v>0.0182157676348548</v>
      </c>
      <c r="F2017" s="4" t="n">
        <f aca="false">D2017*E2017</f>
        <v>131.7</v>
      </c>
      <c r="G2017" s="7" t="n">
        <v>3286</v>
      </c>
      <c r="H2017" s="9" t="n">
        <f aca="false">IF(G2017&gt;0,D2017/G2017,"")</f>
        <v>2.20024345709069</v>
      </c>
      <c r="I2017" s="10" t="n">
        <v>46293</v>
      </c>
      <c r="J2017" s="3" t="s">
        <v>278</v>
      </c>
      <c r="K2017" s="10" t="n">
        <v>45967</v>
      </c>
      <c r="L2017" s="3" t="s">
        <v>16</v>
      </c>
      <c r="M2017" s="7" t="n">
        <v>10000</v>
      </c>
      <c r="N2017" s="8" t="n">
        <v>0.0182</v>
      </c>
      <c r="O2017" s="4" t="n">
        <f aca="false">M2017*N2017</f>
        <v>182</v>
      </c>
    </row>
    <row r="2018" customFormat="false" ht="15" hidden="false" customHeight="false" outlineLevel="0" collapsed="false">
      <c r="A2018" s="0" t="s">
        <v>3037</v>
      </c>
      <c r="D2018" s="7" t="n">
        <v>1097</v>
      </c>
      <c r="E2018" s="8" t="n">
        <v>0.12</v>
      </c>
      <c r="F2018" s="4" t="n">
        <f aca="false">D2018*E2018</f>
        <v>131.64</v>
      </c>
      <c r="G2018" s="7" t="n">
        <v>67</v>
      </c>
      <c r="H2018" s="9" t="n">
        <f aca="false">IF(G2018&gt;0,D2018/G2018,"")</f>
        <v>16.3731343283582</v>
      </c>
      <c r="I2018" s="10" t="n">
        <v>46231</v>
      </c>
      <c r="K2018" s="10"/>
      <c r="M2018" s="7"/>
      <c r="N2018" s="8"/>
      <c r="O2018" s="4"/>
    </row>
    <row r="2019" customFormat="false" ht="15" hidden="false" customHeight="false" outlineLevel="0" collapsed="false">
      <c r="A2019" s="0" t="s">
        <v>3038</v>
      </c>
      <c r="C2019" s="0" t="s">
        <v>41</v>
      </c>
      <c r="D2019" s="7" t="n">
        <v>5624</v>
      </c>
      <c r="E2019" s="8" t="n">
        <v>0.0233997155049787</v>
      </c>
      <c r="F2019" s="4" t="n">
        <f aca="false">D2019*E2019</f>
        <v>131.6</v>
      </c>
      <c r="G2019" s="7" t="n">
        <v>20</v>
      </c>
      <c r="H2019" s="9" t="n">
        <f aca="false">IF(G2019&gt;0,D2019/G2019,"")</f>
        <v>281.2</v>
      </c>
      <c r="I2019" s="10" t="n">
        <v>45964</v>
      </c>
      <c r="K2019" s="10"/>
      <c r="M2019" s="7"/>
      <c r="N2019" s="8"/>
      <c r="O2019" s="4"/>
    </row>
    <row r="2020" customFormat="false" ht="15" hidden="false" customHeight="false" outlineLevel="0" collapsed="false">
      <c r="A2020" s="0" t="s">
        <v>3039</v>
      </c>
      <c r="C2020" s="0" t="s">
        <v>360</v>
      </c>
      <c r="D2020" s="7" t="n">
        <v>2630</v>
      </c>
      <c r="E2020" s="8" t="n">
        <v>0.05</v>
      </c>
      <c r="F2020" s="4" t="n">
        <f aca="false">D2020*E2020</f>
        <v>131.5</v>
      </c>
      <c r="G2020" s="7" t="n">
        <v>837</v>
      </c>
      <c r="H2020" s="9" t="n">
        <f aca="false">IF(G2020&gt;0,D2020/G2020,"")</f>
        <v>3.14217443249701</v>
      </c>
      <c r="I2020" s="10" t="n">
        <v>46294</v>
      </c>
      <c r="K2020" s="10"/>
      <c r="M2020" s="7"/>
      <c r="N2020" s="8"/>
      <c r="O2020" s="4"/>
    </row>
    <row r="2021" customFormat="false" ht="15" hidden="false" customHeight="false" outlineLevel="0" collapsed="false">
      <c r="A2021" s="0" t="s">
        <v>3040</v>
      </c>
      <c r="C2021" s="0" t="s">
        <v>37</v>
      </c>
      <c r="D2021" s="7" t="n">
        <v>305</v>
      </c>
      <c r="E2021" s="8" t="n">
        <v>0.431081967213115</v>
      </c>
      <c r="F2021" s="4" t="n">
        <f aca="false">D2021*E2021</f>
        <v>131.48</v>
      </c>
      <c r="G2021" s="7" t="n">
        <v>70</v>
      </c>
      <c r="H2021" s="9" t="n">
        <f aca="false">IF(G2021&gt;0,D2021/G2021,"")</f>
        <v>4.35714285714286</v>
      </c>
      <c r="I2021" s="10" t="n">
        <v>46027</v>
      </c>
      <c r="J2021" s="3" t="s">
        <v>2263</v>
      </c>
      <c r="K2021" s="10" t="n">
        <v>45630</v>
      </c>
      <c r="L2021" s="3" t="s">
        <v>15</v>
      </c>
      <c r="M2021" s="7" t="n">
        <v>495</v>
      </c>
      <c r="N2021" s="8" t="n">
        <v>0.43109</v>
      </c>
      <c r="O2021" s="4" t="n">
        <f aca="false">M2021*N2021</f>
        <v>213.38955</v>
      </c>
    </row>
    <row r="2022" customFormat="false" ht="15" hidden="false" customHeight="false" outlineLevel="0" collapsed="false">
      <c r="A2022" s="0" t="s">
        <v>3041</v>
      </c>
      <c r="C2022" s="0" t="s">
        <v>1039</v>
      </c>
      <c r="D2022" s="7" t="n">
        <v>42289</v>
      </c>
      <c r="E2022" s="8" t="n">
        <v>0.00310860980396794</v>
      </c>
      <c r="F2022" s="4" t="n">
        <f aca="false">D2022*E2022</f>
        <v>131.46</v>
      </c>
      <c r="G2022" s="7" t="n">
        <v>2917</v>
      </c>
      <c r="H2022" s="9" t="n">
        <f aca="false">IF(G2022&gt;0,D2022/G2022,"")</f>
        <v>14.4974288652725</v>
      </c>
      <c r="I2022" s="10" t="n">
        <v>46269</v>
      </c>
      <c r="J2022" s="3" t="s">
        <v>1192</v>
      </c>
      <c r="K2022" s="10" t="n">
        <v>45736</v>
      </c>
      <c r="L2022" s="3" t="s">
        <v>26</v>
      </c>
      <c r="M2022" s="7" t="n">
        <v>625</v>
      </c>
      <c r="N2022" s="8" t="n">
        <v>0.008</v>
      </c>
      <c r="O2022" s="4" t="n">
        <f aca="false">M2022*N2022</f>
        <v>5</v>
      </c>
    </row>
    <row r="2023" customFormat="false" ht="15" hidden="false" customHeight="false" outlineLevel="0" collapsed="false">
      <c r="A2023" s="0" t="s">
        <v>3042</v>
      </c>
      <c r="C2023" s="0" t="s">
        <v>1017</v>
      </c>
      <c r="D2023" s="7" t="n">
        <v>1090</v>
      </c>
      <c r="E2023" s="8" t="n">
        <v>0.120366972477064</v>
      </c>
      <c r="F2023" s="4" t="n">
        <f aca="false">D2023*E2023</f>
        <v>131.2</v>
      </c>
      <c r="G2023" s="7" t="n">
        <v>200</v>
      </c>
      <c r="H2023" s="9" t="n">
        <f aca="false">IF(G2023&gt;0,D2023/G2023,"")</f>
        <v>5.45</v>
      </c>
      <c r="I2023" s="10" t="n">
        <v>46073</v>
      </c>
      <c r="J2023" s="3" t="s">
        <v>1684</v>
      </c>
      <c r="K2023" s="10" t="n">
        <v>45755</v>
      </c>
      <c r="L2023" s="3" t="s">
        <v>15</v>
      </c>
      <c r="M2023" s="7" t="n">
        <v>1790</v>
      </c>
      <c r="N2023" s="8" t="n">
        <v>0.12037</v>
      </c>
      <c r="O2023" s="4" t="n">
        <f aca="false">M2023*N2023</f>
        <v>215.4623</v>
      </c>
    </row>
    <row r="2024" customFormat="false" ht="15" hidden="false" customHeight="false" outlineLevel="0" collapsed="false">
      <c r="A2024" s="0" t="s">
        <v>3043</v>
      </c>
      <c r="C2024" s="0" t="s">
        <v>1169</v>
      </c>
      <c r="D2024" s="7" t="n">
        <v>4855</v>
      </c>
      <c r="E2024" s="8" t="n">
        <v>0.0269989701338826</v>
      </c>
      <c r="F2024" s="4" t="n">
        <f aca="false">D2024*E2024</f>
        <v>131.08</v>
      </c>
      <c r="G2024" s="7" t="n">
        <v>426</v>
      </c>
      <c r="H2024" s="9" t="n">
        <f aca="false">IF(G2024&gt;0,D2024/G2024,"")</f>
        <v>11.3967136150235</v>
      </c>
      <c r="I2024" s="10" t="n">
        <v>46216</v>
      </c>
      <c r="J2024" s="3" t="s">
        <v>926</v>
      </c>
      <c r="K2024" s="10" t="n">
        <v>46009</v>
      </c>
      <c r="L2024" s="3" t="s">
        <v>21</v>
      </c>
      <c r="M2024" s="7" t="n">
        <v>3750</v>
      </c>
      <c r="N2024" s="8" t="n">
        <v>0.027</v>
      </c>
      <c r="O2024" s="4" t="n">
        <f aca="false">M2024*N2024</f>
        <v>101.25</v>
      </c>
    </row>
    <row r="2025" customFormat="false" ht="15" hidden="false" customHeight="false" outlineLevel="0" collapsed="false">
      <c r="A2025" s="0" t="s">
        <v>3044</v>
      </c>
      <c r="C2025" s="0" t="s">
        <v>34</v>
      </c>
      <c r="D2025" s="7" t="n">
        <v>5158</v>
      </c>
      <c r="E2025" s="8" t="n">
        <v>0.0254110120201629</v>
      </c>
      <c r="F2025" s="4" t="n">
        <f aca="false">D2025*E2025</f>
        <v>131.07</v>
      </c>
      <c r="G2025" s="7" t="n">
        <v>30</v>
      </c>
      <c r="H2025" s="9" t="n">
        <f aca="false">IF(G2025&gt;0,D2025/G2025,"")</f>
        <v>171.933333333333</v>
      </c>
      <c r="I2025" s="10" t="n">
        <v>46129</v>
      </c>
      <c r="J2025" s="3" t="s">
        <v>249</v>
      </c>
      <c r="K2025" s="10" t="n">
        <v>44314</v>
      </c>
      <c r="L2025" s="3" t="s">
        <v>15</v>
      </c>
      <c r="M2025" s="7" t="n">
        <v>5270</v>
      </c>
      <c r="N2025" s="8" t="n">
        <v>0.02541</v>
      </c>
      <c r="O2025" s="4" t="n">
        <f aca="false">M2025*N2025</f>
        <v>133.9107</v>
      </c>
    </row>
    <row r="2026" customFormat="false" ht="15" hidden="false" customHeight="false" outlineLevel="0" collapsed="false">
      <c r="A2026" s="0" t="s">
        <v>3045</v>
      </c>
      <c r="C2026" s="0" t="s">
        <v>285</v>
      </c>
      <c r="D2026" s="7" t="n">
        <v>26748</v>
      </c>
      <c r="E2026" s="8" t="n">
        <v>0.00489980559294153</v>
      </c>
      <c r="F2026" s="4" t="n">
        <f aca="false">D2026*E2026</f>
        <v>131.06</v>
      </c>
      <c r="G2026" s="7" t="n">
        <v>709</v>
      </c>
      <c r="H2026" s="9" t="n">
        <f aca="false">IF(G2026&gt;0,D2026/G2026,"")</f>
        <v>37.7263751763047</v>
      </c>
      <c r="I2026" s="10" t="n">
        <v>46197</v>
      </c>
      <c r="K2026" s="10"/>
      <c r="M2026" s="7"/>
      <c r="N2026" s="8"/>
      <c r="O2026" s="4"/>
    </row>
    <row r="2027" customFormat="false" ht="15" hidden="false" customHeight="false" outlineLevel="0" collapsed="false">
      <c r="A2027" s="0" t="s">
        <v>3046</v>
      </c>
      <c r="C2027" s="0" t="s">
        <v>37</v>
      </c>
      <c r="D2027" s="7" t="n">
        <v>610</v>
      </c>
      <c r="E2027" s="8" t="n">
        <v>0.214852459016393</v>
      </c>
      <c r="F2027" s="4" t="n">
        <f aca="false">D2027*E2027</f>
        <v>131.06</v>
      </c>
      <c r="G2027" s="7" t="n">
        <v>400</v>
      </c>
      <c r="H2027" s="9" t="n">
        <f aca="false">IF(G2027&gt;0,D2027/G2027,"")</f>
        <v>1.525</v>
      </c>
      <c r="I2027" s="10" t="n">
        <v>46044</v>
      </c>
      <c r="J2027" s="3" t="s">
        <v>1018</v>
      </c>
      <c r="K2027" s="10" t="n">
        <v>45912</v>
      </c>
      <c r="L2027" s="3" t="s">
        <v>15</v>
      </c>
      <c r="M2027" s="7" t="n">
        <v>1010</v>
      </c>
      <c r="N2027" s="8" t="n">
        <v>0.21485</v>
      </c>
      <c r="O2027" s="4" t="n">
        <f aca="false">M2027*N2027</f>
        <v>216.9985</v>
      </c>
    </row>
    <row r="2028" customFormat="false" ht="15" hidden="false" customHeight="false" outlineLevel="0" collapsed="false">
      <c r="A2028" s="0" t="s">
        <v>3047</v>
      </c>
      <c r="C2028" s="0" t="s">
        <v>31</v>
      </c>
      <c r="D2028" s="7" t="n">
        <v>32171</v>
      </c>
      <c r="E2028" s="8" t="n">
        <v>0.00407292281868764</v>
      </c>
      <c r="F2028" s="4" t="n">
        <f aca="false">D2028*E2028</f>
        <v>131.03</v>
      </c>
      <c r="G2028" s="7" t="n">
        <v>1970</v>
      </c>
      <c r="H2028" s="9" t="n">
        <f aca="false">IF(G2028&gt;0,D2028/G2028,"")</f>
        <v>16.3304568527919</v>
      </c>
      <c r="I2028" s="10" t="n">
        <v>46308</v>
      </c>
      <c r="J2028" s="3" t="s">
        <v>3048</v>
      </c>
      <c r="K2028" s="10" t="n">
        <v>44333</v>
      </c>
      <c r="L2028" s="3" t="s">
        <v>16</v>
      </c>
      <c r="M2028" s="7" t="n">
        <v>98860</v>
      </c>
      <c r="N2028" s="8" t="n">
        <v>0.0041</v>
      </c>
      <c r="O2028" s="4" t="n">
        <f aca="false">M2028*N2028</f>
        <v>405.326</v>
      </c>
    </row>
    <row r="2029" customFormat="false" ht="15" hidden="false" customHeight="false" outlineLevel="0" collapsed="false">
      <c r="A2029" s="0" t="s">
        <v>3049</v>
      </c>
      <c r="C2029" s="0" t="s">
        <v>298</v>
      </c>
      <c r="D2029" s="7" t="n">
        <v>2361</v>
      </c>
      <c r="E2029" s="8" t="n">
        <v>0.0554934349851758</v>
      </c>
      <c r="F2029" s="4" t="n">
        <f aca="false">D2029*E2029</f>
        <v>131.02</v>
      </c>
      <c r="G2029" s="7" t="n">
        <v>535</v>
      </c>
      <c r="H2029" s="9" t="n">
        <f aca="false">IF(G2029&gt;0,D2029/G2029,"")</f>
        <v>4.41308411214953</v>
      </c>
      <c r="I2029" s="10" t="n">
        <v>46300</v>
      </c>
      <c r="J2029" s="3" t="s">
        <v>1396</v>
      </c>
      <c r="K2029" s="10" t="n">
        <v>45398</v>
      </c>
      <c r="L2029" s="3" t="s">
        <v>15</v>
      </c>
      <c r="M2029" s="7" t="n">
        <v>3000</v>
      </c>
      <c r="N2029" s="8" t="n">
        <v>0.05549</v>
      </c>
      <c r="O2029" s="4" t="n">
        <f aca="false">M2029*N2029</f>
        <v>166.47</v>
      </c>
    </row>
    <row r="2030" customFormat="false" ht="15" hidden="false" customHeight="false" outlineLevel="0" collapsed="false">
      <c r="A2030" s="0" t="s">
        <v>3050</v>
      </c>
      <c r="C2030" s="0" t="s">
        <v>31</v>
      </c>
      <c r="D2030" s="7" t="n">
        <v>61512</v>
      </c>
      <c r="E2030" s="8" t="n">
        <v>0.0021296657562752</v>
      </c>
      <c r="F2030" s="4" t="n">
        <f aca="false">D2030*E2030</f>
        <v>131</v>
      </c>
      <c r="G2030" s="7" t="n">
        <v>3100</v>
      </c>
      <c r="H2030" s="9" t="n">
        <f aca="false">IF(G2030&gt;0,D2030/G2030,"")</f>
        <v>19.8425806451613</v>
      </c>
      <c r="I2030" s="10" t="n">
        <v>46247</v>
      </c>
      <c r="K2030" s="10"/>
      <c r="M2030" s="7"/>
      <c r="N2030" s="8"/>
      <c r="O2030" s="4"/>
    </row>
    <row r="2031" customFormat="false" ht="15" hidden="false" customHeight="false" outlineLevel="0" collapsed="false">
      <c r="A2031" s="0" t="s">
        <v>3051</v>
      </c>
      <c r="C2031" s="0" t="s">
        <v>34</v>
      </c>
      <c r="D2031" s="7" t="n">
        <v>3709</v>
      </c>
      <c r="E2031" s="8" t="n">
        <v>0.0353006201132381</v>
      </c>
      <c r="F2031" s="4" t="n">
        <f aca="false">D2031*E2031</f>
        <v>130.93</v>
      </c>
      <c r="G2031" s="7" t="n">
        <v>1338</v>
      </c>
      <c r="H2031" s="9" t="n">
        <f aca="false">IF(G2031&gt;0,D2031/G2031,"")</f>
        <v>2.77204783258595</v>
      </c>
      <c r="I2031" s="10" t="n">
        <v>46224</v>
      </c>
      <c r="J2031" s="3" t="s">
        <v>1384</v>
      </c>
      <c r="K2031" s="10" t="n">
        <v>45672</v>
      </c>
      <c r="L2031" s="3" t="s">
        <v>16</v>
      </c>
      <c r="M2031" s="7" t="n">
        <v>6322</v>
      </c>
      <c r="N2031" s="8" t="n">
        <v>0.0353</v>
      </c>
      <c r="O2031" s="4" t="n">
        <f aca="false">M2031*N2031</f>
        <v>223.1666</v>
      </c>
    </row>
    <row r="2032" customFormat="false" ht="15" hidden="false" customHeight="false" outlineLevel="0" collapsed="false">
      <c r="A2032" s="0" t="s">
        <v>3052</v>
      </c>
      <c r="C2032" s="0" t="s">
        <v>360</v>
      </c>
      <c r="D2032" s="7" t="n">
        <v>32322</v>
      </c>
      <c r="E2032" s="8" t="n">
        <v>0.00405018253820927</v>
      </c>
      <c r="F2032" s="4" t="n">
        <f aca="false">D2032*E2032</f>
        <v>130.91</v>
      </c>
      <c r="G2032" s="7" t="n">
        <v>9965</v>
      </c>
      <c r="H2032" s="9" t="n">
        <f aca="false">IF(G2032&gt;0,D2032/G2032,"")</f>
        <v>3.24355243351731</v>
      </c>
      <c r="I2032" s="10" t="n">
        <v>46185</v>
      </c>
      <c r="J2032" s="3" t="s">
        <v>3053</v>
      </c>
      <c r="K2032" s="10" t="n">
        <v>44714</v>
      </c>
      <c r="L2032" s="3" t="s">
        <v>14</v>
      </c>
      <c r="M2032" s="7" t="n">
        <v>975</v>
      </c>
      <c r="N2032" s="8" t="n">
        <v>0.05148</v>
      </c>
      <c r="O2032" s="4" t="n">
        <f aca="false">M2032*N2032</f>
        <v>50.193</v>
      </c>
    </row>
    <row r="2033" customFormat="false" ht="15" hidden="false" customHeight="false" outlineLevel="0" collapsed="false">
      <c r="A2033" s="0" t="s">
        <v>3054</v>
      </c>
      <c r="C2033" s="0" t="s">
        <v>844</v>
      </c>
      <c r="D2033" s="7" t="n">
        <v>50</v>
      </c>
      <c r="E2033" s="8" t="n">
        <v>2.616</v>
      </c>
      <c r="F2033" s="4" t="n">
        <f aca="false">D2033*E2033</f>
        <v>130.8</v>
      </c>
      <c r="G2033" s="7" t="n">
        <v>25</v>
      </c>
      <c r="H2033" s="9" t="n">
        <f aca="false">IF(G2033&gt;0,D2033/G2033,"")</f>
        <v>2</v>
      </c>
      <c r="I2033" s="10" t="n">
        <v>46300</v>
      </c>
      <c r="J2033" s="3" t="s">
        <v>240</v>
      </c>
      <c r="K2033" s="10" t="n">
        <v>46265</v>
      </c>
      <c r="L2033" s="3" t="s">
        <v>14</v>
      </c>
      <c r="M2033" s="7" t="n">
        <v>50</v>
      </c>
      <c r="N2033" s="8" t="n">
        <v>2.616</v>
      </c>
      <c r="O2033" s="4" t="n">
        <f aca="false">M2033*N2033</f>
        <v>130.8</v>
      </c>
    </row>
    <row r="2034" customFormat="false" ht="15" hidden="false" customHeight="false" outlineLevel="0" collapsed="false">
      <c r="A2034" s="0" t="s">
        <v>3055</v>
      </c>
      <c r="C2034" s="0" t="s">
        <v>34</v>
      </c>
      <c r="D2034" s="7" t="n">
        <v>565</v>
      </c>
      <c r="E2034" s="8" t="n">
        <v>0.231504424778761</v>
      </c>
      <c r="F2034" s="4" t="n">
        <f aca="false">D2034*E2034</f>
        <v>130.8</v>
      </c>
      <c r="G2034" s="7" t="n">
        <v>75</v>
      </c>
      <c r="H2034" s="9" t="n">
        <f aca="false">IF(G2034&gt;0,D2034/G2034,"")</f>
        <v>7.53333333333333</v>
      </c>
      <c r="I2034" s="10" t="n">
        <v>46231</v>
      </c>
      <c r="J2034" s="3" t="s">
        <v>3056</v>
      </c>
      <c r="K2034" s="10" t="n">
        <v>44348</v>
      </c>
      <c r="L2034" s="3" t="s">
        <v>19</v>
      </c>
      <c r="M2034" s="7" t="n">
        <v>1000</v>
      </c>
      <c r="N2034" s="8" t="n">
        <v>0.2315</v>
      </c>
      <c r="O2034" s="4" t="n">
        <f aca="false">M2034*N2034</f>
        <v>231.5</v>
      </c>
    </row>
    <row r="2035" customFormat="false" ht="15" hidden="false" customHeight="false" outlineLevel="0" collapsed="false">
      <c r="A2035" s="0" t="s">
        <v>3057</v>
      </c>
      <c r="C2035" s="0" t="s">
        <v>31</v>
      </c>
      <c r="D2035" s="7" t="n">
        <v>59429</v>
      </c>
      <c r="E2035" s="8" t="n">
        <v>0.00220010432617073</v>
      </c>
      <c r="F2035" s="4" t="n">
        <f aca="false">D2035*E2035</f>
        <v>130.75</v>
      </c>
      <c r="G2035" s="7" t="n">
        <v>17375</v>
      </c>
      <c r="H2035" s="9" t="n">
        <f aca="false">IF(G2035&gt;0,D2035/G2035,"")</f>
        <v>3.42037410071942</v>
      </c>
      <c r="I2035" s="10" t="n">
        <v>46281</v>
      </c>
      <c r="J2035" s="3" t="s">
        <v>1574</v>
      </c>
      <c r="K2035" s="10" t="n">
        <v>46062</v>
      </c>
      <c r="L2035" s="3" t="s">
        <v>19</v>
      </c>
      <c r="M2035" s="7" t="n">
        <v>2500</v>
      </c>
      <c r="N2035" s="8" t="n">
        <v>0.0107</v>
      </c>
      <c r="O2035" s="4" t="n">
        <f aca="false">M2035*N2035</f>
        <v>26.75</v>
      </c>
    </row>
    <row r="2036" customFormat="false" ht="15" hidden="false" customHeight="false" outlineLevel="0" collapsed="false">
      <c r="A2036" s="0" t="s">
        <v>3058</v>
      </c>
      <c r="C2036" s="0" t="s">
        <v>100</v>
      </c>
      <c r="D2036" s="7" t="n">
        <v>188</v>
      </c>
      <c r="E2036" s="8" t="n">
        <v>0.695425531914894</v>
      </c>
      <c r="F2036" s="4" t="n">
        <f aca="false">D2036*E2036</f>
        <v>130.74</v>
      </c>
      <c r="G2036" s="7" t="n">
        <v>25</v>
      </c>
      <c r="H2036" s="9" t="n">
        <f aca="false">IF(G2036&gt;0,D2036/G2036,"")</f>
        <v>7.52</v>
      </c>
      <c r="I2036" s="10" t="n">
        <v>46244</v>
      </c>
      <c r="J2036" s="3" t="s">
        <v>3059</v>
      </c>
      <c r="K2036" s="10" t="n">
        <v>44918</v>
      </c>
      <c r="L2036" s="3" t="s">
        <v>23</v>
      </c>
      <c r="M2036" s="7" t="n">
        <v>1500</v>
      </c>
      <c r="N2036" s="8" t="n">
        <v>0.6954</v>
      </c>
      <c r="O2036" s="4" t="n">
        <f aca="false">M2036*N2036</f>
        <v>1043.1</v>
      </c>
    </row>
    <row r="2037" customFormat="false" ht="15" hidden="false" customHeight="false" outlineLevel="0" collapsed="false">
      <c r="A2037" s="0" t="s">
        <v>3060</v>
      </c>
      <c r="C2037" s="0" t="s">
        <v>34</v>
      </c>
      <c r="D2037" s="7" t="n">
        <v>1354</v>
      </c>
      <c r="E2037" s="8" t="n">
        <v>0.096506646971935</v>
      </c>
      <c r="F2037" s="4" t="n">
        <f aca="false">D2037*E2037</f>
        <v>130.67</v>
      </c>
      <c r="G2037" s="7" t="n">
        <v>12</v>
      </c>
      <c r="H2037" s="9" t="n">
        <f aca="false">IF(G2037&gt;0,D2037/G2037,"")</f>
        <v>112.833333333333</v>
      </c>
      <c r="I2037" s="10" t="n">
        <v>46308</v>
      </c>
      <c r="J2037" s="3" t="s">
        <v>178</v>
      </c>
      <c r="K2037" s="10" t="n">
        <v>44301</v>
      </c>
      <c r="L2037" s="3" t="s">
        <v>15</v>
      </c>
      <c r="M2037" s="7" t="n">
        <v>1360</v>
      </c>
      <c r="N2037" s="8" t="n">
        <v>0.09559</v>
      </c>
      <c r="O2037" s="4" t="n">
        <f aca="false">M2037*N2037</f>
        <v>130.0024</v>
      </c>
    </row>
    <row r="2038" customFormat="false" ht="15" hidden="false" customHeight="false" outlineLevel="0" collapsed="false">
      <c r="A2038" s="0" t="s">
        <v>3061</v>
      </c>
      <c r="C2038" s="0" t="s">
        <v>40</v>
      </c>
      <c r="D2038" s="7" t="n">
        <v>13426</v>
      </c>
      <c r="E2038" s="8" t="n">
        <v>0.00972590496052436</v>
      </c>
      <c r="F2038" s="4" t="n">
        <f aca="false">D2038*E2038</f>
        <v>130.58</v>
      </c>
      <c r="G2038" s="7" t="n">
        <v>703</v>
      </c>
      <c r="H2038" s="9" t="n">
        <f aca="false">IF(G2038&gt;0,D2038/G2038,"")</f>
        <v>19.0981507823613</v>
      </c>
      <c r="I2038" s="10" t="n">
        <v>46308</v>
      </c>
      <c r="J2038" s="3" t="s">
        <v>3062</v>
      </c>
      <c r="K2038" s="10" t="n">
        <v>44965</v>
      </c>
      <c r="L2038" s="3" t="s">
        <v>18</v>
      </c>
      <c r="M2038" s="7" t="n">
        <v>30000</v>
      </c>
      <c r="N2038" s="8" t="n">
        <v>0.0097</v>
      </c>
      <c r="O2038" s="4" t="n">
        <f aca="false">M2038*N2038</f>
        <v>291</v>
      </c>
    </row>
    <row r="2039" customFormat="false" ht="15" hidden="false" customHeight="false" outlineLevel="0" collapsed="false">
      <c r="A2039" s="0" t="s">
        <v>3063</v>
      </c>
      <c r="C2039" s="0" t="s">
        <v>38</v>
      </c>
      <c r="D2039" s="7" t="n">
        <v>19475</v>
      </c>
      <c r="E2039" s="8" t="n">
        <v>0.00669987163029525</v>
      </c>
      <c r="F2039" s="4" t="n">
        <f aca="false">D2039*E2039</f>
        <v>130.48</v>
      </c>
      <c r="G2039" s="7" t="n">
        <v>2687</v>
      </c>
      <c r="H2039" s="9" t="n">
        <f aca="false">IF(G2039&gt;0,D2039/G2039,"")</f>
        <v>7.24786006698921</v>
      </c>
      <c r="I2039" s="10" t="n">
        <v>46308</v>
      </c>
      <c r="J2039" s="3" t="s">
        <v>763</v>
      </c>
      <c r="K2039" s="10" t="n">
        <v>46231</v>
      </c>
      <c r="L2039" s="3" t="s">
        <v>14</v>
      </c>
      <c r="M2039" s="7" t="n">
        <v>20000</v>
      </c>
      <c r="N2039" s="8" t="n">
        <v>0.0067</v>
      </c>
      <c r="O2039" s="4" t="n">
        <f aca="false">M2039*N2039</f>
        <v>134</v>
      </c>
    </row>
    <row r="2040" customFormat="false" ht="15" hidden="false" customHeight="false" outlineLevel="0" collapsed="false">
      <c r="A2040" s="0" t="s">
        <v>3064</v>
      </c>
      <c r="C2040" s="0" t="s">
        <v>33</v>
      </c>
      <c r="D2040" s="7" t="n">
        <v>789</v>
      </c>
      <c r="E2040" s="8" t="n">
        <v>0.165348542458809</v>
      </c>
      <c r="F2040" s="4" t="n">
        <f aca="false">D2040*E2040</f>
        <v>130.46</v>
      </c>
      <c r="G2040" s="7" t="n">
        <v>111</v>
      </c>
      <c r="H2040" s="9" t="n">
        <f aca="false">IF(G2040&gt;0,D2040/G2040,"")</f>
        <v>7.10810810810811</v>
      </c>
      <c r="I2040" s="10" t="n">
        <v>46283</v>
      </c>
      <c r="J2040" s="3" t="s">
        <v>3065</v>
      </c>
      <c r="K2040" s="10" t="n">
        <v>45819</v>
      </c>
      <c r="L2040" s="3" t="s">
        <v>18</v>
      </c>
      <c r="M2040" s="7" t="n">
        <v>919</v>
      </c>
      <c r="N2040" s="8" t="n">
        <v>0.1654</v>
      </c>
      <c r="O2040" s="4" t="n">
        <f aca="false">M2040*N2040</f>
        <v>152.0026</v>
      </c>
    </row>
    <row r="2041" customFormat="false" ht="15" hidden="false" customHeight="false" outlineLevel="0" collapsed="false">
      <c r="A2041" s="0" t="s">
        <v>3066</v>
      </c>
      <c r="C2041" s="0" t="s">
        <v>33</v>
      </c>
      <c r="D2041" s="7" t="n">
        <v>1196</v>
      </c>
      <c r="E2041" s="8" t="n">
        <v>0.109071906354515</v>
      </c>
      <c r="F2041" s="4" t="n">
        <f aca="false">D2041*E2041</f>
        <v>130.45</v>
      </c>
      <c r="G2041" s="7" t="n">
        <v>792</v>
      </c>
      <c r="H2041" s="9" t="n">
        <f aca="false">IF(G2041&gt;0,D2041/G2041,"")</f>
        <v>1.51010101010101</v>
      </c>
      <c r="I2041" s="10" t="n">
        <v>46275</v>
      </c>
      <c r="J2041" s="3" t="s">
        <v>230</v>
      </c>
      <c r="K2041" s="10" t="n">
        <v>46303</v>
      </c>
      <c r="L2041" s="3" t="s">
        <v>18</v>
      </c>
      <c r="M2041" s="7" t="n">
        <v>460</v>
      </c>
      <c r="N2041" s="8" t="n">
        <v>0.1087</v>
      </c>
      <c r="O2041" s="4" t="n">
        <f aca="false">M2041*N2041</f>
        <v>50.002</v>
      </c>
    </row>
    <row r="2042" customFormat="false" ht="15" hidden="false" customHeight="false" outlineLevel="0" collapsed="false">
      <c r="A2042" s="0" t="s">
        <v>3067</v>
      </c>
      <c r="C2042" s="0" t="s">
        <v>31</v>
      </c>
      <c r="D2042" s="7" t="n">
        <v>28214</v>
      </c>
      <c r="E2042" s="8" t="n">
        <v>0.00462040121925285</v>
      </c>
      <c r="F2042" s="4" t="n">
        <f aca="false">D2042*E2042</f>
        <v>130.36</v>
      </c>
      <c r="G2042" s="7" t="n">
        <v>600</v>
      </c>
      <c r="H2042" s="9" t="n">
        <f aca="false">IF(G2042&gt;0,D2042/G2042,"")</f>
        <v>47.0233333333333</v>
      </c>
      <c r="I2042" s="10" t="n">
        <v>46266</v>
      </c>
      <c r="K2042" s="10"/>
      <c r="M2042" s="7"/>
      <c r="N2042" s="8"/>
      <c r="O2042" s="4"/>
    </row>
    <row r="2043" customFormat="false" ht="15" hidden="false" customHeight="false" outlineLevel="0" collapsed="false">
      <c r="A2043" s="0" t="s">
        <v>3068</v>
      </c>
      <c r="C2043" s="0" t="s">
        <v>118</v>
      </c>
      <c r="D2043" s="7" t="n">
        <v>210</v>
      </c>
      <c r="E2043" s="8" t="n">
        <v>0.620714285714286</v>
      </c>
      <c r="F2043" s="4" t="n">
        <f aca="false">D2043*E2043</f>
        <v>130.35</v>
      </c>
      <c r="G2043" s="7" t="n">
        <v>14</v>
      </c>
      <c r="H2043" s="9" t="n">
        <f aca="false">IF(G2043&gt;0,D2043/G2043,"")</f>
        <v>15</v>
      </c>
      <c r="I2043" s="10" t="n">
        <v>46094</v>
      </c>
      <c r="J2043" s="3" t="s">
        <v>677</v>
      </c>
      <c r="K2043" s="10" t="n">
        <v>45642</v>
      </c>
      <c r="L2043" s="3" t="s">
        <v>16</v>
      </c>
      <c r="M2043" s="7" t="n">
        <v>325</v>
      </c>
      <c r="N2043" s="8" t="n">
        <v>0.6207</v>
      </c>
      <c r="O2043" s="4" t="n">
        <f aca="false">M2043*N2043</f>
        <v>201.7275</v>
      </c>
    </row>
    <row r="2044" customFormat="false" ht="15" hidden="false" customHeight="false" outlineLevel="0" collapsed="false">
      <c r="A2044" s="0" t="s">
        <v>3069</v>
      </c>
      <c r="C2044" s="0" t="s">
        <v>889</v>
      </c>
      <c r="D2044" s="7" t="n">
        <v>26011</v>
      </c>
      <c r="E2044" s="8" t="n">
        <v>0.00500865018645958</v>
      </c>
      <c r="F2044" s="4" t="n">
        <f aca="false">D2044*E2044</f>
        <v>130.28</v>
      </c>
      <c r="G2044" s="7" t="n">
        <v>100</v>
      </c>
      <c r="H2044" s="9" t="n">
        <f aca="false">IF(G2044&gt;0,D2044/G2044,"")</f>
        <v>260.11</v>
      </c>
      <c r="I2044" s="10" t="n">
        <v>46111</v>
      </c>
      <c r="K2044" s="10"/>
      <c r="M2044" s="7"/>
      <c r="N2044" s="8"/>
      <c r="O2044" s="4"/>
    </row>
    <row r="2045" customFormat="false" ht="15" hidden="false" customHeight="false" outlineLevel="0" collapsed="false">
      <c r="A2045" s="0" t="s">
        <v>3070</v>
      </c>
      <c r="C2045" s="0" t="s">
        <v>1802</v>
      </c>
      <c r="D2045" s="7" t="n">
        <v>66</v>
      </c>
      <c r="E2045" s="8" t="n">
        <v>1.97287878787879</v>
      </c>
      <c r="F2045" s="4" t="n">
        <f aca="false">D2045*E2045</f>
        <v>130.21</v>
      </c>
      <c r="G2045" s="7" t="n">
        <v>25</v>
      </c>
      <c r="H2045" s="9" t="n">
        <f aca="false">IF(G2045&gt;0,D2045/G2045,"")</f>
        <v>2.64</v>
      </c>
      <c r="I2045" s="10" t="n">
        <v>45958</v>
      </c>
      <c r="J2045" s="3" t="s">
        <v>2840</v>
      </c>
      <c r="K2045" s="10" t="n">
        <v>45930</v>
      </c>
      <c r="L2045" s="3" t="s">
        <v>14</v>
      </c>
      <c r="M2045" s="7" t="n">
        <v>84</v>
      </c>
      <c r="N2045" s="8" t="n">
        <v>1.8645</v>
      </c>
      <c r="O2045" s="4" t="n">
        <f aca="false">M2045*N2045</f>
        <v>156.618</v>
      </c>
    </row>
    <row r="2046" customFormat="false" ht="15" hidden="false" customHeight="false" outlineLevel="0" collapsed="false">
      <c r="A2046" s="0" t="s">
        <v>3071</v>
      </c>
      <c r="C2046" s="0" t="s">
        <v>31</v>
      </c>
      <c r="D2046" s="7" t="n">
        <v>4490</v>
      </c>
      <c r="E2046" s="8" t="n">
        <v>0.0289866369710468</v>
      </c>
      <c r="F2046" s="4" t="n">
        <f aca="false">D2046*E2046</f>
        <v>130.15</v>
      </c>
      <c r="G2046" s="7" t="n">
        <v>91</v>
      </c>
      <c r="H2046" s="9" t="n">
        <f aca="false">IF(G2046&gt;0,D2046/G2046,"")</f>
        <v>49.3406593406593</v>
      </c>
      <c r="I2046" s="10" t="n">
        <v>46286</v>
      </c>
      <c r="K2046" s="10"/>
      <c r="M2046" s="7"/>
      <c r="N2046" s="8"/>
      <c r="O2046" s="4"/>
    </row>
    <row r="2047" customFormat="false" ht="15" hidden="false" customHeight="false" outlineLevel="0" collapsed="false">
      <c r="A2047" s="0" t="s">
        <v>3072</v>
      </c>
      <c r="C2047" s="0" t="s">
        <v>285</v>
      </c>
      <c r="D2047" s="7" t="n">
        <v>2061</v>
      </c>
      <c r="E2047" s="8" t="n">
        <v>0.0630519165453663</v>
      </c>
      <c r="F2047" s="4" t="n">
        <f aca="false">D2047*E2047</f>
        <v>129.95</v>
      </c>
      <c r="G2047" s="7" t="n">
        <v>209</v>
      </c>
      <c r="H2047" s="9" t="n">
        <f aca="false">IF(G2047&gt;0,D2047/G2047,"")</f>
        <v>9.86124401913876</v>
      </c>
      <c r="I2047" s="10" t="n">
        <v>46289</v>
      </c>
      <c r="J2047" s="3" t="s">
        <v>1781</v>
      </c>
      <c r="K2047" s="10" t="n">
        <v>45748</v>
      </c>
      <c r="L2047" s="3" t="s">
        <v>20</v>
      </c>
      <c r="M2047" s="7" t="n">
        <v>3300</v>
      </c>
      <c r="N2047" s="8" t="n">
        <v>0.06305</v>
      </c>
      <c r="O2047" s="4" t="n">
        <f aca="false">M2047*N2047</f>
        <v>208.065</v>
      </c>
    </row>
    <row r="2048" customFormat="false" ht="15" hidden="false" customHeight="false" outlineLevel="0" collapsed="false">
      <c r="A2048" s="0" t="s">
        <v>3073</v>
      </c>
      <c r="C2048" s="0" t="s">
        <v>31</v>
      </c>
      <c r="D2048" s="7" t="n">
        <v>1289</v>
      </c>
      <c r="E2048" s="8" t="n">
        <v>0.100799069045772</v>
      </c>
      <c r="F2048" s="4" t="n">
        <f aca="false">D2048*E2048</f>
        <v>129.93</v>
      </c>
      <c r="G2048" s="7" t="n">
        <v>30</v>
      </c>
      <c r="H2048" s="9" t="n">
        <f aca="false">IF(G2048&gt;0,D2048/G2048,"")</f>
        <v>42.9666666666667</v>
      </c>
      <c r="I2048" s="10" t="n">
        <v>46121</v>
      </c>
      <c r="J2048" s="3" t="s">
        <v>3074</v>
      </c>
      <c r="K2048" s="10" t="n">
        <v>44242</v>
      </c>
      <c r="L2048" s="3" t="s">
        <v>19</v>
      </c>
      <c r="M2048" s="7" t="n">
        <v>2500</v>
      </c>
      <c r="N2048" s="8" t="n">
        <v>0.1008</v>
      </c>
      <c r="O2048" s="4" t="n">
        <f aca="false">M2048*N2048</f>
        <v>252</v>
      </c>
    </row>
    <row r="2049" customFormat="false" ht="15" hidden="false" customHeight="false" outlineLevel="0" collapsed="false">
      <c r="A2049" s="0" t="s">
        <v>3075</v>
      </c>
      <c r="C2049" s="0" t="s">
        <v>72</v>
      </c>
      <c r="D2049" s="7" t="n">
        <v>448</v>
      </c>
      <c r="E2049" s="8" t="n">
        <v>0.29</v>
      </c>
      <c r="F2049" s="4" t="n">
        <f aca="false">D2049*E2049</f>
        <v>129.92</v>
      </c>
      <c r="G2049" s="7" t="n">
        <v>431</v>
      </c>
      <c r="H2049" s="9" t="n">
        <f aca="false">IF(G2049&gt;0,D2049/G2049,"")</f>
        <v>1.03944315545244</v>
      </c>
      <c r="I2049" s="10" t="n">
        <v>46157</v>
      </c>
      <c r="J2049" s="3" t="s">
        <v>3076</v>
      </c>
      <c r="K2049" s="10" t="n">
        <v>45349</v>
      </c>
      <c r="L2049" s="3" t="s">
        <v>223</v>
      </c>
      <c r="M2049" s="7" t="n">
        <v>1000</v>
      </c>
      <c r="N2049" s="8" t="n">
        <v>0.29</v>
      </c>
      <c r="O2049" s="4" t="n">
        <f aca="false">M2049*N2049</f>
        <v>290</v>
      </c>
    </row>
    <row r="2050" customFormat="false" ht="15" hidden="false" customHeight="false" outlineLevel="0" collapsed="false">
      <c r="A2050" s="0" t="s">
        <v>3077</v>
      </c>
      <c r="C2050" s="0" t="s">
        <v>31</v>
      </c>
      <c r="D2050" s="7" t="n">
        <v>2985</v>
      </c>
      <c r="E2050" s="8" t="n">
        <v>0.043500837520938</v>
      </c>
      <c r="F2050" s="4" t="n">
        <f aca="false">D2050*E2050</f>
        <v>129.85</v>
      </c>
      <c r="G2050" s="7" t="n">
        <v>465</v>
      </c>
      <c r="H2050" s="9" t="n">
        <f aca="false">IF(G2050&gt;0,D2050/G2050,"")</f>
        <v>6.41935483870968</v>
      </c>
      <c r="I2050" s="10" t="n">
        <v>46259</v>
      </c>
      <c r="J2050" s="3" t="s">
        <v>2662</v>
      </c>
      <c r="K2050" s="10" t="n">
        <v>46190</v>
      </c>
      <c r="L2050" s="3" t="s">
        <v>16</v>
      </c>
      <c r="M2050" s="7" t="n">
        <v>3450</v>
      </c>
      <c r="N2050" s="8" t="n">
        <v>0.0435</v>
      </c>
      <c r="O2050" s="4" t="n">
        <f aca="false">M2050*N2050</f>
        <v>150.075</v>
      </c>
    </row>
    <row r="2051" customFormat="false" ht="15" hidden="false" customHeight="false" outlineLevel="0" collapsed="false">
      <c r="A2051" s="0" t="s">
        <v>3078</v>
      </c>
      <c r="C2051" s="0" t="s">
        <v>36</v>
      </c>
      <c r="D2051" s="7" t="n">
        <v>4411</v>
      </c>
      <c r="E2051" s="8" t="n">
        <v>0.0294014962593516</v>
      </c>
      <c r="F2051" s="4" t="n">
        <f aca="false">D2051*E2051</f>
        <v>129.69</v>
      </c>
      <c r="G2051" s="7" t="n">
        <v>905</v>
      </c>
      <c r="H2051" s="9" t="n">
        <f aca="false">IF(G2051&gt;0,D2051/G2051,"")</f>
        <v>4.87403314917127</v>
      </c>
      <c r="I2051" s="10" t="n">
        <v>46220</v>
      </c>
      <c r="J2051" s="3" t="s">
        <v>1028</v>
      </c>
      <c r="K2051" s="10" t="n">
        <v>45689</v>
      </c>
      <c r="L2051" s="3" t="s">
        <v>18</v>
      </c>
      <c r="M2051" s="7" t="n">
        <v>3600</v>
      </c>
      <c r="N2051" s="8" t="n">
        <v>0.0294</v>
      </c>
      <c r="O2051" s="4" t="n">
        <f aca="false">M2051*N2051</f>
        <v>105.84</v>
      </c>
    </row>
    <row r="2052" customFormat="false" ht="15" hidden="false" customHeight="false" outlineLevel="0" collapsed="false">
      <c r="A2052" s="0" t="s">
        <v>3079</v>
      </c>
      <c r="C2052" s="0" t="s">
        <v>79</v>
      </c>
      <c r="D2052" s="7" t="n">
        <v>585</v>
      </c>
      <c r="E2052" s="8" t="n">
        <v>0.221504273504274</v>
      </c>
      <c r="F2052" s="4" t="n">
        <f aca="false">D2052*E2052</f>
        <v>129.58</v>
      </c>
      <c r="G2052" s="7" t="n">
        <v>20</v>
      </c>
      <c r="H2052" s="9" t="n">
        <f aca="false">IF(G2052&gt;0,D2052/G2052,"")</f>
        <v>29.25</v>
      </c>
      <c r="I2052" s="10" t="n">
        <v>46146</v>
      </c>
      <c r="J2052" s="3" t="s">
        <v>1313</v>
      </c>
      <c r="K2052" s="10" t="n">
        <v>46086</v>
      </c>
      <c r="L2052" s="3" t="s">
        <v>16</v>
      </c>
      <c r="M2052" s="7" t="n">
        <v>605</v>
      </c>
      <c r="N2052" s="8" t="n">
        <v>0.2215</v>
      </c>
      <c r="O2052" s="4" t="n">
        <f aca="false">M2052*N2052</f>
        <v>134.0075</v>
      </c>
    </row>
    <row r="2053" customFormat="false" ht="15" hidden="false" customHeight="false" outlineLevel="0" collapsed="false">
      <c r="A2053" s="0" t="s">
        <v>3080</v>
      </c>
      <c r="C2053" s="0" t="s">
        <v>33</v>
      </c>
      <c r="D2053" s="7" t="n">
        <v>2338</v>
      </c>
      <c r="E2053" s="8" t="n">
        <v>0.0554020530367836</v>
      </c>
      <c r="F2053" s="4" t="n">
        <f aca="false">D2053*E2053</f>
        <v>129.53</v>
      </c>
      <c r="G2053" s="7" t="n">
        <v>1687</v>
      </c>
      <c r="H2053" s="9" t="n">
        <f aca="false">IF(G2053&gt;0,D2053/G2053,"")</f>
        <v>1.38589211618257</v>
      </c>
      <c r="I2053" s="10" t="n">
        <v>46294</v>
      </c>
      <c r="J2053" s="3" t="s">
        <v>230</v>
      </c>
      <c r="K2053" s="10" t="n">
        <v>46303</v>
      </c>
      <c r="L2053" s="3" t="s">
        <v>18</v>
      </c>
      <c r="M2053" s="7" t="n">
        <v>910</v>
      </c>
      <c r="N2053" s="8" t="n">
        <v>0.0554</v>
      </c>
      <c r="O2053" s="4" t="n">
        <f aca="false">M2053*N2053</f>
        <v>50.414</v>
      </c>
    </row>
    <row r="2054" customFormat="false" ht="15" hidden="false" customHeight="false" outlineLevel="0" collapsed="false">
      <c r="A2054" s="0" t="s">
        <v>3081</v>
      </c>
      <c r="C2054" s="0" t="s">
        <v>118</v>
      </c>
      <c r="D2054" s="7" t="n">
        <v>2950</v>
      </c>
      <c r="E2054" s="8" t="n">
        <v>0.0438983050847458</v>
      </c>
      <c r="F2054" s="4" t="n">
        <f aca="false">D2054*E2054</f>
        <v>129.5</v>
      </c>
      <c r="G2054" s="7" t="n">
        <v>455</v>
      </c>
      <c r="H2054" s="9" t="n">
        <f aca="false">IF(G2054&gt;0,D2054/G2054,"")</f>
        <v>6.48351648351648</v>
      </c>
      <c r="I2054" s="10" t="n">
        <v>46293</v>
      </c>
      <c r="J2054" s="3" t="s">
        <v>457</v>
      </c>
      <c r="K2054" s="10" t="n">
        <v>45866</v>
      </c>
      <c r="L2054" s="3" t="s">
        <v>16</v>
      </c>
      <c r="M2054" s="7" t="n">
        <v>3500</v>
      </c>
      <c r="N2054" s="8" t="n">
        <v>0.0439</v>
      </c>
      <c r="O2054" s="4" t="n">
        <f aca="false">M2054*N2054</f>
        <v>153.65</v>
      </c>
    </row>
    <row r="2055" customFormat="false" ht="15" hidden="false" customHeight="false" outlineLevel="0" collapsed="false">
      <c r="A2055" s="0" t="s">
        <v>3082</v>
      </c>
      <c r="C2055" s="0" t="s">
        <v>889</v>
      </c>
      <c r="D2055" s="7" t="n">
        <v>1238</v>
      </c>
      <c r="E2055" s="8" t="n">
        <v>0.104596122778675</v>
      </c>
      <c r="F2055" s="4" t="n">
        <f aca="false">D2055*E2055</f>
        <v>129.49</v>
      </c>
      <c r="G2055" s="7" t="n">
        <v>800</v>
      </c>
      <c r="H2055" s="9" t="n">
        <f aca="false">IF(G2055&gt;0,D2055/G2055,"")</f>
        <v>1.5475</v>
      </c>
      <c r="I2055" s="10" t="n">
        <v>46087</v>
      </c>
      <c r="J2055" s="3" t="s">
        <v>778</v>
      </c>
      <c r="K2055" s="10" t="n">
        <v>45967</v>
      </c>
      <c r="L2055" s="3" t="s">
        <v>15</v>
      </c>
      <c r="M2055" s="7" t="n">
        <v>2038</v>
      </c>
      <c r="N2055" s="8" t="n">
        <v>0.1046</v>
      </c>
      <c r="O2055" s="4" t="n">
        <f aca="false">M2055*N2055</f>
        <v>213.1748</v>
      </c>
    </row>
    <row r="2056" customFormat="false" ht="15" hidden="false" customHeight="false" outlineLevel="0" collapsed="false">
      <c r="A2056" s="0" t="s">
        <v>3083</v>
      </c>
      <c r="C2056" s="0" t="s">
        <v>1017</v>
      </c>
      <c r="D2056" s="7" t="n">
        <v>245</v>
      </c>
      <c r="E2056" s="8" t="n">
        <v>0.528489795918367</v>
      </c>
      <c r="F2056" s="4" t="n">
        <f aca="false">D2056*E2056</f>
        <v>129.48</v>
      </c>
      <c r="G2056" s="7" t="n">
        <v>220</v>
      </c>
      <c r="H2056" s="9" t="n">
        <f aca="false">IF(G2056&gt;0,D2056/G2056,"")</f>
        <v>1.11363636363636</v>
      </c>
      <c r="I2056" s="10" t="n">
        <v>46280</v>
      </c>
      <c r="J2056" s="3" t="s">
        <v>778</v>
      </c>
      <c r="K2056" s="10" t="n">
        <v>45967</v>
      </c>
      <c r="L2056" s="3" t="s">
        <v>15</v>
      </c>
      <c r="M2056" s="7" t="n">
        <v>465</v>
      </c>
      <c r="N2056" s="8" t="n">
        <v>0.52853</v>
      </c>
      <c r="O2056" s="4" t="n">
        <f aca="false">M2056*N2056</f>
        <v>245.76645</v>
      </c>
    </row>
    <row r="2057" customFormat="false" ht="15" hidden="false" customHeight="false" outlineLevel="0" collapsed="false">
      <c r="A2057" s="0" t="s">
        <v>3084</v>
      </c>
      <c r="C2057" s="0" t="s">
        <v>118</v>
      </c>
      <c r="D2057" s="7" t="n">
        <v>17130</v>
      </c>
      <c r="E2057" s="8" t="n">
        <v>0.0075569176882662</v>
      </c>
      <c r="F2057" s="4" t="n">
        <f aca="false">D2057*E2057</f>
        <v>129.45</v>
      </c>
      <c r="G2057" s="7" t="n">
        <v>2155</v>
      </c>
      <c r="H2057" s="9" t="n">
        <f aca="false">IF(G2057&gt;0,D2057/G2057,"")</f>
        <v>7.94895591647332</v>
      </c>
      <c r="I2057" s="10" t="n">
        <v>46301</v>
      </c>
      <c r="K2057" s="10"/>
      <c r="M2057" s="7"/>
      <c r="N2057" s="8"/>
      <c r="O2057" s="4"/>
    </row>
    <row r="2058" customFormat="false" ht="15" hidden="false" customHeight="false" outlineLevel="0" collapsed="false">
      <c r="A2058" s="0" t="s">
        <v>3085</v>
      </c>
      <c r="C2058" s="0" t="s">
        <v>934</v>
      </c>
      <c r="D2058" s="7" t="n">
        <v>106</v>
      </c>
      <c r="E2058" s="8" t="n">
        <v>1.22018867924528</v>
      </c>
      <c r="F2058" s="4" t="n">
        <f aca="false">D2058*E2058</f>
        <v>129.34</v>
      </c>
      <c r="G2058" s="7" t="n">
        <v>3</v>
      </c>
      <c r="H2058" s="9" t="n">
        <f aca="false">IF(G2058&gt;0,D2058/G2058,"")</f>
        <v>35.3333333333333</v>
      </c>
      <c r="I2058" s="10" t="n">
        <v>45957</v>
      </c>
      <c r="J2058" s="3" t="s">
        <v>3086</v>
      </c>
      <c r="K2058" s="10" t="n">
        <v>45659</v>
      </c>
      <c r="L2058" s="3" t="s">
        <v>936</v>
      </c>
      <c r="M2058" s="7" t="n">
        <v>205</v>
      </c>
      <c r="N2058" s="8" t="n">
        <v>1.2198</v>
      </c>
      <c r="O2058" s="4" t="n">
        <f aca="false">M2058*N2058</f>
        <v>250.059</v>
      </c>
    </row>
    <row r="2059" customFormat="false" ht="15" hidden="false" customHeight="false" outlineLevel="0" collapsed="false">
      <c r="A2059" s="0" t="s">
        <v>3087</v>
      </c>
      <c r="C2059" s="0" t="s">
        <v>741</v>
      </c>
      <c r="D2059" s="7" t="n">
        <v>1083</v>
      </c>
      <c r="E2059" s="8" t="n">
        <v>0.119427516158818</v>
      </c>
      <c r="F2059" s="4" t="n">
        <f aca="false">D2059*E2059</f>
        <v>129.34</v>
      </c>
      <c r="G2059" s="7" t="n">
        <v>20</v>
      </c>
      <c r="H2059" s="9" t="n">
        <f aca="false">IF(G2059&gt;0,D2059/G2059,"")</f>
        <v>54.15</v>
      </c>
      <c r="I2059" s="10" t="n">
        <v>46112</v>
      </c>
      <c r="J2059" s="3" t="s">
        <v>2219</v>
      </c>
      <c r="K2059" s="10" t="n">
        <v>46014</v>
      </c>
      <c r="L2059" s="3" t="s">
        <v>27</v>
      </c>
      <c r="M2059" s="7" t="n">
        <v>750</v>
      </c>
      <c r="N2059" s="8" t="n">
        <v>0.1198</v>
      </c>
      <c r="O2059" s="4" t="n">
        <f aca="false">M2059*N2059</f>
        <v>89.85</v>
      </c>
    </row>
    <row r="2060" customFormat="false" ht="15" hidden="false" customHeight="false" outlineLevel="0" collapsed="false">
      <c r="A2060" s="0" t="s">
        <v>3088</v>
      </c>
      <c r="C2060" s="0" t="s">
        <v>37</v>
      </c>
      <c r="D2060" s="7" t="n">
        <v>4078</v>
      </c>
      <c r="E2060" s="8" t="n">
        <v>0.0317067189798921</v>
      </c>
      <c r="F2060" s="4" t="n">
        <f aca="false">D2060*E2060</f>
        <v>129.3</v>
      </c>
      <c r="G2060" s="7" t="n">
        <v>300</v>
      </c>
      <c r="H2060" s="9" t="n">
        <f aca="false">IF(G2060&gt;0,D2060/G2060,"")</f>
        <v>13.5933333333333</v>
      </c>
      <c r="I2060" s="10" t="n">
        <v>45993</v>
      </c>
      <c r="J2060" s="3" t="s">
        <v>1936</v>
      </c>
      <c r="K2060" s="10" t="n">
        <v>45057</v>
      </c>
      <c r="L2060" s="3" t="s">
        <v>15</v>
      </c>
      <c r="M2060" s="7" t="n">
        <v>6300</v>
      </c>
      <c r="N2060" s="8" t="n">
        <v>0.0318</v>
      </c>
      <c r="O2060" s="4" t="n">
        <f aca="false">M2060*N2060</f>
        <v>200.34</v>
      </c>
    </row>
    <row r="2061" customFormat="false" ht="15" hidden="false" customHeight="false" outlineLevel="0" collapsed="false">
      <c r="A2061" s="0" t="s">
        <v>3089</v>
      </c>
      <c r="C2061" s="0" t="s">
        <v>360</v>
      </c>
      <c r="D2061" s="7" t="n">
        <v>5506</v>
      </c>
      <c r="E2061" s="8" t="n">
        <v>0.0234798401743553</v>
      </c>
      <c r="F2061" s="4" t="n">
        <f aca="false">D2061*E2061</f>
        <v>129.28</v>
      </c>
      <c r="G2061" s="7" t="n">
        <v>2278</v>
      </c>
      <c r="H2061" s="9" t="n">
        <f aca="false">IF(G2061&gt;0,D2061/G2061,"")</f>
        <v>2.41703248463565</v>
      </c>
      <c r="I2061" s="10" t="n">
        <v>46282</v>
      </c>
      <c r="J2061" s="3" t="s">
        <v>620</v>
      </c>
      <c r="K2061" s="10" t="n">
        <v>46146</v>
      </c>
      <c r="L2061" s="3" t="s">
        <v>16</v>
      </c>
      <c r="M2061" s="7" t="n">
        <v>6784</v>
      </c>
      <c r="N2061" s="8" t="n">
        <v>0.0235</v>
      </c>
      <c r="O2061" s="4" t="n">
        <f aca="false">M2061*N2061</f>
        <v>159.424</v>
      </c>
    </row>
    <row r="2062" customFormat="false" ht="15" hidden="false" customHeight="false" outlineLevel="0" collapsed="false">
      <c r="A2062" s="0" t="s">
        <v>3090</v>
      </c>
      <c r="C2062" s="0" t="s">
        <v>295</v>
      </c>
      <c r="D2062" s="7" t="n">
        <v>2394</v>
      </c>
      <c r="E2062" s="8" t="n">
        <v>0.0539974937343358</v>
      </c>
      <c r="F2062" s="4" t="n">
        <f aca="false">D2062*E2062</f>
        <v>129.27</v>
      </c>
      <c r="G2062" s="7" t="n">
        <v>1467</v>
      </c>
      <c r="H2062" s="9" t="n">
        <f aca="false">IF(G2062&gt;0,D2062/G2062,"")</f>
        <v>1.6319018404908</v>
      </c>
      <c r="I2062" s="10" t="n">
        <v>46265</v>
      </c>
      <c r="J2062" s="3" t="s">
        <v>338</v>
      </c>
      <c r="K2062" s="10" t="n">
        <v>44859</v>
      </c>
      <c r="L2062" s="3" t="s">
        <v>20</v>
      </c>
      <c r="M2062" s="7" t="n">
        <v>11500</v>
      </c>
      <c r="N2062" s="8" t="n">
        <v>0.054</v>
      </c>
      <c r="O2062" s="4" t="n">
        <f aca="false">M2062*N2062</f>
        <v>621</v>
      </c>
    </row>
    <row r="2063" customFormat="false" ht="15" hidden="false" customHeight="false" outlineLevel="0" collapsed="false">
      <c r="A2063" s="0" t="s">
        <v>3091</v>
      </c>
      <c r="C2063" s="0" t="s">
        <v>295</v>
      </c>
      <c r="D2063" s="7" t="n">
        <v>6822</v>
      </c>
      <c r="E2063" s="8" t="n">
        <v>0.0189035473468191</v>
      </c>
      <c r="F2063" s="4" t="n">
        <f aca="false">D2063*E2063</f>
        <v>128.96</v>
      </c>
      <c r="G2063" s="7" t="n">
        <v>3447</v>
      </c>
      <c r="H2063" s="9" t="n">
        <f aca="false">IF(G2063&gt;0,D2063/G2063,"")</f>
        <v>1.97911227154047</v>
      </c>
      <c r="I2063" s="10" t="n">
        <v>46314</v>
      </c>
      <c r="J2063" s="3" t="s">
        <v>1925</v>
      </c>
      <c r="K2063" s="10" t="n">
        <v>44817</v>
      </c>
      <c r="L2063" s="3" t="s">
        <v>1926</v>
      </c>
      <c r="M2063" s="7" t="n">
        <v>14000</v>
      </c>
      <c r="N2063" s="8" t="n">
        <v>0.0189</v>
      </c>
      <c r="O2063" s="4" t="n">
        <f aca="false">M2063*N2063</f>
        <v>264.6</v>
      </c>
    </row>
    <row r="2064" customFormat="false" ht="15" hidden="false" customHeight="false" outlineLevel="0" collapsed="false">
      <c r="A2064" s="0" t="s">
        <v>3092</v>
      </c>
      <c r="C2064" s="0" t="s">
        <v>36</v>
      </c>
      <c r="D2064" s="7" t="n">
        <v>4921</v>
      </c>
      <c r="E2064" s="8" t="n">
        <v>0.0261999593578541</v>
      </c>
      <c r="F2064" s="4" t="n">
        <f aca="false">D2064*E2064</f>
        <v>128.93</v>
      </c>
      <c r="G2064" s="7" t="n">
        <v>3029</v>
      </c>
      <c r="H2064" s="9" t="n">
        <f aca="false">IF(G2064&gt;0,D2064/G2064,"")</f>
        <v>1.62462859029383</v>
      </c>
      <c r="I2064" s="10" t="n">
        <v>46315</v>
      </c>
      <c r="J2064" s="3" t="s">
        <v>623</v>
      </c>
      <c r="K2064" s="10" t="n">
        <v>46294</v>
      </c>
      <c r="L2064" s="3" t="s">
        <v>16</v>
      </c>
      <c r="M2064" s="7" t="n">
        <v>5380</v>
      </c>
      <c r="N2064" s="8" t="n">
        <v>0.0262</v>
      </c>
      <c r="O2064" s="4" t="n">
        <f aca="false">M2064*N2064</f>
        <v>140.956</v>
      </c>
    </row>
    <row r="2065" customFormat="false" ht="15" hidden="false" customHeight="false" outlineLevel="0" collapsed="false">
      <c r="A2065" s="0" t="s">
        <v>3093</v>
      </c>
      <c r="C2065" s="0" t="s">
        <v>118</v>
      </c>
      <c r="D2065" s="7" t="n">
        <v>2452</v>
      </c>
      <c r="E2065" s="8" t="n">
        <v>0.052536704730832</v>
      </c>
      <c r="F2065" s="4" t="n">
        <f aca="false">D2065*E2065</f>
        <v>128.82</v>
      </c>
      <c r="G2065" s="7" t="n">
        <v>9</v>
      </c>
      <c r="H2065" s="9" t="n">
        <f aca="false">IF(G2065&gt;0,D2065/G2065,"")</f>
        <v>272.444444444444</v>
      </c>
      <c r="I2065" s="10" t="n">
        <v>46181</v>
      </c>
      <c r="J2065" s="3" t="s">
        <v>1648</v>
      </c>
      <c r="K2065" s="10" t="n">
        <v>45672</v>
      </c>
      <c r="L2065" s="3" t="s">
        <v>15</v>
      </c>
      <c r="M2065" s="7" t="n">
        <v>2465</v>
      </c>
      <c r="N2065" s="8" t="n">
        <v>0.05254</v>
      </c>
      <c r="O2065" s="4" t="n">
        <f aca="false">M2065*N2065</f>
        <v>129.5111</v>
      </c>
    </row>
    <row r="2066" customFormat="false" ht="15" hidden="false" customHeight="false" outlineLevel="0" collapsed="false">
      <c r="A2066" s="0" t="s">
        <v>3094</v>
      </c>
      <c r="C2066" s="0" t="s">
        <v>31</v>
      </c>
      <c r="D2066" s="7" t="n">
        <v>14146</v>
      </c>
      <c r="E2066" s="8" t="n">
        <v>0.00910221970875159</v>
      </c>
      <c r="F2066" s="4" t="n">
        <f aca="false">D2066*E2066</f>
        <v>128.76</v>
      </c>
      <c r="G2066" s="7" t="n">
        <v>358</v>
      </c>
      <c r="H2066" s="9" t="n">
        <f aca="false">IF(G2066&gt;0,D2066/G2066,"")</f>
        <v>39.5139664804469</v>
      </c>
      <c r="I2066" s="10" t="n">
        <v>46314</v>
      </c>
      <c r="K2066" s="10"/>
      <c r="M2066" s="7"/>
      <c r="N2066" s="8"/>
      <c r="O2066" s="4"/>
    </row>
    <row r="2067" customFormat="false" ht="15" hidden="false" customHeight="false" outlineLevel="0" collapsed="false">
      <c r="A2067" s="0" t="s">
        <v>3095</v>
      </c>
      <c r="C2067" s="0" t="s">
        <v>40</v>
      </c>
      <c r="D2067" s="7" t="n">
        <v>1305</v>
      </c>
      <c r="E2067" s="8" t="n">
        <v>0.0986130268199234</v>
      </c>
      <c r="F2067" s="4" t="n">
        <f aca="false">D2067*E2067</f>
        <v>128.69</v>
      </c>
      <c r="G2067" s="7" t="n">
        <v>747</v>
      </c>
      <c r="H2067" s="9" t="n">
        <f aca="false">IF(G2067&gt;0,D2067/G2067,"")</f>
        <v>1.74698795180723</v>
      </c>
      <c r="I2067" s="10" t="n">
        <v>46309</v>
      </c>
      <c r="J2067" s="3" t="s">
        <v>3096</v>
      </c>
      <c r="K2067" s="10" t="n">
        <v>44616</v>
      </c>
      <c r="L2067" s="3" t="s">
        <v>18</v>
      </c>
      <c r="M2067" s="7" t="n">
        <v>4500</v>
      </c>
      <c r="N2067" s="8" t="n">
        <v>0.0986</v>
      </c>
      <c r="O2067" s="4" t="n">
        <f aca="false">M2067*N2067</f>
        <v>443.7</v>
      </c>
    </row>
    <row r="2068" customFormat="false" ht="15" hidden="false" customHeight="false" outlineLevel="0" collapsed="false">
      <c r="A2068" s="0" t="s">
        <v>3097</v>
      </c>
      <c r="C2068" s="0" t="s">
        <v>934</v>
      </c>
      <c r="D2068" s="7" t="n">
        <v>232</v>
      </c>
      <c r="E2068" s="8" t="n">
        <v>0.554612068965517</v>
      </c>
      <c r="F2068" s="4" t="n">
        <f aca="false">D2068*E2068</f>
        <v>128.67</v>
      </c>
      <c r="G2068" s="7" t="n">
        <v>8</v>
      </c>
      <c r="H2068" s="9" t="n">
        <f aca="false">IF(G2068&gt;0,D2068/G2068,"")</f>
        <v>29</v>
      </c>
      <c r="I2068" s="10" t="n">
        <v>46071</v>
      </c>
      <c r="K2068" s="10"/>
      <c r="M2068" s="7"/>
      <c r="N2068" s="8"/>
      <c r="O2068" s="4"/>
    </row>
    <row r="2069" customFormat="false" ht="15" hidden="false" customHeight="false" outlineLevel="0" collapsed="false">
      <c r="A2069" s="0" t="s">
        <v>3098</v>
      </c>
      <c r="C2069" s="0" t="s">
        <v>979</v>
      </c>
      <c r="D2069" s="7" t="n">
        <v>615</v>
      </c>
      <c r="E2069" s="8" t="n">
        <v>0.20920325203252</v>
      </c>
      <c r="F2069" s="4" t="n">
        <f aca="false">D2069*E2069</f>
        <v>128.66</v>
      </c>
      <c r="G2069" s="7" t="n">
        <v>485</v>
      </c>
      <c r="H2069" s="9" t="n">
        <f aca="false">IF(G2069&gt;0,D2069/G2069,"")</f>
        <v>1.2680412371134</v>
      </c>
      <c r="I2069" s="10" t="n">
        <v>46127</v>
      </c>
      <c r="J2069" s="3" t="s">
        <v>3099</v>
      </c>
      <c r="K2069" s="10" t="n">
        <v>45946</v>
      </c>
      <c r="L2069" s="3" t="s">
        <v>18</v>
      </c>
      <c r="M2069" s="7" t="n">
        <v>1100</v>
      </c>
      <c r="N2069" s="8" t="n">
        <v>0.2092</v>
      </c>
      <c r="O2069" s="4" t="n">
        <f aca="false">M2069*N2069</f>
        <v>230.12</v>
      </c>
    </row>
    <row r="2070" customFormat="false" ht="15" hidden="false" customHeight="false" outlineLevel="0" collapsed="false">
      <c r="A2070" s="0" t="s">
        <v>3100</v>
      </c>
      <c r="C2070" s="0" t="s">
        <v>34</v>
      </c>
      <c r="D2070" s="7" t="n">
        <v>1497</v>
      </c>
      <c r="E2070" s="8" t="n">
        <v>0.085938543754175</v>
      </c>
      <c r="F2070" s="4" t="n">
        <f aca="false">D2070*E2070</f>
        <v>128.65</v>
      </c>
      <c r="G2070" s="7" t="n">
        <v>55</v>
      </c>
      <c r="H2070" s="9" t="n">
        <f aca="false">IF(G2070&gt;0,D2070/G2070,"")</f>
        <v>27.2181818181818</v>
      </c>
      <c r="I2070" s="10" t="n">
        <v>46245</v>
      </c>
      <c r="K2070" s="10"/>
      <c r="M2070" s="7"/>
      <c r="N2070" s="8"/>
      <c r="O2070" s="4"/>
    </row>
    <row r="2071" customFormat="false" ht="15" hidden="false" customHeight="false" outlineLevel="0" collapsed="false">
      <c r="A2071" s="0" t="s">
        <v>3101</v>
      </c>
      <c r="C2071" s="0" t="s">
        <v>39</v>
      </c>
      <c r="D2071" s="7" t="n">
        <v>758</v>
      </c>
      <c r="E2071" s="8" t="n">
        <v>0.169366754617414</v>
      </c>
      <c r="F2071" s="4" t="n">
        <f aca="false">D2071*E2071</f>
        <v>128.38</v>
      </c>
      <c r="G2071" s="7" t="n">
        <v>544</v>
      </c>
      <c r="H2071" s="9" t="n">
        <f aca="false">IF(G2071&gt;0,D2071/G2071,"")</f>
        <v>1.39338235294118</v>
      </c>
      <c r="I2071" s="10" t="n">
        <v>46315</v>
      </c>
      <c r="J2071" s="3" t="s">
        <v>1326</v>
      </c>
      <c r="K2071" s="10" t="n">
        <v>46177</v>
      </c>
      <c r="L2071" s="3" t="s">
        <v>18</v>
      </c>
      <c r="M2071" s="7" t="n">
        <v>500</v>
      </c>
      <c r="N2071" s="8" t="n">
        <v>0.1694</v>
      </c>
      <c r="O2071" s="4" t="n">
        <f aca="false">M2071*N2071</f>
        <v>84.7</v>
      </c>
    </row>
    <row r="2072" customFormat="false" ht="15" hidden="false" customHeight="false" outlineLevel="0" collapsed="false">
      <c r="A2072" s="0" t="s">
        <v>3102</v>
      </c>
      <c r="C2072" s="0" t="s">
        <v>32</v>
      </c>
      <c r="D2072" s="7" t="n">
        <v>111</v>
      </c>
      <c r="E2072" s="8" t="n">
        <v>1.15648648648649</v>
      </c>
      <c r="F2072" s="4" t="n">
        <f aca="false">D2072*E2072</f>
        <v>128.37</v>
      </c>
      <c r="G2072" s="7" t="n">
        <v>25</v>
      </c>
      <c r="H2072" s="9" t="n">
        <f aca="false">IF(G2072&gt;0,D2072/G2072,"")</f>
        <v>4.44</v>
      </c>
      <c r="I2072" s="10" t="n">
        <v>46212</v>
      </c>
      <c r="J2072" s="3" t="s">
        <v>548</v>
      </c>
      <c r="K2072" s="10" t="n">
        <v>46217</v>
      </c>
      <c r="L2072" s="3" t="s">
        <v>14</v>
      </c>
      <c r="M2072" s="7" t="n">
        <v>100</v>
      </c>
      <c r="N2072" s="8" t="n">
        <v>1.195</v>
      </c>
      <c r="O2072" s="4" t="n">
        <f aca="false">M2072*N2072</f>
        <v>119.5</v>
      </c>
    </row>
    <row r="2073" customFormat="false" ht="15" hidden="false" customHeight="false" outlineLevel="0" collapsed="false">
      <c r="A2073" s="0" t="s">
        <v>3103</v>
      </c>
      <c r="C2073" s="0" t="s">
        <v>1169</v>
      </c>
      <c r="D2073" s="7" t="n">
        <v>1823</v>
      </c>
      <c r="E2073" s="8" t="n">
        <v>0.0704168952276467</v>
      </c>
      <c r="F2073" s="4" t="n">
        <f aca="false">D2073*E2073</f>
        <v>128.37</v>
      </c>
      <c r="G2073" s="7" t="n">
        <v>145</v>
      </c>
      <c r="H2073" s="9" t="n">
        <f aca="false">IF(G2073&gt;0,D2073/G2073,"")</f>
        <v>12.5724137931034</v>
      </c>
      <c r="I2073" s="10" t="n">
        <v>46141</v>
      </c>
      <c r="J2073" s="3" t="s">
        <v>2900</v>
      </c>
      <c r="K2073" s="10" t="n">
        <v>45468</v>
      </c>
      <c r="L2073" s="3" t="s">
        <v>21</v>
      </c>
      <c r="M2073" s="7" t="n">
        <v>2000</v>
      </c>
      <c r="N2073" s="8" t="n">
        <v>0.07</v>
      </c>
      <c r="O2073" s="4" t="n">
        <f aca="false">M2073*N2073</f>
        <v>140</v>
      </c>
    </row>
    <row r="2074" customFormat="false" ht="15" hidden="false" customHeight="false" outlineLevel="0" collapsed="false">
      <c r="A2074" s="0" t="s">
        <v>3104</v>
      </c>
      <c r="C2074" s="0" t="s">
        <v>40</v>
      </c>
      <c r="D2074" s="7" t="n">
        <v>551</v>
      </c>
      <c r="E2074" s="8" t="n">
        <v>0.232903811252269</v>
      </c>
      <c r="F2074" s="4" t="n">
        <f aca="false">D2074*E2074</f>
        <v>128.33</v>
      </c>
      <c r="G2074" s="7" t="n">
        <v>10</v>
      </c>
      <c r="H2074" s="9" t="n">
        <f aca="false">IF(G2074&gt;0,D2074/G2074,"")</f>
        <v>55.1</v>
      </c>
      <c r="I2074" s="10" t="n">
        <v>46009</v>
      </c>
      <c r="J2074" s="3" t="s">
        <v>3105</v>
      </c>
      <c r="K2074" s="10" t="n">
        <v>45405</v>
      </c>
      <c r="L2074" s="3" t="s">
        <v>18</v>
      </c>
      <c r="M2074" s="7" t="n">
        <v>589</v>
      </c>
      <c r="N2074" s="8" t="n">
        <v>0.2329</v>
      </c>
      <c r="O2074" s="4" t="n">
        <f aca="false">M2074*N2074</f>
        <v>137.1781</v>
      </c>
    </row>
    <row r="2075" customFormat="false" ht="15" hidden="false" customHeight="false" outlineLevel="0" collapsed="false">
      <c r="A2075" s="0" t="s">
        <v>3106</v>
      </c>
      <c r="C2075" s="0" t="s">
        <v>31</v>
      </c>
      <c r="D2075" s="7" t="n">
        <v>25041</v>
      </c>
      <c r="E2075" s="8" t="n">
        <v>0.00511561039894573</v>
      </c>
      <c r="F2075" s="4" t="n">
        <f aca="false">D2075*E2075</f>
        <v>128.1</v>
      </c>
      <c r="G2075" s="7" t="n">
        <v>21397</v>
      </c>
      <c r="H2075" s="9" t="n">
        <f aca="false">IF(G2075&gt;0,D2075/G2075,"")</f>
        <v>1.1703042482591</v>
      </c>
      <c r="I2075" s="10" t="n">
        <v>46294</v>
      </c>
      <c r="J2075" s="3" t="s">
        <v>3107</v>
      </c>
      <c r="K2075" s="10" t="n">
        <v>46062</v>
      </c>
      <c r="L2075" s="3" t="s">
        <v>19</v>
      </c>
      <c r="M2075" s="7" t="n">
        <v>5000</v>
      </c>
      <c r="N2075" s="8" t="n">
        <v>0.0146</v>
      </c>
      <c r="O2075" s="4" t="n">
        <f aca="false">M2075*N2075</f>
        <v>73</v>
      </c>
    </row>
    <row r="2076" customFormat="false" ht="15" hidden="false" customHeight="false" outlineLevel="0" collapsed="false">
      <c r="A2076" s="0" t="s">
        <v>3108</v>
      </c>
      <c r="C2076" s="0" t="s">
        <v>1169</v>
      </c>
      <c r="D2076" s="7" t="n">
        <v>397</v>
      </c>
      <c r="E2076" s="8" t="n">
        <v>0.321939546599496</v>
      </c>
      <c r="F2076" s="4" t="n">
        <f aca="false">D2076*E2076</f>
        <v>127.81</v>
      </c>
      <c r="G2076" s="7" t="n">
        <v>4</v>
      </c>
      <c r="H2076" s="9" t="n">
        <f aca="false">IF(G2076&gt;0,D2076/G2076,"")</f>
        <v>99.25</v>
      </c>
      <c r="I2076" s="10" t="n">
        <v>46086</v>
      </c>
      <c r="J2076" s="3" t="s">
        <v>2202</v>
      </c>
      <c r="K2076" s="10" t="n">
        <v>46083</v>
      </c>
      <c r="L2076" s="3" t="s">
        <v>2203</v>
      </c>
      <c r="M2076" s="7" t="n">
        <v>25</v>
      </c>
      <c r="N2076" s="8" t="n">
        <v>1.1052</v>
      </c>
      <c r="O2076" s="4" t="n">
        <f aca="false">M2076*N2076</f>
        <v>27.63</v>
      </c>
    </row>
    <row r="2077" customFormat="false" ht="15" hidden="false" customHeight="false" outlineLevel="0" collapsed="false">
      <c r="A2077" s="0" t="s">
        <v>3109</v>
      </c>
      <c r="C2077" s="0" t="s">
        <v>35</v>
      </c>
      <c r="D2077" s="7" t="n">
        <v>67</v>
      </c>
      <c r="E2077" s="8" t="n">
        <v>1.90746268656716</v>
      </c>
      <c r="F2077" s="4" t="n">
        <f aca="false">D2077*E2077</f>
        <v>127.8</v>
      </c>
      <c r="G2077" s="7" t="n">
        <v>9</v>
      </c>
      <c r="H2077" s="9" t="n">
        <f aca="false">IF(G2077&gt;0,D2077/G2077,"")</f>
        <v>7.44444444444445</v>
      </c>
      <c r="I2077" s="10" t="n">
        <v>46133</v>
      </c>
      <c r="J2077" s="3" t="s">
        <v>538</v>
      </c>
      <c r="K2077" s="10" t="n">
        <v>45832</v>
      </c>
      <c r="L2077" s="3" t="s">
        <v>14</v>
      </c>
      <c r="M2077" s="7" t="n">
        <v>100</v>
      </c>
      <c r="N2077" s="8" t="n">
        <v>1.9075</v>
      </c>
      <c r="O2077" s="4" t="n">
        <f aca="false">M2077*N2077</f>
        <v>190.75</v>
      </c>
    </row>
    <row r="2078" customFormat="false" ht="15" hidden="false" customHeight="false" outlineLevel="0" collapsed="false">
      <c r="A2078" s="0" t="s">
        <v>3110</v>
      </c>
      <c r="C2078" s="0" t="s">
        <v>37</v>
      </c>
      <c r="D2078" s="7" t="n">
        <v>4423</v>
      </c>
      <c r="E2078" s="8" t="n">
        <v>0.0288763282839702</v>
      </c>
      <c r="F2078" s="4" t="n">
        <f aca="false">D2078*E2078</f>
        <v>127.72</v>
      </c>
      <c r="G2078" s="7" t="n">
        <v>96</v>
      </c>
      <c r="H2078" s="9" t="n">
        <f aca="false">IF(G2078&gt;0,D2078/G2078,"")</f>
        <v>46.0729166666667</v>
      </c>
      <c r="I2078" s="10" t="n">
        <v>46148</v>
      </c>
      <c r="J2078" s="3" t="s">
        <v>1936</v>
      </c>
      <c r="K2078" s="10" t="n">
        <v>45057</v>
      </c>
      <c r="L2078" s="3" t="s">
        <v>15</v>
      </c>
      <c r="M2078" s="7" t="n">
        <v>4207</v>
      </c>
      <c r="N2078" s="8" t="n">
        <v>0.02903</v>
      </c>
      <c r="O2078" s="4" t="n">
        <f aca="false">M2078*N2078</f>
        <v>122.12921</v>
      </c>
    </row>
    <row r="2079" customFormat="false" ht="15" hidden="false" customHeight="false" outlineLevel="0" collapsed="false">
      <c r="A2079" s="0" t="s">
        <v>3111</v>
      </c>
      <c r="C2079" s="0" t="s">
        <v>1169</v>
      </c>
      <c r="D2079" s="7" t="n">
        <v>4486</v>
      </c>
      <c r="E2079" s="8" t="n">
        <v>0.0284373606776638</v>
      </c>
      <c r="F2079" s="4" t="n">
        <f aca="false">D2079*E2079</f>
        <v>127.57</v>
      </c>
      <c r="G2079" s="7" t="n">
        <v>60</v>
      </c>
      <c r="H2079" s="9" t="n">
        <f aca="false">IF(G2079&gt;0,D2079/G2079,"")</f>
        <v>74.7666666666667</v>
      </c>
      <c r="I2079" s="10" t="n">
        <v>46108</v>
      </c>
      <c r="J2079" s="3" t="s">
        <v>2054</v>
      </c>
      <c r="K2079" s="10" t="n">
        <v>45176</v>
      </c>
      <c r="L2079" s="3" t="s">
        <v>21</v>
      </c>
      <c r="M2079" s="7" t="n">
        <v>5000</v>
      </c>
      <c r="N2079" s="8" t="n">
        <v>0.027</v>
      </c>
      <c r="O2079" s="4" t="n">
        <f aca="false">M2079*N2079</f>
        <v>135</v>
      </c>
    </row>
    <row r="2080" customFormat="false" ht="15" hidden="false" customHeight="false" outlineLevel="0" collapsed="false">
      <c r="A2080" s="0" t="s">
        <v>3112</v>
      </c>
      <c r="C2080" s="0" t="s">
        <v>31</v>
      </c>
      <c r="D2080" s="7" t="n">
        <v>25274</v>
      </c>
      <c r="E2080" s="8" t="n">
        <v>0.00504154467041228</v>
      </c>
      <c r="F2080" s="4" t="n">
        <f aca="false">D2080*E2080</f>
        <v>127.42</v>
      </c>
      <c r="G2080" s="7" t="n">
        <v>6184</v>
      </c>
      <c r="H2080" s="9" t="n">
        <f aca="false">IF(G2080&gt;0,D2080/G2080,"")</f>
        <v>4.08699870633894</v>
      </c>
      <c r="I2080" s="10" t="n">
        <v>46309</v>
      </c>
      <c r="J2080" s="3" t="s">
        <v>278</v>
      </c>
      <c r="K2080" s="10" t="n">
        <v>45967</v>
      </c>
      <c r="L2080" s="3" t="s">
        <v>16</v>
      </c>
      <c r="M2080" s="7" t="n">
        <v>30000</v>
      </c>
      <c r="N2080" s="8" t="n">
        <v>0.00504</v>
      </c>
      <c r="O2080" s="4" t="n">
        <f aca="false">M2080*N2080</f>
        <v>151.2</v>
      </c>
    </row>
    <row r="2081" customFormat="false" ht="15" hidden="false" customHeight="false" outlineLevel="0" collapsed="false">
      <c r="A2081" s="0" t="s">
        <v>3113</v>
      </c>
      <c r="C2081" s="0" t="s">
        <v>35</v>
      </c>
      <c r="D2081" s="7" t="n">
        <v>932</v>
      </c>
      <c r="E2081" s="8" t="n">
        <v>0.136706008583691</v>
      </c>
      <c r="F2081" s="4" t="n">
        <f aca="false">D2081*E2081</f>
        <v>127.41</v>
      </c>
      <c r="G2081" s="7" t="n">
        <v>53</v>
      </c>
      <c r="H2081" s="9" t="n">
        <f aca="false">IF(G2081&gt;0,D2081/G2081,"")</f>
        <v>17.5849056603774</v>
      </c>
      <c r="I2081" s="10" t="n">
        <v>46197</v>
      </c>
      <c r="J2081" s="3" t="s">
        <v>881</v>
      </c>
      <c r="K2081" s="10" t="n">
        <v>45896</v>
      </c>
      <c r="L2081" s="3" t="s">
        <v>14</v>
      </c>
      <c r="M2081" s="7" t="n">
        <v>1000</v>
      </c>
      <c r="N2081" s="8" t="n">
        <v>0.1367</v>
      </c>
      <c r="O2081" s="4" t="n">
        <f aca="false">M2081*N2081</f>
        <v>136.7</v>
      </c>
    </row>
    <row r="2082" customFormat="false" ht="15" hidden="false" customHeight="false" outlineLevel="0" collapsed="false">
      <c r="A2082" s="0" t="s">
        <v>3114</v>
      </c>
      <c r="C2082" s="0" t="s">
        <v>1039</v>
      </c>
      <c r="D2082" s="7" t="n">
        <v>1371</v>
      </c>
      <c r="E2082" s="8" t="n">
        <v>0.092910284463895</v>
      </c>
      <c r="F2082" s="4" t="n">
        <f aca="false">D2082*E2082</f>
        <v>127.38</v>
      </c>
      <c r="G2082" s="7" t="n">
        <v>1250</v>
      </c>
      <c r="H2082" s="9" t="n">
        <f aca="false">IF(G2082&gt;0,D2082/G2082,"")</f>
        <v>1.0968</v>
      </c>
      <c r="I2082" s="10" t="n">
        <v>46185</v>
      </c>
      <c r="J2082" s="3" t="s">
        <v>1722</v>
      </c>
      <c r="K2082" s="10" t="n">
        <v>46146</v>
      </c>
      <c r="L2082" s="3" t="s">
        <v>19</v>
      </c>
      <c r="M2082" s="7" t="n">
        <v>2500</v>
      </c>
      <c r="N2082" s="8" t="n">
        <v>0.0934</v>
      </c>
      <c r="O2082" s="4" t="n">
        <f aca="false">M2082*N2082</f>
        <v>233.5</v>
      </c>
    </row>
    <row r="2083" customFormat="false" ht="15" hidden="false" customHeight="false" outlineLevel="0" collapsed="false">
      <c r="A2083" s="0" t="s">
        <v>3115</v>
      </c>
      <c r="C2083" s="0" t="s">
        <v>40</v>
      </c>
      <c r="D2083" s="7" t="n">
        <v>32769</v>
      </c>
      <c r="E2083" s="8" t="n">
        <v>0.00388660014037658</v>
      </c>
      <c r="F2083" s="4" t="n">
        <f aca="false">D2083*E2083</f>
        <v>127.36</v>
      </c>
      <c r="G2083" s="7" t="n">
        <v>11045</v>
      </c>
      <c r="H2083" s="9" t="n">
        <f aca="false">IF(G2083&gt;0,D2083/G2083,"")</f>
        <v>2.96686283386148</v>
      </c>
      <c r="I2083" s="10" t="n">
        <v>46315</v>
      </c>
      <c r="J2083" s="3" t="s">
        <v>98</v>
      </c>
      <c r="K2083" s="10" t="n">
        <v>44600</v>
      </c>
      <c r="L2083" s="3" t="s">
        <v>28</v>
      </c>
      <c r="M2083" s="7" t="n">
        <v>10395</v>
      </c>
      <c r="N2083" s="8" t="n">
        <v>0</v>
      </c>
      <c r="O2083" s="4" t="n">
        <v>50.6</v>
      </c>
    </row>
    <row r="2084" customFormat="false" ht="15" hidden="false" customHeight="false" outlineLevel="0" collapsed="false">
      <c r="A2084" s="0" t="s">
        <v>3116</v>
      </c>
      <c r="C2084" s="0" t="s">
        <v>37</v>
      </c>
      <c r="D2084" s="7" t="n">
        <v>774</v>
      </c>
      <c r="E2084" s="8" t="n">
        <v>0.1643669250646</v>
      </c>
      <c r="F2084" s="4" t="n">
        <f aca="false">D2084*E2084</f>
        <v>127.22</v>
      </c>
      <c r="G2084" s="7" t="n">
        <v>24</v>
      </c>
      <c r="H2084" s="9" t="n">
        <f aca="false">IF(G2084&gt;0,D2084/G2084,"")</f>
        <v>32.25</v>
      </c>
      <c r="I2084" s="10" t="n">
        <v>46268</v>
      </c>
      <c r="J2084" s="3" t="s">
        <v>341</v>
      </c>
      <c r="K2084" s="10" t="n">
        <v>46078</v>
      </c>
      <c r="L2084" s="3" t="s">
        <v>15</v>
      </c>
      <c r="M2084" s="7" t="n">
        <v>798</v>
      </c>
      <c r="N2084" s="8" t="n">
        <v>0.16436</v>
      </c>
      <c r="O2084" s="4" t="n">
        <f aca="false">M2084*N2084</f>
        <v>131.15928</v>
      </c>
    </row>
    <row r="2085" customFormat="false" ht="15" hidden="false" customHeight="false" outlineLevel="0" collapsed="false">
      <c r="A2085" s="0" t="s">
        <v>3117</v>
      </c>
      <c r="C2085" s="0" t="s">
        <v>1802</v>
      </c>
      <c r="D2085" s="7" t="n">
        <v>170</v>
      </c>
      <c r="E2085" s="8" t="n">
        <v>0.747588235294118</v>
      </c>
      <c r="F2085" s="4" t="n">
        <f aca="false">D2085*E2085</f>
        <v>127.09</v>
      </c>
      <c r="G2085" s="7" t="n">
        <v>63</v>
      </c>
      <c r="H2085" s="9" t="n">
        <f aca="false">IF(G2085&gt;0,D2085/G2085,"")</f>
        <v>2.6984126984127</v>
      </c>
      <c r="I2085" s="10" t="n">
        <v>46157</v>
      </c>
      <c r="J2085" s="3" t="s">
        <v>426</v>
      </c>
      <c r="K2085" s="10" t="n">
        <v>46038</v>
      </c>
      <c r="L2085" s="3" t="s">
        <v>14</v>
      </c>
      <c r="M2085" s="7" t="n">
        <v>200</v>
      </c>
      <c r="N2085" s="8" t="n">
        <v>0.7464</v>
      </c>
      <c r="O2085" s="4" t="n">
        <f aca="false">M2085*N2085</f>
        <v>149.28</v>
      </c>
    </row>
    <row r="2086" customFormat="false" ht="15" hidden="false" customHeight="false" outlineLevel="0" collapsed="false">
      <c r="A2086" s="0" t="s">
        <v>3118</v>
      </c>
      <c r="C2086" s="0" t="s">
        <v>855</v>
      </c>
      <c r="D2086" s="7" t="n">
        <v>2608</v>
      </c>
      <c r="E2086" s="8" t="n">
        <v>0.0487193251533742</v>
      </c>
      <c r="F2086" s="4" t="n">
        <f aca="false">D2086*E2086</f>
        <v>127.06</v>
      </c>
      <c r="G2086" s="7" t="n">
        <v>50</v>
      </c>
      <c r="H2086" s="9" t="n">
        <f aca="false">IF(G2086&gt;0,D2086/G2086,"")</f>
        <v>52.16</v>
      </c>
      <c r="I2086" s="10" t="n">
        <v>46246</v>
      </c>
      <c r="K2086" s="10"/>
      <c r="M2086" s="7"/>
      <c r="N2086" s="8"/>
      <c r="O2086" s="4"/>
    </row>
    <row r="2087" customFormat="false" ht="15" hidden="false" customHeight="false" outlineLevel="0" collapsed="false">
      <c r="A2087" s="0" t="s">
        <v>3119</v>
      </c>
      <c r="C2087" s="0" t="s">
        <v>1802</v>
      </c>
      <c r="D2087" s="7" t="n">
        <v>108</v>
      </c>
      <c r="E2087" s="8" t="n">
        <v>1.17601851851852</v>
      </c>
      <c r="F2087" s="4" t="n">
        <f aca="false">D2087*E2087</f>
        <v>127.01</v>
      </c>
      <c r="G2087" s="7" t="n">
        <v>78</v>
      </c>
      <c r="H2087" s="9" t="n">
        <f aca="false">IF(G2087&gt;0,D2087/G2087,"")</f>
        <v>1.38461538461538</v>
      </c>
      <c r="I2087" s="10" t="n">
        <v>46251</v>
      </c>
      <c r="J2087" s="3" t="s">
        <v>269</v>
      </c>
      <c r="K2087" s="10" t="n">
        <v>46252</v>
      </c>
      <c r="L2087" s="3" t="s">
        <v>14</v>
      </c>
      <c r="M2087" s="7" t="n">
        <v>100</v>
      </c>
      <c r="N2087" s="8" t="n">
        <v>1.166</v>
      </c>
      <c r="O2087" s="4" t="n">
        <f aca="false">M2087*N2087</f>
        <v>116.6</v>
      </c>
    </row>
    <row r="2088" customFormat="false" ht="15" hidden="false" customHeight="false" outlineLevel="0" collapsed="false">
      <c r="A2088" s="0" t="s">
        <v>3120</v>
      </c>
      <c r="C2088" s="0" t="s">
        <v>855</v>
      </c>
      <c r="D2088" s="7" t="n">
        <v>4272</v>
      </c>
      <c r="E2088" s="8" t="n">
        <v>0.0297097378277154</v>
      </c>
      <c r="F2088" s="4" t="n">
        <f aca="false">D2088*E2088</f>
        <v>126.92</v>
      </c>
      <c r="G2088" s="7" t="n">
        <v>20</v>
      </c>
      <c r="H2088" s="9" t="n">
        <f aca="false">IF(G2088&gt;0,D2088/G2088,"")</f>
        <v>213.6</v>
      </c>
      <c r="I2088" s="10" t="n">
        <v>46279</v>
      </c>
      <c r="J2088" s="3" t="s">
        <v>3121</v>
      </c>
      <c r="K2088" s="10" t="n">
        <v>45447</v>
      </c>
      <c r="L2088" s="3" t="s">
        <v>16</v>
      </c>
      <c r="M2088" s="7" t="n">
        <v>7000</v>
      </c>
      <c r="N2088" s="8" t="n">
        <v>0.0297</v>
      </c>
      <c r="O2088" s="4" t="n">
        <f aca="false">M2088*N2088</f>
        <v>207.9</v>
      </c>
    </row>
    <row r="2089" customFormat="false" ht="15" hidden="false" customHeight="false" outlineLevel="0" collapsed="false">
      <c r="A2089" s="0" t="s">
        <v>3122</v>
      </c>
      <c r="C2089" s="0" t="s">
        <v>40</v>
      </c>
      <c r="D2089" s="7" t="n">
        <v>1612</v>
      </c>
      <c r="E2089" s="8" t="n">
        <v>0.0787158808933002</v>
      </c>
      <c r="F2089" s="4" t="n">
        <f aca="false">D2089*E2089</f>
        <v>126.89</v>
      </c>
      <c r="G2089" s="7" t="n">
        <v>133</v>
      </c>
      <c r="H2089" s="9" t="n">
        <f aca="false">IF(G2089&gt;0,D2089/G2089,"")</f>
        <v>12.1203007518797</v>
      </c>
      <c r="I2089" s="10" t="n">
        <v>46314</v>
      </c>
      <c r="J2089" s="3" t="s">
        <v>3123</v>
      </c>
      <c r="K2089" s="10" t="n">
        <v>44643</v>
      </c>
      <c r="L2089" s="3" t="s">
        <v>19</v>
      </c>
      <c r="M2089" s="7" t="n">
        <v>4645</v>
      </c>
      <c r="N2089" s="8" t="n">
        <v>0.0787</v>
      </c>
      <c r="O2089" s="4" t="n">
        <f aca="false">M2089*N2089</f>
        <v>365.5615</v>
      </c>
    </row>
    <row r="2090" customFormat="false" ht="15" hidden="false" customHeight="false" outlineLevel="0" collapsed="false">
      <c r="A2090" s="0" t="s">
        <v>3124</v>
      </c>
      <c r="C2090" s="0" t="s">
        <v>45</v>
      </c>
      <c r="D2090" s="7" t="n">
        <v>376</v>
      </c>
      <c r="E2090" s="8" t="n">
        <v>0.336994680851064</v>
      </c>
      <c r="F2090" s="4" t="n">
        <f aca="false">D2090*E2090</f>
        <v>126.71</v>
      </c>
      <c r="G2090" s="7" t="n">
        <v>25</v>
      </c>
      <c r="H2090" s="9" t="n">
        <f aca="false">IF(G2090&gt;0,D2090/G2090,"")</f>
        <v>15.04</v>
      </c>
      <c r="I2090" s="10" t="n">
        <v>46301</v>
      </c>
      <c r="J2090" s="3" t="s">
        <v>3125</v>
      </c>
      <c r="K2090" s="10" t="n">
        <v>44932</v>
      </c>
      <c r="L2090" s="3" t="s">
        <v>14</v>
      </c>
      <c r="M2090" s="7" t="n">
        <v>113</v>
      </c>
      <c r="N2090" s="8" t="n">
        <v>0.5084</v>
      </c>
      <c r="O2090" s="4" t="n">
        <f aca="false">M2090*N2090</f>
        <v>57.4492</v>
      </c>
    </row>
    <row r="2091" customFormat="false" ht="15" hidden="false" customHeight="false" outlineLevel="0" collapsed="false">
      <c r="A2091" s="0" t="s">
        <v>3126</v>
      </c>
      <c r="C2091" s="0" t="s">
        <v>744</v>
      </c>
      <c r="D2091" s="7" t="n">
        <v>18</v>
      </c>
      <c r="E2091" s="8" t="n">
        <v>7.035</v>
      </c>
      <c r="F2091" s="4" t="n">
        <f aca="false">D2091*E2091</f>
        <v>126.63</v>
      </c>
      <c r="G2091" s="7" t="n">
        <v>8</v>
      </c>
      <c r="H2091" s="9" t="n">
        <f aca="false">IF(G2091&gt;0,D2091/G2091,"")</f>
        <v>2.25</v>
      </c>
      <c r="I2091" s="10" t="n">
        <v>46148</v>
      </c>
      <c r="J2091" s="3" t="s">
        <v>2175</v>
      </c>
      <c r="K2091" s="10" t="n">
        <v>46295</v>
      </c>
      <c r="L2091" s="3" t="s">
        <v>1878</v>
      </c>
      <c r="M2091" s="7" t="n">
        <v>50</v>
      </c>
      <c r="N2091" s="8" t="n">
        <v>4.31</v>
      </c>
      <c r="O2091" s="4" t="n">
        <f aca="false">M2091*N2091</f>
        <v>215.5</v>
      </c>
    </row>
    <row r="2092" customFormat="false" ht="15" hidden="false" customHeight="false" outlineLevel="0" collapsed="false">
      <c r="A2092" s="0" t="s">
        <v>3127</v>
      </c>
      <c r="C2092" s="0" t="s">
        <v>128</v>
      </c>
      <c r="D2092" s="7" t="n">
        <v>690</v>
      </c>
      <c r="E2092" s="8" t="n">
        <v>0.183492753623188</v>
      </c>
      <c r="F2092" s="4" t="n">
        <f aca="false">D2092*E2092</f>
        <v>126.61</v>
      </c>
      <c r="G2092" s="7" t="n">
        <v>552</v>
      </c>
      <c r="H2092" s="9" t="n">
        <f aca="false">IF(G2092&gt;0,D2092/G2092,"")</f>
        <v>1.25</v>
      </c>
      <c r="I2092" s="10" t="n">
        <v>46279</v>
      </c>
      <c r="J2092" s="3" t="s">
        <v>3128</v>
      </c>
      <c r="K2092" s="10" t="n">
        <v>44770</v>
      </c>
      <c r="L2092" s="3" t="s">
        <v>223</v>
      </c>
      <c r="M2092" s="7" t="n">
        <v>1500</v>
      </c>
      <c r="N2092" s="8" t="n">
        <v>0.184</v>
      </c>
      <c r="O2092" s="4" t="n">
        <f aca="false">M2092*N2092</f>
        <v>276</v>
      </c>
    </row>
    <row r="2093" customFormat="false" ht="15" hidden="false" customHeight="false" outlineLevel="0" collapsed="false">
      <c r="A2093" s="0" t="s">
        <v>3129</v>
      </c>
      <c r="C2093" s="0" t="s">
        <v>340</v>
      </c>
      <c r="D2093" s="7" t="n">
        <v>48052</v>
      </c>
      <c r="E2093" s="8" t="n">
        <v>0.00263422958461667</v>
      </c>
      <c r="F2093" s="4" t="n">
        <f aca="false">D2093*E2093</f>
        <v>126.58</v>
      </c>
      <c r="G2093" s="7" t="n">
        <v>6333</v>
      </c>
      <c r="H2093" s="9" t="n">
        <f aca="false">IF(G2093&gt;0,D2093/G2093,"")</f>
        <v>7.58755723985473</v>
      </c>
      <c r="I2093" s="10" t="n">
        <v>46192</v>
      </c>
      <c r="J2093" s="3" t="s">
        <v>3130</v>
      </c>
      <c r="K2093" s="10" t="n">
        <v>44652</v>
      </c>
      <c r="L2093" s="3" t="s">
        <v>15</v>
      </c>
      <c r="M2093" s="7" t="n">
        <v>46030</v>
      </c>
      <c r="N2093" s="8" t="n">
        <v>0.00264</v>
      </c>
      <c r="O2093" s="4" t="n">
        <f aca="false">M2093*N2093</f>
        <v>121.5192</v>
      </c>
    </row>
    <row r="2094" customFormat="false" ht="15" hidden="false" customHeight="false" outlineLevel="0" collapsed="false">
      <c r="A2094" s="0" t="s">
        <v>3131</v>
      </c>
      <c r="C2094" s="0" t="s">
        <v>1161</v>
      </c>
      <c r="D2094" s="7" t="n">
        <v>59</v>
      </c>
      <c r="E2094" s="8" t="n">
        <v>2.14474576271186</v>
      </c>
      <c r="F2094" s="4" t="n">
        <f aca="false">D2094*E2094</f>
        <v>126.54</v>
      </c>
      <c r="G2094" s="7" t="n">
        <v>16</v>
      </c>
      <c r="H2094" s="9" t="n">
        <f aca="false">IF(G2094&gt;0,D2094/G2094,"")</f>
        <v>3.6875</v>
      </c>
      <c r="I2094" s="10" t="n">
        <v>46304</v>
      </c>
      <c r="J2094" s="3" t="s">
        <v>3132</v>
      </c>
      <c r="K2094" s="10" t="n">
        <v>45041</v>
      </c>
      <c r="L2094" s="3" t="s">
        <v>936</v>
      </c>
      <c r="M2094" s="7" t="n">
        <v>100</v>
      </c>
      <c r="N2094" s="8" t="n">
        <v>2.1447</v>
      </c>
      <c r="O2094" s="4" t="n">
        <f aca="false">M2094*N2094</f>
        <v>214.47</v>
      </c>
    </row>
    <row r="2095" customFormat="false" ht="15" hidden="false" customHeight="false" outlineLevel="0" collapsed="false">
      <c r="A2095" s="0" t="s">
        <v>3133</v>
      </c>
      <c r="C2095" s="0" t="s">
        <v>128</v>
      </c>
      <c r="D2095" s="7" t="n">
        <v>1438</v>
      </c>
      <c r="E2095" s="8" t="n">
        <v>0.0879694019471488</v>
      </c>
      <c r="F2095" s="4" t="n">
        <f aca="false">D2095*E2095</f>
        <v>126.5</v>
      </c>
      <c r="G2095" s="7" t="n">
        <v>1309</v>
      </c>
      <c r="H2095" s="9" t="n">
        <f aca="false">IF(G2095&gt;0,D2095/G2095,"")</f>
        <v>1.09854851031322</v>
      </c>
      <c r="I2095" s="10" t="n">
        <v>46279</v>
      </c>
      <c r="J2095" s="3" t="s">
        <v>3134</v>
      </c>
      <c r="K2095" s="10" t="n">
        <v>45882</v>
      </c>
      <c r="L2095" s="3" t="s">
        <v>14</v>
      </c>
      <c r="M2095" s="7" t="n">
        <v>2770</v>
      </c>
      <c r="N2095" s="8" t="n">
        <v>0.28109756</v>
      </c>
      <c r="O2095" s="4" t="n">
        <v>814.209997</v>
      </c>
    </row>
    <row r="2096" customFormat="false" ht="15" hidden="false" customHeight="false" outlineLevel="0" collapsed="false">
      <c r="A2096" s="0" t="s">
        <v>3135</v>
      </c>
      <c r="C2096" s="0" t="s">
        <v>31</v>
      </c>
      <c r="D2096" s="7" t="n">
        <v>867</v>
      </c>
      <c r="E2096" s="8" t="n">
        <v>0.145801614763553</v>
      </c>
      <c r="F2096" s="4" t="n">
        <f aca="false">D2096*E2096</f>
        <v>126.41</v>
      </c>
      <c r="G2096" s="7" t="n">
        <v>91</v>
      </c>
      <c r="H2096" s="9" t="n">
        <f aca="false">IF(G2096&gt;0,D2096/G2096,"")</f>
        <v>9.52747252747253</v>
      </c>
      <c r="I2096" s="10" t="n">
        <v>46296</v>
      </c>
      <c r="K2096" s="10"/>
      <c r="M2096" s="7"/>
      <c r="N2096" s="8"/>
      <c r="O2096" s="4"/>
    </row>
    <row r="2097" customFormat="false" ht="15" hidden="false" customHeight="false" outlineLevel="0" collapsed="false">
      <c r="A2097" s="0" t="s">
        <v>3136</v>
      </c>
      <c r="C2097" s="0" t="s">
        <v>31</v>
      </c>
      <c r="D2097" s="7" t="n">
        <v>40639</v>
      </c>
      <c r="E2097" s="8" t="n">
        <v>0.00310022392283275</v>
      </c>
      <c r="F2097" s="4" t="n">
        <f aca="false">D2097*E2097</f>
        <v>125.99</v>
      </c>
      <c r="G2097" s="7" t="n">
        <v>1891</v>
      </c>
      <c r="H2097" s="9" t="n">
        <f aca="false">IF(G2097&gt;0,D2097/G2097,"")</f>
        <v>21.490745637229</v>
      </c>
      <c r="I2097" s="10" t="n">
        <v>46265</v>
      </c>
      <c r="K2097" s="10"/>
      <c r="M2097" s="7"/>
      <c r="N2097" s="8"/>
      <c r="O2097" s="4"/>
    </row>
    <row r="2098" customFormat="false" ht="15" hidden="false" customHeight="false" outlineLevel="0" collapsed="false">
      <c r="A2098" s="0" t="s">
        <v>3137</v>
      </c>
      <c r="C2098" s="0" t="s">
        <v>31</v>
      </c>
      <c r="D2098" s="7" t="n">
        <v>41931</v>
      </c>
      <c r="E2098" s="8" t="n">
        <v>0.00300445970761489</v>
      </c>
      <c r="F2098" s="4" t="n">
        <f aca="false">D2098*E2098</f>
        <v>125.98</v>
      </c>
      <c r="G2098" s="7" t="n">
        <v>28132</v>
      </c>
      <c r="H2098" s="9" t="n">
        <f aca="false">IF(G2098&gt;0,D2098/G2098,"")</f>
        <v>1.49050902886393</v>
      </c>
      <c r="I2098" s="10" t="n">
        <v>46310</v>
      </c>
      <c r="J2098" s="3" t="s">
        <v>3138</v>
      </c>
      <c r="K2098" s="10" t="n">
        <v>46149</v>
      </c>
      <c r="L2098" s="3" t="s">
        <v>19</v>
      </c>
      <c r="M2098" s="7" t="n">
        <v>2500</v>
      </c>
      <c r="N2098" s="8" t="n">
        <v>0.0102</v>
      </c>
      <c r="O2098" s="4" t="n">
        <f aca="false">M2098*N2098</f>
        <v>25.5</v>
      </c>
    </row>
    <row r="2099" customFormat="false" ht="15" hidden="false" customHeight="false" outlineLevel="0" collapsed="false">
      <c r="A2099" s="0" t="s">
        <v>3139</v>
      </c>
      <c r="C2099" s="0" t="s">
        <v>889</v>
      </c>
      <c r="D2099" s="7" t="n">
        <v>3541</v>
      </c>
      <c r="E2099" s="8" t="n">
        <v>0.0355266873764473</v>
      </c>
      <c r="F2099" s="4" t="n">
        <f aca="false">D2099*E2099</f>
        <v>125.8</v>
      </c>
      <c r="G2099" s="7" t="n">
        <v>298</v>
      </c>
      <c r="H2099" s="9" t="n">
        <f aca="false">IF(G2099&gt;0,D2099/G2099,"")</f>
        <v>11.8825503355705</v>
      </c>
      <c r="I2099" s="10" t="n">
        <v>46245</v>
      </c>
      <c r="K2099" s="10"/>
      <c r="M2099" s="7"/>
      <c r="N2099" s="8"/>
      <c r="O2099" s="4"/>
    </row>
    <row r="2100" customFormat="false" ht="15" hidden="false" customHeight="false" outlineLevel="0" collapsed="false">
      <c r="A2100" s="0" t="s">
        <v>3140</v>
      </c>
      <c r="C2100" s="0" t="s">
        <v>38</v>
      </c>
      <c r="D2100" s="7" t="n">
        <v>19431</v>
      </c>
      <c r="E2100" s="8" t="n">
        <v>0.00647058823529412</v>
      </c>
      <c r="F2100" s="4" t="n">
        <f aca="false">D2100*E2100</f>
        <v>125.73</v>
      </c>
      <c r="G2100" s="7" t="n">
        <v>6239</v>
      </c>
      <c r="H2100" s="9" t="n">
        <f aca="false">IF(G2100&gt;0,D2100/G2100,"")</f>
        <v>3.11444141689373</v>
      </c>
      <c r="I2100" s="10" t="n">
        <v>46287</v>
      </c>
      <c r="J2100" s="3" t="s">
        <v>3141</v>
      </c>
      <c r="K2100" s="10" t="n">
        <v>44609</v>
      </c>
      <c r="L2100" s="3" t="s">
        <v>15</v>
      </c>
      <c r="M2100" s="7" t="n">
        <v>49347</v>
      </c>
      <c r="N2100" s="8" t="n">
        <v>0.00645</v>
      </c>
      <c r="O2100" s="4" t="n">
        <f aca="false">M2100*N2100</f>
        <v>318.28815</v>
      </c>
    </row>
    <row r="2101" customFormat="false" ht="15" hidden="false" customHeight="false" outlineLevel="0" collapsed="false">
      <c r="A2101" s="0" t="s">
        <v>3142</v>
      </c>
      <c r="C2101" s="0" t="s">
        <v>33</v>
      </c>
      <c r="D2101" s="7" t="n">
        <v>856</v>
      </c>
      <c r="E2101" s="8" t="n">
        <v>0.146799065420561</v>
      </c>
      <c r="F2101" s="4" t="n">
        <f aca="false">D2101*E2101</f>
        <v>125.66</v>
      </c>
      <c r="G2101" s="7" t="n">
        <v>820</v>
      </c>
      <c r="H2101" s="9" t="n">
        <f aca="false">IF(G2101&gt;0,D2101/G2101,"")</f>
        <v>1.04390243902439</v>
      </c>
      <c r="I2101" s="10" t="n">
        <v>46283</v>
      </c>
      <c r="J2101" s="3" t="s">
        <v>230</v>
      </c>
      <c r="K2101" s="10" t="n">
        <v>46303</v>
      </c>
      <c r="L2101" s="3" t="s">
        <v>18</v>
      </c>
      <c r="M2101" s="7" t="n">
        <v>350</v>
      </c>
      <c r="N2101" s="8" t="n">
        <v>0.1468</v>
      </c>
      <c r="O2101" s="4" t="n">
        <f aca="false">M2101*N2101</f>
        <v>51.38</v>
      </c>
    </row>
    <row r="2102" customFormat="false" ht="15" hidden="false" customHeight="false" outlineLevel="0" collapsed="false">
      <c r="A2102" s="0" t="s">
        <v>3143</v>
      </c>
      <c r="C2102" s="0" t="s">
        <v>31</v>
      </c>
      <c r="D2102" s="7" t="n">
        <v>19031</v>
      </c>
      <c r="E2102" s="8" t="n">
        <v>0.00660028374756976</v>
      </c>
      <c r="F2102" s="4" t="n">
        <f aca="false">D2102*E2102</f>
        <v>125.61</v>
      </c>
      <c r="G2102" s="7" t="n">
        <v>5609</v>
      </c>
      <c r="H2102" s="9" t="n">
        <f aca="false">IF(G2102&gt;0,D2102/G2102,"")</f>
        <v>3.39293991798895</v>
      </c>
      <c r="I2102" s="10" t="n">
        <v>46241</v>
      </c>
      <c r="J2102" s="3" t="s">
        <v>478</v>
      </c>
      <c r="K2102" s="10" t="n">
        <v>46185</v>
      </c>
      <c r="L2102" s="3" t="s">
        <v>16</v>
      </c>
      <c r="M2102" s="7" t="n">
        <v>22750</v>
      </c>
      <c r="N2102" s="8" t="n">
        <v>0.0066</v>
      </c>
      <c r="O2102" s="4" t="n">
        <f aca="false">M2102*N2102</f>
        <v>150.15</v>
      </c>
    </row>
    <row r="2103" customFormat="false" ht="15" hidden="false" customHeight="false" outlineLevel="0" collapsed="false">
      <c r="A2103" s="0" t="s">
        <v>3144</v>
      </c>
      <c r="D2103" s="7" t="n">
        <v>1698</v>
      </c>
      <c r="E2103" s="8" t="n">
        <v>0.0739458186101296</v>
      </c>
      <c r="F2103" s="4" t="n">
        <f aca="false">D2103*E2103</f>
        <v>125.56</v>
      </c>
      <c r="G2103" s="7" t="n">
        <v>1002</v>
      </c>
      <c r="H2103" s="9" t="n">
        <f aca="false">IF(G2103&gt;0,D2103/G2103,"")</f>
        <v>1.69461077844311</v>
      </c>
      <c r="I2103" s="10" t="n">
        <v>46066</v>
      </c>
      <c r="J2103" s="3" t="s">
        <v>3145</v>
      </c>
      <c r="K2103" s="10" t="n">
        <v>44214</v>
      </c>
      <c r="L2103" s="3" t="s">
        <v>23</v>
      </c>
      <c r="M2103" s="7" t="n">
        <v>2735</v>
      </c>
      <c r="N2103" s="8" t="n">
        <v>0.0755</v>
      </c>
      <c r="O2103" s="4" t="n">
        <v>203.85</v>
      </c>
    </row>
    <row r="2104" customFormat="false" ht="15" hidden="false" customHeight="false" outlineLevel="0" collapsed="false">
      <c r="A2104" s="0" t="s">
        <v>3146</v>
      </c>
      <c r="C2104" s="0" t="s">
        <v>36</v>
      </c>
      <c r="D2104" s="7" t="n">
        <v>762</v>
      </c>
      <c r="E2104" s="8" t="n">
        <v>0.164750656167979</v>
      </c>
      <c r="F2104" s="4" t="n">
        <f aca="false">D2104*E2104</f>
        <v>125.54</v>
      </c>
      <c r="G2104" s="7" t="n">
        <v>508</v>
      </c>
      <c r="H2104" s="9" t="n">
        <f aca="false">IF(G2104&gt;0,D2104/G2104,"")</f>
        <v>1.5</v>
      </c>
      <c r="I2104" s="10" t="n">
        <v>46129</v>
      </c>
      <c r="J2104" s="3" t="s">
        <v>3147</v>
      </c>
      <c r="K2104" s="10" t="n">
        <v>46121</v>
      </c>
      <c r="L2104" s="3" t="s">
        <v>14</v>
      </c>
      <c r="M2104" s="7" t="n">
        <v>1000</v>
      </c>
      <c r="N2104" s="8" t="n">
        <v>0.1775</v>
      </c>
      <c r="O2104" s="4" t="n">
        <f aca="false">M2104*N2104</f>
        <v>177.5</v>
      </c>
    </row>
    <row r="2105" customFormat="false" ht="15" hidden="false" customHeight="false" outlineLevel="0" collapsed="false">
      <c r="A2105" s="0" t="s">
        <v>3148</v>
      </c>
      <c r="C2105" s="0" t="s">
        <v>79</v>
      </c>
      <c r="D2105" s="7" t="n">
        <v>301</v>
      </c>
      <c r="E2105" s="8" t="n">
        <v>0.416810631229236</v>
      </c>
      <c r="F2105" s="4" t="n">
        <f aca="false">D2105*E2105</f>
        <v>125.46</v>
      </c>
      <c r="G2105" s="7" t="n">
        <v>250</v>
      </c>
      <c r="H2105" s="9" t="n">
        <f aca="false">IF(G2105&gt;0,D2105/G2105,"")</f>
        <v>1.204</v>
      </c>
      <c r="I2105" s="10" t="n">
        <v>46217</v>
      </c>
      <c r="J2105" s="3" t="s">
        <v>3149</v>
      </c>
      <c r="K2105" s="10" t="n">
        <v>46204</v>
      </c>
      <c r="L2105" s="3" t="s">
        <v>16</v>
      </c>
      <c r="M2105" s="7" t="n">
        <v>350</v>
      </c>
      <c r="N2105" s="8" t="n">
        <v>0.4168</v>
      </c>
      <c r="O2105" s="4" t="n">
        <f aca="false">M2105*N2105</f>
        <v>145.88</v>
      </c>
    </row>
    <row r="2106" customFormat="false" ht="15" hidden="false" customHeight="false" outlineLevel="0" collapsed="false">
      <c r="A2106" s="0" t="s">
        <v>3150</v>
      </c>
      <c r="C2106" s="0" t="s">
        <v>31</v>
      </c>
      <c r="D2106" s="7" t="n">
        <v>28969</v>
      </c>
      <c r="E2106" s="8" t="n">
        <v>0.0043304912147468</v>
      </c>
      <c r="F2106" s="4" t="n">
        <f aca="false">D2106*E2106</f>
        <v>125.45</v>
      </c>
      <c r="G2106" s="7" t="n">
        <v>7276</v>
      </c>
      <c r="H2106" s="9" t="n">
        <f aca="false">IF(G2106&gt;0,D2106/G2106,"")</f>
        <v>3.98144584936778</v>
      </c>
      <c r="I2106" s="10" t="n">
        <v>46309</v>
      </c>
      <c r="J2106" s="3" t="s">
        <v>3125</v>
      </c>
      <c r="K2106" s="10" t="n">
        <v>44932</v>
      </c>
      <c r="L2106" s="3" t="s">
        <v>14</v>
      </c>
      <c r="M2106" s="7" t="n">
        <v>15088</v>
      </c>
      <c r="N2106" s="8" t="n">
        <v>0.0104</v>
      </c>
      <c r="O2106" s="4" t="n">
        <f aca="false">M2106*N2106</f>
        <v>156.9152</v>
      </c>
    </row>
    <row r="2107" customFormat="false" ht="15" hidden="false" customHeight="false" outlineLevel="0" collapsed="false">
      <c r="A2107" s="0" t="s">
        <v>3151</v>
      </c>
      <c r="C2107" s="0" t="s">
        <v>40</v>
      </c>
      <c r="D2107" s="7" t="n">
        <v>6000</v>
      </c>
      <c r="E2107" s="8" t="n">
        <v>0.0209</v>
      </c>
      <c r="F2107" s="4" t="n">
        <f aca="false">D2107*E2107</f>
        <v>125.4</v>
      </c>
      <c r="G2107" s="7" t="n">
        <v>578</v>
      </c>
      <c r="H2107" s="9" t="n">
        <f aca="false">IF(G2107&gt;0,D2107/G2107,"")</f>
        <v>10.3806228373702</v>
      </c>
      <c r="I2107" s="10" t="n">
        <v>46281</v>
      </c>
      <c r="J2107" s="3" t="s">
        <v>1440</v>
      </c>
      <c r="K2107" s="10" t="n">
        <v>46280</v>
      </c>
      <c r="L2107" s="3" t="s">
        <v>18</v>
      </c>
      <c r="M2107" s="7" t="n">
        <v>6225</v>
      </c>
      <c r="N2107" s="8" t="n">
        <v>0.0209</v>
      </c>
      <c r="O2107" s="4" t="n">
        <f aca="false">M2107*N2107</f>
        <v>130.1025</v>
      </c>
    </row>
    <row r="2108" customFormat="false" ht="15" hidden="false" customHeight="false" outlineLevel="0" collapsed="false">
      <c r="A2108" s="0" t="s">
        <v>3152</v>
      </c>
      <c r="C2108" s="0" t="s">
        <v>889</v>
      </c>
      <c r="D2108" s="7" t="n">
        <v>3736</v>
      </c>
      <c r="E2108" s="8" t="n">
        <v>0.0335599571734475</v>
      </c>
      <c r="F2108" s="4" t="n">
        <f aca="false">D2108*E2108</f>
        <v>125.38</v>
      </c>
      <c r="G2108" s="7" t="n">
        <v>2740</v>
      </c>
      <c r="H2108" s="9" t="n">
        <f aca="false">IF(G2108&gt;0,D2108/G2108,"")</f>
        <v>1.36350364963504</v>
      </c>
      <c r="I2108" s="10" t="n">
        <v>46280</v>
      </c>
      <c r="J2108" s="3" t="s">
        <v>498</v>
      </c>
      <c r="K2108" s="10" t="n">
        <v>46094</v>
      </c>
      <c r="L2108" s="3" t="s">
        <v>15</v>
      </c>
      <c r="M2108" s="7" t="n">
        <v>6385</v>
      </c>
      <c r="N2108" s="8" t="n">
        <v>0.03356</v>
      </c>
      <c r="O2108" s="4" t="n">
        <f aca="false">M2108*N2108</f>
        <v>214.2806</v>
      </c>
    </row>
    <row r="2109" customFormat="false" ht="15" hidden="false" customHeight="false" outlineLevel="0" collapsed="false">
      <c r="A2109" s="0" t="s">
        <v>3153</v>
      </c>
      <c r="C2109" s="0" t="s">
        <v>1169</v>
      </c>
      <c r="D2109" s="7" t="n">
        <v>2125</v>
      </c>
      <c r="E2109" s="8" t="n">
        <v>0.0589976470588235</v>
      </c>
      <c r="F2109" s="4" t="n">
        <f aca="false">D2109*E2109</f>
        <v>125.37</v>
      </c>
      <c r="G2109" s="7" t="n">
        <v>159</v>
      </c>
      <c r="H2109" s="9" t="n">
        <f aca="false">IF(G2109&gt;0,D2109/G2109,"")</f>
        <v>13.3647798742138</v>
      </c>
      <c r="I2109" s="10" t="n">
        <v>46300</v>
      </c>
      <c r="J2109" s="3" t="s">
        <v>1170</v>
      </c>
      <c r="K2109" s="10" t="n">
        <v>45398</v>
      </c>
      <c r="L2109" s="3" t="s">
        <v>21</v>
      </c>
      <c r="M2109" s="7" t="n">
        <v>2500</v>
      </c>
      <c r="N2109" s="8" t="n">
        <v>0.059</v>
      </c>
      <c r="O2109" s="4" t="n">
        <f aca="false">M2109*N2109</f>
        <v>147.5</v>
      </c>
    </row>
    <row r="2110" customFormat="false" ht="15" hidden="false" customHeight="false" outlineLevel="0" collapsed="false">
      <c r="A2110" s="0" t="s">
        <v>3154</v>
      </c>
      <c r="C2110" s="0" t="s">
        <v>38</v>
      </c>
      <c r="D2110" s="7" t="n">
        <v>5647</v>
      </c>
      <c r="E2110" s="8" t="n">
        <v>0.0221958562068355</v>
      </c>
      <c r="F2110" s="4" t="n">
        <f aca="false">D2110*E2110</f>
        <v>125.34</v>
      </c>
      <c r="G2110" s="7" t="n">
        <v>3302</v>
      </c>
      <c r="H2110" s="9" t="n">
        <f aca="false">IF(G2110&gt;0,D2110/G2110,"")</f>
        <v>1.71017565112053</v>
      </c>
      <c r="I2110" s="10" t="n">
        <v>46315</v>
      </c>
      <c r="J2110" s="3" t="s">
        <v>572</v>
      </c>
      <c r="K2110" s="10" t="n">
        <v>46164</v>
      </c>
      <c r="L2110" s="3" t="s">
        <v>14</v>
      </c>
      <c r="M2110" s="7" t="n">
        <v>5000</v>
      </c>
      <c r="N2110" s="8" t="n">
        <v>0.0222</v>
      </c>
      <c r="O2110" s="4" t="n">
        <f aca="false">M2110*N2110</f>
        <v>111</v>
      </c>
    </row>
    <row r="2111" customFormat="false" ht="15" hidden="false" customHeight="false" outlineLevel="0" collapsed="false">
      <c r="A2111" s="0" t="s">
        <v>3155</v>
      </c>
      <c r="C2111" s="0" t="s">
        <v>615</v>
      </c>
      <c r="D2111" s="7" t="n">
        <v>737</v>
      </c>
      <c r="E2111" s="8" t="n">
        <v>0.17</v>
      </c>
      <c r="F2111" s="4" t="n">
        <f aca="false">D2111*E2111</f>
        <v>125.29</v>
      </c>
      <c r="G2111" s="7" t="n">
        <v>150</v>
      </c>
      <c r="H2111" s="9" t="n">
        <f aca="false">IF(G2111&gt;0,D2111/G2111,"")</f>
        <v>4.91333333333333</v>
      </c>
      <c r="I2111" s="10" t="n">
        <v>46006</v>
      </c>
      <c r="J2111" s="3" t="s">
        <v>2979</v>
      </c>
      <c r="K2111" s="10" t="n">
        <v>45616</v>
      </c>
      <c r="L2111" s="3" t="s">
        <v>15</v>
      </c>
      <c r="M2111" s="7" t="n">
        <v>923</v>
      </c>
      <c r="N2111" s="8" t="n">
        <v>0.173</v>
      </c>
      <c r="O2111" s="4" t="n">
        <f aca="false">M2111*N2111</f>
        <v>159.679</v>
      </c>
    </row>
    <row r="2112" customFormat="false" ht="15" hidden="false" customHeight="false" outlineLevel="0" collapsed="false">
      <c r="A2112" s="0" t="s">
        <v>3156</v>
      </c>
      <c r="C2112" s="0" t="s">
        <v>34</v>
      </c>
      <c r="D2112" s="7" t="n">
        <v>116</v>
      </c>
      <c r="E2112" s="8" t="n">
        <v>1.08</v>
      </c>
      <c r="F2112" s="4" t="n">
        <f aca="false">D2112*E2112</f>
        <v>125.28</v>
      </c>
      <c r="G2112" s="7" t="n">
        <v>2</v>
      </c>
      <c r="H2112" s="9" t="n">
        <f aca="false">IF(G2112&gt;0,D2112/G2112,"")</f>
        <v>58</v>
      </c>
      <c r="I2112" s="10" t="n">
        <v>46107</v>
      </c>
      <c r="K2112" s="10"/>
      <c r="M2112" s="7"/>
      <c r="N2112" s="8"/>
      <c r="O2112" s="4"/>
    </row>
    <row r="2113" customFormat="false" ht="15" hidden="false" customHeight="false" outlineLevel="0" collapsed="false">
      <c r="A2113" s="0" t="s">
        <v>3157</v>
      </c>
      <c r="C2113" s="0" t="s">
        <v>35</v>
      </c>
      <c r="D2113" s="7" t="n">
        <v>95</v>
      </c>
      <c r="E2113" s="8" t="n">
        <v>1.31736842105263</v>
      </c>
      <c r="F2113" s="4" t="n">
        <f aca="false">D2113*E2113</f>
        <v>125.15</v>
      </c>
      <c r="G2113" s="7" t="n">
        <v>1</v>
      </c>
      <c r="H2113" s="9" t="n">
        <f aca="false">IF(G2113&gt;0,D2113/G2113,"")</f>
        <v>95</v>
      </c>
      <c r="I2113" s="10" t="n">
        <v>46133</v>
      </c>
      <c r="J2113" s="3" t="s">
        <v>3158</v>
      </c>
      <c r="K2113" s="10" t="n">
        <v>44217</v>
      </c>
      <c r="L2113" s="3" t="s">
        <v>154</v>
      </c>
      <c r="M2113" s="7" t="n">
        <v>6</v>
      </c>
      <c r="N2113" s="8" t="n">
        <v>3.5746</v>
      </c>
      <c r="O2113" s="4" t="n">
        <f aca="false">M2113*N2113</f>
        <v>21.4476</v>
      </c>
    </row>
    <row r="2114" customFormat="false" ht="15" hidden="false" customHeight="false" outlineLevel="0" collapsed="false">
      <c r="A2114" s="0" t="s">
        <v>3159</v>
      </c>
      <c r="C2114" s="0" t="s">
        <v>370</v>
      </c>
      <c r="D2114" s="7" t="n">
        <v>688</v>
      </c>
      <c r="E2114" s="8" t="n">
        <v>0.181889534883721</v>
      </c>
      <c r="F2114" s="4" t="n">
        <f aca="false">D2114*E2114</f>
        <v>125.14</v>
      </c>
      <c r="G2114" s="7" t="n">
        <v>290</v>
      </c>
      <c r="H2114" s="9" t="n">
        <f aca="false">IF(G2114&gt;0,D2114/G2114,"")</f>
        <v>2.37241379310345</v>
      </c>
      <c r="I2114" s="10" t="n">
        <v>46253</v>
      </c>
      <c r="J2114" s="3" t="s">
        <v>3160</v>
      </c>
      <c r="K2114" s="10" t="n">
        <v>45833</v>
      </c>
      <c r="L2114" s="3" t="s">
        <v>21</v>
      </c>
      <c r="M2114" s="7" t="n">
        <v>1000</v>
      </c>
      <c r="N2114" s="8" t="n">
        <v>0.18</v>
      </c>
      <c r="O2114" s="4" t="n">
        <f aca="false">M2114*N2114</f>
        <v>180</v>
      </c>
    </row>
    <row r="2115" customFormat="false" ht="15" hidden="false" customHeight="false" outlineLevel="0" collapsed="false">
      <c r="A2115" s="0" t="s">
        <v>3161</v>
      </c>
      <c r="C2115" s="0" t="s">
        <v>285</v>
      </c>
      <c r="D2115" s="7" t="n">
        <v>2085</v>
      </c>
      <c r="E2115" s="8" t="n">
        <v>0.06</v>
      </c>
      <c r="F2115" s="4" t="n">
        <f aca="false">D2115*E2115</f>
        <v>125.1</v>
      </c>
      <c r="G2115" s="7" t="n">
        <v>565</v>
      </c>
      <c r="H2115" s="9" t="n">
        <f aca="false">IF(G2115&gt;0,D2115/G2115,"")</f>
        <v>3.69026548672566</v>
      </c>
      <c r="I2115" s="10" t="n">
        <v>46177</v>
      </c>
      <c r="J2115" s="3" t="s">
        <v>1741</v>
      </c>
      <c r="K2115" s="10" t="n">
        <v>45261</v>
      </c>
      <c r="L2115" s="3" t="s">
        <v>15</v>
      </c>
      <c r="M2115" s="7" t="n">
        <v>3570</v>
      </c>
      <c r="N2115" s="8" t="n">
        <v>0.06304</v>
      </c>
      <c r="O2115" s="4" t="n">
        <f aca="false">M2115*N2115</f>
        <v>225.0528</v>
      </c>
    </row>
    <row r="2116" customFormat="false" ht="15" hidden="false" customHeight="false" outlineLevel="0" collapsed="false">
      <c r="A2116" s="0" t="s">
        <v>3162</v>
      </c>
      <c r="C2116" s="0" t="s">
        <v>40</v>
      </c>
      <c r="D2116" s="7" t="n">
        <v>74</v>
      </c>
      <c r="E2116" s="8" t="n">
        <v>1.69</v>
      </c>
      <c r="F2116" s="4" t="n">
        <f aca="false">D2116*E2116</f>
        <v>125.06</v>
      </c>
      <c r="G2116" s="7" t="n">
        <v>26</v>
      </c>
      <c r="H2116" s="9" t="n">
        <f aca="false">IF(G2116&gt;0,D2116/G2116,"")</f>
        <v>2.84615384615385</v>
      </c>
      <c r="I2116" s="10" t="n">
        <v>46203</v>
      </c>
      <c r="J2116" s="3" t="s">
        <v>1076</v>
      </c>
      <c r="K2116" s="10" t="n">
        <v>46191</v>
      </c>
      <c r="L2116" s="3" t="s">
        <v>18</v>
      </c>
      <c r="M2116" s="7" t="n">
        <v>99</v>
      </c>
      <c r="N2116" s="8" t="n">
        <v>1.6922</v>
      </c>
      <c r="O2116" s="4" t="n">
        <f aca="false">M2116*N2116</f>
        <v>167.5278</v>
      </c>
    </row>
    <row r="2117" customFormat="false" ht="15" hidden="false" customHeight="false" outlineLevel="0" collapsed="false">
      <c r="A2117" s="0" t="s">
        <v>3163</v>
      </c>
      <c r="C2117" s="0" t="s">
        <v>370</v>
      </c>
      <c r="D2117" s="7" t="n">
        <v>1984</v>
      </c>
      <c r="E2117" s="8" t="n">
        <v>0.0629989919354839</v>
      </c>
      <c r="F2117" s="4" t="n">
        <f aca="false">D2117*E2117</f>
        <v>124.99</v>
      </c>
      <c r="G2117" s="7" t="n">
        <v>290</v>
      </c>
      <c r="H2117" s="9" t="n">
        <f aca="false">IF(G2117&gt;0,D2117/G2117,"")</f>
        <v>6.84137931034483</v>
      </c>
      <c r="I2117" s="10" t="n">
        <v>46258</v>
      </c>
      <c r="J2117" s="3" t="s">
        <v>2920</v>
      </c>
      <c r="K2117" s="10" t="n">
        <v>45084</v>
      </c>
      <c r="L2117" s="3" t="s">
        <v>2203</v>
      </c>
      <c r="M2117" s="7" t="n">
        <v>200</v>
      </c>
      <c r="N2117" s="8" t="n">
        <v>0.1858</v>
      </c>
      <c r="O2117" s="4" t="n">
        <f aca="false">M2117*N2117</f>
        <v>37.16</v>
      </c>
    </row>
    <row r="2118" customFormat="false" ht="15" hidden="false" customHeight="false" outlineLevel="0" collapsed="false">
      <c r="A2118" s="0" t="s">
        <v>3164</v>
      </c>
      <c r="C2118" s="0" t="s">
        <v>298</v>
      </c>
      <c r="D2118" s="7" t="n">
        <v>683</v>
      </c>
      <c r="E2118" s="8" t="n">
        <v>0.182796486090776</v>
      </c>
      <c r="F2118" s="4" t="n">
        <f aca="false">D2118*E2118</f>
        <v>124.85</v>
      </c>
      <c r="G2118" s="7" t="n">
        <v>640</v>
      </c>
      <c r="H2118" s="9" t="n">
        <f aca="false">IF(G2118&gt;0,D2118/G2118,"")</f>
        <v>1.0671875</v>
      </c>
      <c r="I2118" s="10" t="n">
        <v>46258</v>
      </c>
      <c r="J2118" s="3" t="s">
        <v>3165</v>
      </c>
      <c r="K2118" s="10" t="n">
        <v>46094</v>
      </c>
      <c r="L2118" s="3" t="s">
        <v>14</v>
      </c>
      <c r="M2118" s="7" t="n">
        <v>1000</v>
      </c>
      <c r="N2118" s="8" t="n">
        <v>0.1828</v>
      </c>
      <c r="O2118" s="4" t="n">
        <f aca="false">M2118*N2118</f>
        <v>182.8</v>
      </c>
    </row>
    <row r="2119" customFormat="false" ht="15" hidden="false" customHeight="false" outlineLevel="0" collapsed="false">
      <c r="A2119" s="0" t="s">
        <v>3166</v>
      </c>
      <c r="C2119" s="0" t="s">
        <v>31</v>
      </c>
      <c r="D2119" s="7" t="n">
        <v>28367</v>
      </c>
      <c r="E2119" s="8" t="n">
        <v>0.00440018331159446</v>
      </c>
      <c r="F2119" s="4" t="n">
        <f aca="false">D2119*E2119</f>
        <v>124.82</v>
      </c>
      <c r="G2119" s="7" t="n">
        <v>4250</v>
      </c>
      <c r="H2119" s="9" t="n">
        <f aca="false">IF(G2119&gt;0,D2119/G2119,"")</f>
        <v>6.67458823529412</v>
      </c>
      <c r="I2119" s="10" t="n">
        <v>46286</v>
      </c>
      <c r="J2119" s="3" t="s">
        <v>3167</v>
      </c>
      <c r="K2119" s="10" t="n">
        <v>45085</v>
      </c>
      <c r="L2119" s="3" t="s">
        <v>16</v>
      </c>
      <c r="M2119" s="7" t="n">
        <v>41000</v>
      </c>
      <c r="N2119" s="8" t="n">
        <v>0.0044</v>
      </c>
      <c r="O2119" s="4" t="n">
        <f aca="false">M2119*N2119</f>
        <v>180.4</v>
      </c>
    </row>
    <row r="2120" customFormat="false" ht="15" hidden="false" customHeight="false" outlineLevel="0" collapsed="false">
      <c r="A2120" s="0" t="s">
        <v>3168</v>
      </c>
      <c r="C2120" s="0" t="s">
        <v>285</v>
      </c>
      <c r="D2120" s="7" t="n">
        <v>127</v>
      </c>
      <c r="E2120" s="8" t="n">
        <v>0.98236220472441</v>
      </c>
      <c r="F2120" s="4" t="n">
        <f aca="false">D2120*E2120</f>
        <v>124.76</v>
      </c>
      <c r="G2120" s="7" t="n">
        <v>1</v>
      </c>
      <c r="H2120" s="9" t="n">
        <f aca="false">IF(G2120&gt;0,D2120/G2120,"")</f>
        <v>127</v>
      </c>
      <c r="I2120" s="10" t="n">
        <v>46101</v>
      </c>
      <c r="K2120" s="10"/>
      <c r="M2120" s="7"/>
      <c r="N2120" s="8"/>
      <c r="O2120" s="4"/>
    </row>
    <row r="2121" customFormat="false" ht="15" hidden="false" customHeight="false" outlineLevel="0" collapsed="false">
      <c r="A2121" s="0" t="s">
        <v>3169</v>
      </c>
      <c r="C2121" s="0" t="s">
        <v>285</v>
      </c>
      <c r="D2121" s="7" t="n">
        <v>4158</v>
      </c>
      <c r="E2121" s="8" t="n">
        <v>0.03</v>
      </c>
      <c r="F2121" s="4" t="n">
        <f aca="false">D2121*E2121</f>
        <v>124.74</v>
      </c>
      <c r="G2121" s="7" t="n">
        <v>1240</v>
      </c>
      <c r="H2121" s="9" t="n">
        <f aca="false">IF(G2121&gt;0,D2121/G2121,"")</f>
        <v>3.35322580645161</v>
      </c>
      <c r="I2121" s="10" t="n">
        <v>46259</v>
      </c>
      <c r="K2121" s="10"/>
      <c r="M2121" s="7"/>
      <c r="N2121" s="8"/>
      <c r="O2121" s="4"/>
    </row>
    <row r="2122" customFormat="false" ht="15" hidden="false" customHeight="false" outlineLevel="0" collapsed="false">
      <c r="A2122" s="0" t="s">
        <v>3170</v>
      </c>
      <c r="C2122" s="0" t="s">
        <v>285</v>
      </c>
      <c r="D2122" s="7" t="n">
        <v>657</v>
      </c>
      <c r="E2122" s="8" t="n">
        <v>0.189802130898021</v>
      </c>
      <c r="F2122" s="4" t="n">
        <f aca="false">D2122*E2122</f>
        <v>124.7</v>
      </c>
      <c r="G2122" s="7" t="n">
        <v>6</v>
      </c>
      <c r="H2122" s="9" t="n">
        <f aca="false">IF(G2122&gt;0,D2122/G2122,"")</f>
        <v>109.5</v>
      </c>
      <c r="I2122" s="10" t="n">
        <v>46000</v>
      </c>
      <c r="K2122" s="10"/>
      <c r="M2122" s="7"/>
      <c r="N2122" s="8"/>
      <c r="O2122" s="4"/>
    </row>
    <row r="2123" customFormat="false" ht="15" hidden="false" customHeight="false" outlineLevel="0" collapsed="false">
      <c r="A2123" s="0" t="s">
        <v>3171</v>
      </c>
      <c r="C2123" s="0" t="s">
        <v>31</v>
      </c>
      <c r="D2123" s="7" t="n">
        <v>44532</v>
      </c>
      <c r="E2123" s="8" t="n">
        <v>0.00279978442468337</v>
      </c>
      <c r="F2123" s="4" t="n">
        <f aca="false">D2123*E2123</f>
        <v>124.68</v>
      </c>
      <c r="G2123" s="7" t="n">
        <v>11981</v>
      </c>
      <c r="H2123" s="9" t="n">
        <f aca="false">IF(G2123&gt;0,D2123/G2123,"")</f>
        <v>3.71688506802437</v>
      </c>
      <c r="I2123" s="10" t="n">
        <v>46288</v>
      </c>
      <c r="J2123" s="3" t="s">
        <v>3172</v>
      </c>
      <c r="K2123" s="10" t="n">
        <v>45939</v>
      </c>
      <c r="L2123" s="3" t="s">
        <v>19</v>
      </c>
      <c r="M2123" s="7" t="n">
        <v>10000</v>
      </c>
      <c r="N2123" s="8" t="n">
        <v>0.0077</v>
      </c>
      <c r="O2123" s="4" t="n">
        <f aca="false">M2123*N2123</f>
        <v>77</v>
      </c>
    </row>
    <row r="2124" customFormat="false" ht="15" hidden="false" customHeight="false" outlineLevel="0" collapsed="false">
      <c r="A2124" s="0" t="s">
        <v>3173</v>
      </c>
      <c r="C2124" s="0" t="s">
        <v>45</v>
      </c>
      <c r="D2124" s="7" t="n">
        <v>1524</v>
      </c>
      <c r="E2124" s="8" t="n">
        <v>0.0818044619422572</v>
      </c>
      <c r="F2124" s="4" t="n">
        <f aca="false">D2124*E2124</f>
        <v>124.67</v>
      </c>
      <c r="G2124" s="7" t="n">
        <v>250</v>
      </c>
      <c r="H2124" s="9" t="n">
        <f aca="false">IF(G2124&gt;0,D2124/G2124,"")</f>
        <v>6.096</v>
      </c>
      <c r="I2124" s="10" t="n">
        <v>46267</v>
      </c>
      <c r="J2124" s="3" t="s">
        <v>3174</v>
      </c>
      <c r="K2124" s="10" t="n">
        <v>45345</v>
      </c>
      <c r="L2124" s="3" t="s">
        <v>23</v>
      </c>
      <c r="M2124" s="7" t="n">
        <v>3000</v>
      </c>
      <c r="N2124" s="8" t="n">
        <v>0.0818</v>
      </c>
      <c r="O2124" s="4" t="n">
        <f aca="false">M2124*N2124</f>
        <v>245.4</v>
      </c>
    </row>
    <row r="2125" customFormat="false" ht="15" hidden="false" customHeight="false" outlineLevel="0" collapsed="false">
      <c r="A2125" s="0" t="s">
        <v>3175</v>
      </c>
      <c r="C2125" s="0" t="s">
        <v>34</v>
      </c>
      <c r="D2125" s="7" t="n">
        <v>4548</v>
      </c>
      <c r="E2125" s="8" t="n">
        <v>0.027401055408971</v>
      </c>
      <c r="F2125" s="4" t="n">
        <f aca="false">D2125*E2125</f>
        <v>124.62</v>
      </c>
      <c r="G2125" s="7" t="n">
        <v>135</v>
      </c>
      <c r="H2125" s="9" t="n">
        <f aca="false">IF(G2125&gt;0,D2125/G2125,"")</f>
        <v>33.6888888888889</v>
      </c>
      <c r="I2125" s="10" t="n">
        <v>46146</v>
      </c>
      <c r="J2125" s="3" t="s">
        <v>677</v>
      </c>
      <c r="K2125" s="10" t="n">
        <v>45642</v>
      </c>
      <c r="L2125" s="3" t="s">
        <v>16</v>
      </c>
      <c r="M2125" s="7" t="n">
        <v>4713</v>
      </c>
      <c r="N2125" s="8" t="n">
        <v>0.0274</v>
      </c>
      <c r="O2125" s="4" t="n">
        <f aca="false">M2125*N2125</f>
        <v>129.1362</v>
      </c>
    </row>
    <row r="2126" customFormat="false" ht="15" hidden="false" customHeight="false" outlineLevel="0" collapsed="false">
      <c r="A2126" s="0" t="s">
        <v>3176</v>
      </c>
      <c r="C2126" s="0" t="s">
        <v>40</v>
      </c>
      <c r="D2126" s="7" t="n">
        <v>8566</v>
      </c>
      <c r="E2126" s="8" t="n">
        <v>0.014538874620593</v>
      </c>
      <c r="F2126" s="4" t="n">
        <f aca="false">D2126*E2126</f>
        <v>124.54</v>
      </c>
      <c r="G2126" s="7" t="n">
        <v>551</v>
      </c>
      <c r="H2126" s="9" t="n">
        <f aca="false">IF(G2126&gt;0,D2126/G2126,"")</f>
        <v>15.546279491833</v>
      </c>
      <c r="I2126" s="10" t="n">
        <v>46253</v>
      </c>
      <c r="J2126" s="3" t="s">
        <v>1905</v>
      </c>
      <c r="K2126" s="10" t="n">
        <v>45672</v>
      </c>
      <c r="L2126" s="3" t="s">
        <v>18</v>
      </c>
      <c r="M2126" s="7" t="n">
        <v>8000</v>
      </c>
      <c r="N2126" s="8" t="n">
        <v>0.0133</v>
      </c>
      <c r="O2126" s="4" t="n">
        <f aca="false">M2126*N2126</f>
        <v>106.4</v>
      </c>
    </row>
    <row r="2127" customFormat="false" ht="15" hidden="false" customHeight="false" outlineLevel="0" collapsed="false">
      <c r="A2127" s="0" t="s">
        <v>3177</v>
      </c>
      <c r="C2127" s="0" t="s">
        <v>40</v>
      </c>
      <c r="D2127" s="7" t="n">
        <v>10246</v>
      </c>
      <c r="E2127" s="8" t="n">
        <v>0.0121549873121218</v>
      </c>
      <c r="F2127" s="4" t="n">
        <f aca="false">D2127*E2127</f>
        <v>124.54</v>
      </c>
      <c r="G2127" s="7" t="n">
        <v>9403</v>
      </c>
      <c r="H2127" s="9" t="n">
        <f aca="false">IF(G2127&gt;0,D2127/G2127,"")</f>
        <v>1.08965223864724</v>
      </c>
      <c r="I2127" s="10" t="n">
        <v>46308</v>
      </c>
      <c r="J2127" s="3" t="s">
        <v>1090</v>
      </c>
      <c r="K2127" s="10" t="n">
        <v>46308</v>
      </c>
      <c r="L2127" s="3" t="s">
        <v>18</v>
      </c>
      <c r="M2127" s="7" t="n">
        <v>8000</v>
      </c>
      <c r="N2127" s="8" t="n">
        <v>0.0123</v>
      </c>
      <c r="O2127" s="4" t="n">
        <f aca="false">M2127*N2127</f>
        <v>98.4</v>
      </c>
    </row>
    <row r="2128" customFormat="false" ht="15" hidden="false" customHeight="false" outlineLevel="0" collapsed="false">
      <c r="A2128" s="0" t="s">
        <v>3178</v>
      </c>
      <c r="C2128" s="0" t="s">
        <v>360</v>
      </c>
      <c r="D2128" s="7" t="n">
        <v>12449</v>
      </c>
      <c r="E2128" s="8" t="n">
        <v>0.01</v>
      </c>
      <c r="F2128" s="4" t="n">
        <f aca="false">D2128*E2128</f>
        <v>124.49</v>
      </c>
      <c r="G2128" s="7" t="n">
        <v>4349</v>
      </c>
      <c r="H2128" s="9" t="n">
        <f aca="false">IF(G2128&gt;0,D2128/G2128,"")</f>
        <v>2.86249712577604</v>
      </c>
      <c r="I2128" s="10" t="n">
        <v>46265</v>
      </c>
      <c r="K2128" s="10"/>
      <c r="M2128" s="7"/>
      <c r="N2128" s="8"/>
      <c r="O2128" s="4"/>
    </row>
    <row r="2129" customFormat="false" ht="15" hidden="false" customHeight="false" outlineLevel="0" collapsed="false">
      <c r="A2129" s="0" t="s">
        <v>3179</v>
      </c>
      <c r="C2129" s="0" t="s">
        <v>38</v>
      </c>
      <c r="D2129" s="7" t="n">
        <v>58971</v>
      </c>
      <c r="E2129" s="8" t="n">
        <v>0.00211018975428601</v>
      </c>
      <c r="F2129" s="4" t="n">
        <f aca="false">D2129*E2129</f>
        <v>124.44</v>
      </c>
      <c r="G2129" s="7" t="n">
        <v>2452</v>
      </c>
      <c r="H2129" s="9" t="n">
        <f aca="false">IF(G2129&gt;0,D2129/G2129,"")</f>
        <v>24.050163132137</v>
      </c>
      <c r="I2129" s="10" t="n">
        <v>46259</v>
      </c>
      <c r="K2129" s="10"/>
      <c r="M2129" s="7"/>
      <c r="N2129" s="8"/>
      <c r="O2129" s="4"/>
    </row>
    <row r="2130" customFormat="false" ht="15" hidden="false" customHeight="false" outlineLevel="0" collapsed="false">
      <c r="A2130" s="0" t="s">
        <v>3180</v>
      </c>
      <c r="C2130" s="0" t="s">
        <v>31</v>
      </c>
      <c r="D2130" s="7" t="n">
        <v>29083</v>
      </c>
      <c r="E2130" s="8" t="n">
        <v>0.00427500601726094</v>
      </c>
      <c r="F2130" s="4" t="n">
        <f aca="false">D2130*E2130</f>
        <v>124.33</v>
      </c>
      <c r="G2130" s="7" t="n">
        <v>8654</v>
      </c>
      <c r="H2130" s="9" t="n">
        <f aca="false">IF(G2130&gt;0,D2130/G2130,"")</f>
        <v>3.36064247746707</v>
      </c>
      <c r="I2130" s="10" t="n">
        <v>46310</v>
      </c>
      <c r="J2130" s="3" t="s">
        <v>278</v>
      </c>
      <c r="K2130" s="10" t="n">
        <v>45967</v>
      </c>
      <c r="L2130" s="3" t="s">
        <v>16</v>
      </c>
      <c r="M2130" s="7" t="n">
        <v>35500</v>
      </c>
      <c r="N2130" s="8" t="n">
        <v>0.00427</v>
      </c>
      <c r="O2130" s="4" t="n">
        <f aca="false">M2130*N2130</f>
        <v>151.585</v>
      </c>
    </row>
    <row r="2131" customFormat="false" ht="15" hidden="false" customHeight="false" outlineLevel="0" collapsed="false">
      <c r="A2131" s="0" t="s">
        <v>3181</v>
      </c>
      <c r="C2131" s="0" t="s">
        <v>45</v>
      </c>
      <c r="D2131" s="7" t="n">
        <v>1860</v>
      </c>
      <c r="E2131" s="8" t="n">
        <v>0.0668010752688172</v>
      </c>
      <c r="F2131" s="4" t="n">
        <f aca="false">D2131*E2131</f>
        <v>124.25</v>
      </c>
      <c r="G2131" s="7" t="n">
        <v>382</v>
      </c>
      <c r="H2131" s="9" t="n">
        <f aca="false">IF(G2131&gt;0,D2131/G2131,"")</f>
        <v>4.86910994764398</v>
      </c>
      <c r="I2131" s="10" t="n">
        <v>46293</v>
      </c>
      <c r="J2131" s="3" t="s">
        <v>2387</v>
      </c>
      <c r="K2131" s="10" t="n">
        <v>44356</v>
      </c>
      <c r="L2131" s="3" t="s">
        <v>23</v>
      </c>
      <c r="M2131" s="7" t="n">
        <v>5000</v>
      </c>
      <c r="N2131" s="8" t="n">
        <v>0.0668</v>
      </c>
      <c r="O2131" s="4" t="n">
        <f aca="false">M2131*N2131</f>
        <v>334</v>
      </c>
    </row>
    <row r="2132" customFormat="false" ht="15" hidden="false" customHeight="false" outlineLevel="0" collapsed="false">
      <c r="A2132" s="0" t="s">
        <v>3182</v>
      </c>
      <c r="C2132" s="0" t="s">
        <v>40</v>
      </c>
      <c r="D2132" s="7" t="n">
        <v>824</v>
      </c>
      <c r="E2132" s="8" t="n">
        <v>0.150400485436893</v>
      </c>
      <c r="F2132" s="4" t="n">
        <f aca="false">D2132*E2132</f>
        <v>123.93</v>
      </c>
      <c r="G2132" s="7" t="n">
        <v>230</v>
      </c>
      <c r="H2132" s="9" t="n">
        <f aca="false">IF(G2132&gt;0,D2132/G2132,"")</f>
        <v>3.58260869565217</v>
      </c>
      <c r="I2132" s="10" t="n">
        <v>46316</v>
      </c>
      <c r="J2132" s="3" t="s">
        <v>980</v>
      </c>
      <c r="K2132" s="10" t="n">
        <v>46049</v>
      </c>
      <c r="L2132" s="3" t="s">
        <v>18</v>
      </c>
      <c r="M2132" s="7" t="n">
        <v>1030</v>
      </c>
      <c r="N2132" s="8" t="n">
        <v>0.1504</v>
      </c>
      <c r="O2132" s="4" t="n">
        <f aca="false">M2132*N2132</f>
        <v>154.912</v>
      </c>
    </row>
    <row r="2133" customFormat="false" ht="15" hidden="false" customHeight="false" outlineLevel="0" collapsed="false">
      <c r="A2133" s="0" t="s">
        <v>3183</v>
      </c>
      <c r="C2133" s="0" t="s">
        <v>31</v>
      </c>
      <c r="D2133" s="7" t="n">
        <v>2869</v>
      </c>
      <c r="E2133" s="8" t="n">
        <v>0.0431927500871384</v>
      </c>
      <c r="F2133" s="4" t="n">
        <f aca="false">D2133*E2133</f>
        <v>123.92</v>
      </c>
      <c r="G2133" s="7" t="n">
        <v>483</v>
      </c>
      <c r="H2133" s="9" t="n">
        <f aca="false">IF(G2133&gt;0,D2133/G2133,"")</f>
        <v>5.93995859213251</v>
      </c>
      <c r="I2133" s="10" t="n">
        <v>46261</v>
      </c>
      <c r="J2133" s="3" t="s">
        <v>648</v>
      </c>
      <c r="K2133" s="10" t="n">
        <v>44784</v>
      </c>
      <c r="L2133" s="3" t="s">
        <v>15</v>
      </c>
      <c r="M2133" s="7" t="n">
        <v>3586</v>
      </c>
      <c r="N2133" s="8" t="n">
        <v>0.04319</v>
      </c>
      <c r="O2133" s="4" t="n">
        <f aca="false">M2133*N2133</f>
        <v>154.87934</v>
      </c>
    </row>
    <row r="2134" customFormat="false" ht="15" hidden="false" customHeight="false" outlineLevel="0" collapsed="false">
      <c r="A2134" s="0" t="s">
        <v>3184</v>
      </c>
      <c r="C2134" s="0" t="s">
        <v>41</v>
      </c>
      <c r="D2134" s="7" t="n">
        <v>10207</v>
      </c>
      <c r="E2134" s="8" t="n">
        <v>0.0121308905652983</v>
      </c>
      <c r="F2134" s="4" t="n">
        <f aca="false">D2134*E2134</f>
        <v>123.82</v>
      </c>
      <c r="G2134" s="7" t="n">
        <v>1223</v>
      </c>
      <c r="H2134" s="9" t="n">
        <f aca="false">IF(G2134&gt;0,D2134/G2134,"")</f>
        <v>8.34587080948487</v>
      </c>
      <c r="I2134" s="10" t="n">
        <v>46210</v>
      </c>
      <c r="J2134" s="3" t="s">
        <v>3185</v>
      </c>
      <c r="K2134" s="10" t="n">
        <v>44741</v>
      </c>
      <c r="L2134" s="3" t="s">
        <v>15</v>
      </c>
      <c r="M2134" s="7" t="n">
        <v>22109</v>
      </c>
      <c r="N2134" s="8" t="n">
        <v>0.0144</v>
      </c>
      <c r="O2134" s="4" t="n">
        <v>295.2</v>
      </c>
    </row>
    <row r="2135" customFormat="false" ht="15" hidden="false" customHeight="false" outlineLevel="0" collapsed="false">
      <c r="A2135" s="0" t="s">
        <v>3186</v>
      </c>
      <c r="C2135" s="0" t="s">
        <v>298</v>
      </c>
      <c r="D2135" s="7" t="n">
        <v>276</v>
      </c>
      <c r="E2135" s="8" t="n">
        <v>0.448442028985507</v>
      </c>
      <c r="F2135" s="4" t="n">
        <f aca="false">D2135*E2135</f>
        <v>123.77</v>
      </c>
      <c r="G2135" s="7" t="n">
        <v>13</v>
      </c>
      <c r="H2135" s="9" t="n">
        <f aca="false">IF(G2135&gt;0,D2135/G2135,"")</f>
        <v>21.2307692307692</v>
      </c>
      <c r="I2135" s="10" t="n">
        <v>46279</v>
      </c>
      <c r="J2135" s="3" t="s">
        <v>3187</v>
      </c>
      <c r="K2135" s="10" t="n">
        <v>44623</v>
      </c>
      <c r="L2135" s="3" t="s">
        <v>15</v>
      </c>
      <c r="M2135" s="7" t="n">
        <v>305</v>
      </c>
      <c r="N2135" s="8" t="n">
        <v>0</v>
      </c>
      <c r="O2135" s="4" t="n">
        <v>137.007</v>
      </c>
    </row>
    <row r="2136" customFormat="false" ht="15" hidden="false" customHeight="false" outlineLevel="0" collapsed="false">
      <c r="A2136" s="0" t="s">
        <v>3188</v>
      </c>
      <c r="C2136" s="0" t="s">
        <v>41</v>
      </c>
      <c r="D2136" s="7" t="n">
        <v>1110</v>
      </c>
      <c r="E2136" s="8" t="n">
        <v>0.111504504504505</v>
      </c>
      <c r="F2136" s="4" t="n">
        <f aca="false">D2136*E2136</f>
        <v>123.77</v>
      </c>
      <c r="G2136" s="7" t="n">
        <v>240</v>
      </c>
      <c r="H2136" s="9" t="n">
        <f aca="false">IF(G2136&gt;0,D2136/G2136,"")</f>
        <v>4.625</v>
      </c>
      <c r="I2136" s="10" t="n">
        <v>46169</v>
      </c>
      <c r="J2136" s="3" t="s">
        <v>2043</v>
      </c>
      <c r="K2136" s="10" t="n">
        <v>46104</v>
      </c>
      <c r="L2136" s="3" t="s">
        <v>16</v>
      </c>
      <c r="M2136" s="7" t="n">
        <v>1350</v>
      </c>
      <c r="N2136" s="8" t="n">
        <v>0.1115</v>
      </c>
      <c r="O2136" s="4" t="n">
        <f aca="false">M2136*N2136</f>
        <v>150.525</v>
      </c>
    </row>
    <row r="2137" customFormat="false" ht="15" hidden="false" customHeight="false" outlineLevel="0" collapsed="false">
      <c r="A2137" s="0" t="s">
        <v>3189</v>
      </c>
      <c r="C2137" s="0" t="s">
        <v>41</v>
      </c>
      <c r="D2137" s="7" t="n">
        <v>22100</v>
      </c>
      <c r="E2137" s="8" t="n">
        <v>0.0056</v>
      </c>
      <c r="F2137" s="4" t="n">
        <f aca="false">D2137*E2137</f>
        <v>123.76</v>
      </c>
      <c r="G2137" s="7" t="n">
        <v>4700</v>
      </c>
      <c r="H2137" s="9" t="n">
        <f aca="false">IF(G2137&gt;0,D2137/G2137,"")</f>
        <v>4.70212765957447</v>
      </c>
      <c r="I2137" s="10" t="n">
        <v>46301</v>
      </c>
      <c r="J2137" s="3" t="s">
        <v>1211</v>
      </c>
      <c r="K2137" s="10" t="n">
        <v>45750</v>
      </c>
      <c r="L2137" s="3" t="s">
        <v>26</v>
      </c>
      <c r="M2137" s="7" t="n">
        <v>1100</v>
      </c>
      <c r="N2137" s="8" t="n">
        <v>0.0238</v>
      </c>
      <c r="O2137" s="4" t="n">
        <f aca="false">M2137*N2137</f>
        <v>26.18</v>
      </c>
    </row>
    <row r="2138" customFormat="false" ht="15" hidden="false" customHeight="false" outlineLevel="0" collapsed="false">
      <c r="A2138" s="0" t="s">
        <v>3190</v>
      </c>
      <c r="C2138" s="0" t="s">
        <v>79</v>
      </c>
      <c r="D2138" s="7" t="n">
        <v>1315</v>
      </c>
      <c r="E2138" s="8" t="n">
        <v>0.0940684410646388</v>
      </c>
      <c r="F2138" s="4" t="n">
        <f aca="false">D2138*E2138</f>
        <v>123.7</v>
      </c>
      <c r="G2138" s="7" t="n">
        <v>520</v>
      </c>
      <c r="H2138" s="9" t="n">
        <f aca="false">IF(G2138&gt;0,D2138/G2138,"")</f>
        <v>2.52884615384615</v>
      </c>
      <c r="I2138" s="10" t="n">
        <v>46308</v>
      </c>
      <c r="J2138" s="3" t="s">
        <v>3191</v>
      </c>
      <c r="K2138" s="10" t="n">
        <v>46317</v>
      </c>
      <c r="L2138" s="3" t="s">
        <v>19</v>
      </c>
      <c r="M2138" s="7" t="n">
        <v>146</v>
      </c>
      <c r="N2138" s="8" t="n">
        <v>0.3443</v>
      </c>
      <c r="O2138" s="4" t="n">
        <f aca="false">M2138*N2138</f>
        <v>50.2678</v>
      </c>
    </row>
    <row r="2139" customFormat="false" ht="15" hidden="false" customHeight="false" outlineLevel="0" collapsed="false">
      <c r="A2139" s="0" t="s">
        <v>3192</v>
      </c>
      <c r="C2139" s="0" t="s">
        <v>37</v>
      </c>
      <c r="D2139" s="7" t="n">
        <v>1439</v>
      </c>
      <c r="E2139" s="8" t="n">
        <v>0.0859624739402363</v>
      </c>
      <c r="F2139" s="4" t="n">
        <f aca="false">D2139*E2139</f>
        <v>123.7</v>
      </c>
      <c r="G2139" s="7" t="n">
        <v>67</v>
      </c>
      <c r="H2139" s="9" t="n">
        <f aca="false">IF(G2139&gt;0,D2139/G2139,"")</f>
        <v>21.4776119402985</v>
      </c>
      <c r="I2139" s="10" t="n">
        <v>46212</v>
      </c>
      <c r="J2139" s="3" t="s">
        <v>1936</v>
      </c>
      <c r="K2139" s="10" t="n">
        <v>45057</v>
      </c>
      <c r="L2139" s="3" t="s">
        <v>15</v>
      </c>
      <c r="M2139" s="7" t="n">
        <v>2350</v>
      </c>
      <c r="N2139" s="8" t="n">
        <v>0.08597</v>
      </c>
      <c r="O2139" s="4" t="n">
        <f aca="false">M2139*N2139</f>
        <v>202.0295</v>
      </c>
    </row>
    <row r="2140" customFormat="false" ht="15" hidden="false" customHeight="false" outlineLevel="0" collapsed="false">
      <c r="A2140" s="0" t="s">
        <v>3193</v>
      </c>
      <c r="C2140" s="0" t="s">
        <v>38</v>
      </c>
      <c r="D2140" s="7" t="n">
        <v>7649</v>
      </c>
      <c r="E2140" s="8" t="n">
        <v>0.0161681265524905</v>
      </c>
      <c r="F2140" s="4" t="n">
        <f aca="false">D2140*E2140</f>
        <v>123.67</v>
      </c>
      <c r="G2140" s="7" t="n">
        <v>1415</v>
      </c>
      <c r="H2140" s="9" t="n">
        <f aca="false">IF(G2140&gt;0,D2140/G2140,"")</f>
        <v>5.40565371024735</v>
      </c>
      <c r="I2140" s="10" t="n">
        <v>46216</v>
      </c>
      <c r="J2140" s="3" t="s">
        <v>2342</v>
      </c>
      <c r="K2140" s="10" t="n">
        <v>46290</v>
      </c>
      <c r="L2140" s="3" t="s">
        <v>15</v>
      </c>
      <c r="M2140" s="7" t="n">
        <v>10000</v>
      </c>
      <c r="N2140" s="8" t="n">
        <v>0.01999</v>
      </c>
      <c r="O2140" s="4" t="n">
        <f aca="false">M2140*N2140</f>
        <v>199.9</v>
      </c>
    </row>
    <row r="2141" customFormat="false" ht="15" hidden="false" customHeight="false" outlineLevel="0" collapsed="false">
      <c r="A2141" s="0" t="s">
        <v>3194</v>
      </c>
      <c r="C2141" s="0" t="s">
        <v>34</v>
      </c>
      <c r="D2141" s="7" t="n">
        <v>536</v>
      </c>
      <c r="E2141" s="8" t="n">
        <v>0.230634328358209</v>
      </c>
      <c r="F2141" s="4" t="n">
        <f aca="false">D2141*E2141</f>
        <v>123.62</v>
      </c>
      <c r="G2141" s="7" t="n">
        <v>54</v>
      </c>
      <c r="H2141" s="9" t="n">
        <f aca="false">IF(G2141&gt;0,D2141/G2141,"")</f>
        <v>9.92592592592593</v>
      </c>
      <c r="I2141" s="10" t="n">
        <v>46315</v>
      </c>
      <c r="J2141" s="3" t="s">
        <v>3195</v>
      </c>
      <c r="K2141" s="10" t="n">
        <v>45120</v>
      </c>
      <c r="L2141" s="3" t="s">
        <v>16</v>
      </c>
      <c r="M2141" s="7" t="n">
        <v>650</v>
      </c>
      <c r="N2141" s="8" t="n">
        <v>0.2306</v>
      </c>
      <c r="O2141" s="4" t="n">
        <f aca="false">M2141*N2141</f>
        <v>149.89</v>
      </c>
    </row>
    <row r="2142" customFormat="false" ht="15" hidden="false" customHeight="false" outlineLevel="0" collapsed="false">
      <c r="A2142" s="0" t="s">
        <v>3196</v>
      </c>
      <c r="C2142" s="0" t="s">
        <v>1039</v>
      </c>
      <c r="D2142" s="7" t="n">
        <v>15789</v>
      </c>
      <c r="E2142" s="8" t="n">
        <v>0.00782316802837419</v>
      </c>
      <c r="F2142" s="4" t="n">
        <f aca="false">D2142*E2142</f>
        <v>123.52</v>
      </c>
      <c r="G2142" s="7" t="n">
        <v>1050</v>
      </c>
      <c r="H2142" s="9" t="n">
        <f aca="false">IF(G2142&gt;0,D2142/G2142,"")</f>
        <v>15.0371428571429</v>
      </c>
      <c r="I2142" s="10" t="n">
        <v>46286</v>
      </c>
      <c r="J2142" s="3" t="s">
        <v>1192</v>
      </c>
      <c r="K2142" s="10" t="n">
        <v>45736</v>
      </c>
      <c r="L2142" s="3" t="s">
        <v>26</v>
      </c>
      <c r="M2142" s="7" t="n">
        <v>300</v>
      </c>
      <c r="N2142" s="8" t="n">
        <v>0.0173</v>
      </c>
      <c r="O2142" s="4" t="n">
        <f aca="false">M2142*N2142</f>
        <v>5.19</v>
      </c>
    </row>
    <row r="2143" customFormat="false" ht="15" hidden="false" customHeight="false" outlineLevel="0" collapsed="false">
      <c r="A2143" s="0" t="s">
        <v>3197</v>
      </c>
      <c r="C2143" s="0" t="s">
        <v>31</v>
      </c>
      <c r="D2143" s="7" t="n">
        <v>3617</v>
      </c>
      <c r="E2143" s="8" t="n">
        <v>0.0340973182195189</v>
      </c>
      <c r="F2143" s="4" t="n">
        <f aca="false">D2143*E2143</f>
        <v>123.33</v>
      </c>
      <c r="G2143" s="7" t="n">
        <v>2015</v>
      </c>
      <c r="H2143" s="9" t="n">
        <f aca="false">IF(G2143&gt;0,D2143/G2143,"")</f>
        <v>1.79503722084367</v>
      </c>
      <c r="I2143" s="10" t="n">
        <v>46308</v>
      </c>
      <c r="J2143" s="3" t="s">
        <v>2392</v>
      </c>
      <c r="K2143" s="10" t="n">
        <v>46274</v>
      </c>
      <c r="L2143" s="3" t="s">
        <v>16</v>
      </c>
      <c r="M2143" s="7" t="n">
        <v>5600</v>
      </c>
      <c r="N2143" s="8" t="n">
        <v>0.0338</v>
      </c>
      <c r="O2143" s="4" t="n">
        <f aca="false">M2143*N2143</f>
        <v>189.28</v>
      </c>
    </row>
    <row r="2144" customFormat="false" ht="15" hidden="false" customHeight="false" outlineLevel="0" collapsed="false">
      <c r="A2144" s="0" t="s">
        <v>3198</v>
      </c>
      <c r="C2144" s="0" t="s">
        <v>34</v>
      </c>
      <c r="D2144" s="7" t="n">
        <v>3593</v>
      </c>
      <c r="E2144" s="8" t="n">
        <v>0.034322293348177</v>
      </c>
      <c r="F2144" s="4" t="n">
        <f aca="false">D2144*E2144</f>
        <v>123.32</v>
      </c>
      <c r="G2144" s="7" t="n">
        <v>65</v>
      </c>
      <c r="H2144" s="9" t="n">
        <f aca="false">IF(G2144&gt;0,D2144/G2144,"")</f>
        <v>55.2769230769231</v>
      </c>
      <c r="I2144" s="10" t="n">
        <v>46308</v>
      </c>
      <c r="J2144" s="3" t="s">
        <v>1698</v>
      </c>
      <c r="K2144" s="10" t="n">
        <v>44270</v>
      </c>
      <c r="L2144" s="3" t="s">
        <v>15</v>
      </c>
      <c r="M2144" s="7" t="n">
        <v>3950</v>
      </c>
      <c r="N2144" s="8" t="n">
        <v>0.03432</v>
      </c>
      <c r="O2144" s="4" t="n">
        <f aca="false">M2144*N2144</f>
        <v>135.564</v>
      </c>
    </row>
    <row r="2145" customFormat="false" ht="15" hidden="false" customHeight="false" outlineLevel="0" collapsed="false">
      <c r="A2145" s="0" t="s">
        <v>3199</v>
      </c>
      <c r="C2145" s="0" t="s">
        <v>298</v>
      </c>
      <c r="D2145" s="7" t="n">
        <v>194</v>
      </c>
      <c r="E2145" s="8" t="n">
        <v>0.634948453608248</v>
      </c>
      <c r="F2145" s="4" t="n">
        <f aca="false">D2145*E2145</f>
        <v>123.18</v>
      </c>
      <c r="G2145" s="7" t="n">
        <v>51</v>
      </c>
      <c r="H2145" s="9" t="n">
        <f aca="false">IF(G2145&gt;0,D2145/G2145,"")</f>
        <v>3.80392156862745</v>
      </c>
      <c r="I2145" s="10" t="n">
        <v>46258</v>
      </c>
      <c r="J2145" s="3" t="s">
        <v>3030</v>
      </c>
      <c r="K2145" s="10" t="n">
        <v>46126</v>
      </c>
      <c r="L2145" s="3" t="s">
        <v>14</v>
      </c>
      <c r="M2145" s="7" t="n">
        <v>200</v>
      </c>
      <c r="N2145" s="8" t="n">
        <v>0.6349</v>
      </c>
      <c r="O2145" s="4" t="n">
        <f aca="false">M2145*N2145</f>
        <v>126.98</v>
      </c>
    </row>
    <row r="2146" customFormat="false" ht="15" hidden="false" customHeight="false" outlineLevel="0" collapsed="false">
      <c r="A2146" s="0" t="s">
        <v>3200</v>
      </c>
      <c r="C2146" s="0" t="s">
        <v>40</v>
      </c>
      <c r="D2146" s="7" t="n">
        <v>5475</v>
      </c>
      <c r="E2146" s="8" t="n">
        <v>0.022496803652968</v>
      </c>
      <c r="F2146" s="4" t="n">
        <f aca="false">D2146*E2146</f>
        <v>123.17</v>
      </c>
      <c r="G2146" s="7" t="n">
        <v>1496</v>
      </c>
      <c r="H2146" s="9" t="n">
        <f aca="false">IF(G2146&gt;0,D2146/G2146,"")</f>
        <v>3.65975935828877</v>
      </c>
      <c r="I2146" s="10" t="n">
        <v>46317</v>
      </c>
      <c r="J2146" s="3" t="s">
        <v>236</v>
      </c>
      <c r="K2146" s="10" t="n">
        <v>44694</v>
      </c>
      <c r="L2146" s="3" t="s">
        <v>18</v>
      </c>
      <c r="M2146" s="7" t="n">
        <v>16000</v>
      </c>
      <c r="N2146" s="8" t="n">
        <v>0.0241</v>
      </c>
      <c r="O2146" s="4" t="n">
        <f aca="false">M2146*N2146</f>
        <v>385.6</v>
      </c>
    </row>
    <row r="2147" customFormat="false" ht="15" hidden="false" customHeight="false" outlineLevel="0" collapsed="false">
      <c r="A2147" s="0" t="s">
        <v>3201</v>
      </c>
      <c r="C2147" s="0" t="s">
        <v>34</v>
      </c>
      <c r="D2147" s="7" t="n">
        <v>621</v>
      </c>
      <c r="E2147" s="8" t="n">
        <v>0.19792270531401</v>
      </c>
      <c r="F2147" s="4" t="n">
        <f aca="false">D2147*E2147</f>
        <v>122.91</v>
      </c>
      <c r="G2147" s="7" t="n">
        <v>300</v>
      </c>
      <c r="H2147" s="9" t="n">
        <f aca="false">IF(G2147&gt;0,D2147/G2147,"")</f>
        <v>2.07</v>
      </c>
      <c r="I2147" s="10" t="n">
        <v>46174</v>
      </c>
      <c r="J2147" s="3" t="s">
        <v>2480</v>
      </c>
      <c r="K2147" s="10" t="n">
        <v>46080</v>
      </c>
      <c r="L2147" s="3" t="s">
        <v>16</v>
      </c>
      <c r="M2147" s="7" t="n">
        <v>880</v>
      </c>
      <c r="N2147" s="8" t="n">
        <v>0.1722</v>
      </c>
      <c r="O2147" s="4" t="n">
        <f aca="false">M2147*N2147</f>
        <v>151.536</v>
      </c>
    </row>
    <row r="2148" customFormat="false" ht="15" hidden="false" customHeight="false" outlineLevel="0" collapsed="false">
      <c r="A2148" s="0" t="s">
        <v>3202</v>
      </c>
      <c r="C2148" s="0" t="s">
        <v>1169</v>
      </c>
      <c r="D2148" s="7" t="n">
        <v>2118</v>
      </c>
      <c r="E2148" s="8" t="n">
        <v>0.0580028328611898</v>
      </c>
      <c r="F2148" s="4" t="n">
        <f aca="false">D2148*E2148</f>
        <v>122.85</v>
      </c>
      <c r="G2148" s="7" t="n">
        <v>40</v>
      </c>
      <c r="H2148" s="9" t="n">
        <f aca="false">IF(G2148&gt;0,D2148/G2148,"")</f>
        <v>52.95</v>
      </c>
      <c r="I2148" s="10" t="n">
        <v>46133</v>
      </c>
      <c r="J2148" s="3" t="s">
        <v>2470</v>
      </c>
      <c r="K2148" s="10" t="n">
        <v>45093</v>
      </c>
      <c r="L2148" s="3" t="s">
        <v>21</v>
      </c>
      <c r="M2148" s="7" t="n">
        <v>2500</v>
      </c>
      <c r="N2148" s="8" t="n">
        <v>0.058</v>
      </c>
      <c r="O2148" s="4" t="n">
        <f aca="false">M2148*N2148</f>
        <v>145</v>
      </c>
    </row>
    <row r="2149" customFormat="false" ht="15" hidden="false" customHeight="false" outlineLevel="0" collapsed="false">
      <c r="A2149" s="0" t="s">
        <v>3203</v>
      </c>
      <c r="C2149" s="0" t="s">
        <v>38</v>
      </c>
      <c r="D2149" s="7" t="n">
        <v>925</v>
      </c>
      <c r="E2149" s="8" t="n">
        <v>0.132756756756757</v>
      </c>
      <c r="F2149" s="4" t="n">
        <f aca="false">D2149*E2149</f>
        <v>122.8</v>
      </c>
      <c r="G2149" s="7" t="n">
        <v>9</v>
      </c>
      <c r="H2149" s="9" t="n">
        <f aca="false">IF(G2149&gt;0,D2149/G2149,"")</f>
        <v>102.777777777778</v>
      </c>
      <c r="I2149" s="10" t="n">
        <v>46295</v>
      </c>
      <c r="J2149" s="3" t="s">
        <v>3204</v>
      </c>
      <c r="K2149" s="10" t="n">
        <v>44963</v>
      </c>
      <c r="L2149" s="3" t="s">
        <v>16</v>
      </c>
      <c r="M2149" s="7" t="n">
        <v>572</v>
      </c>
      <c r="N2149" s="8" t="n">
        <v>0.2017</v>
      </c>
      <c r="O2149" s="4" t="n">
        <f aca="false">M2149*N2149</f>
        <v>115.3724</v>
      </c>
    </row>
    <row r="2150" customFormat="false" ht="15" hidden="false" customHeight="false" outlineLevel="0" collapsed="false">
      <c r="A2150" s="0" t="s">
        <v>3205</v>
      </c>
      <c r="C2150" s="0" t="s">
        <v>41</v>
      </c>
      <c r="D2150" s="7" t="n">
        <v>3214</v>
      </c>
      <c r="E2150" s="8" t="n">
        <v>0.0381985065339141</v>
      </c>
      <c r="F2150" s="4" t="n">
        <f aca="false">D2150*E2150</f>
        <v>122.77</v>
      </c>
      <c r="G2150" s="7" t="n">
        <v>736</v>
      </c>
      <c r="H2150" s="9" t="n">
        <f aca="false">IF(G2150&gt;0,D2150/G2150,"")</f>
        <v>4.36684782608696</v>
      </c>
      <c r="I2150" s="10" t="n">
        <v>46246</v>
      </c>
      <c r="J2150" s="3" t="s">
        <v>2502</v>
      </c>
      <c r="K2150" s="10" t="n">
        <v>46175</v>
      </c>
      <c r="L2150" s="3" t="s">
        <v>16</v>
      </c>
      <c r="M2150" s="7" t="n">
        <v>3950</v>
      </c>
      <c r="N2150" s="8" t="n">
        <v>0.0382</v>
      </c>
      <c r="O2150" s="4" t="n">
        <f aca="false">M2150*N2150</f>
        <v>150.89</v>
      </c>
    </row>
    <row r="2151" customFormat="false" ht="15" hidden="false" customHeight="false" outlineLevel="0" collapsed="false">
      <c r="A2151" s="0" t="s">
        <v>3206</v>
      </c>
      <c r="C2151" s="0" t="s">
        <v>44</v>
      </c>
      <c r="D2151" s="7" t="n">
        <v>6</v>
      </c>
      <c r="E2151" s="8" t="n">
        <v>20.46</v>
      </c>
      <c r="F2151" s="4" t="n">
        <f aca="false">D2151*E2151</f>
        <v>122.76</v>
      </c>
      <c r="G2151" s="7" t="n">
        <v>2</v>
      </c>
      <c r="H2151" s="9" t="n">
        <f aca="false">IF(G2151&gt;0,D2151/G2151,"")</f>
        <v>3</v>
      </c>
      <c r="I2151" s="10" t="n">
        <v>45987</v>
      </c>
      <c r="J2151" s="3" t="s">
        <v>3207</v>
      </c>
      <c r="K2151" s="10" t="n">
        <v>45595</v>
      </c>
      <c r="L2151" s="3" t="s">
        <v>14</v>
      </c>
      <c r="M2151" s="7" t="n">
        <v>21</v>
      </c>
      <c r="N2151" s="8" t="n">
        <v>20.4595</v>
      </c>
      <c r="O2151" s="4" t="n">
        <f aca="false">M2151*N2151</f>
        <v>429.6495</v>
      </c>
    </row>
    <row r="2152" customFormat="false" ht="15" hidden="false" customHeight="false" outlineLevel="0" collapsed="false">
      <c r="A2152" s="0" t="s">
        <v>3208</v>
      </c>
      <c r="C2152" s="0" t="s">
        <v>31</v>
      </c>
      <c r="D2152" s="7" t="n">
        <v>4776</v>
      </c>
      <c r="E2152" s="8" t="n">
        <v>0.0256993299832496</v>
      </c>
      <c r="F2152" s="4" t="n">
        <f aca="false">D2152*E2152</f>
        <v>122.74</v>
      </c>
      <c r="G2152" s="7" t="n">
        <v>175</v>
      </c>
      <c r="H2152" s="9" t="n">
        <f aca="false">IF(G2152&gt;0,D2152/G2152,"")</f>
        <v>27.2914285714286</v>
      </c>
      <c r="I2152" s="10" t="n">
        <v>46246</v>
      </c>
      <c r="K2152" s="10"/>
      <c r="M2152" s="7"/>
      <c r="N2152" s="8"/>
      <c r="O2152" s="4"/>
    </row>
    <row r="2153" customFormat="false" ht="15" hidden="false" customHeight="false" outlineLevel="0" collapsed="false">
      <c r="A2153" s="0" t="s">
        <v>3209</v>
      </c>
      <c r="C2153" s="0" t="s">
        <v>31</v>
      </c>
      <c r="D2153" s="7" t="n">
        <v>6523</v>
      </c>
      <c r="E2153" s="8" t="n">
        <v>0.0188072972558639</v>
      </c>
      <c r="F2153" s="4" t="n">
        <f aca="false">D2153*E2153</f>
        <v>122.68</v>
      </c>
      <c r="G2153" s="7" t="n">
        <v>327</v>
      </c>
      <c r="H2153" s="9" t="n">
        <f aca="false">IF(G2153&gt;0,D2153/G2153,"")</f>
        <v>19.9480122324159</v>
      </c>
      <c r="I2153" s="10" t="n">
        <v>46246</v>
      </c>
      <c r="K2153" s="10"/>
      <c r="M2153" s="7"/>
      <c r="N2153" s="8"/>
      <c r="O2153" s="4"/>
    </row>
    <row r="2154" customFormat="false" ht="15" hidden="false" customHeight="false" outlineLevel="0" collapsed="false">
      <c r="A2154" s="0" t="s">
        <v>3210</v>
      </c>
      <c r="C2154" s="0" t="s">
        <v>298</v>
      </c>
      <c r="D2154" s="7" t="n">
        <v>1002</v>
      </c>
      <c r="E2154" s="8" t="n">
        <v>0.122355289421158</v>
      </c>
      <c r="F2154" s="4" t="n">
        <f aca="false">D2154*E2154</f>
        <v>122.6</v>
      </c>
      <c r="G2154" s="7" t="n">
        <v>404</v>
      </c>
      <c r="H2154" s="9" t="n">
        <f aca="false">IF(G2154&gt;0,D2154/G2154,"")</f>
        <v>2.48019801980198</v>
      </c>
      <c r="I2154" s="10" t="n">
        <v>46027</v>
      </c>
      <c r="J2154" s="3" t="s">
        <v>1011</v>
      </c>
      <c r="K2154" s="10" t="n">
        <v>46003</v>
      </c>
      <c r="L2154" s="3" t="s">
        <v>16</v>
      </c>
      <c r="M2154" s="7" t="n">
        <v>1350</v>
      </c>
      <c r="N2154" s="8" t="n">
        <v>0.117</v>
      </c>
      <c r="O2154" s="4" t="n">
        <f aca="false">M2154*N2154</f>
        <v>157.95</v>
      </c>
    </row>
    <row r="2155" customFormat="false" ht="15" hidden="false" customHeight="false" outlineLevel="0" collapsed="false">
      <c r="A2155" s="0" t="s">
        <v>3211</v>
      </c>
      <c r="C2155" s="0" t="s">
        <v>33</v>
      </c>
      <c r="D2155" s="7" t="n">
        <v>6306</v>
      </c>
      <c r="E2155" s="8" t="n">
        <v>0.0194386298763083</v>
      </c>
      <c r="F2155" s="4" t="n">
        <f aca="false">D2155*E2155</f>
        <v>122.58</v>
      </c>
      <c r="G2155" s="7" t="n">
        <v>350</v>
      </c>
      <c r="H2155" s="9" t="n">
        <f aca="false">IF(G2155&gt;0,D2155/G2155,"")</f>
        <v>18.0171428571429</v>
      </c>
      <c r="I2155" s="10" t="n">
        <v>46283</v>
      </c>
      <c r="J2155" s="3" t="s">
        <v>3212</v>
      </c>
      <c r="K2155" s="10" t="n">
        <v>45210</v>
      </c>
      <c r="L2155" s="3" t="s">
        <v>18</v>
      </c>
      <c r="M2155" s="7" t="n">
        <v>10000</v>
      </c>
      <c r="N2155" s="8" t="n">
        <v>0.0193</v>
      </c>
      <c r="O2155" s="4" t="n">
        <f aca="false">M2155*N2155</f>
        <v>193</v>
      </c>
    </row>
    <row r="2156" customFormat="false" ht="15" hidden="false" customHeight="false" outlineLevel="0" collapsed="false">
      <c r="A2156" s="0" t="s">
        <v>3213</v>
      </c>
      <c r="C2156" s="0" t="s">
        <v>1169</v>
      </c>
      <c r="D2156" s="7" t="n">
        <v>4709</v>
      </c>
      <c r="E2156" s="8" t="n">
        <v>0.0260012741558717</v>
      </c>
      <c r="F2156" s="4" t="n">
        <f aca="false">D2156*E2156</f>
        <v>122.44</v>
      </c>
      <c r="G2156" s="7" t="n">
        <v>515</v>
      </c>
      <c r="H2156" s="9" t="n">
        <f aca="false">IF(G2156&gt;0,D2156/G2156,"")</f>
        <v>9.14368932038835</v>
      </c>
      <c r="I2156" s="10" t="n">
        <v>46133</v>
      </c>
      <c r="J2156" s="3" t="s">
        <v>1170</v>
      </c>
      <c r="K2156" s="10" t="n">
        <v>45398</v>
      </c>
      <c r="L2156" s="3" t="s">
        <v>21</v>
      </c>
      <c r="M2156" s="7" t="n">
        <v>5000</v>
      </c>
      <c r="N2156" s="8" t="n">
        <v>0.026</v>
      </c>
      <c r="O2156" s="4" t="n">
        <f aca="false">M2156*N2156</f>
        <v>130</v>
      </c>
    </row>
    <row r="2157" customFormat="false" ht="15" hidden="false" customHeight="false" outlineLevel="0" collapsed="false">
      <c r="A2157" s="0" t="s">
        <v>3214</v>
      </c>
      <c r="C2157" s="0" t="s">
        <v>1802</v>
      </c>
      <c r="D2157" s="7" t="n">
        <v>30</v>
      </c>
      <c r="E2157" s="8" t="n">
        <v>4.07633333333333</v>
      </c>
      <c r="F2157" s="4" t="n">
        <f aca="false">D2157*E2157</f>
        <v>122.29</v>
      </c>
      <c r="G2157" s="7" t="n">
        <v>20</v>
      </c>
      <c r="H2157" s="9" t="n">
        <f aca="false">IF(G2157&gt;0,D2157/G2157,"")</f>
        <v>1.5</v>
      </c>
      <c r="I2157" s="10" t="n">
        <v>46211</v>
      </c>
      <c r="J2157" s="3" t="s">
        <v>2681</v>
      </c>
      <c r="K2157" s="10" t="n">
        <v>46112</v>
      </c>
      <c r="L2157" s="3" t="s">
        <v>14</v>
      </c>
      <c r="M2157" s="7" t="n">
        <v>43</v>
      </c>
      <c r="N2157" s="8" t="n">
        <v>4.0765</v>
      </c>
      <c r="O2157" s="4" t="n">
        <f aca="false">M2157*N2157</f>
        <v>175.2895</v>
      </c>
    </row>
    <row r="2158" customFormat="false" ht="15" hidden="false" customHeight="false" outlineLevel="0" collapsed="false">
      <c r="A2158" s="0" t="s">
        <v>3215</v>
      </c>
      <c r="C2158" s="0" t="s">
        <v>33</v>
      </c>
      <c r="D2158" s="7" t="n">
        <v>3990</v>
      </c>
      <c r="E2158" s="8" t="n">
        <v>0.0305989974937343</v>
      </c>
      <c r="F2158" s="4" t="n">
        <f aca="false">D2158*E2158</f>
        <v>122.09</v>
      </c>
      <c r="G2158" s="7" t="n">
        <v>25</v>
      </c>
      <c r="H2158" s="9" t="n">
        <f aca="false">IF(G2158&gt;0,D2158/G2158,"")</f>
        <v>159.6</v>
      </c>
      <c r="I2158" s="10" t="n">
        <v>46104</v>
      </c>
      <c r="J2158" s="3" t="s">
        <v>3216</v>
      </c>
      <c r="K2158" s="10" t="n">
        <v>45026</v>
      </c>
      <c r="L2158" s="3" t="s">
        <v>18</v>
      </c>
      <c r="M2158" s="7" t="n">
        <v>5500</v>
      </c>
      <c r="N2158" s="8" t="n">
        <v>0.0306</v>
      </c>
      <c r="O2158" s="4" t="n">
        <f aca="false">M2158*N2158</f>
        <v>168.3</v>
      </c>
    </row>
    <row r="2159" customFormat="false" ht="15" hidden="false" customHeight="false" outlineLevel="0" collapsed="false">
      <c r="A2159" s="0" t="s">
        <v>3217</v>
      </c>
      <c r="C2159" s="0" t="s">
        <v>2981</v>
      </c>
      <c r="D2159" s="7" t="n">
        <v>194</v>
      </c>
      <c r="E2159" s="8" t="n">
        <v>0.628865979381443</v>
      </c>
      <c r="F2159" s="4" t="n">
        <f aca="false">D2159*E2159</f>
        <v>122</v>
      </c>
      <c r="G2159" s="7" t="n">
        <v>4</v>
      </c>
      <c r="H2159" s="9" t="n">
        <f aca="false">IF(G2159&gt;0,D2159/G2159,"")</f>
        <v>48.5</v>
      </c>
      <c r="I2159" s="10" t="n">
        <v>46203</v>
      </c>
      <c r="J2159" s="3" t="s">
        <v>3218</v>
      </c>
      <c r="K2159" s="10" t="n">
        <v>45830</v>
      </c>
      <c r="L2159" s="3" t="s">
        <v>936</v>
      </c>
      <c r="M2159" s="7" t="n">
        <v>200</v>
      </c>
      <c r="N2159" s="8" t="n">
        <v>0.6289</v>
      </c>
      <c r="O2159" s="4" t="n">
        <f aca="false">M2159*N2159</f>
        <v>125.78</v>
      </c>
    </row>
    <row r="2160" customFormat="false" ht="15" hidden="false" customHeight="false" outlineLevel="0" collapsed="false">
      <c r="A2160" s="0" t="s">
        <v>3219</v>
      </c>
      <c r="C2160" s="0" t="s">
        <v>37</v>
      </c>
      <c r="D2160" s="7" t="n">
        <v>3538</v>
      </c>
      <c r="E2160" s="8" t="n">
        <v>0.03444036178632</v>
      </c>
      <c r="F2160" s="4" t="n">
        <f aca="false">D2160*E2160</f>
        <v>121.85</v>
      </c>
      <c r="G2160" s="7" t="n">
        <v>229</v>
      </c>
      <c r="H2160" s="9" t="n">
        <f aca="false">IF(G2160&gt;0,D2160/G2160,"")</f>
        <v>15.4497816593886</v>
      </c>
      <c r="I2160" s="10" t="n">
        <v>46224</v>
      </c>
      <c r="K2160" s="10"/>
      <c r="M2160" s="7"/>
      <c r="N2160" s="8"/>
      <c r="O2160" s="4"/>
    </row>
    <row r="2161" customFormat="false" ht="15" hidden="false" customHeight="false" outlineLevel="0" collapsed="false">
      <c r="A2161" s="0" t="s">
        <v>3220</v>
      </c>
      <c r="C2161" s="0" t="s">
        <v>33</v>
      </c>
      <c r="D2161" s="7" t="n">
        <v>2806</v>
      </c>
      <c r="E2161" s="8" t="n">
        <v>0.043399857448325</v>
      </c>
      <c r="F2161" s="4" t="n">
        <f aca="false">D2161*E2161</f>
        <v>121.78</v>
      </c>
      <c r="G2161" s="7" t="n">
        <v>407</v>
      </c>
      <c r="H2161" s="9" t="n">
        <f aca="false">IF(G2161&gt;0,D2161/G2161,"")</f>
        <v>6.89434889434889</v>
      </c>
      <c r="I2161" s="10" t="n">
        <v>46261</v>
      </c>
      <c r="K2161" s="10"/>
      <c r="M2161" s="7"/>
      <c r="N2161" s="8"/>
      <c r="O2161" s="4"/>
    </row>
    <row r="2162" customFormat="false" ht="15" hidden="false" customHeight="false" outlineLevel="0" collapsed="false">
      <c r="A2162" s="0" t="s">
        <v>3221</v>
      </c>
      <c r="C2162" s="0" t="s">
        <v>31</v>
      </c>
      <c r="D2162" s="7" t="n">
        <v>1579</v>
      </c>
      <c r="E2162" s="8" t="n">
        <v>0.0770930968967701</v>
      </c>
      <c r="F2162" s="4" t="n">
        <f aca="false">D2162*E2162</f>
        <v>121.73</v>
      </c>
      <c r="G2162" s="7" t="n">
        <v>46</v>
      </c>
      <c r="H2162" s="9" t="n">
        <f aca="false">IF(G2162&gt;0,D2162/G2162,"")</f>
        <v>34.3260869565217</v>
      </c>
      <c r="I2162" s="10" t="n">
        <v>46217</v>
      </c>
      <c r="J2162" s="3" t="s">
        <v>3222</v>
      </c>
      <c r="K2162" s="10" t="n">
        <v>44398</v>
      </c>
      <c r="L2162" s="3" t="s">
        <v>2203</v>
      </c>
      <c r="M2162" s="7" t="n">
        <v>2000</v>
      </c>
      <c r="N2162" s="8" t="n">
        <v>0.07708</v>
      </c>
      <c r="O2162" s="4" t="n">
        <f aca="false">M2162*N2162</f>
        <v>154.16</v>
      </c>
    </row>
    <row r="2163" customFormat="false" ht="15" hidden="false" customHeight="false" outlineLevel="0" collapsed="false">
      <c r="A2163" s="0" t="s">
        <v>3223</v>
      </c>
      <c r="D2163" s="7" t="n">
        <v>28</v>
      </c>
      <c r="E2163" s="8" t="n">
        <v>4.34714285714286</v>
      </c>
      <c r="F2163" s="4" t="n">
        <f aca="false">D2163*E2163</f>
        <v>121.72</v>
      </c>
      <c r="G2163" s="7" t="n">
        <v>5</v>
      </c>
      <c r="H2163" s="9" t="n">
        <f aca="false">IF(G2163&gt;0,D2163/G2163,"")</f>
        <v>5.6</v>
      </c>
      <c r="I2163" s="10" t="n">
        <v>46253</v>
      </c>
      <c r="J2163" s="3" t="s">
        <v>3224</v>
      </c>
      <c r="K2163" s="10" t="n">
        <v>44309</v>
      </c>
      <c r="L2163" s="3" t="s">
        <v>1175</v>
      </c>
      <c r="M2163" s="7" t="n">
        <v>1</v>
      </c>
      <c r="N2163" s="8" t="n">
        <v>4.28</v>
      </c>
      <c r="O2163" s="4" t="n">
        <f aca="false">M2163*N2163</f>
        <v>4.28</v>
      </c>
    </row>
    <row r="2164" customFormat="false" ht="15" hidden="false" customHeight="false" outlineLevel="0" collapsed="false">
      <c r="A2164" s="0" t="s">
        <v>3225</v>
      </c>
      <c r="C2164" s="0" t="s">
        <v>100</v>
      </c>
      <c r="D2164" s="7" t="n">
        <v>50</v>
      </c>
      <c r="E2164" s="8" t="n">
        <v>2.4324</v>
      </c>
      <c r="F2164" s="4" t="n">
        <f aca="false">D2164*E2164</f>
        <v>121.62</v>
      </c>
      <c r="G2164" s="7" t="n">
        <v>50</v>
      </c>
      <c r="H2164" s="9" t="n">
        <f aca="false">IF(G2164&gt;0,D2164/G2164,"")</f>
        <v>1</v>
      </c>
      <c r="I2164" s="10" t="n">
        <v>46217</v>
      </c>
      <c r="J2164" s="3" t="s">
        <v>478</v>
      </c>
      <c r="K2164" s="10" t="n">
        <v>46185</v>
      </c>
      <c r="L2164" s="3" t="s">
        <v>16</v>
      </c>
      <c r="M2164" s="7" t="n">
        <v>100</v>
      </c>
      <c r="N2164" s="8" t="n">
        <v>2.4324</v>
      </c>
      <c r="O2164" s="4" t="n">
        <f aca="false">M2164*N2164</f>
        <v>243.24</v>
      </c>
    </row>
    <row r="2165" customFormat="false" ht="15" hidden="false" customHeight="false" outlineLevel="0" collapsed="false">
      <c r="A2165" s="0" t="s">
        <v>3226</v>
      </c>
      <c r="C2165" s="0" t="s">
        <v>1169</v>
      </c>
      <c r="D2165" s="7" t="n">
        <v>2119</v>
      </c>
      <c r="E2165" s="8" t="n">
        <v>0.057262859839547</v>
      </c>
      <c r="F2165" s="4" t="n">
        <f aca="false">D2165*E2165</f>
        <v>121.34</v>
      </c>
      <c r="G2165" s="7" t="n">
        <v>54</v>
      </c>
      <c r="H2165" s="9" t="n">
        <f aca="false">IF(G2165&gt;0,D2165/G2165,"")</f>
        <v>39.2407407407407</v>
      </c>
      <c r="I2165" s="10" t="n">
        <v>46133</v>
      </c>
      <c r="J2165" s="3" t="s">
        <v>2470</v>
      </c>
      <c r="K2165" s="10" t="n">
        <v>45093</v>
      </c>
      <c r="L2165" s="3" t="s">
        <v>21</v>
      </c>
      <c r="M2165" s="7" t="n">
        <v>2500</v>
      </c>
      <c r="N2165" s="8" t="n">
        <v>0.057</v>
      </c>
      <c r="O2165" s="4" t="n">
        <f aca="false">M2165*N2165</f>
        <v>142.5</v>
      </c>
    </row>
    <row r="2166" customFormat="false" ht="15" hidden="false" customHeight="false" outlineLevel="0" collapsed="false">
      <c r="A2166" s="0" t="s">
        <v>3227</v>
      </c>
      <c r="C2166" s="0" t="s">
        <v>31</v>
      </c>
      <c r="D2166" s="7" t="n">
        <v>33411</v>
      </c>
      <c r="E2166" s="8" t="n">
        <v>0.00363113944509293</v>
      </c>
      <c r="F2166" s="4" t="n">
        <f aca="false">D2166*E2166</f>
        <v>121.32</v>
      </c>
      <c r="G2166" s="7" t="n">
        <v>8440</v>
      </c>
      <c r="H2166" s="9" t="n">
        <f aca="false">IF(G2166&gt;0,D2166/G2166,"")</f>
        <v>3.95864928909953</v>
      </c>
      <c r="I2166" s="10" t="n">
        <v>46268</v>
      </c>
      <c r="K2166" s="10"/>
      <c r="M2166" s="7"/>
      <c r="N2166" s="8"/>
      <c r="O2166" s="4"/>
    </row>
    <row r="2167" customFormat="false" ht="15" hidden="false" customHeight="false" outlineLevel="0" collapsed="false">
      <c r="A2167" s="0" t="s">
        <v>3228</v>
      </c>
      <c r="C2167" s="0" t="s">
        <v>298</v>
      </c>
      <c r="D2167" s="7" t="n">
        <v>21593</v>
      </c>
      <c r="E2167" s="8" t="n">
        <v>0.00561848747279211</v>
      </c>
      <c r="F2167" s="4" t="n">
        <f aca="false">D2167*E2167</f>
        <v>121.32</v>
      </c>
      <c r="G2167" s="7" t="n">
        <v>1422</v>
      </c>
      <c r="H2167" s="9" t="n">
        <f aca="false">IF(G2167&gt;0,D2167/G2167,"")</f>
        <v>15.1849507735584</v>
      </c>
      <c r="I2167" s="10" t="n">
        <v>46301</v>
      </c>
      <c r="K2167" s="10"/>
      <c r="M2167" s="7"/>
      <c r="N2167" s="8"/>
      <c r="O2167" s="4"/>
    </row>
    <row r="2168" customFormat="false" ht="15" hidden="false" customHeight="false" outlineLevel="0" collapsed="false">
      <c r="A2168" s="0" t="s">
        <v>3229</v>
      </c>
      <c r="C2168" s="0" t="s">
        <v>31</v>
      </c>
      <c r="D2168" s="7" t="n">
        <v>27866</v>
      </c>
      <c r="E2168" s="8" t="n">
        <v>0.00434866862843609</v>
      </c>
      <c r="F2168" s="4" t="n">
        <f aca="false">D2168*E2168</f>
        <v>121.18</v>
      </c>
      <c r="G2168" s="7" t="n">
        <v>8241</v>
      </c>
      <c r="H2168" s="9" t="n">
        <f aca="false">IF(G2168&gt;0,D2168/G2168,"")</f>
        <v>3.38138575415605</v>
      </c>
      <c r="I2168" s="10" t="n">
        <v>46309</v>
      </c>
      <c r="K2168" s="10"/>
      <c r="M2168" s="7"/>
      <c r="N2168" s="8"/>
      <c r="O2168" s="4"/>
    </row>
    <row r="2169" customFormat="false" ht="15" hidden="false" customHeight="false" outlineLevel="0" collapsed="false">
      <c r="A2169" s="0" t="s">
        <v>3230</v>
      </c>
      <c r="C2169" s="0" t="s">
        <v>889</v>
      </c>
      <c r="D2169" s="7" t="n">
        <v>3385</v>
      </c>
      <c r="E2169" s="8" t="n">
        <v>0.0357961595273264</v>
      </c>
      <c r="F2169" s="4" t="n">
        <f aca="false">D2169*E2169</f>
        <v>121.17</v>
      </c>
      <c r="G2169" s="7" t="n">
        <v>170</v>
      </c>
      <c r="H2169" s="9" t="n">
        <f aca="false">IF(G2169&gt;0,D2169/G2169,"")</f>
        <v>19.9117647058824</v>
      </c>
      <c r="I2169" s="10" t="n">
        <v>46247</v>
      </c>
      <c r="K2169" s="10"/>
      <c r="M2169" s="7"/>
      <c r="N2169" s="8"/>
      <c r="O2169" s="4"/>
    </row>
    <row r="2170" customFormat="false" ht="15" hidden="false" customHeight="false" outlineLevel="0" collapsed="false">
      <c r="A2170" s="0" t="s">
        <v>3231</v>
      </c>
      <c r="C2170" s="0" t="s">
        <v>34</v>
      </c>
      <c r="D2170" s="7" t="n">
        <v>884</v>
      </c>
      <c r="E2170" s="8" t="n">
        <v>0.137002262443439</v>
      </c>
      <c r="F2170" s="4" t="n">
        <f aca="false">D2170*E2170</f>
        <v>121.11</v>
      </c>
      <c r="G2170" s="7" t="n">
        <v>36</v>
      </c>
      <c r="H2170" s="9" t="n">
        <f aca="false">IF(G2170&gt;0,D2170/G2170,"")</f>
        <v>24.5555555555556</v>
      </c>
      <c r="I2170" s="10" t="n">
        <v>46223</v>
      </c>
      <c r="J2170" s="3" t="s">
        <v>2937</v>
      </c>
      <c r="K2170" s="10" t="n">
        <v>45336</v>
      </c>
      <c r="L2170" s="3" t="s">
        <v>16</v>
      </c>
      <c r="M2170" s="7" t="n">
        <v>1095</v>
      </c>
      <c r="N2170" s="8" t="n">
        <v>0.137</v>
      </c>
      <c r="O2170" s="4" t="n">
        <f aca="false">M2170*N2170</f>
        <v>150.015</v>
      </c>
    </row>
    <row r="2171" customFormat="false" ht="15" hidden="false" customHeight="false" outlineLevel="0" collapsed="false">
      <c r="A2171" s="0" t="s">
        <v>3232</v>
      </c>
      <c r="C2171" s="0" t="s">
        <v>1169</v>
      </c>
      <c r="D2171" s="7" t="n">
        <v>1447</v>
      </c>
      <c r="E2171" s="8" t="n">
        <v>0.0835936420179682</v>
      </c>
      <c r="F2171" s="4" t="n">
        <f aca="false">D2171*E2171</f>
        <v>120.96</v>
      </c>
      <c r="G2171" s="7" t="n">
        <v>146</v>
      </c>
      <c r="H2171" s="9" t="n">
        <f aca="false">IF(G2171&gt;0,D2171/G2171,"")</f>
        <v>9.91095890410959</v>
      </c>
      <c r="I2171" s="10" t="n">
        <v>46181</v>
      </c>
      <c r="J2171" s="3" t="s">
        <v>2494</v>
      </c>
      <c r="K2171" s="10" t="n">
        <v>45379</v>
      </c>
      <c r="L2171" s="3" t="s">
        <v>14</v>
      </c>
      <c r="M2171" s="7" t="n">
        <v>100</v>
      </c>
      <c r="N2171" s="8" t="n">
        <v>0.3155</v>
      </c>
      <c r="O2171" s="4" t="n">
        <f aca="false">M2171*N2171</f>
        <v>31.55</v>
      </c>
    </row>
    <row r="2172" customFormat="false" ht="15" hidden="false" customHeight="false" outlineLevel="0" collapsed="false">
      <c r="A2172" s="0" t="s">
        <v>3233</v>
      </c>
      <c r="C2172" s="0" t="s">
        <v>1101</v>
      </c>
      <c r="D2172" s="7" t="n">
        <v>42</v>
      </c>
      <c r="E2172" s="8" t="n">
        <v>2.88</v>
      </c>
      <c r="F2172" s="4" t="n">
        <f aca="false">D2172*E2172</f>
        <v>120.96</v>
      </c>
      <c r="G2172" s="7" t="n">
        <v>8</v>
      </c>
      <c r="H2172" s="9" t="n">
        <f aca="false">IF(G2172&gt;0,D2172/G2172,"")</f>
        <v>5.25</v>
      </c>
      <c r="I2172" s="10" t="n">
        <v>46181</v>
      </c>
      <c r="J2172" s="3" t="s">
        <v>2700</v>
      </c>
      <c r="K2172" s="10" t="n">
        <v>45288</v>
      </c>
      <c r="L2172" s="3" t="s">
        <v>1103</v>
      </c>
      <c r="M2172" s="7" t="n">
        <v>50</v>
      </c>
      <c r="N2172" s="8" t="n">
        <v>2.88</v>
      </c>
      <c r="O2172" s="4" t="n">
        <f aca="false">M2172*N2172</f>
        <v>144</v>
      </c>
    </row>
    <row r="2173" customFormat="false" ht="15" hidden="false" customHeight="false" outlineLevel="0" collapsed="false">
      <c r="A2173" s="0" t="s">
        <v>3234</v>
      </c>
      <c r="C2173" s="0" t="s">
        <v>41</v>
      </c>
      <c r="D2173" s="7" t="n">
        <v>19870</v>
      </c>
      <c r="E2173" s="8" t="n">
        <v>0.00608253648716658</v>
      </c>
      <c r="F2173" s="4" t="n">
        <f aca="false">D2173*E2173</f>
        <v>120.86</v>
      </c>
      <c r="G2173" s="7" t="n">
        <v>200</v>
      </c>
      <c r="H2173" s="9" t="n">
        <f aca="false">IF(G2173&gt;0,D2173/G2173,"")</f>
        <v>99.35</v>
      </c>
      <c r="I2173" s="10" t="n">
        <v>46071</v>
      </c>
      <c r="J2173" s="3" t="s">
        <v>3235</v>
      </c>
      <c r="K2173" s="10" t="n">
        <v>44364</v>
      </c>
      <c r="L2173" s="3" t="s">
        <v>19</v>
      </c>
      <c r="M2173" s="7" t="n">
        <v>500</v>
      </c>
      <c r="N2173" s="8" t="n">
        <v>0.021</v>
      </c>
      <c r="O2173" s="4" t="n">
        <f aca="false">M2173*N2173</f>
        <v>10.5</v>
      </c>
    </row>
    <row r="2174" customFormat="false" ht="15" hidden="false" customHeight="false" outlineLevel="0" collapsed="false">
      <c r="A2174" s="0" t="s">
        <v>3236</v>
      </c>
      <c r="C2174" s="0" t="s">
        <v>31</v>
      </c>
      <c r="D2174" s="7" t="n">
        <v>13646</v>
      </c>
      <c r="E2174" s="8" t="n">
        <v>0.0088531437783966</v>
      </c>
      <c r="F2174" s="4" t="n">
        <f aca="false">D2174*E2174</f>
        <v>120.81</v>
      </c>
      <c r="G2174" s="7" t="n">
        <v>1081</v>
      </c>
      <c r="H2174" s="9" t="n">
        <f aca="false">IF(G2174&gt;0,D2174/G2174,"")</f>
        <v>12.6234967622572</v>
      </c>
      <c r="I2174" s="10" t="n">
        <v>46202</v>
      </c>
      <c r="K2174" s="10"/>
      <c r="M2174" s="7"/>
      <c r="N2174" s="8"/>
      <c r="O2174" s="4"/>
    </row>
    <row r="2175" customFormat="false" ht="15" hidden="false" customHeight="false" outlineLevel="0" collapsed="false">
      <c r="A2175" s="0" t="s">
        <v>3237</v>
      </c>
      <c r="C2175" s="0" t="s">
        <v>45</v>
      </c>
      <c r="D2175" s="7" t="n">
        <v>13</v>
      </c>
      <c r="E2175" s="8" t="n">
        <v>9.29230769230769</v>
      </c>
      <c r="F2175" s="4" t="n">
        <f aca="false">D2175*E2175</f>
        <v>120.8</v>
      </c>
      <c r="G2175" s="7" t="n">
        <v>1</v>
      </c>
      <c r="H2175" s="9" t="n">
        <f aca="false">IF(G2175&gt;0,D2175/G2175,"")</f>
        <v>13</v>
      </c>
      <c r="I2175" s="10" t="n">
        <v>45968</v>
      </c>
      <c r="J2175" s="3" t="s">
        <v>3238</v>
      </c>
      <c r="K2175" s="10" t="n">
        <v>45531</v>
      </c>
      <c r="L2175" s="3" t="s">
        <v>14</v>
      </c>
      <c r="M2175" s="7" t="n">
        <v>44</v>
      </c>
      <c r="N2175" s="8" t="n">
        <v>9.2924</v>
      </c>
      <c r="O2175" s="4" t="n">
        <f aca="false">M2175*N2175</f>
        <v>408.8656</v>
      </c>
    </row>
    <row r="2176" customFormat="false" ht="15" hidden="false" customHeight="false" outlineLevel="0" collapsed="false">
      <c r="A2176" s="0" t="s">
        <v>3239</v>
      </c>
      <c r="C2176" s="0" t="s">
        <v>31</v>
      </c>
      <c r="D2176" s="7" t="n">
        <v>47711</v>
      </c>
      <c r="E2176" s="8" t="n">
        <v>0.00253002452264677</v>
      </c>
      <c r="F2176" s="4" t="n">
        <f aca="false">D2176*E2176</f>
        <v>120.71</v>
      </c>
      <c r="G2176" s="7" t="n">
        <v>1250</v>
      </c>
      <c r="H2176" s="9" t="n">
        <f aca="false">IF(G2176&gt;0,D2176/G2176,"")</f>
        <v>38.1688</v>
      </c>
      <c r="I2176" s="10" t="n">
        <v>46240</v>
      </c>
      <c r="K2176" s="10"/>
      <c r="M2176" s="7"/>
      <c r="N2176" s="8"/>
      <c r="O2176" s="4"/>
    </row>
    <row r="2177" customFormat="false" ht="15" hidden="false" customHeight="false" outlineLevel="0" collapsed="false">
      <c r="A2177" s="0" t="s">
        <v>3240</v>
      </c>
      <c r="C2177" s="0" t="s">
        <v>1039</v>
      </c>
      <c r="D2177" s="7" t="n">
        <v>8046</v>
      </c>
      <c r="E2177" s="8" t="n">
        <v>0.015</v>
      </c>
      <c r="F2177" s="4" t="n">
        <f aca="false">D2177*E2177</f>
        <v>120.69</v>
      </c>
      <c r="G2177" s="7" t="n">
        <v>279</v>
      </c>
      <c r="H2177" s="9" t="n">
        <f aca="false">IF(G2177&gt;0,D2177/G2177,"")</f>
        <v>28.8387096774194</v>
      </c>
      <c r="I2177" s="10" t="n">
        <v>46308</v>
      </c>
      <c r="K2177" s="10"/>
      <c r="M2177" s="7"/>
      <c r="N2177" s="8"/>
      <c r="O2177" s="4"/>
    </row>
    <row r="2178" customFormat="false" ht="15" hidden="false" customHeight="false" outlineLevel="0" collapsed="false">
      <c r="A2178" s="0" t="s">
        <v>3241</v>
      </c>
      <c r="C2178" s="0" t="s">
        <v>31</v>
      </c>
      <c r="D2178" s="7" t="n">
        <v>1717</v>
      </c>
      <c r="E2178" s="8" t="n">
        <v>0.0702329644729179</v>
      </c>
      <c r="F2178" s="4" t="n">
        <f aca="false">D2178*E2178</f>
        <v>120.59</v>
      </c>
      <c r="G2178" s="7" t="n">
        <v>165</v>
      </c>
      <c r="H2178" s="9" t="n">
        <f aca="false">IF(G2178&gt;0,D2178/G2178,"")</f>
        <v>10.4060606060606</v>
      </c>
      <c r="I2178" s="10" t="n">
        <v>46317</v>
      </c>
      <c r="K2178" s="10"/>
      <c r="M2178" s="7"/>
      <c r="N2178" s="8"/>
      <c r="O2178" s="4"/>
    </row>
    <row r="2179" customFormat="false" ht="15" hidden="false" customHeight="false" outlineLevel="0" collapsed="false">
      <c r="A2179" s="0" t="s">
        <v>3242</v>
      </c>
      <c r="C2179" s="0" t="s">
        <v>43</v>
      </c>
      <c r="D2179" s="7" t="n">
        <v>421</v>
      </c>
      <c r="E2179" s="8" t="n">
        <v>0.286389548693587</v>
      </c>
      <c r="F2179" s="4" t="n">
        <f aca="false">D2179*E2179</f>
        <v>120.57</v>
      </c>
      <c r="G2179" s="7" t="n">
        <v>39</v>
      </c>
      <c r="H2179" s="9" t="n">
        <f aca="false">IF(G2179&gt;0,D2179/G2179,"")</f>
        <v>10.7948717948718</v>
      </c>
      <c r="I2179" s="10" t="n">
        <v>46181</v>
      </c>
      <c r="J2179" s="3" t="s">
        <v>3243</v>
      </c>
      <c r="K2179" s="10" t="n">
        <v>44776</v>
      </c>
      <c r="L2179" s="3" t="s">
        <v>14</v>
      </c>
      <c r="M2179" s="7" t="n">
        <v>500</v>
      </c>
      <c r="N2179" s="8" t="n">
        <v>0.2864</v>
      </c>
      <c r="O2179" s="4" t="n">
        <f aca="false">M2179*N2179</f>
        <v>143.2</v>
      </c>
    </row>
    <row r="2180" customFormat="false" ht="15" hidden="false" customHeight="false" outlineLevel="0" collapsed="false">
      <c r="A2180" s="0" t="s">
        <v>3244</v>
      </c>
      <c r="C2180" s="0" t="s">
        <v>61</v>
      </c>
      <c r="D2180" s="7" t="n">
        <v>1988</v>
      </c>
      <c r="E2180" s="8" t="n">
        <v>0.0606136820925553</v>
      </c>
      <c r="F2180" s="4" t="n">
        <f aca="false">D2180*E2180</f>
        <v>120.5</v>
      </c>
      <c r="G2180" s="7" t="n">
        <v>415</v>
      </c>
      <c r="H2180" s="9" t="n">
        <f aca="false">IF(G2180&gt;0,D2180/G2180,"")</f>
        <v>4.79036144578313</v>
      </c>
      <c r="I2180" s="10" t="n">
        <v>46308</v>
      </c>
      <c r="K2180" s="10"/>
      <c r="M2180" s="7"/>
      <c r="N2180" s="8"/>
      <c r="O2180" s="4"/>
    </row>
    <row r="2181" customFormat="false" ht="15" hidden="false" customHeight="false" outlineLevel="0" collapsed="false">
      <c r="A2181" s="0" t="s">
        <v>3245</v>
      </c>
      <c r="C2181" s="0" t="s">
        <v>34</v>
      </c>
      <c r="D2181" s="7" t="n">
        <v>3889</v>
      </c>
      <c r="E2181" s="8" t="n">
        <v>0.0309848290048856</v>
      </c>
      <c r="F2181" s="4" t="n">
        <f aca="false">D2181*E2181</f>
        <v>120.5</v>
      </c>
      <c r="G2181" s="7" t="n">
        <v>383</v>
      </c>
      <c r="H2181" s="9" t="n">
        <f aca="false">IF(G2181&gt;0,D2181/G2181,"")</f>
        <v>10.154046997389</v>
      </c>
      <c r="I2181" s="10" t="n">
        <v>46317</v>
      </c>
      <c r="J2181" s="3" t="s">
        <v>531</v>
      </c>
      <c r="K2181" s="10" t="n">
        <v>45782</v>
      </c>
      <c r="L2181" s="3" t="s">
        <v>14</v>
      </c>
      <c r="M2181" s="7" t="n">
        <v>1624</v>
      </c>
      <c r="N2181" s="8" t="n">
        <v>0.0558</v>
      </c>
      <c r="O2181" s="4" t="n">
        <f aca="false">M2181*N2181</f>
        <v>90.6192</v>
      </c>
    </row>
    <row r="2182" customFormat="false" ht="15" hidden="false" customHeight="false" outlineLevel="0" collapsed="false">
      <c r="A2182" s="0" t="s">
        <v>3246</v>
      </c>
      <c r="C2182" s="0" t="s">
        <v>34</v>
      </c>
      <c r="D2182" s="7" t="n">
        <v>865</v>
      </c>
      <c r="E2182" s="8" t="n">
        <v>0.139202312138728</v>
      </c>
      <c r="F2182" s="4" t="n">
        <f aca="false">D2182*E2182</f>
        <v>120.41</v>
      </c>
      <c r="G2182" s="7" t="n">
        <v>40</v>
      </c>
      <c r="H2182" s="9" t="n">
        <f aca="false">IF(G2182&gt;0,D2182/G2182,"")</f>
        <v>21.625</v>
      </c>
      <c r="I2182" s="10" t="n">
        <v>46219</v>
      </c>
      <c r="J2182" s="3" t="s">
        <v>3247</v>
      </c>
      <c r="K2182" s="10" t="n">
        <v>44552</v>
      </c>
      <c r="L2182" s="3" t="s">
        <v>25</v>
      </c>
      <c r="M2182" s="7" t="n">
        <v>1011</v>
      </c>
      <c r="N2182" s="8" t="n">
        <v>0</v>
      </c>
      <c r="O2182" s="4" t="n">
        <v>141</v>
      </c>
    </row>
    <row r="2183" customFormat="false" ht="15" hidden="false" customHeight="false" outlineLevel="0" collapsed="false">
      <c r="A2183" s="0" t="s">
        <v>3248</v>
      </c>
      <c r="C2183" s="0" t="s">
        <v>36</v>
      </c>
      <c r="D2183" s="7" t="n">
        <v>9596</v>
      </c>
      <c r="E2183" s="8" t="n">
        <v>0.012534389328887</v>
      </c>
      <c r="F2183" s="4" t="n">
        <f aca="false">D2183*E2183</f>
        <v>120.28</v>
      </c>
      <c r="G2183" s="7" t="n">
        <v>820</v>
      </c>
      <c r="H2183" s="9" t="n">
        <f aca="false">IF(G2183&gt;0,D2183/G2183,"")</f>
        <v>11.7024390243902</v>
      </c>
      <c r="I2183" s="10" t="n">
        <v>46037</v>
      </c>
      <c r="J2183" s="3" t="s">
        <v>564</v>
      </c>
      <c r="K2183" s="10" t="n">
        <v>44287</v>
      </c>
      <c r="L2183" s="3" t="s">
        <v>15</v>
      </c>
      <c r="M2183" s="7" t="n">
        <v>15656</v>
      </c>
      <c r="N2183" s="8" t="n">
        <v>0.01079</v>
      </c>
      <c r="O2183" s="4" t="n">
        <v>185.64974</v>
      </c>
    </row>
    <row r="2184" customFormat="false" ht="15" hidden="false" customHeight="false" outlineLevel="0" collapsed="false">
      <c r="A2184" s="0" t="s">
        <v>3249</v>
      </c>
      <c r="C2184" s="0" t="s">
        <v>43</v>
      </c>
      <c r="D2184" s="7" t="n">
        <v>152</v>
      </c>
      <c r="E2184" s="8" t="n">
        <v>0.790723684210526</v>
      </c>
      <c r="F2184" s="4" t="n">
        <f aca="false">D2184*E2184</f>
        <v>120.19</v>
      </c>
      <c r="G2184" s="7" t="n">
        <v>6</v>
      </c>
      <c r="H2184" s="9" t="n">
        <f aca="false">IF(G2184&gt;0,D2184/G2184,"")</f>
        <v>25.3333333333333</v>
      </c>
      <c r="I2184" s="10" t="n">
        <v>46204</v>
      </c>
      <c r="K2184" s="10"/>
      <c r="M2184" s="7"/>
      <c r="N2184" s="8"/>
      <c r="O2184" s="4"/>
    </row>
    <row r="2185" customFormat="false" ht="15" hidden="false" customHeight="false" outlineLevel="0" collapsed="false">
      <c r="A2185" s="0" t="s">
        <v>3250</v>
      </c>
      <c r="C2185" s="0" t="s">
        <v>31</v>
      </c>
      <c r="D2185" s="7" t="n">
        <v>2374</v>
      </c>
      <c r="E2185" s="8" t="n">
        <v>0.050564448188711</v>
      </c>
      <c r="F2185" s="4" t="n">
        <f aca="false">D2185*E2185</f>
        <v>120.04</v>
      </c>
      <c r="G2185" s="7" t="n">
        <v>714</v>
      </c>
      <c r="H2185" s="9" t="n">
        <f aca="false">IF(G2185&gt;0,D2185/G2185,"")</f>
        <v>3.3249299719888</v>
      </c>
      <c r="I2185" s="10" t="n">
        <v>46308</v>
      </c>
      <c r="J2185" s="3" t="s">
        <v>3251</v>
      </c>
      <c r="K2185" s="10" t="n">
        <v>44198</v>
      </c>
      <c r="L2185" s="3" t="s">
        <v>15</v>
      </c>
      <c r="M2185" s="7" t="n">
        <v>1710</v>
      </c>
      <c r="N2185" s="8" t="n">
        <v>0.0101</v>
      </c>
      <c r="O2185" s="4" t="n">
        <f aca="false">M2185*N2185</f>
        <v>17.271</v>
      </c>
    </row>
    <row r="2186" customFormat="false" ht="15" hidden="false" customHeight="false" outlineLevel="0" collapsed="false">
      <c r="A2186" s="0" t="s">
        <v>3252</v>
      </c>
      <c r="C2186" s="0" t="s">
        <v>31</v>
      </c>
      <c r="D2186" s="7" t="n">
        <v>41974</v>
      </c>
      <c r="E2186" s="8" t="n">
        <v>0.00285891266021823</v>
      </c>
      <c r="F2186" s="4" t="n">
        <f aca="false">D2186*E2186</f>
        <v>120</v>
      </c>
      <c r="G2186" s="7" t="n">
        <v>13954</v>
      </c>
      <c r="H2186" s="9" t="n">
        <f aca="false">IF(G2186&gt;0,D2186/G2186,"")</f>
        <v>3.00802637236635</v>
      </c>
      <c r="I2186" s="10" t="n">
        <v>46308</v>
      </c>
      <c r="J2186" s="3" t="s">
        <v>2139</v>
      </c>
      <c r="K2186" s="10" t="n">
        <v>45435</v>
      </c>
      <c r="L2186" s="3" t="s">
        <v>15</v>
      </c>
      <c r="M2186" s="7" t="n">
        <v>70000</v>
      </c>
      <c r="N2186" s="8" t="n">
        <v>0.00286</v>
      </c>
      <c r="O2186" s="4" t="n">
        <f aca="false">M2186*N2186</f>
        <v>200.2</v>
      </c>
    </row>
    <row r="2187" customFormat="false" ht="15" hidden="false" customHeight="false" outlineLevel="0" collapsed="false">
      <c r="A2187" s="0" t="s">
        <v>3253</v>
      </c>
      <c r="C2187" s="0" t="s">
        <v>43</v>
      </c>
      <c r="D2187" s="7" t="n">
        <v>400</v>
      </c>
      <c r="E2187" s="8" t="n">
        <v>0.3</v>
      </c>
      <c r="F2187" s="4" t="n">
        <f aca="false">D2187*E2187</f>
        <v>120</v>
      </c>
      <c r="G2187" s="7" t="n">
        <v>7</v>
      </c>
      <c r="H2187" s="9" t="n">
        <f aca="false">IF(G2187&gt;0,D2187/G2187,"")</f>
        <v>57.1428571428571</v>
      </c>
      <c r="I2187" s="10" t="n">
        <v>46041</v>
      </c>
      <c r="J2187" s="3" t="s">
        <v>1194</v>
      </c>
      <c r="K2187" s="10" t="n">
        <v>44250</v>
      </c>
      <c r="L2187" s="3" t="s">
        <v>14</v>
      </c>
      <c r="M2187" s="7" t="n">
        <v>500</v>
      </c>
      <c r="N2187" s="8" t="n">
        <v>0.3</v>
      </c>
      <c r="O2187" s="4" t="n">
        <f aca="false">M2187*N2187</f>
        <v>150</v>
      </c>
    </row>
    <row r="2188" customFormat="false" ht="15" hidden="false" customHeight="false" outlineLevel="0" collapsed="false">
      <c r="A2188" s="0" t="s">
        <v>3254</v>
      </c>
      <c r="C2188" s="0" t="s">
        <v>360</v>
      </c>
      <c r="D2188" s="7" t="n">
        <v>2999</v>
      </c>
      <c r="E2188" s="8" t="n">
        <v>0.04</v>
      </c>
      <c r="F2188" s="4" t="n">
        <f aca="false">D2188*E2188</f>
        <v>119.96</v>
      </c>
      <c r="G2188" s="7" t="n">
        <v>1638</v>
      </c>
      <c r="H2188" s="9" t="n">
        <f aca="false">IF(G2188&gt;0,D2188/G2188,"")</f>
        <v>1.83089133089133</v>
      </c>
      <c r="I2188" s="10" t="n">
        <v>46265</v>
      </c>
      <c r="K2188" s="10"/>
      <c r="M2188" s="7"/>
      <c r="N2188" s="8"/>
      <c r="O2188" s="4"/>
    </row>
    <row r="2189" customFormat="false" ht="15" hidden="false" customHeight="false" outlineLevel="0" collapsed="false">
      <c r="A2189" s="0" t="s">
        <v>3255</v>
      </c>
      <c r="C2189" s="0" t="s">
        <v>31</v>
      </c>
      <c r="D2189" s="7" t="n">
        <v>40817</v>
      </c>
      <c r="E2189" s="8" t="n">
        <v>0.00293823651909744</v>
      </c>
      <c r="F2189" s="4" t="n">
        <f aca="false">D2189*E2189</f>
        <v>119.93</v>
      </c>
      <c r="G2189" s="7" t="n">
        <v>4778</v>
      </c>
      <c r="H2189" s="9" t="n">
        <f aca="false">IF(G2189&gt;0,D2189/G2189,"")</f>
        <v>8.54269568857263</v>
      </c>
      <c r="I2189" s="10" t="n">
        <v>46274</v>
      </c>
      <c r="K2189" s="10"/>
      <c r="M2189" s="7"/>
      <c r="N2189" s="8"/>
      <c r="O2189" s="4"/>
    </row>
    <row r="2190" customFormat="false" ht="15" hidden="false" customHeight="false" outlineLevel="0" collapsed="false">
      <c r="A2190" s="0" t="s">
        <v>3256</v>
      </c>
      <c r="C2190" s="0" t="s">
        <v>31</v>
      </c>
      <c r="D2190" s="7" t="n">
        <v>4789</v>
      </c>
      <c r="E2190" s="8" t="n">
        <v>0.0249989559406974</v>
      </c>
      <c r="F2190" s="4" t="n">
        <f aca="false">D2190*E2190</f>
        <v>119.72</v>
      </c>
      <c r="G2190" s="7" t="n">
        <v>1103</v>
      </c>
      <c r="H2190" s="9" t="n">
        <f aca="false">IF(G2190&gt;0,D2190/G2190,"")</f>
        <v>4.34179510426111</v>
      </c>
      <c r="I2190" s="10" t="n">
        <v>46233</v>
      </c>
      <c r="J2190" s="3" t="s">
        <v>3257</v>
      </c>
      <c r="K2190" s="10" t="n">
        <v>46129</v>
      </c>
      <c r="L2190" s="3" t="s">
        <v>25</v>
      </c>
      <c r="M2190" s="7" t="n">
        <v>5000</v>
      </c>
      <c r="N2190" s="8" t="n">
        <v>0.025</v>
      </c>
      <c r="O2190" s="4" t="n">
        <f aca="false">M2190*N2190</f>
        <v>125</v>
      </c>
    </row>
    <row r="2191" customFormat="false" ht="15" hidden="false" customHeight="false" outlineLevel="0" collapsed="false">
      <c r="A2191" s="0" t="s">
        <v>3258</v>
      </c>
      <c r="C2191" s="0" t="s">
        <v>875</v>
      </c>
      <c r="D2191" s="7" t="n">
        <v>82</v>
      </c>
      <c r="E2191" s="8" t="n">
        <v>1.46</v>
      </c>
      <c r="F2191" s="4" t="n">
        <f aca="false">D2191*E2191</f>
        <v>119.72</v>
      </c>
      <c r="G2191" s="7" t="n">
        <v>18</v>
      </c>
      <c r="H2191" s="9" t="n">
        <f aca="false">IF(G2191&gt;0,D2191/G2191,"")</f>
        <v>4.55555555555556</v>
      </c>
      <c r="I2191" s="10" t="n">
        <v>46261</v>
      </c>
      <c r="J2191" s="3" t="s">
        <v>3259</v>
      </c>
      <c r="K2191" s="10" t="n">
        <v>45539</v>
      </c>
      <c r="L2191" s="3" t="s">
        <v>1878</v>
      </c>
      <c r="M2191" s="7" t="n">
        <v>100</v>
      </c>
      <c r="N2191" s="8" t="n">
        <v>1.46</v>
      </c>
      <c r="O2191" s="4" t="n">
        <f aca="false">M2191*N2191</f>
        <v>146</v>
      </c>
    </row>
    <row r="2192" customFormat="false" ht="15" hidden="false" customHeight="false" outlineLevel="0" collapsed="false">
      <c r="A2192" s="0" t="s">
        <v>3260</v>
      </c>
      <c r="C2192" s="0" t="s">
        <v>33</v>
      </c>
      <c r="D2192" s="7" t="n">
        <v>2775</v>
      </c>
      <c r="E2192" s="8" t="n">
        <v>0.0430990990990991</v>
      </c>
      <c r="F2192" s="4" t="n">
        <f aca="false">D2192*E2192</f>
        <v>119.6</v>
      </c>
      <c r="G2192" s="7" t="n">
        <v>150</v>
      </c>
      <c r="H2192" s="9" t="n">
        <f aca="false">IF(G2192&gt;0,D2192/G2192,"")</f>
        <v>18.5</v>
      </c>
      <c r="I2192" s="10" t="n">
        <v>46308</v>
      </c>
      <c r="J2192" s="3" t="s">
        <v>3261</v>
      </c>
      <c r="K2192" s="10" t="n">
        <v>45784</v>
      </c>
      <c r="L2192" s="3" t="s">
        <v>18</v>
      </c>
      <c r="M2192" s="7" t="n">
        <v>5000</v>
      </c>
      <c r="N2192" s="8" t="n">
        <v>0.0431</v>
      </c>
      <c r="O2192" s="4" t="n">
        <f aca="false">M2192*N2192</f>
        <v>215.5</v>
      </c>
    </row>
    <row r="2193" customFormat="false" ht="15" hidden="false" customHeight="false" outlineLevel="0" collapsed="false">
      <c r="A2193" s="0" t="s">
        <v>3262</v>
      </c>
      <c r="C2193" s="0" t="s">
        <v>370</v>
      </c>
      <c r="D2193" s="7" t="n">
        <v>469</v>
      </c>
      <c r="E2193" s="8" t="n">
        <v>0.25498933901919</v>
      </c>
      <c r="F2193" s="4" t="n">
        <f aca="false">D2193*E2193</f>
        <v>119.59</v>
      </c>
      <c r="G2193" s="7" t="n">
        <v>15</v>
      </c>
      <c r="H2193" s="9" t="n">
        <f aca="false">IF(G2193&gt;0,D2193/G2193,"")</f>
        <v>31.2666666666667</v>
      </c>
      <c r="I2193" s="10" t="n">
        <v>46142</v>
      </c>
      <c r="J2193" s="3" t="s">
        <v>3263</v>
      </c>
      <c r="K2193" s="10" t="n">
        <v>45072</v>
      </c>
      <c r="L2193" s="3" t="s">
        <v>21</v>
      </c>
      <c r="M2193" s="7" t="n">
        <v>500</v>
      </c>
      <c r="N2193" s="8" t="n">
        <v>0.255</v>
      </c>
      <c r="O2193" s="4" t="n">
        <f aca="false">M2193*N2193</f>
        <v>127.5</v>
      </c>
    </row>
    <row r="2194" customFormat="false" ht="15" hidden="false" customHeight="false" outlineLevel="0" collapsed="false">
      <c r="A2194" s="0" t="s">
        <v>3264</v>
      </c>
      <c r="C2194" s="0" t="s">
        <v>1802</v>
      </c>
      <c r="D2194" s="7" t="n">
        <v>46</v>
      </c>
      <c r="E2194" s="8" t="n">
        <v>2.59913043478261</v>
      </c>
      <c r="F2194" s="4" t="n">
        <f aca="false">D2194*E2194</f>
        <v>119.56</v>
      </c>
      <c r="G2194" s="7" t="n">
        <v>35</v>
      </c>
      <c r="H2194" s="9" t="n">
        <f aca="false">IF(G2194&gt;0,D2194/G2194,"")</f>
        <v>1.31428571428571</v>
      </c>
      <c r="I2194" s="10" t="n">
        <v>46301</v>
      </c>
      <c r="J2194" s="3" t="s">
        <v>711</v>
      </c>
      <c r="K2194" s="10" t="n">
        <v>46105</v>
      </c>
      <c r="L2194" s="3" t="s">
        <v>14</v>
      </c>
      <c r="M2194" s="7" t="n">
        <v>52</v>
      </c>
      <c r="N2194" s="8" t="n">
        <v>2.8771</v>
      </c>
      <c r="O2194" s="4" t="n">
        <f aca="false">M2194*N2194</f>
        <v>149.6092</v>
      </c>
    </row>
    <row r="2195" customFormat="false" ht="15" hidden="false" customHeight="false" outlineLevel="0" collapsed="false">
      <c r="A2195" s="0" t="s">
        <v>3265</v>
      </c>
      <c r="C2195" s="0" t="s">
        <v>1169</v>
      </c>
      <c r="D2195" s="7" t="n">
        <v>3065</v>
      </c>
      <c r="E2195" s="8" t="n">
        <v>0.0389983686786297</v>
      </c>
      <c r="F2195" s="4" t="n">
        <f aca="false">D2195*E2195</f>
        <v>119.53</v>
      </c>
      <c r="G2195" s="7" t="n">
        <v>173</v>
      </c>
      <c r="H2195" s="9" t="n">
        <f aca="false">IF(G2195&gt;0,D2195/G2195,"")</f>
        <v>17.7167630057803</v>
      </c>
      <c r="I2195" s="10" t="n">
        <v>46161</v>
      </c>
      <c r="J2195" s="3" t="s">
        <v>2470</v>
      </c>
      <c r="K2195" s="10" t="n">
        <v>45093</v>
      </c>
      <c r="L2195" s="3" t="s">
        <v>21</v>
      </c>
      <c r="M2195" s="7" t="n">
        <v>4000</v>
      </c>
      <c r="N2195" s="8" t="n">
        <v>0.039</v>
      </c>
      <c r="O2195" s="4" t="n">
        <f aca="false">M2195*N2195</f>
        <v>156</v>
      </c>
    </row>
    <row r="2196" customFormat="false" ht="15" hidden="false" customHeight="false" outlineLevel="0" collapsed="false">
      <c r="A2196" s="0" t="s">
        <v>3266</v>
      </c>
      <c r="C2196" s="0" t="s">
        <v>799</v>
      </c>
      <c r="D2196" s="7" t="n">
        <v>58</v>
      </c>
      <c r="E2196" s="8" t="n">
        <v>2.06</v>
      </c>
      <c r="F2196" s="4" t="n">
        <f aca="false">D2196*E2196</f>
        <v>119.48</v>
      </c>
      <c r="G2196" s="7" t="n">
        <v>3</v>
      </c>
      <c r="H2196" s="9" t="n">
        <f aca="false">IF(G2196&gt;0,D2196/G2196,"")</f>
        <v>19.3333333333333</v>
      </c>
      <c r="I2196" s="10" t="n">
        <v>46185</v>
      </c>
      <c r="K2196" s="10"/>
      <c r="M2196" s="7"/>
      <c r="N2196" s="8"/>
      <c r="O2196" s="4"/>
    </row>
    <row r="2197" customFormat="false" ht="15" hidden="false" customHeight="false" outlineLevel="0" collapsed="false">
      <c r="A2197" s="0" t="s">
        <v>3267</v>
      </c>
      <c r="C2197" s="0" t="s">
        <v>1169</v>
      </c>
      <c r="D2197" s="7" t="n">
        <v>3222</v>
      </c>
      <c r="E2197" s="8" t="n">
        <v>0.037082557417753</v>
      </c>
      <c r="F2197" s="4" t="n">
        <f aca="false">D2197*E2197</f>
        <v>119.48</v>
      </c>
      <c r="G2197" s="7" t="n">
        <v>1060</v>
      </c>
      <c r="H2197" s="9" t="n">
        <f aca="false">IF(G2197&gt;0,D2197/G2197,"")</f>
        <v>3.03962264150943</v>
      </c>
      <c r="I2197" s="10" t="n">
        <v>46253</v>
      </c>
      <c r="J2197" s="3" t="s">
        <v>2900</v>
      </c>
      <c r="K2197" s="10" t="n">
        <v>45468</v>
      </c>
      <c r="L2197" s="3" t="s">
        <v>21</v>
      </c>
      <c r="M2197" s="7" t="n">
        <v>4000</v>
      </c>
      <c r="N2197" s="8" t="n">
        <v>0.027</v>
      </c>
      <c r="O2197" s="4" t="n">
        <f aca="false">M2197*N2197</f>
        <v>108</v>
      </c>
    </row>
    <row r="2198" customFormat="false" ht="15" hidden="false" customHeight="false" outlineLevel="0" collapsed="false">
      <c r="A2198" s="0" t="s">
        <v>3268</v>
      </c>
      <c r="C2198" s="0" t="s">
        <v>370</v>
      </c>
      <c r="D2198" s="7" t="n">
        <v>632</v>
      </c>
      <c r="E2198" s="8" t="n">
        <v>0.188591772151899</v>
      </c>
      <c r="F2198" s="4" t="n">
        <f aca="false">D2198*E2198</f>
        <v>119.19</v>
      </c>
      <c r="G2198" s="7" t="n">
        <v>12</v>
      </c>
      <c r="H2198" s="9" t="n">
        <f aca="false">IF(G2198&gt;0,D2198/G2198,"")</f>
        <v>52.6666666666667</v>
      </c>
      <c r="I2198" s="10" t="n">
        <v>46300</v>
      </c>
      <c r="J2198" s="3" t="s">
        <v>3269</v>
      </c>
      <c r="K2198" s="10" t="n">
        <v>44960</v>
      </c>
      <c r="L2198" s="3" t="s">
        <v>2203</v>
      </c>
      <c r="M2198" s="7" t="n">
        <v>1000</v>
      </c>
      <c r="N2198" s="8" t="n">
        <v>0.18854</v>
      </c>
      <c r="O2198" s="4" t="n">
        <f aca="false">M2198*N2198</f>
        <v>188.54</v>
      </c>
    </row>
    <row r="2199" customFormat="false" ht="15" hidden="false" customHeight="false" outlineLevel="0" collapsed="false">
      <c r="A2199" s="0" t="s">
        <v>3270</v>
      </c>
      <c r="C2199" s="0" t="s">
        <v>31</v>
      </c>
      <c r="D2199" s="7" t="n">
        <v>6581</v>
      </c>
      <c r="E2199" s="8" t="n">
        <v>0.0181036316669199</v>
      </c>
      <c r="F2199" s="4" t="n">
        <f aca="false">D2199*E2199</f>
        <v>119.14</v>
      </c>
      <c r="G2199" s="7" t="n">
        <v>3779</v>
      </c>
      <c r="H2199" s="9" t="n">
        <f aca="false">IF(G2199&gt;0,D2199/G2199,"")</f>
        <v>1.74146599629532</v>
      </c>
      <c r="I2199" s="10" t="n">
        <v>46311</v>
      </c>
      <c r="J2199" s="3" t="s">
        <v>444</v>
      </c>
      <c r="K2199" s="10" t="n">
        <v>46240</v>
      </c>
      <c r="L2199" s="3" t="s">
        <v>16</v>
      </c>
      <c r="M2199" s="7" t="n">
        <v>6569</v>
      </c>
      <c r="N2199" s="8" t="n">
        <v>0.0181</v>
      </c>
      <c r="O2199" s="4" t="n">
        <f aca="false">M2199*N2199</f>
        <v>118.8989</v>
      </c>
    </row>
    <row r="2200" customFormat="false" ht="15" hidden="false" customHeight="false" outlineLevel="0" collapsed="false">
      <c r="A2200" s="0" t="s">
        <v>3271</v>
      </c>
      <c r="C2200" s="0" t="s">
        <v>38</v>
      </c>
      <c r="D2200" s="7" t="n">
        <v>4850</v>
      </c>
      <c r="E2200" s="8" t="n">
        <v>0.0245628865979382</v>
      </c>
      <c r="F2200" s="4" t="n">
        <f aca="false">D2200*E2200</f>
        <v>119.13</v>
      </c>
      <c r="G2200" s="7" t="n">
        <v>1415</v>
      </c>
      <c r="H2200" s="9" t="n">
        <f aca="false">IF(G2200&gt;0,D2200/G2200,"")</f>
        <v>3.42756183745583</v>
      </c>
      <c r="I2200" s="10" t="n">
        <v>46315</v>
      </c>
      <c r="J2200" s="3" t="s">
        <v>572</v>
      </c>
      <c r="K2200" s="10" t="n">
        <v>46164</v>
      </c>
      <c r="L2200" s="3" t="s">
        <v>14</v>
      </c>
      <c r="M2200" s="7" t="n">
        <v>5000</v>
      </c>
      <c r="N2200" s="8" t="n">
        <v>0.0249</v>
      </c>
      <c r="O2200" s="4" t="n">
        <f aca="false">M2200*N2200</f>
        <v>124.5</v>
      </c>
    </row>
    <row r="2201" customFormat="false" ht="15" hidden="false" customHeight="false" outlineLevel="0" collapsed="false">
      <c r="A2201" s="0" t="s">
        <v>3272</v>
      </c>
      <c r="C2201" s="0" t="s">
        <v>370</v>
      </c>
      <c r="D2201" s="7" t="n">
        <v>307</v>
      </c>
      <c r="E2201" s="8" t="n">
        <v>0.388045602605863</v>
      </c>
      <c r="F2201" s="4" t="n">
        <f aca="false">D2201*E2201</f>
        <v>119.13</v>
      </c>
      <c r="G2201" s="7" t="n">
        <v>80</v>
      </c>
      <c r="H2201" s="9" t="n">
        <f aca="false">IF(G2201&gt;0,D2201/G2201,"")</f>
        <v>3.8375</v>
      </c>
      <c r="I2201" s="10" t="n">
        <v>46001</v>
      </c>
      <c r="J2201" s="3" t="s">
        <v>3273</v>
      </c>
      <c r="K2201" s="10" t="n">
        <v>46043</v>
      </c>
      <c r="L2201" s="3" t="s">
        <v>21</v>
      </c>
      <c r="M2201" s="7" t="n">
        <v>300</v>
      </c>
      <c r="N2201" s="8" t="n">
        <v>0.36</v>
      </c>
      <c r="O2201" s="4" t="n">
        <f aca="false">M2201*N2201</f>
        <v>108</v>
      </c>
    </row>
    <row r="2202" customFormat="false" ht="15" hidden="false" customHeight="false" outlineLevel="0" collapsed="false">
      <c r="A2202" s="0" t="s">
        <v>3274</v>
      </c>
      <c r="C2202" s="0" t="s">
        <v>31</v>
      </c>
      <c r="D2202" s="7" t="n">
        <v>2139</v>
      </c>
      <c r="E2202" s="8" t="n">
        <v>0.0556568489948574</v>
      </c>
      <c r="F2202" s="4" t="n">
        <f aca="false">D2202*E2202</f>
        <v>119.05</v>
      </c>
      <c r="G2202" s="7" t="n">
        <v>5</v>
      </c>
      <c r="H2202" s="9" t="n">
        <f aca="false">IF(G2202&gt;0,D2202/G2202,"")</f>
        <v>427.8</v>
      </c>
      <c r="I2202" s="10" t="n">
        <v>46041</v>
      </c>
      <c r="J2202" s="3" t="s">
        <v>3275</v>
      </c>
      <c r="K2202" s="10" t="n">
        <v>44466</v>
      </c>
      <c r="L2202" s="3" t="s">
        <v>19</v>
      </c>
      <c r="M2202" s="7" t="n">
        <v>508</v>
      </c>
      <c r="N2202" s="8" t="n">
        <v>0</v>
      </c>
      <c r="O2202" s="4" t="n">
        <v>74.9</v>
      </c>
    </row>
    <row r="2203" customFormat="false" ht="15" hidden="false" customHeight="false" outlineLevel="0" collapsed="false">
      <c r="A2203" s="0" t="s">
        <v>3276</v>
      </c>
      <c r="C2203" s="0" t="s">
        <v>698</v>
      </c>
      <c r="D2203" s="7" t="n">
        <v>180</v>
      </c>
      <c r="E2203" s="8" t="n">
        <v>0.661277777777778</v>
      </c>
      <c r="F2203" s="4" t="n">
        <f aca="false">D2203*E2203</f>
        <v>119.03</v>
      </c>
      <c r="G2203" s="7" t="n">
        <v>121</v>
      </c>
      <c r="H2203" s="9" t="n">
        <f aca="false">IF(G2203&gt;0,D2203/G2203,"")</f>
        <v>1.48760330578512</v>
      </c>
      <c r="I2203" s="10" t="n">
        <v>46255</v>
      </c>
      <c r="J2203" s="3" t="s">
        <v>757</v>
      </c>
      <c r="K2203" s="10" t="n">
        <v>46247</v>
      </c>
      <c r="L2203" s="3" t="s">
        <v>14</v>
      </c>
      <c r="M2203" s="7" t="n">
        <v>301</v>
      </c>
      <c r="N2203" s="8" t="n">
        <v>0.6613</v>
      </c>
      <c r="O2203" s="4" t="n">
        <f aca="false">M2203*N2203</f>
        <v>199.0513</v>
      </c>
    </row>
    <row r="2204" customFormat="false" ht="15" hidden="false" customHeight="false" outlineLevel="0" collapsed="false">
      <c r="A2204" s="0" t="s">
        <v>3277</v>
      </c>
      <c r="C2204" s="0" t="s">
        <v>34</v>
      </c>
      <c r="D2204" s="7" t="n">
        <v>7634</v>
      </c>
      <c r="E2204" s="8" t="n">
        <v>0.0155789887346083</v>
      </c>
      <c r="F2204" s="4" t="n">
        <f aca="false">D2204*E2204</f>
        <v>118.93</v>
      </c>
      <c r="G2204" s="7" t="n">
        <v>307</v>
      </c>
      <c r="H2204" s="9" t="n">
        <f aca="false">IF(G2204&gt;0,D2204/G2204,"")</f>
        <v>24.8664495114007</v>
      </c>
      <c r="I2204" s="10" t="n">
        <v>46251</v>
      </c>
      <c r="J2204" s="3" t="s">
        <v>2951</v>
      </c>
      <c r="K2204" s="10" t="n">
        <v>44235</v>
      </c>
      <c r="L2204" s="3" t="s">
        <v>15</v>
      </c>
      <c r="M2204" s="7" t="n">
        <v>6000</v>
      </c>
      <c r="N2204" s="8" t="n">
        <v>0.01188</v>
      </c>
      <c r="O2204" s="4" t="n">
        <f aca="false">M2204*N2204</f>
        <v>71.28</v>
      </c>
    </row>
    <row r="2205" customFormat="false" ht="15" hidden="false" customHeight="false" outlineLevel="0" collapsed="false">
      <c r="A2205" s="0" t="s">
        <v>3278</v>
      </c>
      <c r="C2205" s="0" t="s">
        <v>43</v>
      </c>
      <c r="D2205" s="7" t="n">
        <v>227</v>
      </c>
      <c r="E2205" s="8" t="n">
        <v>0.523788546255507</v>
      </c>
      <c r="F2205" s="4" t="n">
        <f aca="false">D2205*E2205</f>
        <v>118.9</v>
      </c>
      <c r="G2205" s="7" t="n">
        <v>46</v>
      </c>
      <c r="H2205" s="9" t="n">
        <f aca="false">IF(G2205&gt;0,D2205/G2205,"")</f>
        <v>4.93478260869565</v>
      </c>
      <c r="I2205" s="10" t="n">
        <v>46224</v>
      </c>
      <c r="K2205" s="10"/>
      <c r="M2205" s="7"/>
      <c r="N2205" s="8"/>
      <c r="O2205" s="4"/>
    </row>
    <row r="2206" customFormat="false" ht="15" hidden="false" customHeight="false" outlineLevel="0" collapsed="false">
      <c r="A2206" s="0" t="s">
        <v>3279</v>
      </c>
      <c r="C2206" s="0" t="s">
        <v>41</v>
      </c>
      <c r="D2206" s="7" t="n">
        <v>1677</v>
      </c>
      <c r="E2206" s="8" t="n">
        <v>0.0707930828861061</v>
      </c>
      <c r="F2206" s="4" t="n">
        <f aca="false">D2206*E2206</f>
        <v>118.72</v>
      </c>
      <c r="G2206" s="7" t="n">
        <v>133</v>
      </c>
      <c r="H2206" s="9" t="n">
        <f aca="false">IF(G2206&gt;0,D2206/G2206,"")</f>
        <v>12.609022556391</v>
      </c>
      <c r="I2206" s="10" t="n">
        <v>46139</v>
      </c>
      <c r="J2206" s="3" t="s">
        <v>1265</v>
      </c>
      <c r="K2206" s="10" t="n">
        <v>44221</v>
      </c>
      <c r="L2206" s="3" t="s">
        <v>25</v>
      </c>
      <c r="M2206" s="7" t="n">
        <v>5000</v>
      </c>
      <c r="N2206" s="8" t="n">
        <v>0.0708</v>
      </c>
      <c r="O2206" s="4" t="n">
        <f aca="false">M2206*N2206</f>
        <v>354</v>
      </c>
    </row>
    <row r="2207" customFormat="false" ht="15" hidden="false" customHeight="false" outlineLevel="0" collapsed="false">
      <c r="A2207" s="0" t="s">
        <v>3280</v>
      </c>
      <c r="C2207" s="0" t="s">
        <v>31</v>
      </c>
      <c r="D2207" s="7" t="n">
        <v>37795</v>
      </c>
      <c r="E2207" s="8" t="n">
        <v>0.00313983331128456</v>
      </c>
      <c r="F2207" s="4" t="n">
        <f aca="false">D2207*E2207</f>
        <v>118.67</v>
      </c>
      <c r="G2207" s="7" t="n">
        <v>1591</v>
      </c>
      <c r="H2207" s="9" t="n">
        <f aca="false">IF(G2207&gt;0,D2207/G2207,"")</f>
        <v>23.7554996857322</v>
      </c>
      <c r="I2207" s="10" t="n">
        <v>46267</v>
      </c>
      <c r="K2207" s="10"/>
      <c r="M2207" s="7"/>
      <c r="N2207" s="8"/>
      <c r="O2207" s="4"/>
    </row>
    <row r="2208" customFormat="false" ht="15" hidden="false" customHeight="false" outlineLevel="0" collapsed="false">
      <c r="A2208" s="0" t="s">
        <v>3281</v>
      </c>
      <c r="C2208" s="0" t="s">
        <v>285</v>
      </c>
      <c r="D2208" s="7" t="n">
        <v>1602</v>
      </c>
      <c r="E2208" s="8" t="n">
        <v>0.0740012484394507</v>
      </c>
      <c r="F2208" s="4" t="n">
        <f aca="false">D2208*E2208</f>
        <v>118.55</v>
      </c>
      <c r="G2208" s="7" t="n">
        <v>524</v>
      </c>
      <c r="H2208" s="9" t="n">
        <f aca="false">IF(G2208&gt;0,D2208/G2208,"")</f>
        <v>3.05725190839695</v>
      </c>
      <c r="I2208" s="10" t="n">
        <v>46202</v>
      </c>
      <c r="K2208" s="10"/>
      <c r="M2208" s="7"/>
      <c r="N2208" s="8"/>
      <c r="O2208" s="4"/>
    </row>
    <row r="2209" customFormat="false" ht="15" hidden="false" customHeight="false" outlineLevel="0" collapsed="false">
      <c r="A2209" s="0" t="s">
        <v>3282</v>
      </c>
      <c r="C2209" s="0" t="s">
        <v>32</v>
      </c>
      <c r="D2209" s="7" t="n">
        <v>3562</v>
      </c>
      <c r="E2209" s="8" t="n">
        <v>0.0332594048287479</v>
      </c>
      <c r="F2209" s="4" t="n">
        <f aca="false">D2209*E2209</f>
        <v>118.47</v>
      </c>
      <c r="G2209" s="7" t="n">
        <v>571</v>
      </c>
      <c r="H2209" s="9" t="n">
        <f aca="false">IF(G2209&gt;0,D2209/G2209,"")</f>
        <v>6.23817863397548</v>
      </c>
      <c r="I2209" s="10" t="n">
        <v>46252</v>
      </c>
      <c r="J2209" s="3" t="s">
        <v>1026</v>
      </c>
      <c r="K2209" s="10" t="n">
        <v>46090</v>
      </c>
      <c r="L2209" s="3" t="s">
        <v>18</v>
      </c>
      <c r="M2209" s="7" t="n">
        <v>2800</v>
      </c>
      <c r="N2209" s="8" t="n">
        <v>0.0317</v>
      </c>
      <c r="O2209" s="4" t="n">
        <f aca="false">M2209*N2209</f>
        <v>88.76</v>
      </c>
    </row>
    <row r="2210" customFormat="false" ht="15" hidden="false" customHeight="false" outlineLevel="0" collapsed="false">
      <c r="A2210" s="0" t="s">
        <v>3283</v>
      </c>
      <c r="C2210" s="0" t="s">
        <v>38</v>
      </c>
      <c r="D2210" s="7" t="n">
        <v>65217</v>
      </c>
      <c r="E2210" s="8" t="n">
        <v>0.0018165508993054</v>
      </c>
      <c r="F2210" s="4" t="n">
        <f aca="false">D2210*E2210</f>
        <v>118.47</v>
      </c>
      <c r="G2210" s="7" t="n">
        <v>6765</v>
      </c>
      <c r="H2210" s="9" t="n">
        <f aca="false">IF(G2210&gt;0,D2210/G2210,"")</f>
        <v>9.64035476718404</v>
      </c>
      <c r="I2210" s="10" t="n">
        <v>46311</v>
      </c>
      <c r="J2210" s="3" t="s">
        <v>2342</v>
      </c>
      <c r="K2210" s="10" t="n">
        <v>46290</v>
      </c>
      <c r="L2210" s="3" t="s">
        <v>15</v>
      </c>
      <c r="M2210" s="7" t="n">
        <v>76400</v>
      </c>
      <c r="N2210" s="8" t="n">
        <v>0.00262</v>
      </c>
      <c r="O2210" s="4" t="n">
        <f aca="false">M2210*N2210</f>
        <v>200.168</v>
      </c>
    </row>
    <row r="2211" customFormat="false" ht="15" hidden="false" customHeight="false" outlineLevel="0" collapsed="false">
      <c r="A2211" s="0" t="s">
        <v>3284</v>
      </c>
      <c r="C2211" s="0" t="s">
        <v>1101</v>
      </c>
      <c r="D2211" s="7" t="n">
        <v>36</v>
      </c>
      <c r="E2211" s="8" t="n">
        <v>3.29</v>
      </c>
      <c r="F2211" s="4" t="n">
        <f aca="false">D2211*E2211</f>
        <v>118.44</v>
      </c>
      <c r="G2211" s="7" t="n">
        <v>2</v>
      </c>
      <c r="H2211" s="9" t="n">
        <f aca="false">IF(G2211&gt;0,D2211/G2211,"")</f>
        <v>18</v>
      </c>
      <c r="I2211" s="10" t="n">
        <v>46156</v>
      </c>
      <c r="J2211" s="3" t="s">
        <v>3285</v>
      </c>
      <c r="K2211" s="10" t="n">
        <v>45216</v>
      </c>
      <c r="L2211" s="3" t="s">
        <v>1103</v>
      </c>
      <c r="M2211" s="7" t="n">
        <v>50</v>
      </c>
      <c r="N2211" s="8" t="n">
        <v>3.29</v>
      </c>
      <c r="O2211" s="4" t="n">
        <f aca="false">M2211*N2211</f>
        <v>164.5</v>
      </c>
    </row>
    <row r="2212" customFormat="false" ht="15" hidden="false" customHeight="false" outlineLevel="0" collapsed="false">
      <c r="A2212" s="0" t="s">
        <v>3286</v>
      </c>
      <c r="C2212" s="0" t="s">
        <v>34</v>
      </c>
      <c r="D2212" s="7" t="n">
        <v>522</v>
      </c>
      <c r="E2212" s="8" t="n">
        <v>0.226743295019157</v>
      </c>
      <c r="F2212" s="4" t="n">
        <f aca="false">D2212*E2212</f>
        <v>118.36</v>
      </c>
      <c r="G2212" s="7" t="n">
        <v>64</v>
      </c>
      <c r="H2212" s="9" t="n">
        <f aca="false">IF(G2212&gt;0,D2212/G2212,"")</f>
        <v>8.15625</v>
      </c>
      <c r="I2212" s="10" t="n">
        <v>46302</v>
      </c>
      <c r="J2212" s="3" t="s">
        <v>3287</v>
      </c>
      <c r="K2212" s="10" t="n">
        <v>46289</v>
      </c>
      <c r="L2212" s="3" t="s">
        <v>19</v>
      </c>
      <c r="M2212" s="7" t="n">
        <v>25</v>
      </c>
      <c r="N2212" s="8" t="n">
        <v>0.9571</v>
      </c>
      <c r="O2212" s="4" t="n">
        <f aca="false">M2212*N2212</f>
        <v>23.9275</v>
      </c>
    </row>
    <row r="2213" customFormat="false" ht="15" hidden="false" customHeight="false" outlineLevel="0" collapsed="false">
      <c r="A2213" s="0" t="s">
        <v>3288</v>
      </c>
      <c r="C2213" s="0" t="s">
        <v>40</v>
      </c>
      <c r="D2213" s="7" t="n">
        <v>8285</v>
      </c>
      <c r="E2213" s="8" t="n">
        <v>0.0142824381412191</v>
      </c>
      <c r="F2213" s="4" t="n">
        <f aca="false">D2213*E2213</f>
        <v>118.33</v>
      </c>
      <c r="G2213" s="7" t="n">
        <v>346</v>
      </c>
      <c r="H2213" s="9" t="n">
        <f aca="false">IF(G2213&gt;0,D2213/G2213,"")</f>
        <v>23.9450867052023</v>
      </c>
      <c r="I2213" s="10" t="n">
        <v>46304</v>
      </c>
      <c r="J2213" s="3" t="s">
        <v>1905</v>
      </c>
      <c r="K2213" s="10" t="n">
        <v>45672</v>
      </c>
      <c r="L2213" s="3" t="s">
        <v>18</v>
      </c>
      <c r="M2213" s="7" t="n">
        <v>7650</v>
      </c>
      <c r="N2213" s="8" t="n">
        <v>0.0144</v>
      </c>
      <c r="O2213" s="4" t="n">
        <f aca="false">M2213*N2213</f>
        <v>110.16</v>
      </c>
    </row>
    <row r="2214" customFormat="false" ht="15" hidden="false" customHeight="false" outlineLevel="0" collapsed="false">
      <c r="A2214" s="0" t="s">
        <v>3289</v>
      </c>
      <c r="C2214" s="0" t="s">
        <v>298</v>
      </c>
      <c r="D2214" s="7" t="n">
        <v>908</v>
      </c>
      <c r="E2214" s="8" t="n">
        <v>0.130275330396476</v>
      </c>
      <c r="F2214" s="4" t="n">
        <f aca="false">D2214*E2214</f>
        <v>118.29</v>
      </c>
      <c r="G2214" s="7" t="n">
        <v>862</v>
      </c>
      <c r="H2214" s="9" t="n">
        <f aca="false">IF(G2214&gt;0,D2214/G2214,"")</f>
        <v>1.05336426914153</v>
      </c>
      <c r="I2214" s="10" t="n">
        <v>46314</v>
      </c>
      <c r="J2214" s="3" t="s">
        <v>240</v>
      </c>
      <c r="K2214" s="10" t="n">
        <v>46265</v>
      </c>
      <c r="L2214" s="3" t="s">
        <v>14</v>
      </c>
      <c r="M2214" s="7" t="n">
        <v>1000</v>
      </c>
      <c r="N2214" s="8" t="n">
        <v>0.1367</v>
      </c>
      <c r="O2214" s="4" t="n">
        <f aca="false">M2214*N2214</f>
        <v>136.7</v>
      </c>
    </row>
    <row r="2215" customFormat="false" ht="15" hidden="false" customHeight="false" outlineLevel="0" collapsed="false">
      <c r="A2215" s="0" t="s">
        <v>3290</v>
      </c>
      <c r="C2215" s="0" t="s">
        <v>61</v>
      </c>
      <c r="D2215" s="7" t="n">
        <v>267</v>
      </c>
      <c r="E2215" s="8" t="n">
        <v>0.442996254681648</v>
      </c>
      <c r="F2215" s="4" t="n">
        <f aca="false">D2215*E2215</f>
        <v>118.28</v>
      </c>
      <c r="G2215" s="7" t="n">
        <v>3</v>
      </c>
      <c r="H2215" s="9" t="n">
        <f aca="false">IF(G2215&gt;0,D2215/G2215,"")</f>
        <v>89</v>
      </c>
      <c r="I2215" s="10" t="n">
        <v>45985</v>
      </c>
      <c r="J2215" s="3" t="s">
        <v>3291</v>
      </c>
      <c r="K2215" s="10" t="n">
        <v>44199</v>
      </c>
      <c r="L2215" s="3" t="s">
        <v>23</v>
      </c>
      <c r="M2215" s="7" t="n">
        <v>600</v>
      </c>
      <c r="N2215" s="8" t="n">
        <v>0.443</v>
      </c>
      <c r="O2215" s="4" t="n">
        <f aca="false">M2215*N2215</f>
        <v>265.8</v>
      </c>
    </row>
    <row r="2216" customFormat="false" ht="15" hidden="false" customHeight="false" outlineLevel="0" collapsed="false">
      <c r="A2216" s="0" t="s">
        <v>3292</v>
      </c>
      <c r="C2216" s="0" t="s">
        <v>370</v>
      </c>
      <c r="D2216" s="7" t="n">
        <v>2076</v>
      </c>
      <c r="E2216" s="8" t="n">
        <v>0.0569701348747592</v>
      </c>
      <c r="F2216" s="4" t="n">
        <f aca="false">D2216*E2216</f>
        <v>118.27</v>
      </c>
      <c r="G2216" s="7" t="n">
        <v>250</v>
      </c>
      <c r="H2216" s="9" t="n">
        <f aca="false">IF(G2216&gt;0,D2216/G2216,"")</f>
        <v>8.304</v>
      </c>
      <c r="I2216" s="10" t="n">
        <v>46000</v>
      </c>
      <c r="J2216" s="3" t="s">
        <v>3293</v>
      </c>
      <c r="K2216" s="10" t="n">
        <v>46209</v>
      </c>
      <c r="L2216" s="3" t="s">
        <v>19</v>
      </c>
      <c r="M2216" s="7" t="n">
        <v>550</v>
      </c>
      <c r="N2216" s="8" t="n">
        <v>0.1877</v>
      </c>
      <c r="O2216" s="4" t="n">
        <f aca="false">M2216*N2216</f>
        <v>103.235</v>
      </c>
    </row>
    <row r="2217" customFormat="false" ht="15" hidden="false" customHeight="false" outlineLevel="0" collapsed="false">
      <c r="A2217" s="0" t="s">
        <v>3294</v>
      </c>
      <c r="C2217" s="0" t="s">
        <v>31</v>
      </c>
      <c r="D2217" s="7" t="n">
        <v>2825</v>
      </c>
      <c r="E2217" s="8" t="n">
        <v>0.0418513274336283</v>
      </c>
      <c r="F2217" s="4" t="n">
        <f aca="false">D2217*E2217</f>
        <v>118.23</v>
      </c>
      <c r="G2217" s="7" t="n">
        <v>65</v>
      </c>
      <c r="H2217" s="9" t="n">
        <f aca="false">IF(G2217&gt;0,D2217/G2217,"")</f>
        <v>43.4615384615385</v>
      </c>
      <c r="I2217" s="10" t="n">
        <v>46211</v>
      </c>
      <c r="J2217" s="3" t="s">
        <v>1552</v>
      </c>
      <c r="K2217" s="10" t="n">
        <v>44362</v>
      </c>
      <c r="L2217" s="3" t="s">
        <v>19</v>
      </c>
      <c r="M2217" s="7" t="n">
        <v>250</v>
      </c>
      <c r="N2217" s="8" t="n">
        <v>0.0729</v>
      </c>
      <c r="O2217" s="4" t="n">
        <f aca="false">M2217*N2217</f>
        <v>18.225</v>
      </c>
    </row>
    <row r="2218" customFormat="false" ht="15" hidden="false" customHeight="false" outlineLevel="0" collapsed="false">
      <c r="A2218" s="0" t="s">
        <v>3295</v>
      </c>
      <c r="C2218" s="0" t="s">
        <v>31</v>
      </c>
      <c r="D2218" s="7" t="n">
        <v>25383</v>
      </c>
      <c r="E2218" s="8" t="n">
        <v>0.00464956860891148</v>
      </c>
      <c r="F2218" s="4" t="n">
        <f aca="false">D2218*E2218</f>
        <v>118.02</v>
      </c>
      <c r="G2218" s="7" t="n">
        <v>1882</v>
      </c>
      <c r="H2218" s="9" t="n">
        <f aca="false">IF(G2218&gt;0,D2218/G2218,"")</f>
        <v>13.4872476089267</v>
      </c>
      <c r="I2218" s="10" t="n">
        <v>46310</v>
      </c>
      <c r="K2218" s="10"/>
      <c r="M2218" s="7"/>
      <c r="N2218" s="8"/>
      <c r="O2218" s="4"/>
    </row>
    <row r="2219" customFormat="false" ht="15" hidden="false" customHeight="false" outlineLevel="0" collapsed="false">
      <c r="A2219" s="0" t="s">
        <v>3296</v>
      </c>
      <c r="C2219" s="0" t="s">
        <v>34</v>
      </c>
      <c r="D2219" s="7" t="n">
        <v>1640</v>
      </c>
      <c r="E2219" s="8" t="n">
        <v>0.0719512195121951</v>
      </c>
      <c r="F2219" s="4" t="n">
        <f aca="false">D2219*E2219</f>
        <v>118</v>
      </c>
      <c r="G2219" s="7" t="n">
        <v>251</v>
      </c>
      <c r="H2219" s="9" t="n">
        <f aca="false">IF(G2219&gt;0,D2219/G2219,"")</f>
        <v>6.53386454183267</v>
      </c>
      <c r="I2219" s="10" t="n">
        <v>46315</v>
      </c>
      <c r="J2219" s="3" t="s">
        <v>1872</v>
      </c>
      <c r="K2219" s="10" t="n">
        <v>46290</v>
      </c>
      <c r="L2219" s="3" t="s">
        <v>19</v>
      </c>
      <c r="M2219" s="7" t="n">
        <v>100</v>
      </c>
      <c r="N2219" s="8" t="n">
        <v>0.3259</v>
      </c>
      <c r="O2219" s="4" t="n">
        <f aca="false">M2219*N2219</f>
        <v>32.59</v>
      </c>
    </row>
    <row r="2220" customFormat="false" ht="15" hidden="false" customHeight="false" outlineLevel="0" collapsed="false">
      <c r="A2220" s="0" t="s">
        <v>3297</v>
      </c>
      <c r="C2220" s="0" t="s">
        <v>438</v>
      </c>
      <c r="D2220" s="7" t="n">
        <v>69</v>
      </c>
      <c r="E2220" s="8" t="n">
        <v>1.71</v>
      </c>
      <c r="F2220" s="4" t="n">
        <f aca="false">D2220*E2220</f>
        <v>117.99</v>
      </c>
      <c r="G2220" s="7" t="n">
        <v>31</v>
      </c>
      <c r="H2220" s="9" t="n">
        <f aca="false">IF(G2220&gt;0,D2220/G2220,"")</f>
        <v>2.2258064516129</v>
      </c>
      <c r="I2220" s="10" t="n">
        <v>46261</v>
      </c>
      <c r="J2220" s="3" t="s">
        <v>2219</v>
      </c>
      <c r="K2220" s="10" t="n">
        <v>46014</v>
      </c>
      <c r="L2220" s="3" t="s">
        <v>27</v>
      </c>
      <c r="M2220" s="7" t="n">
        <v>100</v>
      </c>
      <c r="N2220" s="8" t="n">
        <v>1.71</v>
      </c>
      <c r="O2220" s="4" t="n">
        <f aca="false">M2220*N2220</f>
        <v>171</v>
      </c>
    </row>
    <row r="2221" customFormat="false" ht="15" hidden="false" customHeight="false" outlineLevel="0" collapsed="false">
      <c r="A2221" s="0" t="s">
        <v>3298</v>
      </c>
      <c r="C2221" s="0" t="s">
        <v>79</v>
      </c>
      <c r="D2221" s="7" t="n">
        <v>455</v>
      </c>
      <c r="E2221" s="8" t="n">
        <v>0.259186813186813</v>
      </c>
      <c r="F2221" s="4" t="n">
        <f aca="false">D2221*E2221</f>
        <v>117.93</v>
      </c>
      <c r="G2221" s="7" t="n">
        <v>150</v>
      </c>
      <c r="H2221" s="9" t="n">
        <f aca="false">IF(G2221&gt;0,D2221/G2221,"")</f>
        <v>3.03333333333333</v>
      </c>
      <c r="I2221" s="10" t="n">
        <v>45960</v>
      </c>
      <c r="K2221" s="10"/>
      <c r="M2221" s="7"/>
      <c r="N2221" s="8"/>
      <c r="O2221" s="4"/>
    </row>
    <row r="2222" customFormat="false" ht="15" hidden="false" customHeight="false" outlineLevel="0" collapsed="false">
      <c r="A2222" s="0" t="s">
        <v>3299</v>
      </c>
      <c r="C2222" s="0" t="s">
        <v>31</v>
      </c>
      <c r="D2222" s="7" t="n">
        <v>20431</v>
      </c>
      <c r="E2222" s="8" t="n">
        <v>0.00577113210317655</v>
      </c>
      <c r="F2222" s="4" t="n">
        <f aca="false">D2222*E2222</f>
        <v>117.91</v>
      </c>
      <c r="G2222" s="7" t="n">
        <v>507</v>
      </c>
      <c r="H2222" s="9" t="n">
        <f aca="false">IF(G2222&gt;0,D2222/G2222,"")</f>
        <v>40.2978303747535</v>
      </c>
      <c r="I2222" s="10" t="n">
        <v>46308</v>
      </c>
      <c r="J2222" s="3" t="s">
        <v>2414</v>
      </c>
      <c r="K2222" s="10" t="n">
        <v>44985</v>
      </c>
      <c r="L2222" s="3" t="s">
        <v>15</v>
      </c>
      <c r="M2222" s="7" t="n">
        <v>500000</v>
      </c>
      <c r="N2222" s="8" t="n">
        <v>0.0057</v>
      </c>
      <c r="O2222" s="4" t="n">
        <f aca="false">M2222*N2222</f>
        <v>2850</v>
      </c>
    </row>
    <row r="2223" customFormat="false" ht="15" hidden="false" customHeight="false" outlineLevel="0" collapsed="false">
      <c r="A2223" s="0" t="s">
        <v>3300</v>
      </c>
      <c r="C2223" s="0" t="s">
        <v>41</v>
      </c>
      <c r="D2223" s="7" t="n">
        <v>1175</v>
      </c>
      <c r="E2223" s="8" t="n">
        <v>0.1</v>
      </c>
      <c r="F2223" s="4" t="n">
        <f aca="false">D2223*E2223</f>
        <v>117.5</v>
      </c>
      <c r="G2223" s="7" t="n">
        <v>2</v>
      </c>
      <c r="H2223" s="9" t="n">
        <f aca="false">IF(G2223&gt;0,D2223/G2223,"")</f>
        <v>587.5</v>
      </c>
      <c r="I2223" s="10" t="n">
        <v>46022</v>
      </c>
      <c r="J2223" s="3" t="s">
        <v>618</v>
      </c>
      <c r="K2223" s="10" t="n">
        <v>44729</v>
      </c>
      <c r="L2223" s="3" t="s">
        <v>16</v>
      </c>
      <c r="M2223" s="7" t="n">
        <v>2000</v>
      </c>
      <c r="N2223" s="8" t="n">
        <v>0.1</v>
      </c>
      <c r="O2223" s="4" t="n">
        <f aca="false">M2223*N2223</f>
        <v>200</v>
      </c>
    </row>
    <row r="2224" customFormat="false" ht="15" hidden="false" customHeight="false" outlineLevel="0" collapsed="false">
      <c r="A2224" s="0" t="s">
        <v>3301</v>
      </c>
      <c r="C2224" s="0" t="s">
        <v>32</v>
      </c>
      <c r="D2224" s="7" t="n">
        <v>420</v>
      </c>
      <c r="E2224" s="8" t="n">
        <v>0.279571428571429</v>
      </c>
      <c r="F2224" s="4" t="n">
        <f aca="false">D2224*E2224</f>
        <v>117.42</v>
      </c>
      <c r="G2224" s="7" t="n">
        <v>153</v>
      </c>
      <c r="H2224" s="9" t="n">
        <f aca="false">IF(G2224&gt;0,D2224/G2224,"")</f>
        <v>2.74509803921569</v>
      </c>
      <c r="I2224" s="10" t="n">
        <v>46154</v>
      </c>
      <c r="J2224" s="3" t="s">
        <v>1026</v>
      </c>
      <c r="K2224" s="10" t="n">
        <v>46090</v>
      </c>
      <c r="L2224" s="3" t="s">
        <v>18</v>
      </c>
      <c r="M2224" s="7" t="n">
        <v>320</v>
      </c>
      <c r="N2224" s="8" t="n">
        <v>0.2796</v>
      </c>
      <c r="O2224" s="4" t="n">
        <f aca="false">M2224*N2224</f>
        <v>89.472</v>
      </c>
    </row>
    <row r="2225" customFormat="false" ht="15" hidden="false" customHeight="false" outlineLevel="0" collapsed="false">
      <c r="A2225" s="0" t="s">
        <v>3302</v>
      </c>
      <c r="C2225" s="0" t="s">
        <v>31</v>
      </c>
      <c r="D2225" s="7" t="n">
        <v>53317</v>
      </c>
      <c r="E2225" s="8" t="n">
        <v>0.00220004876493426</v>
      </c>
      <c r="F2225" s="4" t="n">
        <f aca="false">D2225*E2225</f>
        <v>117.3</v>
      </c>
      <c r="G2225" s="7" t="n">
        <v>7530</v>
      </c>
      <c r="H2225" s="9" t="n">
        <f aca="false">IF(G2225&gt;0,D2225/G2225,"")</f>
        <v>7.08061088977424</v>
      </c>
      <c r="I2225" s="10" t="n">
        <v>46293</v>
      </c>
      <c r="J2225" s="3" t="s">
        <v>3303</v>
      </c>
      <c r="K2225" s="10" t="n">
        <v>45429</v>
      </c>
      <c r="L2225" s="3" t="s">
        <v>16</v>
      </c>
      <c r="M2225" s="7" t="n">
        <v>68185</v>
      </c>
      <c r="N2225" s="8" t="n">
        <v>0.0022</v>
      </c>
      <c r="O2225" s="4" t="n">
        <f aca="false">M2225*N2225</f>
        <v>150.007</v>
      </c>
    </row>
    <row r="2226" customFormat="false" ht="15" hidden="false" customHeight="false" outlineLevel="0" collapsed="false">
      <c r="A2226" s="0" t="s">
        <v>3304</v>
      </c>
      <c r="C2226" s="0" t="s">
        <v>34</v>
      </c>
      <c r="D2226" s="7" t="n">
        <v>1821</v>
      </c>
      <c r="E2226" s="8" t="n">
        <v>0.0643931905546403</v>
      </c>
      <c r="F2226" s="4" t="n">
        <f aca="false">D2226*E2226</f>
        <v>117.26</v>
      </c>
      <c r="G2226" s="7" t="n">
        <v>101</v>
      </c>
      <c r="H2226" s="9" t="n">
        <f aca="false">IF(G2226&gt;0,D2226/G2226,"")</f>
        <v>18.029702970297</v>
      </c>
      <c r="I2226" s="10" t="n">
        <v>46168</v>
      </c>
      <c r="J2226" s="3" t="s">
        <v>3305</v>
      </c>
      <c r="K2226" s="10" t="n">
        <v>44292</v>
      </c>
      <c r="L2226" s="3" t="s">
        <v>19</v>
      </c>
      <c r="M2226" s="7" t="n">
        <v>443</v>
      </c>
      <c r="N2226" s="8" t="n">
        <v>0.2148</v>
      </c>
      <c r="O2226" s="4" t="n">
        <f aca="false">M2226*N2226</f>
        <v>95.1564</v>
      </c>
    </row>
    <row r="2227" customFormat="false" ht="15" hidden="false" customHeight="false" outlineLevel="0" collapsed="false">
      <c r="A2227" s="0" t="s">
        <v>3306</v>
      </c>
      <c r="C2227" s="0" t="s">
        <v>609</v>
      </c>
      <c r="D2227" s="7" t="n">
        <v>82</v>
      </c>
      <c r="E2227" s="8" t="n">
        <v>1.43</v>
      </c>
      <c r="F2227" s="4" t="n">
        <f aca="false">D2227*E2227</f>
        <v>117.26</v>
      </c>
      <c r="G2227" s="7" t="n">
        <v>48</v>
      </c>
      <c r="H2227" s="9" t="n">
        <f aca="false">IF(G2227&gt;0,D2227/G2227,"")</f>
        <v>1.70833333333333</v>
      </c>
      <c r="I2227" s="10" t="n">
        <v>46233</v>
      </c>
      <c r="J2227" s="3" t="s">
        <v>3307</v>
      </c>
      <c r="K2227" s="10" t="n">
        <v>45672</v>
      </c>
      <c r="L2227" s="3" t="s">
        <v>1878</v>
      </c>
      <c r="M2227" s="7" t="n">
        <v>100</v>
      </c>
      <c r="N2227" s="8" t="n">
        <v>1.43</v>
      </c>
      <c r="O2227" s="4" t="n">
        <f aca="false">M2227*N2227</f>
        <v>143</v>
      </c>
    </row>
    <row r="2228" customFormat="false" ht="15" hidden="false" customHeight="false" outlineLevel="0" collapsed="false">
      <c r="A2228" s="0" t="s">
        <v>3308</v>
      </c>
      <c r="C2228" s="0" t="s">
        <v>889</v>
      </c>
      <c r="D2228" s="7" t="n">
        <v>14794</v>
      </c>
      <c r="E2228" s="8" t="n">
        <v>0.00792348249290253</v>
      </c>
      <c r="F2228" s="4" t="n">
        <f aca="false">D2228*E2228</f>
        <v>117.22</v>
      </c>
      <c r="G2228" s="7" t="n">
        <v>11060</v>
      </c>
      <c r="H2228" s="9" t="n">
        <f aca="false">IF(G2228&gt;0,D2228/G2228,"")</f>
        <v>1.3376130198915</v>
      </c>
      <c r="I2228" s="10" t="n">
        <v>46251</v>
      </c>
      <c r="J2228" s="3" t="s">
        <v>3309</v>
      </c>
      <c r="K2228" s="10" t="n">
        <v>44484</v>
      </c>
      <c r="L2228" s="3" t="s">
        <v>15</v>
      </c>
      <c r="M2228" s="7" t="n">
        <v>43100</v>
      </c>
      <c r="N2228" s="8" t="n">
        <v>0.00788</v>
      </c>
      <c r="O2228" s="4" t="n">
        <f aca="false">M2228*N2228</f>
        <v>339.628</v>
      </c>
    </row>
    <row r="2229" customFormat="false" ht="15" hidden="false" customHeight="false" outlineLevel="0" collapsed="false">
      <c r="A2229" s="0" t="s">
        <v>3310</v>
      </c>
      <c r="C2229" s="0" t="s">
        <v>340</v>
      </c>
      <c r="D2229" s="7" t="n">
        <v>1007</v>
      </c>
      <c r="E2229" s="8" t="n">
        <v>0.116405163853029</v>
      </c>
      <c r="F2229" s="4" t="n">
        <f aca="false">D2229*E2229</f>
        <v>117.22</v>
      </c>
      <c r="G2229" s="7" t="n">
        <v>15</v>
      </c>
      <c r="H2229" s="9" t="n">
        <f aca="false">IF(G2229&gt;0,D2229/G2229,"")</f>
        <v>67.1333333333333</v>
      </c>
      <c r="I2229" s="10" t="n">
        <v>46226</v>
      </c>
      <c r="J2229" s="3" t="s">
        <v>3311</v>
      </c>
      <c r="K2229" s="10" t="n">
        <v>45912</v>
      </c>
      <c r="L2229" s="3" t="s">
        <v>16</v>
      </c>
      <c r="M2229" s="7" t="n">
        <v>1008</v>
      </c>
      <c r="N2229" s="8" t="n">
        <v>0.1162</v>
      </c>
      <c r="O2229" s="4" t="n">
        <f aca="false">M2229*N2229</f>
        <v>117.1296</v>
      </c>
    </row>
    <row r="2230" customFormat="false" ht="15" hidden="false" customHeight="false" outlineLevel="0" collapsed="false">
      <c r="A2230" s="0" t="s">
        <v>3312</v>
      </c>
      <c r="C2230" s="0" t="s">
        <v>33</v>
      </c>
      <c r="D2230" s="7" t="n">
        <v>3927</v>
      </c>
      <c r="E2230" s="8" t="n">
        <v>0.029798828622358</v>
      </c>
      <c r="F2230" s="4" t="n">
        <f aca="false">D2230*E2230</f>
        <v>117.02</v>
      </c>
      <c r="G2230" s="7" t="n">
        <v>100</v>
      </c>
      <c r="H2230" s="9" t="n">
        <f aca="false">IF(G2230&gt;0,D2230/G2230,"")</f>
        <v>39.27</v>
      </c>
      <c r="I2230" s="10" t="n">
        <v>46304</v>
      </c>
      <c r="J2230" s="3" t="s">
        <v>1691</v>
      </c>
      <c r="K2230" s="10" t="n">
        <v>44335</v>
      </c>
      <c r="L2230" s="3" t="s">
        <v>18</v>
      </c>
      <c r="M2230" s="7" t="n">
        <v>6523</v>
      </c>
      <c r="N2230" s="8" t="n">
        <v>0.0298</v>
      </c>
      <c r="O2230" s="4" t="n">
        <f aca="false">M2230*N2230</f>
        <v>194.3854</v>
      </c>
    </row>
    <row r="2231" customFormat="false" ht="15" hidden="false" customHeight="false" outlineLevel="0" collapsed="false">
      <c r="A2231" s="0" t="s">
        <v>3313</v>
      </c>
      <c r="C2231" s="0" t="s">
        <v>38</v>
      </c>
      <c r="D2231" s="7" t="n">
        <v>1090</v>
      </c>
      <c r="E2231" s="8" t="n">
        <v>0.107211009174312</v>
      </c>
      <c r="F2231" s="4" t="n">
        <f aca="false">D2231*E2231</f>
        <v>116.86</v>
      </c>
      <c r="G2231" s="7" t="n">
        <v>170</v>
      </c>
      <c r="H2231" s="9" t="n">
        <f aca="false">IF(G2231&gt;0,D2231/G2231,"")</f>
        <v>6.41176470588235</v>
      </c>
      <c r="I2231" s="10" t="n">
        <v>46269</v>
      </c>
      <c r="K2231" s="10"/>
      <c r="M2231" s="7"/>
      <c r="N2231" s="8"/>
      <c r="O2231" s="4"/>
    </row>
    <row r="2232" customFormat="false" ht="15" hidden="false" customHeight="false" outlineLevel="0" collapsed="false">
      <c r="A2232" s="0" t="s">
        <v>3314</v>
      </c>
      <c r="C2232" s="0" t="s">
        <v>340</v>
      </c>
      <c r="D2232" s="7" t="n">
        <v>4788</v>
      </c>
      <c r="E2232" s="8" t="n">
        <v>0.0244005847953216</v>
      </c>
      <c r="F2232" s="4" t="n">
        <f aca="false">D2232*E2232</f>
        <v>116.83</v>
      </c>
      <c r="G2232" s="7" t="n">
        <v>100</v>
      </c>
      <c r="H2232" s="9" t="n">
        <f aca="false">IF(G2232&gt;0,D2232/G2232,"")</f>
        <v>47.88</v>
      </c>
      <c r="I2232" s="10" t="n">
        <v>46247</v>
      </c>
      <c r="J2232" s="3" t="s">
        <v>1054</v>
      </c>
      <c r="K2232" s="10" t="n">
        <v>46224</v>
      </c>
      <c r="L2232" s="3" t="s">
        <v>16</v>
      </c>
      <c r="M2232" s="7" t="n">
        <v>4888</v>
      </c>
      <c r="N2232" s="8" t="n">
        <v>0.0244</v>
      </c>
      <c r="O2232" s="4" t="n">
        <f aca="false">M2232*N2232</f>
        <v>119.2672</v>
      </c>
    </row>
    <row r="2233" customFormat="false" ht="15" hidden="false" customHeight="false" outlineLevel="0" collapsed="false">
      <c r="A2233" s="0" t="s">
        <v>3315</v>
      </c>
      <c r="C2233" s="0" t="s">
        <v>34</v>
      </c>
      <c r="D2233" s="7" t="n">
        <v>2085</v>
      </c>
      <c r="E2233" s="8" t="n">
        <v>0.0559952038369305</v>
      </c>
      <c r="F2233" s="4" t="n">
        <f aca="false">D2233*E2233</f>
        <v>116.75</v>
      </c>
      <c r="G2233" s="7" t="n">
        <v>395</v>
      </c>
      <c r="H2233" s="9" t="n">
        <f aca="false">IF(G2233&gt;0,D2233/G2233,"")</f>
        <v>5.27848101265823</v>
      </c>
      <c r="I2233" s="10" t="n">
        <v>46281</v>
      </c>
      <c r="K2233" s="10"/>
      <c r="M2233" s="7"/>
      <c r="N2233" s="8"/>
      <c r="O2233" s="4"/>
    </row>
    <row r="2234" customFormat="false" ht="15" hidden="false" customHeight="false" outlineLevel="0" collapsed="false">
      <c r="A2234" s="0" t="s">
        <v>3316</v>
      </c>
      <c r="C2234" s="0" t="s">
        <v>33</v>
      </c>
      <c r="D2234" s="7" t="n">
        <v>725</v>
      </c>
      <c r="E2234" s="8" t="n">
        <v>0.160979310344828</v>
      </c>
      <c r="F2234" s="4" t="n">
        <f aca="false">D2234*E2234</f>
        <v>116.71</v>
      </c>
      <c r="G2234" s="7" t="n">
        <v>272</v>
      </c>
      <c r="H2234" s="9" t="n">
        <f aca="false">IF(G2234&gt;0,D2234/G2234,"")</f>
        <v>2.66544117647059</v>
      </c>
      <c r="I2234" s="10" t="n">
        <v>46287</v>
      </c>
      <c r="J2234" s="3" t="s">
        <v>3317</v>
      </c>
      <c r="K2234" s="10" t="n">
        <v>45442</v>
      </c>
      <c r="L2234" s="3" t="s">
        <v>18</v>
      </c>
      <c r="M2234" s="7" t="n">
        <v>580</v>
      </c>
      <c r="N2234" s="8" t="n">
        <v>0.1626</v>
      </c>
      <c r="O2234" s="4" t="n">
        <f aca="false">M2234*N2234</f>
        <v>94.308</v>
      </c>
    </row>
    <row r="2235" customFormat="false" ht="15" hidden="false" customHeight="false" outlineLevel="0" collapsed="false">
      <c r="A2235" s="0" t="s">
        <v>3318</v>
      </c>
      <c r="C2235" s="0" t="s">
        <v>855</v>
      </c>
      <c r="D2235" s="7" t="n">
        <v>19826</v>
      </c>
      <c r="E2235" s="8" t="n">
        <v>0.00588015736911127</v>
      </c>
      <c r="F2235" s="4" t="n">
        <f aca="false">D2235*E2235</f>
        <v>116.58</v>
      </c>
      <c r="G2235" s="7" t="n">
        <v>2584</v>
      </c>
      <c r="H2235" s="9" t="n">
        <f aca="false">IF(G2235&gt;0,D2235/G2235,"")</f>
        <v>7.67260061919505</v>
      </c>
      <c r="I2235" s="10" t="n">
        <v>46310</v>
      </c>
      <c r="J2235" s="3" t="s">
        <v>1354</v>
      </c>
      <c r="K2235" s="10" t="n">
        <v>44690</v>
      </c>
      <c r="L2235" s="3" t="s">
        <v>15</v>
      </c>
      <c r="M2235" s="7" t="n">
        <v>33519</v>
      </c>
      <c r="N2235" s="8" t="n">
        <v>0.00588</v>
      </c>
      <c r="O2235" s="4" t="n">
        <f aca="false">M2235*N2235</f>
        <v>197.09172</v>
      </c>
    </row>
    <row r="2236" customFormat="false" ht="15" hidden="false" customHeight="false" outlineLevel="0" collapsed="false">
      <c r="A2236" s="0" t="s">
        <v>3319</v>
      </c>
      <c r="C2236" s="0" t="s">
        <v>34</v>
      </c>
      <c r="D2236" s="7" t="n">
        <v>1704</v>
      </c>
      <c r="E2236" s="8" t="n">
        <v>0.0684154929577465</v>
      </c>
      <c r="F2236" s="4" t="n">
        <f aca="false">D2236*E2236</f>
        <v>116.58</v>
      </c>
      <c r="G2236" s="7" t="n">
        <v>54</v>
      </c>
      <c r="H2236" s="9" t="n">
        <f aca="false">IF(G2236&gt;0,D2236/G2236,"")</f>
        <v>31.5555555555556</v>
      </c>
      <c r="I2236" s="10" t="n">
        <v>46168</v>
      </c>
      <c r="J2236" s="3" t="s">
        <v>886</v>
      </c>
      <c r="K2236" s="10" t="n">
        <v>44293</v>
      </c>
      <c r="L2236" s="3" t="s">
        <v>15</v>
      </c>
      <c r="M2236" s="7" t="n">
        <v>2155</v>
      </c>
      <c r="N2236" s="8" t="n">
        <v>0.06842</v>
      </c>
      <c r="O2236" s="4" t="n">
        <f aca="false">M2236*N2236</f>
        <v>147.4451</v>
      </c>
    </row>
    <row r="2237" customFormat="false" ht="15" hidden="false" customHeight="false" outlineLevel="0" collapsed="false">
      <c r="A2237" s="0" t="s">
        <v>3320</v>
      </c>
      <c r="C2237" s="0" t="s">
        <v>844</v>
      </c>
      <c r="D2237" s="7" t="n">
        <v>42</v>
      </c>
      <c r="E2237" s="8" t="n">
        <v>2.775</v>
      </c>
      <c r="F2237" s="4" t="n">
        <f aca="false">D2237*E2237</f>
        <v>116.55</v>
      </c>
      <c r="G2237" s="7" t="n">
        <v>1</v>
      </c>
      <c r="H2237" s="9" t="n">
        <f aca="false">IF(G2237&gt;0,D2237/G2237,"")</f>
        <v>42</v>
      </c>
      <c r="I2237" s="10" t="n">
        <v>46175</v>
      </c>
      <c r="J2237" s="3" t="s">
        <v>3321</v>
      </c>
      <c r="K2237" s="10" t="n">
        <v>44199</v>
      </c>
      <c r="L2237" s="3" t="s">
        <v>14</v>
      </c>
      <c r="M2237" s="7" t="n">
        <v>50</v>
      </c>
      <c r="N2237" s="8" t="n">
        <v>2.7754</v>
      </c>
      <c r="O2237" s="4" t="n">
        <f aca="false">M2237*N2237</f>
        <v>138.77</v>
      </c>
    </row>
    <row r="2238" customFormat="false" ht="15" hidden="false" customHeight="false" outlineLevel="0" collapsed="false">
      <c r="A2238" s="0" t="s">
        <v>3322</v>
      </c>
      <c r="C2238" s="0" t="s">
        <v>32</v>
      </c>
      <c r="D2238" s="7" t="n">
        <v>981</v>
      </c>
      <c r="E2238" s="8" t="n">
        <v>0.118766564729868</v>
      </c>
      <c r="F2238" s="4" t="n">
        <f aca="false">D2238*E2238</f>
        <v>116.51</v>
      </c>
      <c r="G2238" s="7" t="n">
        <v>240</v>
      </c>
      <c r="H2238" s="9" t="n">
        <f aca="false">IF(G2238&gt;0,D2238/G2238,"")</f>
        <v>4.0875</v>
      </c>
      <c r="I2238" s="10" t="n">
        <v>46304</v>
      </c>
      <c r="J2238" s="3" t="s">
        <v>373</v>
      </c>
      <c r="K2238" s="10" t="n">
        <v>46275</v>
      </c>
      <c r="L2238" s="3" t="s">
        <v>18</v>
      </c>
      <c r="M2238" s="7" t="n">
        <v>1000</v>
      </c>
      <c r="N2238" s="8" t="n">
        <v>0.1194</v>
      </c>
      <c r="O2238" s="4" t="n">
        <f aca="false">M2238*N2238</f>
        <v>119.4</v>
      </c>
    </row>
    <row r="2239" customFormat="false" ht="15" hidden="false" customHeight="false" outlineLevel="0" collapsed="false">
      <c r="A2239" s="0" t="s">
        <v>3323</v>
      </c>
      <c r="C2239" s="0" t="s">
        <v>934</v>
      </c>
      <c r="D2239" s="7" t="n">
        <v>104</v>
      </c>
      <c r="E2239" s="8" t="n">
        <v>1.11903846153846</v>
      </c>
      <c r="F2239" s="4" t="n">
        <f aca="false">D2239*E2239</f>
        <v>116.38</v>
      </c>
      <c r="G2239" s="7" t="n">
        <v>92</v>
      </c>
      <c r="H2239" s="9" t="n">
        <f aca="false">IF(G2239&gt;0,D2239/G2239,"")</f>
        <v>1.1304347826087</v>
      </c>
      <c r="I2239" s="10" t="n">
        <v>46255</v>
      </c>
      <c r="J2239" s="3" t="s">
        <v>3324</v>
      </c>
      <c r="K2239" s="10" t="n">
        <v>46248</v>
      </c>
      <c r="L2239" s="3" t="s">
        <v>936</v>
      </c>
      <c r="M2239" s="7" t="n">
        <v>155</v>
      </c>
      <c r="N2239" s="8" t="n">
        <v>1.119</v>
      </c>
      <c r="O2239" s="4" t="n">
        <f aca="false">M2239*N2239</f>
        <v>173.445</v>
      </c>
    </row>
    <row r="2240" customFormat="false" ht="15" hidden="false" customHeight="false" outlineLevel="0" collapsed="false">
      <c r="A2240" s="0" t="s">
        <v>3325</v>
      </c>
      <c r="C2240" s="0" t="s">
        <v>34</v>
      </c>
      <c r="D2240" s="7" t="n">
        <v>598</v>
      </c>
      <c r="E2240" s="8" t="n">
        <v>0.194498327759197</v>
      </c>
      <c r="F2240" s="4" t="n">
        <f aca="false">D2240*E2240</f>
        <v>116.31</v>
      </c>
      <c r="G2240" s="7" t="n">
        <v>2</v>
      </c>
      <c r="H2240" s="9" t="n">
        <f aca="false">IF(G2240&gt;0,D2240/G2240,"")</f>
        <v>299</v>
      </c>
      <c r="I2240" s="10" t="n">
        <v>45953</v>
      </c>
      <c r="J2240" s="3" t="s">
        <v>1192</v>
      </c>
      <c r="K2240" s="10" t="n">
        <v>45736</v>
      </c>
      <c r="L2240" s="3" t="s">
        <v>26</v>
      </c>
      <c r="M2240" s="7" t="n">
        <v>19</v>
      </c>
      <c r="N2240" s="8" t="n">
        <v>0.5165</v>
      </c>
      <c r="O2240" s="4" t="n">
        <f aca="false">M2240*N2240</f>
        <v>9.8135</v>
      </c>
    </row>
    <row r="2241" customFormat="false" ht="15" hidden="false" customHeight="false" outlineLevel="0" collapsed="false">
      <c r="A2241" s="0" t="s">
        <v>3326</v>
      </c>
      <c r="C2241" s="0" t="s">
        <v>225</v>
      </c>
      <c r="D2241" s="7" t="n">
        <v>10</v>
      </c>
      <c r="E2241" s="8" t="n">
        <v>11.619</v>
      </c>
      <c r="F2241" s="4" t="n">
        <f aca="false">D2241*E2241</f>
        <v>116.19</v>
      </c>
      <c r="G2241" s="7" t="n">
        <v>6</v>
      </c>
      <c r="H2241" s="9" t="n">
        <f aca="false">IF(G2241&gt;0,D2241/G2241,"")</f>
        <v>1.66666666666667</v>
      </c>
      <c r="I2241" s="10" t="n">
        <v>45971</v>
      </c>
      <c r="J2241" s="3" t="s">
        <v>1863</v>
      </c>
      <c r="K2241" s="10" t="n">
        <v>45958</v>
      </c>
      <c r="L2241" s="3" t="s">
        <v>14</v>
      </c>
      <c r="M2241" s="7" t="n">
        <v>16</v>
      </c>
      <c r="N2241" s="8" t="n">
        <v>11.6194</v>
      </c>
      <c r="O2241" s="4" t="n">
        <f aca="false">M2241*N2241</f>
        <v>185.9104</v>
      </c>
    </row>
    <row r="2242" customFormat="false" ht="15" hidden="false" customHeight="false" outlineLevel="0" collapsed="false">
      <c r="A2242" s="0" t="s">
        <v>3327</v>
      </c>
      <c r="C2242" s="0" t="s">
        <v>799</v>
      </c>
      <c r="D2242" s="7" t="n">
        <v>50</v>
      </c>
      <c r="E2242" s="8" t="n">
        <v>2.3232</v>
      </c>
      <c r="F2242" s="4" t="n">
        <f aca="false">D2242*E2242</f>
        <v>116.16</v>
      </c>
      <c r="G2242" s="7" t="n">
        <v>17</v>
      </c>
      <c r="H2242" s="9" t="n">
        <f aca="false">IF(G2242&gt;0,D2242/G2242,"")</f>
        <v>2.94117647058824</v>
      </c>
      <c r="I2242" s="10" t="n">
        <v>46258</v>
      </c>
      <c r="J2242" s="3" t="s">
        <v>269</v>
      </c>
      <c r="K2242" s="10" t="n">
        <v>46252</v>
      </c>
      <c r="L2242" s="3" t="s">
        <v>14</v>
      </c>
      <c r="M2242" s="7" t="n">
        <v>25</v>
      </c>
      <c r="N2242" s="8" t="n">
        <v>2.6964</v>
      </c>
      <c r="O2242" s="4" t="n">
        <f aca="false">M2242*N2242</f>
        <v>67.41</v>
      </c>
    </row>
    <row r="2243" customFormat="false" ht="15" hidden="false" customHeight="false" outlineLevel="0" collapsed="false">
      <c r="A2243" s="0" t="s">
        <v>3328</v>
      </c>
      <c r="C2243" s="0" t="s">
        <v>807</v>
      </c>
      <c r="D2243" s="7" t="n">
        <v>30</v>
      </c>
      <c r="E2243" s="8" t="n">
        <v>3.87</v>
      </c>
      <c r="F2243" s="4" t="n">
        <f aca="false">D2243*E2243</f>
        <v>116.1</v>
      </c>
      <c r="G2243" s="7" t="n">
        <v>10</v>
      </c>
      <c r="H2243" s="9" t="n">
        <f aca="false">IF(G2243&gt;0,D2243/G2243,"")</f>
        <v>3</v>
      </c>
      <c r="I2243" s="10" t="n">
        <v>46266</v>
      </c>
      <c r="J2243" s="3" t="s">
        <v>3329</v>
      </c>
      <c r="K2243" s="10" t="n">
        <v>45590</v>
      </c>
      <c r="L2243" s="3" t="s">
        <v>145</v>
      </c>
      <c r="M2243" s="7" t="n">
        <v>50</v>
      </c>
      <c r="N2243" s="8" t="n">
        <v>3.87</v>
      </c>
      <c r="O2243" s="4" t="n">
        <f aca="false">M2243*N2243</f>
        <v>193.5</v>
      </c>
    </row>
    <row r="2244" customFormat="false" ht="15" hidden="false" customHeight="false" outlineLevel="0" collapsed="false">
      <c r="A2244" s="0" t="s">
        <v>3330</v>
      </c>
      <c r="C2244" s="0" t="s">
        <v>1169</v>
      </c>
      <c r="D2244" s="7" t="n">
        <v>1786</v>
      </c>
      <c r="E2244" s="8" t="n">
        <v>0.065</v>
      </c>
      <c r="F2244" s="4" t="n">
        <f aca="false">D2244*E2244</f>
        <v>116.09</v>
      </c>
      <c r="G2244" s="7" t="n">
        <v>44</v>
      </c>
      <c r="H2244" s="9" t="n">
        <f aca="false">IF(G2244&gt;0,D2244/G2244,"")</f>
        <v>40.5909090909091</v>
      </c>
      <c r="I2244" s="10" t="n">
        <v>46111</v>
      </c>
      <c r="J2244" s="3" t="s">
        <v>2900</v>
      </c>
      <c r="K2244" s="10" t="n">
        <v>45468</v>
      </c>
      <c r="L2244" s="3" t="s">
        <v>21</v>
      </c>
      <c r="M2244" s="7" t="n">
        <v>2000</v>
      </c>
      <c r="N2244" s="8" t="n">
        <v>0.065</v>
      </c>
      <c r="O2244" s="4" t="n">
        <f aca="false">M2244*N2244</f>
        <v>130</v>
      </c>
    </row>
    <row r="2245" customFormat="false" ht="15" hidden="false" customHeight="false" outlineLevel="0" collapsed="false">
      <c r="A2245" s="0" t="s">
        <v>3331</v>
      </c>
      <c r="C2245" s="0" t="s">
        <v>979</v>
      </c>
      <c r="D2245" s="7" t="n">
        <v>99</v>
      </c>
      <c r="E2245" s="8" t="n">
        <v>1.17222222222222</v>
      </c>
      <c r="F2245" s="4" t="n">
        <f aca="false">D2245*E2245</f>
        <v>116.05</v>
      </c>
      <c r="G2245" s="7" t="n">
        <v>12</v>
      </c>
      <c r="H2245" s="9" t="n">
        <f aca="false">IF(G2245&gt;0,D2245/G2245,"")</f>
        <v>8.25</v>
      </c>
      <c r="I2245" s="10" t="n">
        <v>46238</v>
      </c>
      <c r="J2245" s="3" t="s">
        <v>3332</v>
      </c>
      <c r="K2245" s="10" t="n">
        <v>45860</v>
      </c>
      <c r="L2245" s="3" t="s">
        <v>28</v>
      </c>
      <c r="M2245" s="7" t="n">
        <v>19</v>
      </c>
      <c r="N2245" s="8" t="n">
        <v>1.6222</v>
      </c>
      <c r="O2245" s="4" t="n">
        <f aca="false">M2245*N2245</f>
        <v>30.8218</v>
      </c>
    </row>
    <row r="2246" customFormat="false" ht="15" hidden="false" customHeight="false" outlineLevel="0" collapsed="false">
      <c r="A2246" s="0" t="s">
        <v>3333</v>
      </c>
      <c r="C2246" s="0" t="s">
        <v>39</v>
      </c>
      <c r="D2246" s="7" t="n">
        <v>11601</v>
      </c>
      <c r="E2246" s="8" t="n">
        <v>0.01</v>
      </c>
      <c r="F2246" s="4" t="n">
        <f aca="false">D2246*E2246</f>
        <v>116.01</v>
      </c>
      <c r="G2246" s="7" t="n">
        <v>2525</v>
      </c>
      <c r="H2246" s="9" t="n">
        <f aca="false">IF(G2246&gt;0,D2246/G2246,"")</f>
        <v>4.59445544554455</v>
      </c>
      <c r="I2246" s="10" t="n">
        <v>46309</v>
      </c>
      <c r="J2246" s="3" t="s">
        <v>3334</v>
      </c>
      <c r="K2246" s="10" t="n">
        <v>44403</v>
      </c>
      <c r="L2246" s="3" t="s">
        <v>18</v>
      </c>
      <c r="M2246" s="7" t="n">
        <v>26190</v>
      </c>
      <c r="N2246" s="8" t="n">
        <v>0.0057</v>
      </c>
      <c r="O2246" s="4" t="n">
        <f aca="false">M2246*N2246</f>
        <v>149.283</v>
      </c>
    </row>
    <row r="2247" customFormat="false" ht="15" hidden="false" customHeight="false" outlineLevel="0" collapsed="false">
      <c r="A2247" s="0" t="s">
        <v>3335</v>
      </c>
      <c r="C2247" s="0" t="s">
        <v>31</v>
      </c>
      <c r="D2247" s="7" t="n">
        <v>10530</v>
      </c>
      <c r="E2247" s="8" t="n">
        <v>0.011</v>
      </c>
      <c r="F2247" s="4" t="n">
        <f aca="false">D2247*E2247</f>
        <v>115.83</v>
      </c>
      <c r="G2247" s="7" t="n">
        <v>1085</v>
      </c>
      <c r="H2247" s="9" t="n">
        <f aca="false">IF(G2247&gt;0,D2247/G2247,"")</f>
        <v>9.70506912442396</v>
      </c>
      <c r="I2247" s="10" t="n">
        <v>46293</v>
      </c>
      <c r="J2247" s="3" t="s">
        <v>3336</v>
      </c>
      <c r="K2247" s="10" t="n">
        <v>44692</v>
      </c>
      <c r="L2247" s="3" t="s">
        <v>25</v>
      </c>
      <c r="M2247" s="7" t="n">
        <v>20000</v>
      </c>
      <c r="N2247" s="8" t="n">
        <v>0.011</v>
      </c>
      <c r="O2247" s="4" t="n">
        <f aca="false">M2247*N2247</f>
        <v>220</v>
      </c>
    </row>
    <row r="2248" customFormat="false" ht="15" hidden="false" customHeight="false" outlineLevel="0" collapsed="false">
      <c r="A2248" s="0" t="s">
        <v>3337</v>
      </c>
      <c r="C2248" s="0" t="s">
        <v>2981</v>
      </c>
      <c r="D2248" s="7" t="n">
        <v>915</v>
      </c>
      <c r="E2248" s="8" t="n">
        <v>0.12655737704918</v>
      </c>
      <c r="F2248" s="4" t="n">
        <f aca="false">D2248*E2248</f>
        <v>115.8</v>
      </c>
      <c r="G2248" s="7" t="n">
        <v>10</v>
      </c>
      <c r="H2248" s="9" t="n">
        <f aca="false">IF(G2248&gt;0,D2248/G2248,"")</f>
        <v>91.5</v>
      </c>
      <c r="I2248" s="10" t="n">
        <v>46309</v>
      </c>
      <c r="K2248" s="10"/>
      <c r="M2248" s="7"/>
      <c r="N2248" s="8"/>
      <c r="O2248" s="4"/>
    </row>
    <row r="2249" customFormat="false" ht="15" hidden="false" customHeight="false" outlineLevel="0" collapsed="false">
      <c r="A2249" s="0" t="s">
        <v>3338</v>
      </c>
      <c r="C2249" s="0" t="s">
        <v>360</v>
      </c>
      <c r="D2249" s="7" t="n">
        <v>18393</v>
      </c>
      <c r="E2249" s="8" t="n">
        <v>0.00629206763442614</v>
      </c>
      <c r="F2249" s="4" t="n">
        <f aca="false">D2249*E2249</f>
        <v>115.73</v>
      </c>
      <c r="G2249" s="7" t="n">
        <v>3540</v>
      </c>
      <c r="H2249" s="9" t="n">
        <f aca="false">IF(G2249&gt;0,D2249/G2249,"")</f>
        <v>5.19576271186441</v>
      </c>
      <c r="I2249" s="10" t="n">
        <v>46297</v>
      </c>
      <c r="J2249" s="3" t="s">
        <v>1369</v>
      </c>
      <c r="K2249" s="10" t="n">
        <v>44299</v>
      </c>
      <c r="L2249" s="3" t="s">
        <v>15</v>
      </c>
      <c r="M2249" s="7" t="n">
        <v>4320</v>
      </c>
      <c r="N2249" s="8" t="n">
        <v>0.00625</v>
      </c>
      <c r="O2249" s="4" t="n">
        <f aca="false">M2249*N2249</f>
        <v>27</v>
      </c>
    </row>
    <row r="2250" customFormat="false" ht="15" hidden="false" customHeight="false" outlineLevel="0" collapsed="false">
      <c r="A2250" s="0" t="s">
        <v>3339</v>
      </c>
      <c r="C2250" s="0" t="s">
        <v>38</v>
      </c>
      <c r="D2250" s="7" t="n">
        <v>13079</v>
      </c>
      <c r="E2250" s="8" t="n">
        <v>0.00884471289853964</v>
      </c>
      <c r="F2250" s="4" t="n">
        <f aca="false">D2250*E2250</f>
        <v>115.68</v>
      </c>
      <c r="G2250" s="7" t="n">
        <v>1280</v>
      </c>
      <c r="H2250" s="9" t="n">
        <f aca="false">IF(G2250&gt;0,D2250/G2250,"")</f>
        <v>10.21796875</v>
      </c>
      <c r="I2250" s="10" t="n">
        <v>46238</v>
      </c>
      <c r="J2250" s="3" t="s">
        <v>900</v>
      </c>
      <c r="K2250" s="10" t="n">
        <v>44804</v>
      </c>
      <c r="L2250" s="3" t="s">
        <v>19</v>
      </c>
      <c r="M2250" s="7" t="n">
        <v>20084</v>
      </c>
      <c r="N2250" s="8" t="n">
        <v>0</v>
      </c>
      <c r="O2250" s="4" t="n">
        <v>178</v>
      </c>
    </row>
    <row r="2251" customFormat="false" ht="15" hidden="false" customHeight="false" outlineLevel="0" collapsed="false">
      <c r="A2251" s="0" t="s">
        <v>3340</v>
      </c>
      <c r="C2251" s="0" t="s">
        <v>285</v>
      </c>
      <c r="D2251" s="7" t="n">
        <v>5038</v>
      </c>
      <c r="E2251" s="8" t="n">
        <v>0.0229475982532751</v>
      </c>
      <c r="F2251" s="4" t="n">
        <f aca="false">D2251*E2251</f>
        <v>115.61</v>
      </c>
      <c r="G2251" s="7" t="n">
        <v>50</v>
      </c>
      <c r="H2251" s="9" t="n">
        <f aca="false">IF(G2251&gt;0,D2251/G2251,"")</f>
        <v>100.76</v>
      </c>
      <c r="I2251" s="10" t="n">
        <v>46129</v>
      </c>
      <c r="K2251" s="10"/>
      <c r="M2251" s="7"/>
      <c r="N2251" s="8"/>
      <c r="O2251" s="4"/>
    </row>
    <row r="2252" customFormat="false" ht="15" hidden="false" customHeight="false" outlineLevel="0" collapsed="false">
      <c r="A2252" s="0" t="s">
        <v>3341</v>
      </c>
      <c r="C2252" s="0" t="s">
        <v>715</v>
      </c>
      <c r="D2252" s="7" t="n">
        <v>836</v>
      </c>
      <c r="E2252" s="8" t="n">
        <v>0.138253588516746</v>
      </c>
      <c r="F2252" s="4" t="n">
        <f aca="false">D2252*E2252</f>
        <v>115.58</v>
      </c>
      <c r="G2252" s="7" t="n">
        <v>90</v>
      </c>
      <c r="H2252" s="9" t="n">
        <f aca="false">IF(G2252&gt;0,D2252/G2252,"")</f>
        <v>9.28888888888889</v>
      </c>
      <c r="I2252" s="10" t="n">
        <v>46140</v>
      </c>
      <c r="J2252" s="3" t="s">
        <v>1986</v>
      </c>
      <c r="K2252" s="10" t="n">
        <v>46052</v>
      </c>
      <c r="L2252" s="3" t="s">
        <v>16</v>
      </c>
      <c r="M2252" s="7" t="n">
        <v>500</v>
      </c>
      <c r="N2252" s="8" t="n">
        <v>0.1377</v>
      </c>
      <c r="O2252" s="4" t="n">
        <f aca="false">M2252*N2252</f>
        <v>68.85</v>
      </c>
    </row>
    <row r="2253" customFormat="false" ht="15" hidden="false" customHeight="false" outlineLevel="0" collapsed="false">
      <c r="A2253" s="0" t="s">
        <v>3342</v>
      </c>
      <c r="C2253" s="0" t="s">
        <v>34</v>
      </c>
      <c r="D2253" s="7" t="n">
        <v>4065</v>
      </c>
      <c r="E2253" s="8" t="n">
        <v>0.0284157441574416</v>
      </c>
      <c r="F2253" s="4" t="n">
        <f aca="false">D2253*E2253</f>
        <v>115.51</v>
      </c>
      <c r="G2253" s="7" t="n">
        <v>85</v>
      </c>
      <c r="H2253" s="9" t="n">
        <f aca="false">IF(G2253&gt;0,D2253/G2253,"")</f>
        <v>47.8235294117647</v>
      </c>
      <c r="I2253" s="10" t="n">
        <v>46239</v>
      </c>
      <c r="J2253" s="3" t="s">
        <v>302</v>
      </c>
      <c r="K2253" s="10" t="n">
        <v>45520</v>
      </c>
      <c r="L2253" s="3" t="s">
        <v>15</v>
      </c>
      <c r="M2253" s="7" t="n">
        <v>4410</v>
      </c>
      <c r="N2253" s="8" t="n">
        <v>0.02484</v>
      </c>
      <c r="O2253" s="4" t="n">
        <v>101.2194</v>
      </c>
    </row>
    <row r="2254" customFormat="false" ht="15" hidden="false" customHeight="false" outlineLevel="0" collapsed="false">
      <c r="A2254" s="0" t="s">
        <v>3343</v>
      </c>
      <c r="C2254" s="0" t="s">
        <v>1802</v>
      </c>
      <c r="D2254" s="7" t="n">
        <v>36</v>
      </c>
      <c r="E2254" s="8" t="n">
        <v>3.20833333333333</v>
      </c>
      <c r="F2254" s="4" t="n">
        <f aca="false">D2254*E2254</f>
        <v>115.5</v>
      </c>
      <c r="G2254" s="7" t="n">
        <v>19</v>
      </c>
      <c r="H2254" s="9" t="n">
        <f aca="false">IF(G2254&gt;0,D2254/G2254,"")</f>
        <v>1.89473684210526</v>
      </c>
      <c r="I2254" s="10" t="n">
        <v>46251</v>
      </c>
      <c r="J2254" s="3" t="s">
        <v>2119</v>
      </c>
      <c r="K2254" s="10" t="n">
        <v>44281</v>
      </c>
      <c r="L2254" s="3" t="s">
        <v>14</v>
      </c>
      <c r="M2254" s="7" t="n">
        <v>100</v>
      </c>
      <c r="N2254" s="8" t="n">
        <v>3.2085</v>
      </c>
      <c r="O2254" s="4" t="n">
        <f aca="false">M2254*N2254</f>
        <v>320.85</v>
      </c>
    </row>
    <row r="2255" customFormat="false" ht="15" hidden="false" customHeight="false" outlineLevel="0" collapsed="false">
      <c r="A2255" s="0" t="s">
        <v>3344</v>
      </c>
      <c r="C2255" s="0" t="s">
        <v>370</v>
      </c>
      <c r="D2255" s="7" t="n">
        <v>475</v>
      </c>
      <c r="E2255" s="8" t="n">
        <v>0.242989473684211</v>
      </c>
      <c r="F2255" s="4" t="n">
        <f aca="false">D2255*E2255</f>
        <v>115.42</v>
      </c>
      <c r="G2255" s="7" t="n">
        <v>25</v>
      </c>
      <c r="H2255" s="9" t="n">
        <f aca="false">IF(G2255&gt;0,D2255/G2255,"")</f>
        <v>19</v>
      </c>
      <c r="I2255" s="10" t="n">
        <v>46281</v>
      </c>
      <c r="J2255" s="3" t="s">
        <v>1192</v>
      </c>
      <c r="K2255" s="10" t="n">
        <v>45736</v>
      </c>
      <c r="L2255" s="3" t="s">
        <v>26</v>
      </c>
      <c r="M2255" s="7" t="n">
        <v>91</v>
      </c>
      <c r="N2255" s="8" t="n">
        <v>0.672</v>
      </c>
      <c r="O2255" s="4" t="n">
        <f aca="false">M2255*N2255</f>
        <v>61.152</v>
      </c>
    </row>
    <row r="2256" customFormat="false" ht="15" hidden="false" customHeight="false" outlineLevel="0" collapsed="false">
      <c r="A2256" s="0" t="s">
        <v>3345</v>
      </c>
      <c r="C2256" s="0" t="s">
        <v>36</v>
      </c>
      <c r="D2256" s="7" t="n">
        <v>3131</v>
      </c>
      <c r="E2256" s="8" t="n">
        <v>0.0368093260938997</v>
      </c>
      <c r="F2256" s="4" t="n">
        <f aca="false">D2256*E2256</f>
        <v>115.25</v>
      </c>
      <c r="G2256" s="7" t="n">
        <v>2414</v>
      </c>
      <c r="H2256" s="9" t="n">
        <f aca="false">IF(G2256&gt;0,D2256/G2256,"")</f>
        <v>1.2970173985087</v>
      </c>
      <c r="I2256" s="10" t="n">
        <v>46212</v>
      </c>
      <c r="J2256" s="3" t="s">
        <v>3346</v>
      </c>
      <c r="K2256" s="10" t="n">
        <v>45383</v>
      </c>
      <c r="L2256" s="3" t="s">
        <v>18</v>
      </c>
      <c r="M2256" s="7" t="n">
        <v>8100</v>
      </c>
      <c r="N2256" s="8" t="n">
        <v>0.0368</v>
      </c>
      <c r="O2256" s="4" t="n">
        <f aca="false">M2256*N2256</f>
        <v>298.08</v>
      </c>
    </row>
    <row r="2257" customFormat="false" ht="15" hidden="false" customHeight="false" outlineLevel="0" collapsed="false">
      <c r="A2257" s="0" t="s">
        <v>3347</v>
      </c>
      <c r="C2257" s="0" t="s">
        <v>402</v>
      </c>
      <c r="D2257" s="7" t="n">
        <v>8</v>
      </c>
      <c r="E2257" s="8" t="n">
        <v>14.4</v>
      </c>
      <c r="F2257" s="4" t="n">
        <f aca="false">D2257*E2257</f>
        <v>115.2</v>
      </c>
      <c r="G2257" s="7" t="n">
        <v>2</v>
      </c>
      <c r="H2257" s="9" t="n">
        <f aca="false">IF(G2257&gt;0,D2257/G2257,"")</f>
        <v>4</v>
      </c>
      <c r="I2257" s="10" t="n">
        <v>46078</v>
      </c>
      <c r="J2257" s="3" t="s">
        <v>3348</v>
      </c>
      <c r="K2257" s="10" t="n">
        <v>46059</v>
      </c>
      <c r="L2257" s="3" t="s">
        <v>834</v>
      </c>
      <c r="M2257" s="7" t="n">
        <v>10</v>
      </c>
      <c r="N2257" s="8" t="n">
        <v>14.4</v>
      </c>
      <c r="O2257" s="4" t="n">
        <f aca="false">M2257*N2257</f>
        <v>144</v>
      </c>
    </row>
    <row r="2258" customFormat="false" ht="15" hidden="false" customHeight="false" outlineLevel="0" collapsed="false">
      <c r="A2258" s="0" t="s">
        <v>3349</v>
      </c>
      <c r="C2258" s="0" t="s">
        <v>34</v>
      </c>
      <c r="D2258" s="7" t="n">
        <v>4294</v>
      </c>
      <c r="E2258" s="8" t="n">
        <v>0.0267978574755473</v>
      </c>
      <c r="F2258" s="4" t="n">
        <f aca="false">D2258*E2258</f>
        <v>115.07</v>
      </c>
      <c r="G2258" s="7" t="n">
        <v>1238</v>
      </c>
      <c r="H2258" s="9" t="n">
        <f aca="false">IF(G2258&gt;0,D2258/G2258,"")</f>
        <v>3.46849757673667</v>
      </c>
      <c r="I2258" s="10" t="n">
        <v>46317</v>
      </c>
      <c r="J2258" s="3" t="s">
        <v>570</v>
      </c>
      <c r="K2258" s="10" t="n">
        <v>46106</v>
      </c>
      <c r="L2258" s="3" t="s">
        <v>16</v>
      </c>
      <c r="M2258" s="7" t="n">
        <v>5600</v>
      </c>
      <c r="N2258" s="8" t="n">
        <v>0.0268</v>
      </c>
      <c r="O2258" s="4" t="n">
        <f aca="false">M2258*N2258</f>
        <v>150.08</v>
      </c>
    </row>
    <row r="2259" customFormat="false" ht="15" hidden="false" customHeight="false" outlineLevel="0" collapsed="false">
      <c r="A2259" s="0" t="s">
        <v>3350</v>
      </c>
      <c r="C2259" s="0" t="s">
        <v>855</v>
      </c>
      <c r="D2259" s="7" t="n">
        <v>37103</v>
      </c>
      <c r="E2259" s="8" t="n">
        <v>0.00310001886639894</v>
      </c>
      <c r="F2259" s="4" t="n">
        <f aca="false">D2259*E2259</f>
        <v>115.02</v>
      </c>
      <c r="G2259" s="7" t="n">
        <v>4005</v>
      </c>
      <c r="H2259" s="9" t="n">
        <f aca="false">IF(G2259&gt;0,D2259/G2259,"")</f>
        <v>9.26416978776529</v>
      </c>
      <c r="I2259" s="10" t="n">
        <v>46309</v>
      </c>
      <c r="J2259" s="3" t="s">
        <v>3351</v>
      </c>
      <c r="K2259" s="10" t="n">
        <v>45358</v>
      </c>
      <c r="L2259" s="3" t="s">
        <v>16</v>
      </c>
      <c r="M2259" s="7" t="n">
        <v>48390</v>
      </c>
      <c r="N2259" s="8" t="n">
        <v>0.0031</v>
      </c>
      <c r="O2259" s="4" t="n">
        <f aca="false">M2259*N2259</f>
        <v>150.009</v>
      </c>
    </row>
    <row r="2260" customFormat="false" ht="15" hidden="false" customHeight="false" outlineLevel="0" collapsed="false">
      <c r="A2260" s="0" t="s">
        <v>3352</v>
      </c>
      <c r="C2260" s="0" t="s">
        <v>402</v>
      </c>
      <c r="D2260" s="7" t="n">
        <v>34</v>
      </c>
      <c r="E2260" s="8" t="n">
        <v>3.38</v>
      </c>
      <c r="F2260" s="4" t="n">
        <f aca="false">D2260*E2260</f>
        <v>114.92</v>
      </c>
      <c r="G2260" s="7" t="n">
        <v>1</v>
      </c>
      <c r="H2260" s="9" t="n">
        <f aca="false">IF(G2260&gt;0,D2260/G2260,"")</f>
        <v>34</v>
      </c>
      <c r="I2260" s="10" t="n">
        <v>46259</v>
      </c>
      <c r="K2260" s="10"/>
      <c r="M2260" s="7"/>
      <c r="N2260" s="8"/>
      <c r="O2260" s="4"/>
    </row>
    <row r="2261" customFormat="false" ht="15" hidden="false" customHeight="false" outlineLevel="0" collapsed="false">
      <c r="A2261" s="0" t="s">
        <v>3353</v>
      </c>
      <c r="C2261" s="0" t="s">
        <v>1169</v>
      </c>
      <c r="D2261" s="7" t="n">
        <v>1883</v>
      </c>
      <c r="E2261" s="8" t="n">
        <v>0.0609984067976633</v>
      </c>
      <c r="F2261" s="4" t="n">
        <f aca="false">D2261*E2261</f>
        <v>114.86</v>
      </c>
      <c r="G2261" s="7" t="n">
        <v>24</v>
      </c>
      <c r="H2261" s="9" t="n">
        <f aca="false">IF(G2261&gt;0,D2261/G2261,"")</f>
        <v>78.4583333333333</v>
      </c>
      <c r="I2261" s="10" t="n">
        <v>46160</v>
      </c>
      <c r="J2261" s="3" t="s">
        <v>2494</v>
      </c>
      <c r="K2261" s="10" t="n">
        <v>45379</v>
      </c>
      <c r="L2261" s="3" t="s">
        <v>14</v>
      </c>
      <c r="M2261" s="7" t="n">
        <v>100</v>
      </c>
      <c r="N2261" s="8" t="n">
        <v>0.2914</v>
      </c>
      <c r="O2261" s="4" t="n">
        <f aca="false">M2261*N2261</f>
        <v>29.14</v>
      </c>
    </row>
    <row r="2262" customFormat="false" ht="15" hidden="false" customHeight="false" outlineLevel="0" collapsed="false">
      <c r="A2262" s="0" t="s">
        <v>3354</v>
      </c>
      <c r="C2262" s="0" t="s">
        <v>120</v>
      </c>
      <c r="D2262" s="7" t="n">
        <v>827</v>
      </c>
      <c r="E2262" s="8" t="n">
        <v>0.138851269649335</v>
      </c>
      <c r="F2262" s="4" t="n">
        <f aca="false">D2262*E2262</f>
        <v>114.83</v>
      </c>
      <c r="G2262" s="7" t="n">
        <v>395</v>
      </c>
      <c r="H2262" s="9" t="n">
        <f aca="false">IF(G2262&gt;0,D2262/G2262,"")</f>
        <v>2.09367088607595</v>
      </c>
      <c r="I2262" s="10" t="n">
        <v>46246</v>
      </c>
      <c r="J2262" s="3" t="s">
        <v>784</v>
      </c>
      <c r="K2262" s="10" t="n">
        <v>46119</v>
      </c>
      <c r="L2262" s="3" t="s">
        <v>14</v>
      </c>
      <c r="M2262" s="7" t="n">
        <v>898</v>
      </c>
      <c r="N2262" s="8" t="n">
        <v>0.137605</v>
      </c>
      <c r="O2262" s="4" t="n">
        <f aca="false">M2262*N2262</f>
        <v>123.56929</v>
      </c>
    </row>
    <row r="2263" customFormat="false" ht="15" hidden="false" customHeight="false" outlineLevel="0" collapsed="false">
      <c r="A2263" s="0" t="s">
        <v>3355</v>
      </c>
      <c r="C2263" s="0" t="s">
        <v>79</v>
      </c>
      <c r="D2263" s="7" t="n">
        <v>164</v>
      </c>
      <c r="E2263" s="8" t="n">
        <v>0.699817073170732</v>
      </c>
      <c r="F2263" s="4" t="n">
        <f aca="false">D2263*E2263</f>
        <v>114.77</v>
      </c>
      <c r="G2263" s="7" t="n">
        <v>6</v>
      </c>
      <c r="H2263" s="9" t="n">
        <f aca="false">IF(G2263&gt;0,D2263/G2263,"")</f>
        <v>27.3333333333333</v>
      </c>
      <c r="I2263" s="10" t="n">
        <v>46247</v>
      </c>
      <c r="J2263" s="3" t="s">
        <v>137</v>
      </c>
      <c r="K2263" s="10" t="n">
        <v>44902</v>
      </c>
      <c r="L2263" s="3" t="s">
        <v>19</v>
      </c>
      <c r="M2263" s="7" t="n">
        <v>10</v>
      </c>
      <c r="N2263" s="8" t="n">
        <v>1.7252</v>
      </c>
      <c r="O2263" s="4" t="n">
        <f aca="false">M2263*N2263</f>
        <v>17.252</v>
      </c>
    </row>
    <row r="2264" customFormat="false" ht="15" hidden="false" customHeight="false" outlineLevel="0" collapsed="false">
      <c r="A2264" s="0" t="s">
        <v>3356</v>
      </c>
      <c r="C2264" s="0" t="s">
        <v>38</v>
      </c>
      <c r="D2264" s="7" t="n">
        <v>16391</v>
      </c>
      <c r="E2264" s="8" t="n">
        <v>0.00700018302727106</v>
      </c>
      <c r="F2264" s="4" t="n">
        <f aca="false">D2264*E2264</f>
        <v>114.74</v>
      </c>
      <c r="G2264" s="7" t="n">
        <v>4404</v>
      </c>
      <c r="H2264" s="9" t="n">
        <f aca="false">IF(G2264&gt;0,D2264/G2264,"")</f>
        <v>3.72184377838329</v>
      </c>
      <c r="I2264" s="10" t="n">
        <v>46317</v>
      </c>
      <c r="J2264" s="3" t="s">
        <v>336</v>
      </c>
      <c r="K2264" s="10" t="n">
        <v>46245</v>
      </c>
      <c r="L2264" s="3" t="s">
        <v>14</v>
      </c>
      <c r="M2264" s="7" t="n">
        <v>17000</v>
      </c>
      <c r="N2264" s="8" t="n">
        <v>0.007</v>
      </c>
      <c r="O2264" s="4" t="n">
        <f aca="false">M2264*N2264</f>
        <v>119</v>
      </c>
    </row>
    <row r="2265" customFormat="false" ht="15" hidden="false" customHeight="false" outlineLevel="0" collapsed="false">
      <c r="A2265" s="0" t="s">
        <v>3357</v>
      </c>
      <c r="C2265" s="0" t="s">
        <v>39</v>
      </c>
      <c r="D2265" s="7" t="n">
        <v>3337</v>
      </c>
      <c r="E2265" s="8" t="n">
        <v>0.0343841774048547</v>
      </c>
      <c r="F2265" s="4" t="n">
        <f aca="false">D2265*E2265</f>
        <v>114.74</v>
      </c>
      <c r="G2265" s="7" t="n">
        <v>703</v>
      </c>
      <c r="H2265" s="9" t="n">
        <f aca="false">IF(G2265&gt;0,D2265/G2265,"")</f>
        <v>4.74679943100996</v>
      </c>
      <c r="I2265" s="10" t="n">
        <v>46309</v>
      </c>
      <c r="J2265" s="3" t="s">
        <v>3358</v>
      </c>
      <c r="K2265" s="10" t="n">
        <v>46164</v>
      </c>
      <c r="L2265" s="3" t="s">
        <v>18</v>
      </c>
      <c r="M2265" s="7" t="n">
        <v>3200</v>
      </c>
      <c r="N2265" s="8" t="n">
        <v>0.0346</v>
      </c>
      <c r="O2265" s="4" t="n">
        <f aca="false">M2265*N2265</f>
        <v>110.72</v>
      </c>
    </row>
    <row r="2266" customFormat="false" ht="15" hidden="false" customHeight="false" outlineLevel="0" collapsed="false">
      <c r="A2266" s="0" t="s">
        <v>3359</v>
      </c>
      <c r="C2266" s="0" t="s">
        <v>41</v>
      </c>
      <c r="D2266" s="7" t="n">
        <v>812</v>
      </c>
      <c r="E2266" s="8" t="n">
        <v>0.141305418719212</v>
      </c>
      <c r="F2266" s="4" t="n">
        <f aca="false">D2266*E2266</f>
        <v>114.74</v>
      </c>
      <c r="G2266" s="7" t="n">
        <v>600</v>
      </c>
      <c r="H2266" s="9" t="n">
        <f aca="false">IF(G2266&gt;0,D2266/G2266,"")</f>
        <v>1.35333333333333</v>
      </c>
      <c r="I2266" s="10" t="n">
        <v>46153</v>
      </c>
      <c r="J2266" s="3" t="s">
        <v>1107</v>
      </c>
      <c r="K2266" s="10" t="n">
        <v>46035</v>
      </c>
      <c r="L2266" s="3" t="s">
        <v>16</v>
      </c>
      <c r="M2266" s="7" t="n">
        <v>1100</v>
      </c>
      <c r="N2266" s="8" t="n">
        <v>0.1413</v>
      </c>
      <c r="O2266" s="4" t="n">
        <f aca="false">M2266*N2266</f>
        <v>155.43</v>
      </c>
    </row>
    <row r="2267" customFormat="false" ht="15" hidden="false" customHeight="false" outlineLevel="0" collapsed="false">
      <c r="A2267" s="0" t="s">
        <v>3360</v>
      </c>
      <c r="C2267" s="0" t="s">
        <v>31</v>
      </c>
      <c r="D2267" s="7" t="n">
        <v>12116</v>
      </c>
      <c r="E2267" s="8" t="n">
        <v>0.0094610432485969</v>
      </c>
      <c r="F2267" s="4" t="n">
        <f aca="false">D2267*E2267</f>
        <v>114.63</v>
      </c>
      <c r="G2267" s="7" t="n">
        <v>994</v>
      </c>
      <c r="H2267" s="9" t="n">
        <f aca="false">IF(G2267&gt;0,D2267/G2267,"")</f>
        <v>12.1891348088531</v>
      </c>
      <c r="I2267" s="10" t="n">
        <v>46310</v>
      </c>
      <c r="J2267" s="3" t="s">
        <v>3361</v>
      </c>
      <c r="K2267" s="10" t="n">
        <v>44613</v>
      </c>
      <c r="L2267" s="3" t="s">
        <v>16</v>
      </c>
      <c r="M2267" s="7" t="n">
        <v>15800</v>
      </c>
      <c r="N2267" s="8" t="n">
        <v>0.0095</v>
      </c>
      <c r="O2267" s="4" t="n">
        <v>149.625</v>
      </c>
    </row>
    <row r="2268" customFormat="false" ht="15" hidden="false" customHeight="false" outlineLevel="0" collapsed="false">
      <c r="A2268" s="0" t="s">
        <v>3362</v>
      </c>
      <c r="C2268" s="0" t="s">
        <v>38</v>
      </c>
      <c r="D2268" s="7" t="n">
        <v>3593</v>
      </c>
      <c r="E2268" s="8" t="n">
        <v>0.0318842193153354</v>
      </c>
      <c r="F2268" s="4" t="n">
        <f aca="false">D2268*E2268</f>
        <v>114.56</v>
      </c>
      <c r="G2268" s="7" t="n">
        <v>215</v>
      </c>
      <c r="H2268" s="9" t="n">
        <f aca="false">IF(G2268&gt;0,D2268/G2268,"")</f>
        <v>16.7116279069767</v>
      </c>
      <c r="I2268" s="10" t="n">
        <v>46281</v>
      </c>
      <c r="K2268" s="10"/>
      <c r="M2268" s="7"/>
      <c r="N2268" s="8"/>
      <c r="O2268" s="4"/>
    </row>
    <row r="2269" customFormat="false" ht="15" hidden="false" customHeight="false" outlineLevel="0" collapsed="false">
      <c r="A2269" s="0" t="s">
        <v>3363</v>
      </c>
      <c r="C2269" s="0" t="s">
        <v>741</v>
      </c>
      <c r="D2269" s="7" t="n">
        <v>195</v>
      </c>
      <c r="E2269" s="8" t="n">
        <v>0.587282051282051</v>
      </c>
      <c r="F2269" s="4" t="n">
        <f aca="false">D2269*E2269</f>
        <v>114.52</v>
      </c>
      <c r="G2269" s="7" t="n">
        <v>4</v>
      </c>
      <c r="H2269" s="9" t="n">
        <f aca="false">IF(G2269&gt;0,D2269/G2269,"")</f>
        <v>48.75</v>
      </c>
      <c r="I2269" s="10" t="n">
        <v>46105</v>
      </c>
      <c r="K2269" s="10"/>
      <c r="M2269" s="7"/>
      <c r="N2269" s="8"/>
      <c r="O2269" s="4"/>
    </row>
    <row r="2270" customFormat="false" ht="15" hidden="false" customHeight="false" outlineLevel="0" collapsed="false">
      <c r="A2270" s="0" t="s">
        <v>3364</v>
      </c>
      <c r="C2270" s="0" t="s">
        <v>255</v>
      </c>
      <c r="D2270" s="7" t="n">
        <v>407</v>
      </c>
      <c r="E2270" s="8" t="n">
        <v>0.281179361179361</v>
      </c>
      <c r="F2270" s="4" t="n">
        <f aca="false">D2270*E2270</f>
        <v>114.44</v>
      </c>
      <c r="G2270" s="7" t="n">
        <v>185</v>
      </c>
      <c r="H2270" s="9" t="n">
        <f aca="false">IF(G2270&gt;0,D2270/G2270,"")</f>
        <v>2.2</v>
      </c>
      <c r="I2270" s="10" t="n">
        <v>46230</v>
      </c>
      <c r="J2270" s="3" t="s">
        <v>514</v>
      </c>
      <c r="K2270" s="10" t="n">
        <v>44271</v>
      </c>
      <c r="L2270" s="3" t="s">
        <v>257</v>
      </c>
      <c r="M2270" s="7" t="n">
        <v>500</v>
      </c>
      <c r="N2270" s="8" t="n">
        <v>0.3</v>
      </c>
      <c r="O2270" s="4" t="n">
        <f aca="false">M2270*N2270</f>
        <v>150</v>
      </c>
    </row>
    <row r="2271" customFormat="false" ht="15" hidden="false" customHeight="false" outlineLevel="0" collapsed="false">
      <c r="A2271" s="0" t="s">
        <v>3365</v>
      </c>
      <c r="C2271" s="0" t="s">
        <v>43</v>
      </c>
      <c r="D2271" s="7" t="n">
        <v>85</v>
      </c>
      <c r="E2271" s="8" t="n">
        <v>1.34541176470588</v>
      </c>
      <c r="F2271" s="4" t="n">
        <f aca="false">D2271*E2271</f>
        <v>114.36</v>
      </c>
      <c r="G2271" s="7" t="n">
        <v>60</v>
      </c>
      <c r="H2271" s="9" t="n">
        <f aca="false">IF(G2271&gt;0,D2271/G2271,"")</f>
        <v>1.41666666666667</v>
      </c>
      <c r="I2271" s="10" t="n">
        <v>46315</v>
      </c>
      <c r="K2271" s="10"/>
      <c r="M2271" s="7"/>
      <c r="N2271" s="8"/>
      <c r="O2271" s="4"/>
    </row>
    <row r="2272" customFormat="false" ht="15" hidden="false" customHeight="false" outlineLevel="0" collapsed="false">
      <c r="A2272" s="0" t="s">
        <v>3366</v>
      </c>
      <c r="C2272" s="0" t="s">
        <v>32</v>
      </c>
      <c r="D2272" s="7" t="n">
        <v>36886</v>
      </c>
      <c r="E2272" s="8" t="n">
        <v>0.00310009217589329</v>
      </c>
      <c r="F2272" s="4" t="n">
        <f aca="false">D2272*E2272</f>
        <v>114.35</v>
      </c>
      <c r="G2272" s="7" t="n">
        <v>666</v>
      </c>
      <c r="H2272" s="9" t="n">
        <f aca="false">IF(G2272&gt;0,D2272/G2272,"")</f>
        <v>55.3843843843844</v>
      </c>
      <c r="I2272" s="10" t="n">
        <v>46154</v>
      </c>
      <c r="J2272" s="3" t="s">
        <v>3367</v>
      </c>
      <c r="K2272" s="10" t="n">
        <v>44866</v>
      </c>
      <c r="L2272" s="3" t="s">
        <v>14</v>
      </c>
      <c r="M2272" s="7" t="n">
        <v>50000</v>
      </c>
      <c r="N2272" s="8" t="n">
        <v>0.0031</v>
      </c>
      <c r="O2272" s="4" t="n">
        <f aca="false">M2272*N2272</f>
        <v>155</v>
      </c>
    </row>
    <row r="2273" customFormat="false" ht="15" hidden="false" customHeight="false" outlineLevel="0" collapsed="false">
      <c r="A2273" s="0" t="s">
        <v>3368</v>
      </c>
      <c r="C2273" s="0" t="s">
        <v>45</v>
      </c>
      <c r="D2273" s="7" t="n">
        <v>1125</v>
      </c>
      <c r="E2273" s="8" t="n">
        <v>0.101591111111111</v>
      </c>
      <c r="F2273" s="4" t="n">
        <f aca="false">D2273*E2273</f>
        <v>114.29</v>
      </c>
      <c r="G2273" s="7" t="n">
        <v>473</v>
      </c>
      <c r="H2273" s="9" t="n">
        <f aca="false">IF(G2273&gt;0,D2273/G2273,"")</f>
        <v>2.3784355179704</v>
      </c>
      <c r="I2273" s="10" t="n">
        <v>46293</v>
      </c>
      <c r="J2273" s="3" t="s">
        <v>2269</v>
      </c>
      <c r="K2273" s="10" t="n">
        <v>45642</v>
      </c>
      <c r="L2273" s="3" t="s">
        <v>23</v>
      </c>
      <c r="M2273" s="7" t="n">
        <v>2000</v>
      </c>
      <c r="N2273" s="8" t="n">
        <v>0.1016</v>
      </c>
      <c r="O2273" s="4" t="n">
        <f aca="false">M2273*N2273</f>
        <v>203.2</v>
      </c>
    </row>
    <row r="2274" customFormat="false" ht="15" hidden="false" customHeight="false" outlineLevel="0" collapsed="false">
      <c r="A2274" s="0" t="s">
        <v>3369</v>
      </c>
      <c r="C2274" s="0" t="s">
        <v>462</v>
      </c>
      <c r="D2274" s="7" t="n">
        <v>717</v>
      </c>
      <c r="E2274" s="8" t="n">
        <v>0.159302649930265</v>
      </c>
      <c r="F2274" s="4" t="n">
        <f aca="false">D2274*E2274</f>
        <v>114.22</v>
      </c>
      <c r="G2274" s="7" t="n">
        <v>9</v>
      </c>
      <c r="H2274" s="9" t="n">
        <f aca="false">IF(G2274&gt;0,D2274/G2274,"")</f>
        <v>79.6666666666667</v>
      </c>
      <c r="I2274" s="10" t="n">
        <v>46283</v>
      </c>
      <c r="K2274" s="10"/>
      <c r="M2274" s="7"/>
      <c r="N2274" s="8"/>
      <c r="O2274" s="4"/>
    </row>
    <row r="2275" customFormat="false" ht="15" hidden="false" customHeight="false" outlineLevel="0" collapsed="false">
      <c r="A2275" s="0" t="s">
        <v>3370</v>
      </c>
      <c r="C2275" s="0" t="s">
        <v>79</v>
      </c>
      <c r="D2275" s="7" t="n">
        <v>1197</v>
      </c>
      <c r="E2275" s="8" t="n">
        <v>0.0953049289891395</v>
      </c>
      <c r="F2275" s="4" t="n">
        <f aca="false">D2275*E2275</f>
        <v>114.08</v>
      </c>
      <c r="G2275" s="7" t="n">
        <v>25</v>
      </c>
      <c r="H2275" s="9" t="n">
        <f aca="false">IF(G2275&gt;0,D2275/G2275,"")</f>
        <v>47.88</v>
      </c>
      <c r="I2275" s="10" t="n">
        <v>46066</v>
      </c>
      <c r="J2275" s="3" t="s">
        <v>3371</v>
      </c>
      <c r="K2275" s="10" t="n">
        <v>45405</v>
      </c>
      <c r="L2275" s="3" t="s">
        <v>19</v>
      </c>
      <c r="M2275" s="7" t="n">
        <v>2500</v>
      </c>
      <c r="N2275" s="8" t="n">
        <v>0.0953</v>
      </c>
      <c r="O2275" s="4" t="n">
        <f aca="false">M2275*N2275</f>
        <v>238.25</v>
      </c>
    </row>
    <row r="2276" customFormat="false" ht="15" hidden="false" customHeight="false" outlineLevel="0" collapsed="false">
      <c r="A2276" s="0" t="s">
        <v>3372</v>
      </c>
      <c r="C2276" s="0" t="s">
        <v>32</v>
      </c>
      <c r="D2276" s="7" t="n">
        <v>635</v>
      </c>
      <c r="E2276" s="8" t="n">
        <v>0.179511811023622</v>
      </c>
      <c r="F2276" s="4" t="n">
        <f aca="false">D2276*E2276</f>
        <v>113.99</v>
      </c>
      <c r="G2276" s="7" t="n">
        <v>203</v>
      </c>
      <c r="H2276" s="9" t="n">
        <f aca="false">IF(G2276&gt;0,D2276/G2276,"")</f>
        <v>3.12807881773399</v>
      </c>
      <c r="I2276" s="10" t="n">
        <v>46176</v>
      </c>
      <c r="J2276" s="3" t="s">
        <v>3373</v>
      </c>
      <c r="K2276" s="10" t="n">
        <v>45064</v>
      </c>
      <c r="L2276" s="3" t="s">
        <v>18</v>
      </c>
      <c r="M2276" s="7" t="n">
        <v>490</v>
      </c>
      <c r="N2276" s="8" t="n">
        <v>0.1811</v>
      </c>
      <c r="O2276" s="4" t="n">
        <f aca="false">M2276*N2276</f>
        <v>88.739</v>
      </c>
    </row>
    <row r="2277" customFormat="false" ht="15" hidden="false" customHeight="false" outlineLevel="0" collapsed="false">
      <c r="A2277" s="0" t="s">
        <v>3374</v>
      </c>
      <c r="C2277" s="0" t="s">
        <v>34</v>
      </c>
      <c r="D2277" s="7" t="n">
        <v>3395</v>
      </c>
      <c r="E2277" s="8" t="n">
        <v>0.0335699558173785</v>
      </c>
      <c r="F2277" s="4" t="n">
        <f aca="false">D2277*E2277</f>
        <v>113.97</v>
      </c>
      <c r="G2277" s="7" t="n">
        <v>320</v>
      </c>
      <c r="H2277" s="9" t="n">
        <f aca="false">IF(G2277&gt;0,D2277/G2277,"")</f>
        <v>10.609375</v>
      </c>
      <c r="I2277" s="10" t="n">
        <v>46316</v>
      </c>
      <c r="J2277" s="3" t="s">
        <v>2897</v>
      </c>
      <c r="K2277" s="10" t="n">
        <v>45232</v>
      </c>
      <c r="L2277" s="3" t="s">
        <v>16</v>
      </c>
      <c r="M2277" s="7" t="n">
        <v>5000</v>
      </c>
      <c r="N2277" s="8" t="n">
        <v>0.03357</v>
      </c>
      <c r="O2277" s="4" t="n">
        <f aca="false">M2277*N2277</f>
        <v>167.85</v>
      </c>
    </row>
    <row r="2278" customFormat="false" ht="15" hidden="false" customHeight="false" outlineLevel="0" collapsed="false">
      <c r="A2278" s="0" t="s">
        <v>3375</v>
      </c>
      <c r="C2278" s="0" t="s">
        <v>889</v>
      </c>
      <c r="D2278" s="7" t="n">
        <v>28770</v>
      </c>
      <c r="E2278" s="8" t="n">
        <v>0.00395968022245395</v>
      </c>
      <c r="F2278" s="4" t="n">
        <f aca="false">D2278*E2278</f>
        <v>113.92</v>
      </c>
      <c r="G2278" s="7" t="n">
        <v>17360</v>
      </c>
      <c r="H2278" s="9" t="n">
        <f aca="false">IF(G2278&gt;0,D2278/G2278,"")</f>
        <v>1.65725806451613</v>
      </c>
      <c r="I2278" s="10" t="n">
        <v>46104</v>
      </c>
      <c r="J2278" s="3" t="s">
        <v>1140</v>
      </c>
      <c r="K2278" s="10" t="n">
        <v>45614</v>
      </c>
      <c r="L2278" s="3" t="s">
        <v>15</v>
      </c>
      <c r="M2278" s="7" t="n">
        <v>55250</v>
      </c>
      <c r="N2278" s="8" t="n">
        <v>0.00396</v>
      </c>
      <c r="O2278" s="4" t="n">
        <f aca="false">M2278*N2278</f>
        <v>218.79</v>
      </c>
    </row>
    <row r="2279" customFormat="false" ht="15" hidden="false" customHeight="false" outlineLevel="0" collapsed="false">
      <c r="A2279" s="0" t="s">
        <v>3376</v>
      </c>
      <c r="C2279" s="0" t="s">
        <v>340</v>
      </c>
      <c r="D2279" s="7" t="n">
        <v>54</v>
      </c>
      <c r="E2279" s="8" t="n">
        <v>2.10555555555556</v>
      </c>
      <c r="F2279" s="4" t="n">
        <f aca="false">D2279*E2279</f>
        <v>113.7</v>
      </c>
      <c r="G2279" s="7" t="n">
        <v>2</v>
      </c>
      <c r="H2279" s="9" t="n">
        <f aca="false">IF(G2279&gt;0,D2279/G2279,"")</f>
        <v>27</v>
      </c>
      <c r="I2279" s="10" t="n">
        <v>46224</v>
      </c>
      <c r="J2279" s="3" t="s">
        <v>2576</v>
      </c>
      <c r="K2279" s="10" t="n">
        <v>46212</v>
      </c>
      <c r="L2279" s="3" t="s">
        <v>19</v>
      </c>
      <c r="M2279" s="7" t="n">
        <v>11</v>
      </c>
      <c r="N2279" s="8" t="n">
        <v>2.8977</v>
      </c>
      <c r="O2279" s="4" t="n">
        <f aca="false">M2279*N2279</f>
        <v>31.8747</v>
      </c>
    </row>
    <row r="2280" customFormat="false" ht="15" hidden="false" customHeight="false" outlineLevel="0" collapsed="false">
      <c r="A2280" s="0" t="s">
        <v>3377</v>
      </c>
      <c r="C2280" s="0" t="s">
        <v>41</v>
      </c>
      <c r="D2280" s="7" t="n">
        <v>6080</v>
      </c>
      <c r="E2280" s="8" t="n">
        <v>0.0187006578947368</v>
      </c>
      <c r="F2280" s="4" t="n">
        <f aca="false">D2280*E2280</f>
        <v>113.7</v>
      </c>
      <c r="G2280" s="7" t="n">
        <v>2020</v>
      </c>
      <c r="H2280" s="9" t="n">
        <f aca="false">IF(G2280&gt;0,D2280/G2280,"")</f>
        <v>3.00990099009901</v>
      </c>
      <c r="I2280" s="10" t="n">
        <v>46175</v>
      </c>
      <c r="J2280" s="3" t="s">
        <v>1011</v>
      </c>
      <c r="K2280" s="10" t="n">
        <v>46003</v>
      </c>
      <c r="L2280" s="3" t="s">
        <v>16</v>
      </c>
      <c r="M2280" s="7" t="n">
        <v>8100</v>
      </c>
      <c r="N2280" s="8" t="n">
        <v>0.0187</v>
      </c>
      <c r="O2280" s="4" t="n">
        <f aca="false">M2280*N2280</f>
        <v>151.47</v>
      </c>
    </row>
    <row r="2281" customFormat="false" ht="15" hidden="false" customHeight="false" outlineLevel="0" collapsed="false">
      <c r="A2281" s="0" t="s">
        <v>3378</v>
      </c>
      <c r="C2281" s="0" t="s">
        <v>34</v>
      </c>
      <c r="D2281" s="7" t="n">
        <v>2298</v>
      </c>
      <c r="E2281" s="8" t="n">
        <v>0.0494342906875544</v>
      </c>
      <c r="F2281" s="4" t="n">
        <f aca="false">D2281*E2281</f>
        <v>113.6</v>
      </c>
      <c r="G2281" s="7" t="n">
        <v>430</v>
      </c>
      <c r="H2281" s="9" t="n">
        <f aca="false">IF(G2281&gt;0,D2281/G2281,"")</f>
        <v>5.34418604651163</v>
      </c>
      <c r="I2281" s="10" t="n">
        <v>46171</v>
      </c>
      <c r="J2281" s="3" t="s">
        <v>3379</v>
      </c>
      <c r="K2281" s="10" t="n">
        <v>44645</v>
      </c>
      <c r="L2281" s="3" t="s">
        <v>15</v>
      </c>
      <c r="M2281" s="7" t="n">
        <v>2917</v>
      </c>
      <c r="N2281" s="8" t="n">
        <v>0.05076</v>
      </c>
      <c r="O2281" s="4" t="n">
        <v>147.204</v>
      </c>
    </row>
    <row r="2282" customFormat="false" ht="15" hidden="false" customHeight="false" outlineLevel="0" collapsed="false">
      <c r="A2282" s="0" t="s">
        <v>3380</v>
      </c>
      <c r="C2282" s="0" t="s">
        <v>285</v>
      </c>
      <c r="D2282" s="7" t="n">
        <v>6202</v>
      </c>
      <c r="E2282" s="8" t="n">
        <v>0.0183005482102548</v>
      </c>
      <c r="F2282" s="4" t="n">
        <f aca="false">D2282*E2282</f>
        <v>113.5</v>
      </c>
      <c r="G2282" s="7" t="n">
        <v>50</v>
      </c>
      <c r="H2282" s="9" t="n">
        <f aca="false">IF(G2282&gt;0,D2282/G2282,"")</f>
        <v>124.04</v>
      </c>
      <c r="I2282" s="10" t="n">
        <v>46252</v>
      </c>
      <c r="K2282" s="10"/>
      <c r="M2282" s="7"/>
      <c r="N2282" s="8"/>
      <c r="O2282" s="4"/>
    </row>
    <row r="2283" customFormat="false" ht="15" hidden="false" customHeight="false" outlineLevel="0" collapsed="false">
      <c r="A2283" s="0" t="s">
        <v>3381</v>
      </c>
      <c r="C2283" s="0" t="s">
        <v>41</v>
      </c>
      <c r="D2283" s="7" t="n">
        <v>25211</v>
      </c>
      <c r="E2283" s="8" t="n">
        <v>0.00450001983261275</v>
      </c>
      <c r="F2283" s="4" t="n">
        <f aca="false">D2283*E2283</f>
        <v>113.45</v>
      </c>
      <c r="G2283" s="7" t="n">
        <v>17620</v>
      </c>
      <c r="H2283" s="9" t="n">
        <f aca="false">IF(G2283&gt;0,D2283/G2283,"")</f>
        <v>1.43081725312145</v>
      </c>
      <c r="I2283" s="10" t="n">
        <v>46316</v>
      </c>
      <c r="J2283" s="3" t="s">
        <v>628</v>
      </c>
      <c r="K2283" s="10" t="n">
        <v>46128</v>
      </c>
      <c r="L2283" s="3" t="s">
        <v>16</v>
      </c>
      <c r="M2283" s="7" t="n">
        <v>38539</v>
      </c>
      <c r="N2283" s="8" t="n">
        <v>0.0045</v>
      </c>
      <c r="O2283" s="4" t="n">
        <f aca="false">M2283*N2283</f>
        <v>173.4255</v>
      </c>
    </row>
    <row r="2284" customFormat="false" ht="15" hidden="false" customHeight="false" outlineLevel="0" collapsed="false">
      <c r="A2284" s="0" t="s">
        <v>3382</v>
      </c>
      <c r="C2284" s="0" t="s">
        <v>32</v>
      </c>
      <c r="D2284" s="7" t="n">
        <v>1884</v>
      </c>
      <c r="E2284" s="8" t="n">
        <v>0.0602016985138004</v>
      </c>
      <c r="F2284" s="4" t="n">
        <f aca="false">D2284*E2284</f>
        <v>113.42</v>
      </c>
      <c r="G2284" s="7" t="n">
        <v>22</v>
      </c>
      <c r="H2284" s="9" t="n">
        <f aca="false">IF(G2284&gt;0,D2284/G2284,"")</f>
        <v>85.6363636363636</v>
      </c>
      <c r="I2284" s="10" t="n">
        <v>46294</v>
      </c>
      <c r="J2284" s="3" t="s">
        <v>190</v>
      </c>
      <c r="K2284" s="10" t="n">
        <v>45315</v>
      </c>
      <c r="L2284" s="3" t="s">
        <v>14</v>
      </c>
      <c r="M2284" s="7" t="n">
        <v>2647</v>
      </c>
      <c r="N2284" s="8" t="n">
        <v>0.0602</v>
      </c>
      <c r="O2284" s="4" t="n">
        <f aca="false">M2284*N2284</f>
        <v>159.3494</v>
      </c>
    </row>
    <row r="2285" customFormat="false" ht="15" hidden="false" customHeight="false" outlineLevel="0" collapsed="false">
      <c r="A2285" s="0" t="s">
        <v>3383</v>
      </c>
      <c r="C2285" s="0" t="s">
        <v>1039</v>
      </c>
      <c r="D2285" s="7" t="n">
        <v>9439</v>
      </c>
      <c r="E2285" s="8" t="n">
        <v>0.0120012713211145</v>
      </c>
      <c r="F2285" s="4" t="n">
        <f aca="false">D2285*E2285</f>
        <v>113.28</v>
      </c>
      <c r="G2285" s="7" t="n">
        <v>569</v>
      </c>
      <c r="H2285" s="9" t="n">
        <f aca="false">IF(G2285&gt;0,D2285/G2285,"")</f>
        <v>16.5887521968366</v>
      </c>
      <c r="I2285" s="10" t="n">
        <v>46247</v>
      </c>
      <c r="J2285" s="3" t="s">
        <v>2099</v>
      </c>
      <c r="K2285" s="10" t="n">
        <v>45958</v>
      </c>
      <c r="L2285" s="3" t="s">
        <v>16</v>
      </c>
      <c r="M2285" s="7" t="n">
        <v>10068</v>
      </c>
      <c r="N2285" s="8" t="n">
        <v>0.012</v>
      </c>
      <c r="O2285" s="4" t="n">
        <f aca="false">M2285*N2285</f>
        <v>120.816</v>
      </c>
    </row>
    <row r="2286" customFormat="false" ht="15" hidden="false" customHeight="false" outlineLevel="0" collapsed="false">
      <c r="A2286" s="0" t="s">
        <v>3384</v>
      </c>
      <c r="C2286" s="0" t="s">
        <v>34</v>
      </c>
      <c r="D2286" s="7" t="n">
        <v>3415</v>
      </c>
      <c r="E2286" s="8" t="n">
        <v>0.0331185944363104</v>
      </c>
      <c r="F2286" s="4" t="n">
        <f aca="false">D2286*E2286</f>
        <v>113.1</v>
      </c>
      <c r="G2286" s="7" t="n">
        <v>750</v>
      </c>
      <c r="H2286" s="9" t="n">
        <f aca="false">IF(G2286&gt;0,D2286/G2286,"")</f>
        <v>4.55333333333333</v>
      </c>
      <c r="I2286" s="10" t="n">
        <v>46202</v>
      </c>
      <c r="J2286" s="3" t="s">
        <v>3385</v>
      </c>
      <c r="K2286" s="10" t="n">
        <v>45595</v>
      </c>
      <c r="L2286" s="3" t="s">
        <v>16</v>
      </c>
      <c r="M2286" s="7" t="n">
        <v>5000</v>
      </c>
      <c r="N2286" s="8" t="n">
        <v>0.0241</v>
      </c>
      <c r="O2286" s="4" t="n">
        <f aca="false">M2286*N2286</f>
        <v>120.5</v>
      </c>
    </row>
    <row r="2287" customFormat="false" ht="15" hidden="false" customHeight="false" outlineLevel="0" collapsed="false">
      <c r="A2287" s="0" t="s">
        <v>3386</v>
      </c>
      <c r="C2287" s="0" t="s">
        <v>41</v>
      </c>
      <c r="D2287" s="7" t="n">
        <v>3672</v>
      </c>
      <c r="E2287" s="8" t="n">
        <v>0.0308006535947712</v>
      </c>
      <c r="F2287" s="4" t="n">
        <f aca="false">D2287*E2287</f>
        <v>113.1</v>
      </c>
      <c r="G2287" s="7" t="n">
        <v>24</v>
      </c>
      <c r="H2287" s="9" t="n">
        <f aca="false">IF(G2287&gt;0,D2287/G2287,"")</f>
        <v>153</v>
      </c>
      <c r="I2287" s="10" t="n">
        <v>46160</v>
      </c>
      <c r="K2287" s="10"/>
      <c r="M2287" s="7"/>
      <c r="N2287" s="8"/>
      <c r="O2287" s="4"/>
    </row>
    <row r="2288" customFormat="false" ht="15" hidden="false" customHeight="false" outlineLevel="0" collapsed="false">
      <c r="A2288" s="0" t="s">
        <v>3387</v>
      </c>
      <c r="C2288" s="0" t="s">
        <v>31</v>
      </c>
      <c r="D2288" s="7" t="n">
        <v>5764</v>
      </c>
      <c r="E2288" s="8" t="n">
        <v>0.0195957668285913</v>
      </c>
      <c r="F2288" s="4" t="n">
        <f aca="false">D2288*E2288</f>
        <v>112.95</v>
      </c>
      <c r="G2288" s="7" t="n">
        <v>18</v>
      </c>
      <c r="H2288" s="9" t="n">
        <f aca="false">IF(G2288&gt;0,D2288/G2288,"")</f>
        <v>320.222222222222</v>
      </c>
      <c r="I2288" s="10" t="n">
        <v>45987</v>
      </c>
      <c r="J2288" s="3" t="s">
        <v>3388</v>
      </c>
      <c r="K2288" s="10" t="n">
        <v>44198</v>
      </c>
      <c r="L2288" s="3" t="s">
        <v>25</v>
      </c>
      <c r="M2288" s="7" t="n">
        <v>5890</v>
      </c>
      <c r="N2288" s="8" t="n">
        <v>0.0196</v>
      </c>
      <c r="O2288" s="4" t="n">
        <f aca="false">M2288*N2288</f>
        <v>115.444</v>
      </c>
    </row>
    <row r="2289" customFormat="false" ht="15" hidden="false" customHeight="false" outlineLevel="0" collapsed="false">
      <c r="A2289" s="0" t="s">
        <v>3389</v>
      </c>
      <c r="C2289" s="0" t="s">
        <v>370</v>
      </c>
      <c r="D2289" s="7" t="n">
        <v>488</v>
      </c>
      <c r="E2289" s="8" t="n">
        <v>0.231434426229508</v>
      </c>
      <c r="F2289" s="4" t="n">
        <f aca="false">D2289*E2289</f>
        <v>112.94</v>
      </c>
      <c r="G2289" s="7" t="n">
        <v>14</v>
      </c>
      <c r="H2289" s="9" t="n">
        <f aca="false">IF(G2289&gt;0,D2289/G2289,"")</f>
        <v>34.8571428571429</v>
      </c>
      <c r="I2289" s="10" t="n">
        <v>46293</v>
      </c>
      <c r="J2289" s="3" t="s">
        <v>3390</v>
      </c>
      <c r="K2289" s="10" t="n">
        <v>45415</v>
      </c>
      <c r="L2289" s="3" t="s">
        <v>21</v>
      </c>
      <c r="M2289" s="7" t="n">
        <v>500</v>
      </c>
      <c r="N2289" s="8" t="n">
        <v>0.23</v>
      </c>
      <c r="O2289" s="4" t="n">
        <f aca="false">M2289*N2289</f>
        <v>115</v>
      </c>
    </row>
    <row r="2290" customFormat="false" ht="15" hidden="false" customHeight="false" outlineLevel="0" collapsed="false">
      <c r="A2290" s="0" t="s">
        <v>3391</v>
      </c>
      <c r="C2290" s="0" t="s">
        <v>31</v>
      </c>
      <c r="D2290" s="7" t="n">
        <v>23304</v>
      </c>
      <c r="E2290" s="8" t="n">
        <v>0.00484337452797803</v>
      </c>
      <c r="F2290" s="4" t="n">
        <f aca="false">D2290*E2290</f>
        <v>112.87</v>
      </c>
      <c r="G2290" s="7" t="n">
        <v>7122</v>
      </c>
      <c r="H2290" s="9" t="n">
        <f aca="false">IF(G2290&gt;0,D2290/G2290,"")</f>
        <v>3.27211457455771</v>
      </c>
      <c r="I2290" s="10" t="n">
        <v>46294</v>
      </c>
      <c r="K2290" s="10"/>
      <c r="M2290" s="7"/>
      <c r="N2290" s="8"/>
      <c r="O2290" s="4"/>
    </row>
    <row r="2291" customFormat="false" ht="15" hidden="false" customHeight="false" outlineLevel="0" collapsed="false">
      <c r="A2291" s="0" t="s">
        <v>3392</v>
      </c>
      <c r="C2291" s="0" t="s">
        <v>855</v>
      </c>
      <c r="D2291" s="7" t="n">
        <v>16257</v>
      </c>
      <c r="E2291" s="8" t="n">
        <v>0.00692993787291628</v>
      </c>
      <c r="F2291" s="4" t="n">
        <f aca="false">D2291*E2291</f>
        <v>112.66</v>
      </c>
      <c r="G2291" s="7" t="n">
        <v>1875</v>
      </c>
      <c r="H2291" s="9" t="n">
        <f aca="false">IF(G2291&gt;0,D2291/G2291,"")</f>
        <v>8.6704</v>
      </c>
      <c r="I2291" s="10" t="n">
        <v>46255</v>
      </c>
      <c r="K2291" s="10"/>
      <c r="M2291" s="7"/>
      <c r="N2291" s="8"/>
      <c r="O2291" s="4"/>
    </row>
    <row r="2292" customFormat="false" ht="15" hidden="false" customHeight="false" outlineLevel="0" collapsed="false">
      <c r="A2292" s="0" t="s">
        <v>3393</v>
      </c>
      <c r="C2292" s="0" t="s">
        <v>31</v>
      </c>
      <c r="D2292" s="7" t="n">
        <v>2412</v>
      </c>
      <c r="E2292" s="8" t="n">
        <v>0.0466998341625207</v>
      </c>
      <c r="F2292" s="4" t="n">
        <f aca="false">D2292*E2292</f>
        <v>112.64</v>
      </c>
      <c r="G2292" s="7" t="n">
        <v>63</v>
      </c>
      <c r="H2292" s="9" t="n">
        <f aca="false">IF(G2292&gt;0,D2292/G2292,"")</f>
        <v>38.2857142857143</v>
      </c>
      <c r="I2292" s="10" t="n">
        <v>46226</v>
      </c>
      <c r="K2292" s="10"/>
      <c r="M2292" s="7"/>
      <c r="N2292" s="8"/>
      <c r="O2292" s="4"/>
    </row>
    <row r="2293" customFormat="false" ht="15" hidden="false" customHeight="false" outlineLevel="0" collapsed="false">
      <c r="A2293" s="0" t="s">
        <v>3394</v>
      </c>
      <c r="C2293" s="0" t="s">
        <v>38</v>
      </c>
      <c r="D2293" s="7" t="n">
        <v>2486</v>
      </c>
      <c r="E2293" s="8" t="n">
        <v>0.0452815768302494</v>
      </c>
      <c r="F2293" s="4" t="n">
        <f aca="false">D2293*E2293</f>
        <v>112.57</v>
      </c>
      <c r="G2293" s="7" t="n">
        <v>579</v>
      </c>
      <c r="H2293" s="9" t="n">
        <f aca="false">IF(G2293&gt;0,D2293/G2293,"")</f>
        <v>4.29360967184801</v>
      </c>
      <c r="I2293" s="10" t="n">
        <v>46239</v>
      </c>
      <c r="J2293" s="3" t="s">
        <v>924</v>
      </c>
      <c r="K2293" s="10" t="n">
        <v>45127</v>
      </c>
      <c r="L2293" s="3" t="s">
        <v>15</v>
      </c>
      <c r="M2293" s="7" t="n">
        <v>4700</v>
      </c>
      <c r="N2293" s="8" t="n">
        <v>0.04528</v>
      </c>
      <c r="O2293" s="4" t="n">
        <f aca="false">M2293*N2293</f>
        <v>212.816</v>
      </c>
    </row>
    <row r="2294" customFormat="false" ht="15" hidden="false" customHeight="false" outlineLevel="0" collapsed="false">
      <c r="A2294" s="0" t="s">
        <v>3395</v>
      </c>
      <c r="C2294" s="0" t="s">
        <v>34</v>
      </c>
      <c r="D2294" s="7" t="n">
        <v>15472</v>
      </c>
      <c r="E2294" s="8" t="n">
        <v>0.00727378490175802</v>
      </c>
      <c r="F2294" s="4" t="n">
        <f aca="false">D2294*E2294</f>
        <v>112.54</v>
      </c>
      <c r="G2294" s="7" t="n">
        <v>1395</v>
      </c>
      <c r="H2294" s="9" t="n">
        <f aca="false">IF(G2294&gt;0,D2294/G2294,"")</f>
        <v>11.0910394265233</v>
      </c>
      <c r="I2294" s="10" t="n">
        <v>46276</v>
      </c>
      <c r="J2294" s="3" t="s">
        <v>457</v>
      </c>
      <c r="K2294" s="10" t="n">
        <v>45866</v>
      </c>
      <c r="L2294" s="3" t="s">
        <v>16</v>
      </c>
      <c r="M2294" s="7" t="n">
        <v>14912</v>
      </c>
      <c r="N2294" s="8" t="n">
        <v>0.0067</v>
      </c>
      <c r="O2294" s="4" t="n">
        <f aca="false">M2294*N2294</f>
        <v>99.9104</v>
      </c>
    </row>
    <row r="2295" customFormat="false" ht="15" hidden="false" customHeight="false" outlineLevel="0" collapsed="false">
      <c r="A2295" s="0" t="s">
        <v>3396</v>
      </c>
      <c r="C2295" s="0" t="s">
        <v>32</v>
      </c>
      <c r="D2295" s="7" t="n">
        <v>595</v>
      </c>
      <c r="E2295" s="8" t="n">
        <v>0.189008403361345</v>
      </c>
      <c r="F2295" s="4" t="n">
        <f aca="false">D2295*E2295</f>
        <v>112.46</v>
      </c>
      <c r="G2295" s="7" t="n">
        <v>104</v>
      </c>
      <c r="H2295" s="9" t="n">
        <f aca="false">IF(G2295&gt;0,D2295/G2295,"")</f>
        <v>5.72115384615385</v>
      </c>
      <c r="I2295" s="10" t="n">
        <v>45972</v>
      </c>
      <c r="J2295" s="3" t="s">
        <v>3397</v>
      </c>
      <c r="K2295" s="10" t="n">
        <v>45434</v>
      </c>
      <c r="L2295" s="3" t="s">
        <v>19</v>
      </c>
      <c r="M2295" s="7" t="n">
        <v>734</v>
      </c>
      <c r="N2295" s="8" t="n">
        <v>0.1916</v>
      </c>
      <c r="O2295" s="4" t="n">
        <f aca="false">M2295*N2295</f>
        <v>140.6344</v>
      </c>
    </row>
    <row r="2296" customFormat="false" ht="15" hidden="false" customHeight="false" outlineLevel="0" collapsed="false">
      <c r="A2296" s="0" t="s">
        <v>3398</v>
      </c>
      <c r="C2296" s="0" t="s">
        <v>2515</v>
      </c>
      <c r="D2296" s="7" t="n">
        <v>73</v>
      </c>
      <c r="E2296" s="8" t="n">
        <v>1.54</v>
      </c>
      <c r="F2296" s="4" t="n">
        <f aca="false">D2296*E2296</f>
        <v>112.42</v>
      </c>
      <c r="G2296" s="7" t="n">
        <v>6</v>
      </c>
      <c r="H2296" s="9" t="n">
        <f aca="false">IF(G2296&gt;0,D2296/G2296,"")</f>
        <v>12.1666666666667</v>
      </c>
      <c r="I2296" s="10" t="n">
        <v>46188</v>
      </c>
      <c r="J2296" s="3" t="s">
        <v>3399</v>
      </c>
      <c r="K2296" s="10" t="n">
        <v>45673</v>
      </c>
      <c r="L2296" s="3" t="s">
        <v>19</v>
      </c>
      <c r="M2296" s="7" t="n">
        <v>75</v>
      </c>
      <c r="N2296" s="8" t="n">
        <v>0.8331</v>
      </c>
      <c r="O2296" s="4" t="n">
        <f aca="false">M2296*N2296</f>
        <v>62.4825</v>
      </c>
    </row>
    <row r="2297" customFormat="false" ht="15" hidden="false" customHeight="false" outlineLevel="0" collapsed="false">
      <c r="A2297" s="0" t="s">
        <v>3400</v>
      </c>
      <c r="C2297" s="0" t="s">
        <v>31</v>
      </c>
      <c r="D2297" s="7" t="n">
        <v>20434</v>
      </c>
      <c r="E2297" s="8" t="n">
        <v>0.00550014681413331</v>
      </c>
      <c r="F2297" s="4" t="n">
        <f aca="false">D2297*E2297</f>
        <v>112.39</v>
      </c>
      <c r="G2297" s="7" t="n">
        <v>4954</v>
      </c>
      <c r="H2297" s="9" t="n">
        <f aca="false">IF(G2297&gt;0,D2297/G2297,"")</f>
        <v>4.12474767864352</v>
      </c>
      <c r="I2297" s="10" t="n">
        <v>46259</v>
      </c>
      <c r="J2297" s="3" t="s">
        <v>1209</v>
      </c>
      <c r="K2297" s="10" t="n">
        <v>45993</v>
      </c>
      <c r="L2297" s="3" t="s">
        <v>16</v>
      </c>
      <c r="M2297" s="7" t="n">
        <v>27500</v>
      </c>
      <c r="N2297" s="8" t="n">
        <v>0.0055</v>
      </c>
      <c r="O2297" s="4" t="n">
        <f aca="false">M2297*N2297</f>
        <v>151.25</v>
      </c>
    </row>
    <row r="2298" customFormat="false" ht="15" hidden="false" customHeight="false" outlineLevel="0" collapsed="false">
      <c r="A2298" s="0" t="s">
        <v>3401</v>
      </c>
      <c r="C2298" s="0" t="s">
        <v>855</v>
      </c>
      <c r="D2298" s="7" t="n">
        <v>11015</v>
      </c>
      <c r="E2298" s="8" t="n">
        <v>0.0102006354970495</v>
      </c>
      <c r="F2298" s="4" t="n">
        <f aca="false">D2298*E2298</f>
        <v>112.36</v>
      </c>
      <c r="G2298" s="7" t="n">
        <v>141</v>
      </c>
      <c r="H2298" s="9" t="n">
        <f aca="false">IF(G2298&gt;0,D2298/G2298,"")</f>
        <v>78.1205673758865</v>
      </c>
      <c r="I2298" s="10" t="n">
        <v>46234</v>
      </c>
      <c r="K2298" s="10"/>
      <c r="M2298" s="7"/>
      <c r="N2298" s="8"/>
      <c r="O2298" s="4"/>
    </row>
    <row r="2299" customFormat="false" ht="15" hidden="false" customHeight="false" outlineLevel="0" collapsed="false">
      <c r="A2299" s="0" t="s">
        <v>3402</v>
      </c>
      <c r="C2299" s="0" t="s">
        <v>34</v>
      </c>
      <c r="D2299" s="7" t="n">
        <v>3628</v>
      </c>
      <c r="E2299" s="8" t="n">
        <v>0.0309509371554576</v>
      </c>
      <c r="F2299" s="4" t="n">
        <f aca="false">D2299*E2299</f>
        <v>112.29</v>
      </c>
      <c r="G2299" s="7" t="n">
        <v>568</v>
      </c>
      <c r="H2299" s="9" t="n">
        <f aca="false">IF(G2299&gt;0,D2299/G2299,"")</f>
        <v>6.38732394366197</v>
      </c>
      <c r="I2299" s="10" t="n">
        <v>46315</v>
      </c>
      <c r="J2299" s="3" t="s">
        <v>3403</v>
      </c>
      <c r="K2299" s="10" t="n">
        <v>44873</v>
      </c>
      <c r="L2299" s="3" t="s">
        <v>3404</v>
      </c>
      <c r="M2299" s="7" t="n">
        <v>2648</v>
      </c>
      <c r="N2299" s="8" t="n">
        <v>0.0639</v>
      </c>
      <c r="O2299" s="4" t="n">
        <f aca="false">M2299*N2299</f>
        <v>169.2072</v>
      </c>
    </row>
    <row r="2300" customFormat="false" ht="15" hidden="false" customHeight="false" outlineLevel="0" collapsed="false">
      <c r="A2300" s="0" t="s">
        <v>3405</v>
      </c>
      <c r="C2300" s="0" t="s">
        <v>69</v>
      </c>
      <c r="D2300" s="7" t="n">
        <v>109</v>
      </c>
      <c r="E2300" s="8" t="n">
        <v>1.03</v>
      </c>
      <c r="F2300" s="4" t="n">
        <f aca="false">D2300*E2300</f>
        <v>112.27</v>
      </c>
      <c r="G2300" s="7" t="n">
        <v>36</v>
      </c>
      <c r="H2300" s="9" t="n">
        <f aca="false">IF(G2300&gt;0,D2300/G2300,"")</f>
        <v>3.02777777777778</v>
      </c>
      <c r="I2300" s="10" t="n">
        <v>46302</v>
      </c>
      <c r="J2300" s="3" t="s">
        <v>3406</v>
      </c>
      <c r="K2300" s="10" t="n">
        <v>44832</v>
      </c>
      <c r="L2300" s="3" t="s">
        <v>14</v>
      </c>
      <c r="M2300" s="7" t="n">
        <v>328</v>
      </c>
      <c r="N2300" s="8" t="n">
        <v>1.5864</v>
      </c>
      <c r="O2300" s="4" t="n">
        <f aca="false">M2300*N2300</f>
        <v>520.3392</v>
      </c>
    </row>
    <row r="2301" customFormat="false" ht="15" hidden="false" customHeight="false" outlineLevel="0" collapsed="false">
      <c r="A2301" s="0" t="s">
        <v>3407</v>
      </c>
      <c r="C2301" s="0" t="s">
        <v>118</v>
      </c>
      <c r="D2301" s="7" t="n">
        <v>930</v>
      </c>
      <c r="E2301" s="8" t="n">
        <v>0.120709677419355</v>
      </c>
      <c r="F2301" s="4" t="n">
        <f aca="false">D2301*E2301</f>
        <v>112.26</v>
      </c>
      <c r="G2301" s="7" t="n">
        <v>70</v>
      </c>
      <c r="H2301" s="9" t="n">
        <f aca="false">IF(G2301&gt;0,D2301/G2301,"")</f>
        <v>13.2857142857143</v>
      </c>
      <c r="I2301" s="10" t="n">
        <v>46251</v>
      </c>
      <c r="J2301" s="3" t="s">
        <v>2719</v>
      </c>
      <c r="K2301" s="10" t="n">
        <v>46049</v>
      </c>
      <c r="L2301" s="3" t="s">
        <v>16</v>
      </c>
      <c r="M2301" s="7" t="n">
        <v>1000</v>
      </c>
      <c r="N2301" s="8" t="n">
        <v>0.1207</v>
      </c>
      <c r="O2301" s="4" t="n">
        <f aca="false">M2301*N2301</f>
        <v>120.7</v>
      </c>
    </row>
    <row r="2302" customFormat="false" ht="15" hidden="false" customHeight="false" outlineLevel="0" collapsed="false">
      <c r="A2302" s="0" t="s">
        <v>3408</v>
      </c>
      <c r="C2302" s="0" t="s">
        <v>41</v>
      </c>
      <c r="D2302" s="7" t="n">
        <v>5611</v>
      </c>
      <c r="E2302" s="8" t="n">
        <v>0.02</v>
      </c>
      <c r="F2302" s="4" t="n">
        <f aca="false">D2302*E2302</f>
        <v>112.22</v>
      </c>
      <c r="G2302" s="7" t="n">
        <v>600</v>
      </c>
      <c r="H2302" s="9" t="n">
        <f aca="false">IF(G2302&gt;0,D2302/G2302,"")</f>
        <v>9.35166666666667</v>
      </c>
      <c r="I2302" s="10" t="n">
        <v>46274</v>
      </c>
      <c r="K2302" s="10"/>
      <c r="M2302" s="7"/>
      <c r="N2302" s="8"/>
      <c r="O2302" s="4"/>
    </row>
    <row r="2303" customFormat="false" ht="15" hidden="false" customHeight="false" outlineLevel="0" collapsed="false">
      <c r="A2303" s="0" t="s">
        <v>3409</v>
      </c>
      <c r="D2303" s="7" t="n">
        <v>45</v>
      </c>
      <c r="E2303" s="8" t="n">
        <v>2.49</v>
      </c>
      <c r="F2303" s="4" t="n">
        <f aca="false">D2303*E2303</f>
        <v>112.05</v>
      </c>
      <c r="G2303" s="7" t="n">
        <v>3</v>
      </c>
      <c r="H2303" s="9" t="n">
        <f aca="false">IF(G2303&gt;0,D2303/G2303,"")</f>
        <v>15</v>
      </c>
      <c r="I2303" s="10" t="n">
        <v>46171</v>
      </c>
      <c r="J2303" s="3" t="s">
        <v>3410</v>
      </c>
      <c r="K2303" s="10" t="n">
        <v>45167</v>
      </c>
      <c r="L2303" s="3" t="s">
        <v>1878</v>
      </c>
      <c r="M2303" s="7" t="n">
        <v>55</v>
      </c>
      <c r="N2303" s="8" t="n">
        <v>2.49</v>
      </c>
      <c r="O2303" s="4" t="n">
        <f aca="false">M2303*N2303</f>
        <v>136.95</v>
      </c>
    </row>
    <row r="2304" customFormat="false" ht="15" hidden="false" customHeight="false" outlineLevel="0" collapsed="false">
      <c r="A2304" s="0" t="s">
        <v>3411</v>
      </c>
      <c r="C2304" s="0" t="s">
        <v>34</v>
      </c>
      <c r="D2304" s="7" t="n">
        <v>1163</v>
      </c>
      <c r="E2304" s="8" t="n">
        <v>0.0963370593293207</v>
      </c>
      <c r="F2304" s="4" t="n">
        <f aca="false">D2304*E2304</f>
        <v>112.04</v>
      </c>
      <c r="G2304" s="7" t="n">
        <v>500</v>
      </c>
      <c r="H2304" s="9" t="n">
        <f aca="false">IF(G2304&gt;0,D2304/G2304,"")</f>
        <v>2.326</v>
      </c>
      <c r="I2304" s="10" t="n">
        <v>46308</v>
      </c>
      <c r="J2304" s="3" t="s">
        <v>3412</v>
      </c>
      <c r="K2304" s="10" t="n">
        <v>46303</v>
      </c>
      <c r="L2304" s="3" t="s">
        <v>19</v>
      </c>
      <c r="M2304" s="7" t="n">
        <v>525</v>
      </c>
      <c r="N2304" s="8" t="n">
        <v>0.2725</v>
      </c>
      <c r="O2304" s="4" t="n">
        <f aca="false">M2304*N2304</f>
        <v>143.0625</v>
      </c>
    </row>
    <row r="2305" customFormat="false" ht="15" hidden="false" customHeight="false" outlineLevel="0" collapsed="false">
      <c r="A2305" s="0" t="s">
        <v>3413</v>
      </c>
      <c r="C2305" s="0" t="s">
        <v>38</v>
      </c>
      <c r="D2305" s="7" t="n">
        <v>25063</v>
      </c>
      <c r="E2305" s="8" t="n">
        <v>0.00446913777281251</v>
      </c>
      <c r="F2305" s="4" t="n">
        <f aca="false">D2305*E2305</f>
        <v>112.01</v>
      </c>
      <c r="G2305" s="7" t="n">
        <v>2147</v>
      </c>
      <c r="H2305" s="9" t="n">
        <f aca="false">IF(G2305&gt;0,D2305/G2305,"")</f>
        <v>11.6734979040522</v>
      </c>
      <c r="I2305" s="10" t="n">
        <v>46301</v>
      </c>
      <c r="K2305" s="10"/>
      <c r="M2305" s="7"/>
      <c r="N2305" s="8"/>
      <c r="O2305" s="4"/>
    </row>
    <row r="2306" customFormat="false" ht="15" hidden="false" customHeight="false" outlineLevel="0" collapsed="false">
      <c r="A2306" s="0" t="s">
        <v>3414</v>
      </c>
      <c r="C2306" s="0" t="s">
        <v>31</v>
      </c>
      <c r="D2306" s="7" t="n">
        <v>3111</v>
      </c>
      <c r="E2306" s="8" t="n">
        <v>0.0360012857602057</v>
      </c>
      <c r="F2306" s="4" t="n">
        <f aca="false">D2306*E2306</f>
        <v>112</v>
      </c>
      <c r="G2306" s="7" t="n">
        <v>1065</v>
      </c>
      <c r="H2306" s="9" t="n">
        <f aca="false">IF(G2306&gt;0,D2306/G2306,"")</f>
        <v>2.92112676056338</v>
      </c>
      <c r="I2306" s="10" t="n">
        <v>46080</v>
      </c>
      <c r="J2306" s="3" t="s">
        <v>1865</v>
      </c>
      <c r="K2306" s="10" t="n">
        <v>45546</v>
      </c>
      <c r="L2306" s="3" t="s">
        <v>25</v>
      </c>
      <c r="M2306" s="7" t="n">
        <v>5000</v>
      </c>
      <c r="N2306" s="8" t="n">
        <v>0.036</v>
      </c>
      <c r="O2306" s="4" t="n">
        <f aca="false">M2306*N2306</f>
        <v>180</v>
      </c>
    </row>
    <row r="2307" customFormat="false" ht="15" hidden="false" customHeight="false" outlineLevel="0" collapsed="false">
      <c r="A2307" s="0" t="s">
        <v>3415</v>
      </c>
      <c r="C2307" s="0" t="s">
        <v>285</v>
      </c>
      <c r="D2307" s="7" t="n">
        <v>3632</v>
      </c>
      <c r="E2307" s="8" t="n">
        <v>0.0308287444933921</v>
      </c>
      <c r="F2307" s="4" t="n">
        <f aca="false">D2307*E2307</f>
        <v>111.97</v>
      </c>
      <c r="G2307" s="7" t="n">
        <v>127</v>
      </c>
      <c r="H2307" s="9" t="n">
        <f aca="false">IF(G2307&gt;0,D2307/G2307,"")</f>
        <v>28.5984251968504</v>
      </c>
      <c r="I2307" s="10" t="n">
        <v>46315</v>
      </c>
      <c r="K2307" s="10"/>
      <c r="M2307" s="7"/>
      <c r="N2307" s="8"/>
      <c r="O2307" s="4"/>
    </row>
    <row r="2308" customFormat="false" ht="15" hidden="false" customHeight="false" outlineLevel="0" collapsed="false">
      <c r="A2308" s="0" t="s">
        <v>3416</v>
      </c>
      <c r="C2308" s="0" t="s">
        <v>31</v>
      </c>
      <c r="D2308" s="7" t="n">
        <v>19640</v>
      </c>
      <c r="E2308" s="8" t="n">
        <v>0.00570010183299389</v>
      </c>
      <c r="F2308" s="4" t="n">
        <f aca="false">D2308*E2308</f>
        <v>111.95</v>
      </c>
      <c r="G2308" s="7" t="n">
        <v>11836</v>
      </c>
      <c r="H2308" s="9" t="n">
        <f aca="false">IF(G2308&gt;0,D2308/G2308,"")</f>
        <v>1.65934437309902</v>
      </c>
      <c r="I2308" s="10" t="n">
        <v>46294</v>
      </c>
      <c r="J2308" s="3" t="s">
        <v>1209</v>
      </c>
      <c r="K2308" s="10" t="n">
        <v>45993</v>
      </c>
      <c r="L2308" s="3" t="s">
        <v>16</v>
      </c>
      <c r="M2308" s="7" t="n">
        <v>26500</v>
      </c>
      <c r="N2308" s="8" t="n">
        <v>0.0057</v>
      </c>
      <c r="O2308" s="4" t="n">
        <f aca="false">M2308*N2308</f>
        <v>151.05</v>
      </c>
    </row>
    <row r="2309" customFormat="false" ht="15" hidden="false" customHeight="false" outlineLevel="0" collapsed="false">
      <c r="A2309" s="0" t="s">
        <v>3417</v>
      </c>
      <c r="C2309" s="0" t="s">
        <v>38</v>
      </c>
      <c r="D2309" s="7" t="n">
        <v>16372</v>
      </c>
      <c r="E2309" s="8" t="n">
        <v>0.00683300757390667</v>
      </c>
      <c r="F2309" s="4" t="n">
        <f aca="false">D2309*E2309</f>
        <v>111.87</v>
      </c>
      <c r="G2309" s="7" t="n">
        <v>2480</v>
      </c>
      <c r="H2309" s="9" t="n">
        <f aca="false">IF(G2309&gt;0,D2309/G2309,"")</f>
        <v>6.60161290322581</v>
      </c>
      <c r="I2309" s="10" t="n">
        <v>46301</v>
      </c>
      <c r="J2309" s="3" t="s">
        <v>1028</v>
      </c>
      <c r="K2309" s="10" t="n">
        <v>45689</v>
      </c>
      <c r="L2309" s="3" t="s">
        <v>18</v>
      </c>
      <c r="M2309" s="7" t="n">
        <v>14000</v>
      </c>
      <c r="N2309" s="8" t="n">
        <v>0.0072</v>
      </c>
      <c r="O2309" s="4" t="n">
        <f aca="false">M2309*N2309</f>
        <v>100.8</v>
      </c>
    </row>
    <row r="2310" customFormat="false" ht="15" hidden="false" customHeight="false" outlineLevel="0" collapsed="false">
      <c r="A2310" s="0" t="s">
        <v>3418</v>
      </c>
      <c r="C2310" s="0" t="s">
        <v>1169</v>
      </c>
      <c r="D2310" s="7" t="n">
        <v>603</v>
      </c>
      <c r="E2310" s="8" t="n">
        <v>0.185091210613599</v>
      </c>
      <c r="F2310" s="4" t="n">
        <f aca="false">D2310*E2310</f>
        <v>111.61</v>
      </c>
      <c r="G2310" s="7" t="n">
        <v>4</v>
      </c>
      <c r="H2310" s="9" t="n">
        <f aca="false">IF(G2310&gt;0,D2310/G2310,"")</f>
        <v>150.75</v>
      </c>
      <c r="I2310" s="10" t="n">
        <v>46066</v>
      </c>
      <c r="J2310" s="3" t="s">
        <v>2903</v>
      </c>
      <c r="K2310" s="10" t="n">
        <v>44301</v>
      </c>
      <c r="L2310" s="3" t="s">
        <v>21</v>
      </c>
      <c r="M2310" s="7" t="n">
        <v>600</v>
      </c>
      <c r="N2310" s="8" t="n">
        <v>0.182</v>
      </c>
      <c r="O2310" s="4" t="n">
        <f aca="false">M2310*N2310</f>
        <v>109.2</v>
      </c>
    </row>
    <row r="2311" customFormat="false" ht="15" hidden="false" customHeight="false" outlineLevel="0" collapsed="false">
      <c r="A2311" s="0" t="s">
        <v>3419</v>
      </c>
      <c r="C2311" s="0" t="s">
        <v>34</v>
      </c>
      <c r="D2311" s="7" t="n">
        <v>3975</v>
      </c>
      <c r="E2311" s="8" t="n">
        <v>0.0280100628930818</v>
      </c>
      <c r="F2311" s="4" t="n">
        <f aca="false">D2311*E2311</f>
        <v>111.34</v>
      </c>
      <c r="G2311" s="7" t="n">
        <v>315</v>
      </c>
      <c r="H2311" s="9" t="n">
        <f aca="false">IF(G2311&gt;0,D2311/G2311,"")</f>
        <v>12.6190476190476</v>
      </c>
      <c r="I2311" s="10" t="n">
        <v>46094</v>
      </c>
      <c r="J2311" s="3" t="s">
        <v>2139</v>
      </c>
      <c r="K2311" s="10" t="n">
        <v>45435</v>
      </c>
      <c r="L2311" s="3" t="s">
        <v>15</v>
      </c>
      <c r="M2311" s="7" t="n">
        <v>5400</v>
      </c>
      <c r="N2311" s="8" t="n">
        <v>0.02801</v>
      </c>
      <c r="O2311" s="4" t="n">
        <f aca="false">M2311*N2311</f>
        <v>151.254</v>
      </c>
    </row>
    <row r="2312" customFormat="false" ht="15" hidden="false" customHeight="false" outlineLevel="0" collapsed="false">
      <c r="A2312" s="0" t="s">
        <v>3420</v>
      </c>
      <c r="C2312" s="0" t="s">
        <v>31</v>
      </c>
      <c r="D2312" s="7" t="n">
        <v>1032</v>
      </c>
      <c r="E2312" s="8" t="n">
        <v>0.107848837209302</v>
      </c>
      <c r="F2312" s="4" t="n">
        <f aca="false">D2312*E2312</f>
        <v>111.3</v>
      </c>
      <c r="G2312" s="7" t="n">
        <v>250</v>
      </c>
      <c r="H2312" s="9" t="n">
        <f aca="false">IF(G2312&gt;0,D2312/G2312,"")</f>
        <v>4.128</v>
      </c>
      <c r="I2312" s="10" t="n">
        <v>46218</v>
      </c>
      <c r="J2312" s="3" t="s">
        <v>347</v>
      </c>
      <c r="K2312" s="10" t="n">
        <v>46210</v>
      </c>
      <c r="L2312" s="3" t="s">
        <v>14</v>
      </c>
      <c r="M2312" s="7" t="n">
        <v>1000</v>
      </c>
      <c r="N2312" s="8" t="n">
        <v>0.1042</v>
      </c>
      <c r="O2312" s="4" t="n">
        <f aca="false">M2312*N2312</f>
        <v>104.2</v>
      </c>
    </row>
    <row r="2313" customFormat="false" ht="15" hidden="false" customHeight="false" outlineLevel="0" collapsed="false">
      <c r="A2313" s="0" t="s">
        <v>3421</v>
      </c>
      <c r="C2313" s="0" t="s">
        <v>298</v>
      </c>
      <c r="D2313" s="7" t="n">
        <v>76</v>
      </c>
      <c r="E2313" s="8" t="n">
        <v>1.46368421052632</v>
      </c>
      <c r="F2313" s="4" t="n">
        <f aca="false">D2313*E2313</f>
        <v>111.24</v>
      </c>
      <c r="G2313" s="7" t="n">
        <v>2</v>
      </c>
      <c r="H2313" s="9" t="n">
        <f aca="false">IF(G2313&gt;0,D2313/G2313,"")</f>
        <v>38</v>
      </c>
      <c r="I2313" s="10" t="n">
        <v>46083</v>
      </c>
      <c r="J2313" s="3" t="s">
        <v>974</v>
      </c>
      <c r="K2313" s="10" t="n">
        <v>45307</v>
      </c>
      <c r="L2313" s="3" t="s">
        <v>14</v>
      </c>
      <c r="M2313" s="7" t="n">
        <v>100</v>
      </c>
      <c r="N2313" s="8" t="n">
        <v>1.4637</v>
      </c>
      <c r="O2313" s="4" t="n">
        <f aca="false">M2313*N2313</f>
        <v>146.37</v>
      </c>
    </row>
    <row r="2314" customFormat="false" ht="15" hidden="false" customHeight="false" outlineLevel="0" collapsed="false">
      <c r="A2314" s="0" t="s">
        <v>3422</v>
      </c>
      <c r="C2314" s="0" t="s">
        <v>855</v>
      </c>
      <c r="D2314" s="7" t="n">
        <v>14351</v>
      </c>
      <c r="E2314" s="8" t="n">
        <v>0.00774998257961118</v>
      </c>
      <c r="F2314" s="4" t="n">
        <f aca="false">D2314*E2314</f>
        <v>111.22</v>
      </c>
      <c r="G2314" s="7" t="n">
        <v>172</v>
      </c>
      <c r="H2314" s="9" t="n">
        <f aca="false">IF(G2314&gt;0,D2314/G2314,"")</f>
        <v>83.4360465116279</v>
      </c>
      <c r="I2314" s="10" t="n">
        <v>46282</v>
      </c>
      <c r="K2314" s="10"/>
      <c r="M2314" s="7"/>
      <c r="N2314" s="8"/>
      <c r="O2314" s="4"/>
    </row>
    <row r="2315" customFormat="false" ht="15" hidden="false" customHeight="false" outlineLevel="0" collapsed="false">
      <c r="A2315" s="0" t="s">
        <v>3423</v>
      </c>
      <c r="C2315" s="0" t="s">
        <v>41</v>
      </c>
      <c r="D2315" s="7" t="n">
        <v>5926</v>
      </c>
      <c r="E2315" s="8" t="n">
        <v>0.0187428282146473</v>
      </c>
      <c r="F2315" s="4" t="n">
        <f aca="false">D2315*E2315</f>
        <v>111.07</v>
      </c>
      <c r="G2315" s="7" t="n">
        <v>113</v>
      </c>
      <c r="H2315" s="9" t="n">
        <f aca="false">IF(G2315&gt;0,D2315/G2315,"")</f>
        <v>52.4424778761062</v>
      </c>
      <c r="I2315" s="10" t="n">
        <v>46317</v>
      </c>
      <c r="J2315" s="3" t="s">
        <v>2789</v>
      </c>
      <c r="K2315" s="10" t="n">
        <v>44256</v>
      </c>
      <c r="L2315" s="3" t="s">
        <v>15</v>
      </c>
      <c r="M2315" s="7" t="n">
        <v>6372</v>
      </c>
      <c r="N2315" s="8" t="n">
        <v>0.01874</v>
      </c>
      <c r="O2315" s="4" t="n">
        <f aca="false">M2315*N2315</f>
        <v>119.41128</v>
      </c>
    </row>
    <row r="2316" customFormat="false" ht="15" hidden="false" customHeight="false" outlineLevel="0" collapsed="false">
      <c r="A2316" s="0" t="s">
        <v>3424</v>
      </c>
      <c r="C2316" s="0" t="s">
        <v>38</v>
      </c>
      <c r="D2316" s="7" t="n">
        <v>118</v>
      </c>
      <c r="E2316" s="8" t="n">
        <v>0.940762711864407</v>
      </c>
      <c r="F2316" s="4" t="n">
        <f aca="false">D2316*E2316</f>
        <v>111.01</v>
      </c>
      <c r="G2316" s="7" t="n">
        <v>5</v>
      </c>
      <c r="H2316" s="9" t="n">
        <f aca="false">IF(G2316&gt;0,D2316/G2316,"")</f>
        <v>23.6</v>
      </c>
      <c r="I2316" s="10" t="n">
        <v>46183</v>
      </c>
      <c r="K2316" s="10"/>
      <c r="M2316" s="7"/>
      <c r="N2316" s="8"/>
      <c r="O2316" s="4"/>
    </row>
    <row r="2317" customFormat="false" ht="15" hidden="false" customHeight="false" outlineLevel="0" collapsed="false">
      <c r="A2317" s="0" t="s">
        <v>3425</v>
      </c>
      <c r="D2317" s="7" t="n">
        <v>38</v>
      </c>
      <c r="E2317" s="8" t="n">
        <v>2.92105263157895</v>
      </c>
      <c r="F2317" s="4" t="n">
        <f aca="false">D2317*E2317</f>
        <v>111</v>
      </c>
      <c r="G2317" s="7" t="n">
        <v>2</v>
      </c>
      <c r="H2317" s="9" t="n">
        <f aca="false">IF(G2317&gt;0,D2317/G2317,"")</f>
        <v>19</v>
      </c>
      <c r="I2317" s="10" t="n">
        <v>46294</v>
      </c>
      <c r="K2317" s="10"/>
      <c r="M2317" s="7"/>
      <c r="N2317" s="8"/>
      <c r="O2317" s="4"/>
    </row>
    <row r="2318" customFormat="false" ht="15" hidden="false" customHeight="false" outlineLevel="0" collapsed="false">
      <c r="A2318" s="0" t="s">
        <v>3426</v>
      </c>
      <c r="C2318" s="0" t="s">
        <v>34</v>
      </c>
      <c r="D2318" s="7" t="n">
        <v>7239</v>
      </c>
      <c r="E2318" s="8" t="n">
        <v>0.0153267025832297</v>
      </c>
      <c r="F2318" s="4" t="n">
        <f aca="false">D2318*E2318</f>
        <v>110.95</v>
      </c>
      <c r="G2318" s="7" t="n">
        <v>155</v>
      </c>
      <c r="H2318" s="9" t="n">
        <f aca="false">IF(G2318&gt;0,D2318/G2318,"")</f>
        <v>46.7032258064516</v>
      </c>
      <c r="I2318" s="10" t="n">
        <v>46279</v>
      </c>
      <c r="J2318" s="3" t="s">
        <v>2228</v>
      </c>
      <c r="K2318" s="10" t="n">
        <v>44328</v>
      </c>
      <c r="L2318" s="3" t="s">
        <v>15</v>
      </c>
      <c r="M2318" s="7" t="n">
        <v>10200</v>
      </c>
      <c r="N2318" s="8" t="n">
        <v>0.01529</v>
      </c>
      <c r="O2318" s="4" t="n">
        <f aca="false">M2318*N2318</f>
        <v>155.958</v>
      </c>
    </row>
    <row r="2319" customFormat="false" ht="15" hidden="false" customHeight="false" outlineLevel="0" collapsed="false">
      <c r="A2319" s="0" t="s">
        <v>3427</v>
      </c>
      <c r="C2319" s="0" t="s">
        <v>298</v>
      </c>
      <c r="D2319" s="7" t="n">
        <v>828</v>
      </c>
      <c r="E2319" s="8" t="n">
        <v>0.133900966183575</v>
      </c>
      <c r="F2319" s="4" t="n">
        <f aca="false">D2319*E2319</f>
        <v>110.87</v>
      </c>
      <c r="G2319" s="7" t="n">
        <v>112</v>
      </c>
      <c r="H2319" s="9" t="n">
        <f aca="false">IF(G2319&gt;0,D2319/G2319,"")</f>
        <v>7.39285714285714</v>
      </c>
      <c r="I2319" s="10" t="n">
        <v>46308</v>
      </c>
      <c r="J2319" s="3" t="s">
        <v>812</v>
      </c>
      <c r="K2319" s="10" t="n">
        <v>44830</v>
      </c>
      <c r="L2319" s="3" t="s">
        <v>16</v>
      </c>
      <c r="M2319" s="7" t="n">
        <v>1000</v>
      </c>
      <c r="N2319" s="8" t="n">
        <v>0.1339</v>
      </c>
      <c r="O2319" s="4" t="n">
        <f aca="false">M2319*N2319</f>
        <v>133.9</v>
      </c>
    </row>
    <row r="2320" customFormat="false" ht="15" hidden="false" customHeight="false" outlineLevel="0" collapsed="false">
      <c r="A2320" s="0" t="s">
        <v>3428</v>
      </c>
      <c r="C2320" s="0" t="s">
        <v>497</v>
      </c>
      <c r="D2320" s="7" t="n">
        <v>628</v>
      </c>
      <c r="E2320" s="8" t="n">
        <v>0.176496815286624</v>
      </c>
      <c r="F2320" s="4" t="n">
        <f aca="false">D2320*E2320</f>
        <v>110.84</v>
      </c>
      <c r="G2320" s="7" t="n">
        <v>20</v>
      </c>
      <c r="H2320" s="9" t="n">
        <f aca="false">IF(G2320&gt;0,D2320/G2320,"")</f>
        <v>31.4</v>
      </c>
      <c r="I2320" s="10" t="n">
        <v>46245</v>
      </c>
      <c r="K2320" s="10"/>
      <c r="M2320" s="7"/>
      <c r="N2320" s="8"/>
      <c r="O2320" s="4"/>
    </row>
    <row r="2321" customFormat="false" ht="15" hidden="false" customHeight="false" outlineLevel="0" collapsed="false">
      <c r="A2321" s="0" t="s">
        <v>3429</v>
      </c>
      <c r="C2321" s="0" t="s">
        <v>38</v>
      </c>
      <c r="D2321" s="7" t="n">
        <v>6581</v>
      </c>
      <c r="E2321" s="8" t="n">
        <v>0.0168409056374411</v>
      </c>
      <c r="F2321" s="4" t="n">
        <f aca="false">D2321*E2321</f>
        <v>110.83</v>
      </c>
      <c r="G2321" s="7" t="n">
        <v>687</v>
      </c>
      <c r="H2321" s="9" t="n">
        <f aca="false">IF(G2321&gt;0,D2321/G2321,"")</f>
        <v>9.57933042212518</v>
      </c>
      <c r="I2321" s="10" t="n">
        <v>46196</v>
      </c>
      <c r="J2321" s="3" t="s">
        <v>1028</v>
      </c>
      <c r="K2321" s="10" t="n">
        <v>45689</v>
      </c>
      <c r="L2321" s="3" t="s">
        <v>18</v>
      </c>
      <c r="M2321" s="7" t="n">
        <v>6000</v>
      </c>
      <c r="N2321" s="8" t="n">
        <v>0.0165</v>
      </c>
      <c r="O2321" s="4" t="n">
        <f aca="false">M2321*N2321</f>
        <v>99</v>
      </c>
    </row>
    <row r="2322" customFormat="false" ht="15" hidden="false" customHeight="false" outlineLevel="0" collapsed="false">
      <c r="A2322" s="0" t="s">
        <v>3430</v>
      </c>
      <c r="C2322" s="0" t="s">
        <v>1169</v>
      </c>
      <c r="D2322" s="7" t="n">
        <v>615</v>
      </c>
      <c r="E2322" s="8" t="n">
        <v>0.179918699186992</v>
      </c>
      <c r="F2322" s="4" t="n">
        <f aca="false">D2322*E2322</f>
        <v>110.65</v>
      </c>
      <c r="G2322" s="7" t="n">
        <v>30</v>
      </c>
      <c r="H2322" s="9" t="n">
        <f aca="false">IF(G2322&gt;0,D2322/G2322,"")</f>
        <v>20.5</v>
      </c>
      <c r="I2322" s="10" t="n">
        <v>46080</v>
      </c>
      <c r="J2322" s="3" t="s">
        <v>2903</v>
      </c>
      <c r="K2322" s="10" t="n">
        <v>44301</v>
      </c>
      <c r="L2322" s="3" t="s">
        <v>21</v>
      </c>
      <c r="M2322" s="7" t="n">
        <v>650</v>
      </c>
      <c r="N2322" s="8" t="n">
        <v>0.175</v>
      </c>
      <c r="O2322" s="4" t="n">
        <f aca="false">M2322*N2322</f>
        <v>113.75</v>
      </c>
    </row>
    <row r="2323" customFormat="false" ht="15" hidden="false" customHeight="false" outlineLevel="0" collapsed="false">
      <c r="A2323" s="0" t="s">
        <v>3431</v>
      </c>
      <c r="C2323" s="0" t="s">
        <v>35</v>
      </c>
      <c r="D2323" s="7" t="n">
        <v>203</v>
      </c>
      <c r="E2323" s="8" t="n">
        <v>0.544630541871921</v>
      </c>
      <c r="F2323" s="4" t="n">
        <f aca="false">D2323*E2323</f>
        <v>110.56</v>
      </c>
      <c r="G2323" s="7" t="n">
        <v>3</v>
      </c>
      <c r="H2323" s="9" t="n">
        <f aca="false">IF(G2323&gt;0,D2323/G2323,"")</f>
        <v>67.6666666666667</v>
      </c>
      <c r="I2323" s="10" t="n">
        <v>46107</v>
      </c>
      <c r="J2323" s="3" t="s">
        <v>3432</v>
      </c>
      <c r="K2323" s="10" t="n">
        <v>45763</v>
      </c>
      <c r="L2323" s="3" t="s">
        <v>20</v>
      </c>
      <c r="M2323" s="7" t="n">
        <v>120</v>
      </c>
      <c r="N2323" s="8" t="n">
        <v>0.335</v>
      </c>
      <c r="O2323" s="4" t="n">
        <f aca="false">M2323*N2323</f>
        <v>40.2</v>
      </c>
    </row>
    <row r="2324" customFormat="false" ht="15" hidden="false" customHeight="false" outlineLevel="0" collapsed="false">
      <c r="A2324" s="0" t="s">
        <v>3433</v>
      </c>
      <c r="C2324" s="0" t="s">
        <v>36</v>
      </c>
      <c r="D2324" s="7" t="n">
        <v>301</v>
      </c>
      <c r="E2324" s="8" t="n">
        <v>0.366910299003322</v>
      </c>
      <c r="F2324" s="4" t="n">
        <f aca="false">D2324*E2324</f>
        <v>110.44</v>
      </c>
      <c r="G2324" s="7" t="n">
        <v>114</v>
      </c>
      <c r="H2324" s="9" t="n">
        <f aca="false">IF(G2324&gt;0,D2324/G2324,"")</f>
        <v>2.64035087719298</v>
      </c>
      <c r="I2324" s="10" t="n">
        <v>46266</v>
      </c>
      <c r="J2324" s="3" t="s">
        <v>373</v>
      </c>
      <c r="K2324" s="10" t="n">
        <v>46275</v>
      </c>
      <c r="L2324" s="3" t="s">
        <v>18</v>
      </c>
      <c r="M2324" s="7" t="n">
        <v>300</v>
      </c>
      <c r="N2324" s="8" t="n">
        <v>0.367</v>
      </c>
      <c r="O2324" s="4" t="n">
        <f aca="false">M2324*N2324</f>
        <v>110.1</v>
      </c>
    </row>
    <row r="2325" customFormat="false" ht="15" hidden="false" customHeight="false" outlineLevel="0" collapsed="false">
      <c r="A2325" s="0" t="s">
        <v>3434</v>
      </c>
      <c r="C2325" s="0" t="s">
        <v>1169</v>
      </c>
      <c r="D2325" s="7" t="n">
        <v>4416</v>
      </c>
      <c r="E2325" s="8" t="n">
        <v>0.025</v>
      </c>
      <c r="F2325" s="4" t="n">
        <f aca="false">D2325*E2325</f>
        <v>110.4</v>
      </c>
      <c r="G2325" s="7" t="n">
        <v>138</v>
      </c>
      <c r="H2325" s="9" t="n">
        <f aca="false">IF(G2325&gt;0,D2325/G2325,"")</f>
        <v>32</v>
      </c>
      <c r="I2325" s="10" t="n">
        <v>46133</v>
      </c>
      <c r="J2325" s="3" t="s">
        <v>2470</v>
      </c>
      <c r="K2325" s="10" t="n">
        <v>45093</v>
      </c>
      <c r="L2325" s="3" t="s">
        <v>21</v>
      </c>
      <c r="M2325" s="7" t="n">
        <v>5000</v>
      </c>
      <c r="N2325" s="8" t="n">
        <v>0.025</v>
      </c>
      <c r="O2325" s="4" t="n">
        <f aca="false">M2325*N2325</f>
        <v>125</v>
      </c>
    </row>
    <row r="2326" customFormat="false" ht="15" hidden="false" customHeight="false" outlineLevel="0" collapsed="false">
      <c r="A2326" s="0" t="s">
        <v>3435</v>
      </c>
      <c r="C2326" s="0" t="s">
        <v>285</v>
      </c>
      <c r="D2326" s="7" t="n">
        <v>1695</v>
      </c>
      <c r="E2326" s="8" t="n">
        <v>0.0649970501474926</v>
      </c>
      <c r="F2326" s="4" t="n">
        <f aca="false">D2326*E2326</f>
        <v>110.17</v>
      </c>
      <c r="G2326" s="7" t="n">
        <v>79</v>
      </c>
      <c r="H2326" s="9" t="n">
        <f aca="false">IF(G2326&gt;0,D2326/G2326,"")</f>
        <v>21.4556962025316</v>
      </c>
      <c r="I2326" s="10" t="n">
        <v>46139</v>
      </c>
      <c r="J2326" s="3" t="s">
        <v>491</v>
      </c>
      <c r="K2326" s="10" t="n">
        <v>45411</v>
      </c>
      <c r="L2326" s="3" t="s">
        <v>15</v>
      </c>
      <c r="M2326" s="7" t="n">
        <v>3080</v>
      </c>
      <c r="N2326" s="8" t="n">
        <v>0.065</v>
      </c>
      <c r="O2326" s="4" t="n">
        <f aca="false">M2326*N2326</f>
        <v>200.2</v>
      </c>
    </row>
    <row r="2327" customFormat="false" ht="15" hidden="false" customHeight="false" outlineLevel="0" collapsed="false">
      <c r="A2327" s="0" t="s">
        <v>3436</v>
      </c>
      <c r="C2327" s="0" t="s">
        <v>2981</v>
      </c>
      <c r="D2327" s="7" t="n">
        <v>491</v>
      </c>
      <c r="E2327" s="8" t="n">
        <v>0.224256619144603</v>
      </c>
      <c r="F2327" s="4" t="n">
        <f aca="false">D2327*E2327</f>
        <v>110.11</v>
      </c>
      <c r="G2327" s="7" t="n">
        <v>60</v>
      </c>
      <c r="H2327" s="9" t="n">
        <f aca="false">IF(G2327&gt;0,D2327/G2327,"")</f>
        <v>8.18333333333333</v>
      </c>
      <c r="I2327" s="10" t="n">
        <v>46226</v>
      </c>
      <c r="J2327" s="3" t="s">
        <v>3437</v>
      </c>
      <c r="K2327" s="10" t="n">
        <v>44278</v>
      </c>
      <c r="L2327" s="3" t="s">
        <v>14</v>
      </c>
      <c r="M2327" s="7" t="n">
        <v>1000</v>
      </c>
      <c r="N2327" s="8" t="n">
        <v>0.22425</v>
      </c>
      <c r="O2327" s="4" t="n">
        <f aca="false">M2327*N2327</f>
        <v>224.25</v>
      </c>
    </row>
    <row r="2328" customFormat="false" ht="15" hidden="false" customHeight="false" outlineLevel="0" collapsed="false">
      <c r="A2328" s="0" t="s">
        <v>3438</v>
      </c>
      <c r="C2328" s="0" t="s">
        <v>41</v>
      </c>
      <c r="D2328" s="7" t="n">
        <v>4746</v>
      </c>
      <c r="E2328" s="8" t="n">
        <v>0.0231689844079225</v>
      </c>
      <c r="F2328" s="4" t="n">
        <f aca="false">D2328*E2328</f>
        <v>109.96</v>
      </c>
      <c r="G2328" s="7" t="n">
        <v>40</v>
      </c>
      <c r="H2328" s="9" t="n">
        <f aca="false">IF(G2328&gt;0,D2328/G2328,"")</f>
        <v>118.65</v>
      </c>
      <c r="I2328" s="10" t="n">
        <v>46097</v>
      </c>
      <c r="J2328" s="3" t="s">
        <v>1915</v>
      </c>
      <c r="K2328" s="10" t="n">
        <v>45736</v>
      </c>
      <c r="L2328" s="3" t="s">
        <v>19</v>
      </c>
      <c r="M2328" s="7" t="n">
        <v>250</v>
      </c>
      <c r="N2328" s="8" t="n">
        <v>0.0738</v>
      </c>
      <c r="O2328" s="4" t="n">
        <f aca="false">M2328*N2328</f>
        <v>18.45</v>
      </c>
    </row>
    <row r="2329" customFormat="false" ht="15" hidden="false" customHeight="false" outlineLevel="0" collapsed="false">
      <c r="A2329" s="0" t="s">
        <v>3439</v>
      </c>
      <c r="C2329" s="0" t="s">
        <v>298</v>
      </c>
      <c r="D2329" s="7" t="n">
        <v>517</v>
      </c>
      <c r="E2329" s="8" t="n">
        <v>0.212379110251451</v>
      </c>
      <c r="F2329" s="4" t="n">
        <f aca="false">D2329*E2329</f>
        <v>109.8</v>
      </c>
      <c r="G2329" s="7" t="n">
        <v>48</v>
      </c>
      <c r="H2329" s="9" t="n">
        <f aca="false">IF(G2329&gt;0,D2329/G2329,"")</f>
        <v>10.7708333333333</v>
      </c>
      <c r="I2329" s="10" t="n">
        <v>46176</v>
      </c>
      <c r="J2329" s="3" t="s">
        <v>3030</v>
      </c>
      <c r="K2329" s="10" t="n">
        <v>46126</v>
      </c>
      <c r="L2329" s="3" t="s">
        <v>14</v>
      </c>
      <c r="M2329" s="7" t="n">
        <v>500</v>
      </c>
      <c r="N2329" s="8" t="n">
        <v>0.2087</v>
      </c>
      <c r="O2329" s="4" t="n">
        <f aca="false">M2329*N2329</f>
        <v>104.35</v>
      </c>
    </row>
    <row r="2330" customFormat="false" ht="15" hidden="false" customHeight="false" outlineLevel="0" collapsed="false">
      <c r="A2330" s="0" t="s">
        <v>3440</v>
      </c>
      <c r="C2330" s="0" t="s">
        <v>285</v>
      </c>
      <c r="D2330" s="7" t="n">
        <v>30922</v>
      </c>
      <c r="E2330" s="8" t="n">
        <v>0.00354989974775241</v>
      </c>
      <c r="F2330" s="4" t="n">
        <f aca="false">D2330*E2330</f>
        <v>109.77</v>
      </c>
      <c r="G2330" s="7" t="n">
        <v>975</v>
      </c>
      <c r="H2330" s="9" t="n">
        <f aca="false">IF(G2330&gt;0,D2330/G2330,"")</f>
        <v>31.7148717948718</v>
      </c>
      <c r="I2330" s="10" t="n">
        <v>46233</v>
      </c>
      <c r="K2330" s="10"/>
      <c r="M2330" s="7"/>
      <c r="N2330" s="8"/>
      <c r="O2330" s="4"/>
    </row>
    <row r="2331" customFormat="false" ht="15" hidden="false" customHeight="false" outlineLevel="0" collapsed="false">
      <c r="A2331" s="0" t="s">
        <v>3441</v>
      </c>
      <c r="C2331" s="0" t="s">
        <v>34</v>
      </c>
      <c r="D2331" s="7" t="n">
        <v>4854</v>
      </c>
      <c r="E2331" s="8" t="n">
        <v>0.0225978574371652</v>
      </c>
      <c r="F2331" s="4" t="n">
        <f aca="false">D2331*E2331</f>
        <v>109.69</v>
      </c>
      <c r="G2331" s="7" t="n">
        <v>194</v>
      </c>
      <c r="H2331" s="9" t="n">
        <f aca="false">IF(G2331&gt;0,D2331/G2331,"")</f>
        <v>25.020618556701</v>
      </c>
      <c r="I2331" s="10" t="n">
        <v>46289</v>
      </c>
      <c r="J2331" s="3" t="s">
        <v>1192</v>
      </c>
      <c r="K2331" s="10" t="n">
        <v>45736</v>
      </c>
      <c r="L2331" s="3" t="s">
        <v>26</v>
      </c>
      <c r="M2331" s="7" t="n">
        <v>200</v>
      </c>
      <c r="N2331" s="8" t="n">
        <v>0.0539</v>
      </c>
      <c r="O2331" s="4" t="n">
        <f aca="false">M2331*N2331</f>
        <v>10.78</v>
      </c>
    </row>
    <row r="2332" customFormat="false" ht="15" hidden="false" customHeight="false" outlineLevel="0" collapsed="false">
      <c r="A2332" s="0" t="s">
        <v>3442</v>
      </c>
      <c r="C2332" s="0" t="s">
        <v>36</v>
      </c>
      <c r="D2332" s="7" t="n">
        <v>5429</v>
      </c>
      <c r="E2332" s="8" t="n">
        <v>0.020200773623135</v>
      </c>
      <c r="F2332" s="4" t="n">
        <f aca="false">D2332*E2332</f>
        <v>109.67</v>
      </c>
      <c r="G2332" s="7" t="n">
        <v>1268</v>
      </c>
      <c r="H2332" s="9" t="n">
        <f aca="false">IF(G2332&gt;0,D2332/G2332,"")</f>
        <v>4.28154574132492</v>
      </c>
      <c r="I2332" s="10" t="n">
        <v>46143</v>
      </c>
      <c r="J2332" s="3" t="s">
        <v>1028</v>
      </c>
      <c r="K2332" s="10" t="n">
        <v>45689</v>
      </c>
      <c r="L2332" s="3" t="s">
        <v>18</v>
      </c>
      <c r="M2332" s="7" t="n">
        <v>5000</v>
      </c>
      <c r="N2332" s="8" t="n">
        <v>0.0202</v>
      </c>
      <c r="O2332" s="4" t="n">
        <f aca="false">M2332*N2332</f>
        <v>101</v>
      </c>
    </row>
    <row r="2333" customFormat="false" ht="15" hidden="false" customHeight="false" outlineLevel="0" collapsed="false">
      <c r="A2333" s="0" t="s">
        <v>3443</v>
      </c>
      <c r="C2333" s="0" t="s">
        <v>38</v>
      </c>
      <c r="D2333" s="7" t="n">
        <v>1848</v>
      </c>
      <c r="E2333" s="8" t="n">
        <v>0.0593344155844156</v>
      </c>
      <c r="F2333" s="4" t="n">
        <f aca="false">D2333*E2333</f>
        <v>109.65</v>
      </c>
      <c r="G2333" s="7" t="n">
        <v>21</v>
      </c>
      <c r="H2333" s="9" t="n">
        <f aca="false">IF(G2333&gt;0,D2333/G2333,"")</f>
        <v>88</v>
      </c>
      <c r="I2333" s="10" t="n">
        <v>46104</v>
      </c>
      <c r="J2333" s="3" t="s">
        <v>3444</v>
      </c>
      <c r="K2333" s="10" t="n">
        <v>45925</v>
      </c>
      <c r="L2333" s="3" t="s">
        <v>18</v>
      </c>
      <c r="M2333" s="7" t="n">
        <v>1700</v>
      </c>
      <c r="N2333" s="8" t="n">
        <v>0.0598</v>
      </c>
      <c r="O2333" s="4" t="n">
        <f aca="false">M2333*N2333</f>
        <v>101.66</v>
      </c>
    </row>
    <row r="2334" customFormat="false" ht="15" hidden="false" customHeight="false" outlineLevel="0" collapsed="false">
      <c r="A2334" s="0" t="s">
        <v>3445</v>
      </c>
      <c r="C2334" s="0" t="s">
        <v>38</v>
      </c>
      <c r="D2334" s="7" t="n">
        <v>449</v>
      </c>
      <c r="E2334" s="8" t="n">
        <v>0.244142538975501</v>
      </c>
      <c r="F2334" s="4" t="n">
        <f aca="false">D2334*E2334</f>
        <v>109.62</v>
      </c>
      <c r="G2334" s="7" t="n">
        <v>350</v>
      </c>
      <c r="H2334" s="9" t="n">
        <f aca="false">IF(G2334&gt;0,D2334/G2334,"")</f>
        <v>1.28285714285714</v>
      </c>
      <c r="I2334" s="10" t="n">
        <v>46265</v>
      </c>
      <c r="J2334" s="3" t="s">
        <v>1211</v>
      </c>
      <c r="K2334" s="10" t="n">
        <v>45750</v>
      </c>
      <c r="L2334" s="3" t="s">
        <v>26</v>
      </c>
      <c r="M2334" s="7" t="n">
        <v>51</v>
      </c>
      <c r="N2334" s="8" t="n">
        <v>0.6929</v>
      </c>
      <c r="O2334" s="4" t="n">
        <f aca="false">M2334*N2334</f>
        <v>35.3379</v>
      </c>
    </row>
    <row r="2335" customFormat="false" ht="15" hidden="false" customHeight="false" outlineLevel="0" collapsed="false">
      <c r="A2335" s="0" t="s">
        <v>3446</v>
      </c>
      <c r="C2335" s="0" t="s">
        <v>33</v>
      </c>
      <c r="D2335" s="7" t="n">
        <v>1741</v>
      </c>
      <c r="E2335" s="8" t="n">
        <v>0.0628029867892016</v>
      </c>
      <c r="F2335" s="4" t="n">
        <f aca="false">D2335*E2335</f>
        <v>109.34</v>
      </c>
      <c r="G2335" s="7" t="n">
        <v>257</v>
      </c>
      <c r="H2335" s="9" t="n">
        <f aca="false">IF(G2335&gt;0,D2335/G2335,"")</f>
        <v>6.77431906614786</v>
      </c>
      <c r="I2335" s="10" t="n">
        <v>46258</v>
      </c>
      <c r="J2335" s="3" t="s">
        <v>2600</v>
      </c>
      <c r="K2335" s="10" t="n">
        <v>45799</v>
      </c>
      <c r="L2335" s="3" t="s">
        <v>14</v>
      </c>
      <c r="M2335" s="7" t="n">
        <v>2310</v>
      </c>
      <c r="N2335" s="8" t="n">
        <v>0.0628008</v>
      </c>
      <c r="O2335" s="4" t="n">
        <f aca="false">M2335*N2335</f>
        <v>145.069848</v>
      </c>
    </row>
    <row r="2336" customFormat="false" ht="15" hidden="false" customHeight="false" outlineLevel="0" collapsed="false">
      <c r="A2336" s="0" t="s">
        <v>3447</v>
      </c>
      <c r="C2336" s="0" t="s">
        <v>41</v>
      </c>
      <c r="D2336" s="7" t="n">
        <v>1945</v>
      </c>
      <c r="E2336" s="8" t="n">
        <v>0.0562005141388175</v>
      </c>
      <c r="F2336" s="4" t="n">
        <f aca="false">D2336*E2336</f>
        <v>109.31</v>
      </c>
      <c r="G2336" s="7" t="n">
        <v>250</v>
      </c>
      <c r="H2336" s="9" t="n">
        <f aca="false">IF(G2336&gt;0,D2336/G2336,"")</f>
        <v>7.78</v>
      </c>
      <c r="I2336" s="10" t="n">
        <v>45996</v>
      </c>
      <c r="J2336" s="3" t="s">
        <v>1219</v>
      </c>
      <c r="K2336" s="10" t="n">
        <v>45287</v>
      </c>
      <c r="L2336" s="3" t="s">
        <v>16</v>
      </c>
      <c r="M2336" s="7" t="n">
        <v>2670</v>
      </c>
      <c r="N2336" s="8" t="n">
        <v>0.0562</v>
      </c>
      <c r="O2336" s="4" t="n">
        <f aca="false">M2336*N2336</f>
        <v>150.054</v>
      </c>
    </row>
    <row r="2337" customFormat="false" ht="15" hidden="false" customHeight="false" outlineLevel="0" collapsed="false">
      <c r="A2337" s="0" t="s">
        <v>3448</v>
      </c>
      <c r="C2337" s="0" t="s">
        <v>38</v>
      </c>
      <c r="D2337" s="7" t="n">
        <v>2306</v>
      </c>
      <c r="E2337" s="8" t="n">
        <v>0.0473330442324371</v>
      </c>
      <c r="F2337" s="4" t="n">
        <f aca="false">D2337*E2337</f>
        <v>109.15</v>
      </c>
      <c r="G2337" s="7" t="n">
        <v>15</v>
      </c>
      <c r="H2337" s="9" t="n">
        <f aca="false">IF(G2337&gt;0,D2337/G2337,"")</f>
        <v>153.733333333333</v>
      </c>
      <c r="I2337" s="10" t="n">
        <v>46062</v>
      </c>
      <c r="J2337" s="3" t="s">
        <v>3444</v>
      </c>
      <c r="K2337" s="10" t="n">
        <v>45925</v>
      </c>
      <c r="L2337" s="3" t="s">
        <v>18</v>
      </c>
      <c r="M2337" s="7" t="n">
        <v>2100</v>
      </c>
      <c r="N2337" s="8" t="n">
        <v>0.0484</v>
      </c>
      <c r="O2337" s="4" t="n">
        <f aca="false">M2337*N2337</f>
        <v>101.64</v>
      </c>
    </row>
    <row r="2338" customFormat="false" ht="15" hidden="false" customHeight="false" outlineLevel="0" collapsed="false">
      <c r="A2338" s="0" t="s">
        <v>3449</v>
      </c>
      <c r="C2338" s="0" t="s">
        <v>1802</v>
      </c>
      <c r="D2338" s="7" t="n">
        <v>74</v>
      </c>
      <c r="E2338" s="8" t="n">
        <v>1.4745945945946</v>
      </c>
      <c r="F2338" s="4" t="n">
        <f aca="false">D2338*E2338</f>
        <v>109.12</v>
      </c>
      <c r="G2338" s="7" t="n">
        <v>36</v>
      </c>
      <c r="H2338" s="9" t="n">
        <f aca="false">IF(G2338&gt;0,D2338/G2338,"")</f>
        <v>2.05555555555556</v>
      </c>
      <c r="I2338" s="10" t="n">
        <v>46226</v>
      </c>
      <c r="J2338" s="3" t="s">
        <v>1196</v>
      </c>
      <c r="K2338" s="10" t="n">
        <v>45940</v>
      </c>
      <c r="L2338" s="3" t="s">
        <v>14</v>
      </c>
      <c r="M2338" s="7" t="n">
        <v>110</v>
      </c>
      <c r="N2338" s="8" t="n">
        <v>1.4745</v>
      </c>
      <c r="O2338" s="4" t="n">
        <f aca="false">M2338*N2338</f>
        <v>162.195</v>
      </c>
    </row>
    <row r="2339" customFormat="false" ht="15" hidden="false" customHeight="false" outlineLevel="0" collapsed="false">
      <c r="A2339" s="0" t="s">
        <v>3450</v>
      </c>
      <c r="C2339" s="0" t="s">
        <v>855</v>
      </c>
      <c r="D2339" s="7" t="n">
        <v>12533</v>
      </c>
      <c r="E2339" s="8" t="n">
        <v>0.00870023138913269</v>
      </c>
      <c r="F2339" s="4" t="n">
        <f aca="false">D2339*E2339</f>
        <v>109.04</v>
      </c>
      <c r="G2339" s="7" t="n">
        <v>281</v>
      </c>
      <c r="H2339" s="9" t="n">
        <f aca="false">IF(G2339&gt;0,D2339/G2339,"")</f>
        <v>44.6014234875445</v>
      </c>
      <c r="I2339" s="10" t="n">
        <v>46288</v>
      </c>
      <c r="J2339" s="3" t="s">
        <v>3451</v>
      </c>
      <c r="K2339" s="10" t="n">
        <v>44252</v>
      </c>
      <c r="L2339" s="3" t="s">
        <v>19</v>
      </c>
      <c r="M2339" s="7" t="n">
        <v>25000</v>
      </c>
      <c r="N2339" s="8" t="n">
        <v>0.0087</v>
      </c>
      <c r="O2339" s="4" t="n">
        <f aca="false">M2339*N2339</f>
        <v>217.5</v>
      </c>
    </row>
    <row r="2340" customFormat="false" ht="15" hidden="false" customHeight="false" outlineLevel="0" collapsed="false">
      <c r="A2340" s="0" t="s">
        <v>3452</v>
      </c>
      <c r="C2340" s="0" t="s">
        <v>31</v>
      </c>
      <c r="D2340" s="7" t="n">
        <v>2869</v>
      </c>
      <c r="E2340" s="8" t="n">
        <v>0.0379993028929941</v>
      </c>
      <c r="F2340" s="4" t="n">
        <f aca="false">D2340*E2340</f>
        <v>109.02</v>
      </c>
      <c r="G2340" s="7" t="n">
        <v>131</v>
      </c>
      <c r="H2340" s="9" t="n">
        <f aca="false">IF(G2340&gt;0,D2340/G2340,"")</f>
        <v>21.9007633587786</v>
      </c>
      <c r="I2340" s="10" t="n">
        <v>46220</v>
      </c>
      <c r="J2340" s="3" t="s">
        <v>1211</v>
      </c>
      <c r="K2340" s="10" t="n">
        <v>45750</v>
      </c>
      <c r="L2340" s="3" t="s">
        <v>26</v>
      </c>
      <c r="M2340" s="7" t="n">
        <v>309</v>
      </c>
      <c r="N2340" s="8" t="n">
        <v>0.0941</v>
      </c>
      <c r="O2340" s="4" t="n">
        <f aca="false">M2340*N2340</f>
        <v>29.0769</v>
      </c>
    </row>
    <row r="2341" customFormat="false" ht="15" hidden="false" customHeight="false" outlineLevel="0" collapsed="false">
      <c r="A2341" s="0" t="s">
        <v>3453</v>
      </c>
      <c r="C2341" s="0" t="s">
        <v>42</v>
      </c>
      <c r="D2341" s="7" t="n">
        <v>77</v>
      </c>
      <c r="E2341" s="8" t="n">
        <v>1.41558441558442</v>
      </c>
      <c r="F2341" s="4" t="n">
        <f aca="false">D2341*E2341</f>
        <v>109</v>
      </c>
      <c r="G2341" s="7" t="n">
        <v>8</v>
      </c>
      <c r="H2341" s="9" t="n">
        <f aca="false">IF(G2341&gt;0,D2341/G2341,"")</f>
        <v>9.625</v>
      </c>
      <c r="I2341" s="10" t="n">
        <v>46202</v>
      </c>
      <c r="K2341" s="10"/>
      <c r="M2341" s="7"/>
      <c r="N2341" s="8"/>
      <c r="O2341" s="4"/>
    </row>
    <row r="2342" customFormat="false" ht="15" hidden="false" customHeight="false" outlineLevel="0" collapsed="false">
      <c r="A2342" s="0" t="s">
        <v>3454</v>
      </c>
      <c r="C2342" s="0" t="s">
        <v>36</v>
      </c>
      <c r="D2342" s="7" t="n">
        <v>2547</v>
      </c>
      <c r="E2342" s="8" t="n">
        <v>0.0427758146839419</v>
      </c>
      <c r="F2342" s="4" t="n">
        <f aca="false">D2342*E2342</f>
        <v>108.95</v>
      </c>
      <c r="G2342" s="7" t="n">
        <v>180</v>
      </c>
      <c r="H2342" s="9" t="n">
        <f aca="false">IF(G2342&gt;0,D2342/G2342,"")</f>
        <v>14.15</v>
      </c>
      <c r="I2342" s="10" t="n">
        <v>45987</v>
      </c>
      <c r="J2342" s="3" t="s">
        <v>2509</v>
      </c>
      <c r="K2342" s="10" t="n">
        <v>44988</v>
      </c>
      <c r="L2342" s="3" t="s">
        <v>19</v>
      </c>
      <c r="M2342" s="7" t="n">
        <v>1812</v>
      </c>
      <c r="N2342" s="8" t="n">
        <v>0.0334</v>
      </c>
      <c r="O2342" s="4" t="n">
        <f aca="false">M2342*N2342</f>
        <v>60.5208</v>
      </c>
    </row>
    <row r="2343" customFormat="false" ht="15" hidden="false" customHeight="false" outlineLevel="0" collapsed="false">
      <c r="A2343" s="0" t="s">
        <v>3455</v>
      </c>
      <c r="C2343" s="0" t="s">
        <v>31</v>
      </c>
      <c r="D2343" s="7" t="n">
        <v>4999</v>
      </c>
      <c r="E2343" s="8" t="n">
        <v>0.0217943588717744</v>
      </c>
      <c r="F2343" s="4" t="n">
        <f aca="false">D2343*E2343</f>
        <v>108.95</v>
      </c>
      <c r="G2343" s="7" t="n">
        <v>52</v>
      </c>
      <c r="H2343" s="9" t="n">
        <f aca="false">IF(G2343&gt;0,D2343/G2343,"")</f>
        <v>96.1346153846154</v>
      </c>
      <c r="I2343" s="10" t="n">
        <v>46160</v>
      </c>
      <c r="K2343" s="10"/>
      <c r="M2343" s="7"/>
      <c r="N2343" s="8"/>
      <c r="O2343" s="4"/>
    </row>
    <row r="2344" customFormat="false" ht="15" hidden="false" customHeight="false" outlineLevel="0" collapsed="false">
      <c r="A2344" s="0" t="s">
        <v>3456</v>
      </c>
      <c r="C2344" s="0" t="s">
        <v>35</v>
      </c>
      <c r="D2344" s="7" t="n">
        <v>88</v>
      </c>
      <c r="E2344" s="8" t="n">
        <v>1.23693181818182</v>
      </c>
      <c r="F2344" s="4" t="n">
        <f aca="false">D2344*E2344</f>
        <v>108.85</v>
      </c>
      <c r="G2344" s="7" t="n">
        <v>1</v>
      </c>
      <c r="H2344" s="9" t="n">
        <f aca="false">IF(G2344&gt;0,D2344/G2344,"")</f>
        <v>88</v>
      </c>
      <c r="I2344" s="10" t="n">
        <v>45981</v>
      </c>
      <c r="J2344" s="3" t="s">
        <v>1450</v>
      </c>
      <c r="K2344" s="10" t="n">
        <v>45341</v>
      </c>
      <c r="L2344" s="3" t="s">
        <v>20</v>
      </c>
      <c r="M2344" s="7" t="n">
        <v>250</v>
      </c>
      <c r="N2344" s="8" t="n">
        <v>1.237</v>
      </c>
      <c r="O2344" s="4" t="n">
        <f aca="false">M2344*N2344</f>
        <v>309.25</v>
      </c>
    </row>
    <row r="2345" customFormat="false" ht="15" hidden="false" customHeight="false" outlineLevel="0" collapsed="false">
      <c r="A2345" s="0" t="s">
        <v>3457</v>
      </c>
      <c r="C2345" s="0" t="s">
        <v>370</v>
      </c>
      <c r="D2345" s="7" t="n">
        <v>1007</v>
      </c>
      <c r="E2345" s="8" t="n">
        <v>0.108003972194638</v>
      </c>
      <c r="F2345" s="4" t="n">
        <f aca="false">D2345*E2345</f>
        <v>108.76</v>
      </c>
      <c r="G2345" s="7" t="n">
        <v>500</v>
      </c>
      <c r="H2345" s="9" t="n">
        <f aca="false">IF(G2345&gt;0,D2345/G2345,"")</f>
        <v>2.014</v>
      </c>
      <c r="I2345" s="10" t="n">
        <v>45979</v>
      </c>
      <c r="J2345" s="3" t="s">
        <v>3458</v>
      </c>
      <c r="K2345" s="10" t="n">
        <v>45971</v>
      </c>
      <c r="L2345" s="3" t="s">
        <v>2203</v>
      </c>
      <c r="M2345" s="7" t="n">
        <v>500</v>
      </c>
      <c r="N2345" s="8" t="n">
        <v>0.2812</v>
      </c>
      <c r="O2345" s="4" t="n">
        <f aca="false">M2345*N2345</f>
        <v>140.6</v>
      </c>
    </row>
    <row r="2346" customFormat="false" ht="15" hidden="false" customHeight="false" outlineLevel="0" collapsed="false">
      <c r="A2346" s="0" t="s">
        <v>3459</v>
      </c>
      <c r="C2346" s="0" t="s">
        <v>34</v>
      </c>
      <c r="D2346" s="7" t="n">
        <v>254</v>
      </c>
      <c r="E2346" s="8" t="n">
        <v>0.427952755905512</v>
      </c>
      <c r="F2346" s="4" t="n">
        <f aca="false">D2346*E2346</f>
        <v>108.7</v>
      </c>
      <c r="G2346" s="7" t="n">
        <v>5</v>
      </c>
      <c r="H2346" s="9" t="n">
        <f aca="false">IF(G2346&gt;0,D2346/G2346,"")</f>
        <v>50.8</v>
      </c>
      <c r="I2346" s="10" t="n">
        <v>46143</v>
      </c>
      <c r="J2346" s="3" t="s">
        <v>3460</v>
      </c>
      <c r="K2346" s="10" t="n">
        <v>44788</v>
      </c>
      <c r="L2346" s="3" t="s">
        <v>14</v>
      </c>
      <c r="M2346" s="7" t="n">
        <v>327</v>
      </c>
      <c r="N2346" s="8" t="n">
        <v>0</v>
      </c>
      <c r="O2346" s="4" t="n">
        <v>140.0822</v>
      </c>
    </row>
    <row r="2347" customFormat="false" ht="15" hidden="false" customHeight="false" outlineLevel="0" collapsed="false">
      <c r="A2347" s="0" t="s">
        <v>3461</v>
      </c>
      <c r="C2347" s="0" t="s">
        <v>31</v>
      </c>
      <c r="D2347" s="7" t="n">
        <v>1829</v>
      </c>
      <c r="E2347" s="8" t="n">
        <v>0.0593931109896118</v>
      </c>
      <c r="F2347" s="4" t="n">
        <f aca="false">D2347*E2347</f>
        <v>108.63</v>
      </c>
      <c r="G2347" s="7" t="n">
        <v>8</v>
      </c>
      <c r="H2347" s="9" t="n">
        <f aca="false">IF(G2347&gt;0,D2347/G2347,"")</f>
        <v>228.625</v>
      </c>
      <c r="I2347" s="10" t="n">
        <v>46008</v>
      </c>
      <c r="K2347" s="10"/>
      <c r="M2347" s="7"/>
      <c r="N2347" s="8"/>
      <c r="O2347" s="4"/>
    </row>
    <row r="2348" customFormat="false" ht="15" hidden="false" customHeight="false" outlineLevel="0" collapsed="false">
      <c r="A2348" s="0" t="s">
        <v>3462</v>
      </c>
      <c r="C2348" s="0" t="s">
        <v>3463</v>
      </c>
      <c r="D2348" s="7" t="n">
        <v>645</v>
      </c>
      <c r="E2348" s="8" t="n">
        <v>0.168403100775194</v>
      </c>
      <c r="F2348" s="4" t="n">
        <f aca="false">D2348*E2348</f>
        <v>108.62</v>
      </c>
      <c r="G2348" s="7" t="n">
        <v>5</v>
      </c>
      <c r="H2348" s="9" t="n">
        <f aca="false">IF(G2348&gt;0,D2348/G2348,"")</f>
        <v>129</v>
      </c>
      <c r="I2348" s="10" t="n">
        <v>46219</v>
      </c>
      <c r="J2348" s="3" t="s">
        <v>3464</v>
      </c>
      <c r="K2348" s="10" t="n">
        <v>45903</v>
      </c>
      <c r="L2348" s="3" t="s">
        <v>19</v>
      </c>
      <c r="M2348" s="7" t="n">
        <v>10</v>
      </c>
      <c r="N2348" s="8" t="n">
        <v>1.5</v>
      </c>
      <c r="O2348" s="4" t="n">
        <f aca="false">M2348*N2348</f>
        <v>15</v>
      </c>
    </row>
    <row r="2349" customFormat="false" ht="15" hidden="false" customHeight="false" outlineLevel="0" collapsed="false">
      <c r="A2349" s="0" t="s">
        <v>3465</v>
      </c>
      <c r="C2349" s="0" t="s">
        <v>61</v>
      </c>
      <c r="D2349" s="7" t="n">
        <v>76</v>
      </c>
      <c r="E2349" s="8" t="n">
        <v>1.42842105263158</v>
      </c>
      <c r="F2349" s="4" t="n">
        <f aca="false">D2349*E2349</f>
        <v>108.56</v>
      </c>
      <c r="G2349" s="7" t="n">
        <v>9</v>
      </c>
      <c r="H2349" s="9" t="n">
        <f aca="false">IF(G2349&gt;0,D2349/G2349,"")</f>
        <v>8.44444444444445</v>
      </c>
      <c r="I2349" s="10" t="n">
        <v>46071</v>
      </c>
      <c r="K2349" s="10"/>
      <c r="M2349" s="7"/>
      <c r="N2349" s="8"/>
      <c r="O2349" s="4"/>
    </row>
    <row r="2350" customFormat="false" ht="15" hidden="false" customHeight="false" outlineLevel="0" collapsed="false">
      <c r="A2350" s="0" t="s">
        <v>3466</v>
      </c>
      <c r="C2350" s="0" t="s">
        <v>1169</v>
      </c>
      <c r="D2350" s="7" t="n">
        <v>2359</v>
      </c>
      <c r="E2350" s="8" t="n">
        <v>0.0459983043662569</v>
      </c>
      <c r="F2350" s="4" t="n">
        <f aca="false">D2350*E2350</f>
        <v>108.51</v>
      </c>
      <c r="G2350" s="7" t="n">
        <v>110</v>
      </c>
      <c r="H2350" s="9" t="n">
        <f aca="false">IF(G2350&gt;0,D2350/G2350,"")</f>
        <v>21.4454545454545</v>
      </c>
      <c r="I2350" s="10" t="n">
        <v>46293</v>
      </c>
      <c r="J2350" s="3" t="s">
        <v>2470</v>
      </c>
      <c r="K2350" s="10" t="n">
        <v>45093</v>
      </c>
      <c r="L2350" s="3" t="s">
        <v>21</v>
      </c>
      <c r="M2350" s="7" t="n">
        <v>3000</v>
      </c>
      <c r="N2350" s="8" t="n">
        <v>0.046</v>
      </c>
      <c r="O2350" s="4" t="n">
        <f aca="false">M2350*N2350</f>
        <v>138</v>
      </c>
    </row>
    <row r="2351" customFormat="false" ht="15" hidden="false" customHeight="false" outlineLevel="0" collapsed="false">
      <c r="A2351" s="0" t="s">
        <v>3467</v>
      </c>
      <c r="C2351" s="0" t="s">
        <v>118</v>
      </c>
      <c r="D2351" s="7" t="n">
        <v>94</v>
      </c>
      <c r="E2351" s="8" t="n">
        <v>1.15382978723404</v>
      </c>
      <c r="F2351" s="4" t="n">
        <f aca="false">D2351*E2351</f>
        <v>108.46</v>
      </c>
      <c r="G2351" s="7" t="n">
        <v>2</v>
      </c>
      <c r="H2351" s="9" t="n">
        <f aca="false">IF(G2351&gt;0,D2351/G2351,"")</f>
        <v>47</v>
      </c>
      <c r="I2351" s="10" t="n">
        <v>45974</v>
      </c>
      <c r="J2351" s="3" t="s">
        <v>3468</v>
      </c>
      <c r="K2351" s="10" t="n">
        <v>45357</v>
      </c>
      <c r="L2351" s="3" t="s">
        <v>14</v>
      </c>
      <c r="M2351" s="7" t="n">
        <v>100</v>
      </c>
      <c r="N2351" s="8" t="n">
        <v>1.1539</v>
      </c>
      <c r="O2351" s="4" t="n">
        <f aca="false">M2351*N2351</f>
        <v>115.39</v>
      </c>
    </row>
    <row r="2352" customFormat="false" ht="15" hidden="false" customHeight="false" outlineLevel="0" collapsed="false">
      <c r="A2352" s="0" t="s">
        <v>3469</v>
      </c>
      <c r="C2352" s="0" t="s">
        <v>340</v>
      </c>
      <c r="D2352" s="7" t="n">
        <v>9430</v>
      </c>
      <c r="E2352" s="8" t="n">
        <v>0.0114994697773065</v>
      </c>
      <c r="F2352" s="4" t="n">
        <f aca="false">D2352*E2352</f>
        <v>108.44</v>
      </c>
      <c r="G2352" s="7" t="n">
        <v>26</v>
      </c>
      <c r="H2352" s="9" t="n">
        <f aca="false">IF(G2352&gt;0,D2352/G2352,"")</f>
        <v>362.692307692308</v>
      </c>
      <c r="I2352" s="10" t="n">
        <v>46178</v>
      </c>
      <c r="J2352" s="3" t="s">
        <v>523</v>
      </c>
      <c r="K2352" s="10" t="n">
        <v>46148</v>
      </c>
      <c r="L2352" s="3" t="s">
        <v>16</v>
      </c>
      <c r="M2352" s="7" t="n">
        <v>9456</v>
      </c>
      <c r="N2352" s="8" t="n">
        <v>0.0115</v>
      </c>
      <c r="O2352" s="4" t="n">
        <f aca="false">M2352*N2352</f>
        <v>108.744</v>
      </c>
    </row>
    <row r="2353" customFormat="false" ht="15" hidden="false" customHeight="false" outlineLevel="0" collapsed="false">
      <c r="A2353" s="0" t="s">
        <v>3470</v>
      </c>
      <c r="C2353" s="0" t="s">
        <v>32</v>
      </c>
      <c r="D2353" s="7" t="n">
        <v>19036</v>
      </c>
      <c r="E2353" s="8" t="n">
        <v>0.00569342298802269</v>
      </c>
      <c r="F2353" s="4" t="n">
        <f aca="false">D2353*E2353</f>
        <v>108.38</v>
      </c>
      <c r="G2353" s="7" t="n">
        <v>18375</v>
      </c>
      <c r="H2353" s="9" t="n">
        <f aca="false">IF(G2353&gt;0,D2353/G2353,"")</f>
        <v>1.03597278911565</v>
      </c>
      <c r="I2353" s="10" t="n">
        <v>46314</v>
      </c>
      <c r="J2353" s="3" t="s">
        <v>336</v>
      </c>
      <c r="K2353" s="10" t="n">
        <v>46245</v>
      </c>
      <c r="L2353" s="3" t="s">
        <v>14</v>
      </c>
      <c r="M2353" s="7" t="n">
        <v>20000</v>
      </c>
      <c r="N2353" s="8" t="n">
        <v>0.0056</v>
      </c>
      <c r="O2353" s="4" t="n">
        <f aca="false">M2353*N2353</f>
        <v>112</v>
      </c>
    </row>
    <row r="2354" customFormat="false" ht="15" hidden="false" customHeight="false" outlineLevel="0" collapsed="false">
      <c r="A2354" s="0" t="s">
        <v>3471</v>
      </c>
      <c r="C2354" s="0" t="s">
        <v>807</v>
      </c>
      <c r="D2354" s="7" t="n">
        <v>11</v>
      </c>
      <c r="E2354" s="8" t="n">
        <v>9.85</v>
      </c>
      <c r="F2354" s="4" t="n">
        <f aca="false">D2354*E2354</f>
        <v>108.35</v>
      </c>
      <c r="G2354" s="7" t="n">
        <v>10</v>
      </c>
      <c r="H2354" s="9" t="n">
        <f aca="false">IF(G2354&gt;0,D2354/G2354,"")</f>
        <v>1.1</v>
      </c>
      <c r="I2354" s="10" t="n">
        <v>46304</v>
      </c>
      <c r="J2354" s="3" t="s">
        <v>1115</v>
      </c>
      <c r="K2354" s="10" t="n">
        <v>46295</v>
      </c>
      <c r="L2354" s="3" t="s">
        <v>145</v>
      </c>
      <c r="M2354" s="7" t="n">
        <v>21</v>
      </c>
      <c r="N2354" s="8" t="n">
        <v>9.85</v>
      </c>
      <c r="O2354" s="4" t="n">
        <f aca="false">M2354*N2354</f>
        <v>206.85</v>
      </c>
    </row>
    <row r="2355" customFormat="false" ht="15" hidden="false" customHeight="false" outlineLevel="0" collapsed="false">
      <c r="A2355" s="0" t="s">
        <v>3472</v>
      </c>
      <c r="C2355" s="0" t="s">
        <v>34</v>
      </c>
      <c r="D2355" s="7" t="n">
        <v>428</v>
      </c>
      <c r="E2355" s="8" t="n">
        <v>0.253084112149533</v>
      </c>
      <c r="F2355" s="4" t="n">
        <f aca="false">D2355*E2355</f>
        <v>108.32</v>
      </c>
      <c r="G2355" s="7" t="n">
        <v>39</v>
      </c>
      <c r="H2355" s="9" t="n">
        <f aca="false">IF(G2355&gt;0,D2355/G2355,"")</f>
        <v>10.974358974359</v>
      </c>
      <c r="I2355" s="10" t="n">
        <v>46259</v>
      </c>
      <c r="K2355" s="10"/>
      <c r="M2355" s="7"/>
      <c r="N2355" s="8"/>
      <c r="O2355" s="4"/>
    </row>
    <row r="2356" customFormat="false" ht="15" hidden="false" customHeight="false" outlineLevel="0" collapsed="false">
      <c r="A2356" s="0" t="s">
        <v>3473</v>
      </c>
      <c r="C2356" s="0" t="s">
        <v>402</v>
      </c>
      <c r="D2356" s="7" t="n">
        <v>38</v>
      </c>
      <c r="E2356" s="8" t="n">
        <v>2.85</v>
      </c>
      <c r="F2356" s="4" t="n">
        <f aca="false">D2356*E2356</f>
        <v>108.3</v>
      </c>
      <c r="G2356" s="7" t="n">
        <v>2</v>
      </c>
      <c r="H2356" s="9" t="n">
        <f aca="false">IF(G2356&gt;0,D2356/G2356,"")</f>
        <v>19</v>
      </c>
      <c r="I2356" s="10" t="n">
        <v>46233</v>
      </c>
      <c r="J2356" s="3" t="s">
        <v>3474</v>
      </c>
      <c r="K2356" s="10" t="n">
        <v>44873</v>
      </c>
      <c r="L2356" s="3" t="s">
        <v>1103</v>
      </c>
      <c r="M2356" s="7" t="n">
        <v>50</v>
      </c>
      <c r="N2356" s="8" t="n">
        <v>2.85</v>
      </c>
      <c r="O2356" s="4" t="n">
        <f aca="false">M2356*N2356</f>
        <v>142.5</v>
      </c>
    </row>
    <row r="2357" customFormat="false" ht="15" hidden="false" customHeight="false" outlineLevel="0" collapsed="false">
      <c r="A2357" s="0" t="s">
        <v>3475</v>
      </c>
      <c r="C2357" s="0" t="s">
        <v>340</v>
      </c>
      <c r="D2357" s="7" t="n">
        <v>5760</v>
      </c>
      <c r="E2357" s="8" t="n">
        <v>0.0187986111111111</v>
      </c>
      <c r="F2357" s="4" t="n">
        <f aca="false">D2357*E2357</f>
        <v>108.28</v>
      </c>
      <c r="G2357" s="7" t="n">
        <v>2856</v>
      </c>
      <c r="H2357" s="9" t="n">
        <f aca="false">IF(G2357&gt;0,D2357/G2357,"")</f>
        <v>2.01680672268908</v>
      </c>
      <c r="I2357" s="10" t="n">
        <v>46098</v>
      </c>
      <c r="J2357" s="3" t="s">
        <v>296</v>
      </c>
      <c r="K2357" s="10" t="n">
        <v>45975</v>
      </c>
      <c r="L2357" s="3" t="s">
        <v>16</v>
      </c>
      <c r="M2357" s="7" t="n">
        <v>8616</v>
      </c>
      <c r="N2357" s="8" t="n">
        <v>0.0188</v>
      </c>
      <c r="O2357" s="4" t="n">
        <f aca="false">M2357*N2357</f>
        <v>161.9808</v>
      </c>
    </row>
    <row r="2358" customFormat="false" ht="15" hidden="false" customHeight="false" outlineLevel="0" collapsed="false">
      <c r="A2358" s="0" t="s">
        <v>3476</v>
      </c>
      <c r="C2358" s="0" t="s">
        <v>34</v>
      </c>
      <c r="D2358" s="7" t="n">
        <v>4070</v>
      </c>
      <c r="E2358" s="8" t="n">
        <v>0.0265945945945946</v>
      </c>
      <c r="F2358" s="4" t="n">
        <f aca="false">D2358*E2358</f>
        <v>108.24</v>
      </c>
      <c r="G2358" s="7" t="n">
        <v>50</v>
      </c>
      <c r="H2358" s="9" t="n">
        <f aca="false">IF(G2358&gt;0,D2358/G2358,"")</f>
        <v>81.4</v>
      </c>
      <c r="I2358" s="10" t="n">
        <v>46301</v>
      </c>
      <c r="K2358" s="10"/>
      <c r="M2358" s="7"/>
      <c r="N2358" s="8"/>
      <c r="O2358" s="4"/>
    </row>
    <row r="2359" customFormat="false" ht="15" hidden="false" customHeight="false" outlineLevel="0" collapsed="false">
      <c r="A2359" s="0" t="s">
        <v>3477</v>
      </c>
      <c r="C2359" s="0" t="s">
        <v>36</v>
      </c>
      <c r="D2359" s="7" t="n">
        <v>349</v>
      </c>
      <c r="E2359" s="8" t="n">
        <v>0.310085959885387</v>
      </c>
      <c r="F2359" s="4" t="n">
        <f aca="false">D2359*E2359</f>
        <v>108.22</v>
      </c>
      <c r="G2359" s="7" t="n">
        <v>162</v>
      </c>
      <c r="H2359" s="9" t="n">
        <f aca="false">IF(G2359&gt;0,D2359/G2359,"")</f>
        <v>2.15432098765432</v>
      </c>
      <c r="I2359" s="10" t="n">
        <v>46274</v>
      </c>
      <c r="J2359" s="3" t="s">
        <v>3478</v>
      </c>
      <c r="K2359" s="10" t="n">
        <v>46122</v>
      </c>
      <c r="L2359" s="3" t="s">
        <v>18</v>
      </c>
      <c r="M2359" s="7" t="n">
        <v>346</v>
      </c>
      <c r="N2359" s="8" t="n">
        <v>0.3101</v>
      </c>
      <c r="O2359" s="4" t="n">
        <f aca="false">M2359*N2359</f>
        <v>107.2946</v>
      </c>
    </row>
    <row r="2360" customFormat="false" ht="15" hidden="false" customHeight="false" outlineLevel="0" collapsed="false">
      <c r="A2360" s="0" t="s">
        <v>3479</v>
      </c>
      <c r="C2360" s="0" t="s">
        <v>438</v>
      </c>
      <c r="D2360" s="7" t="n">
        <v>16</v>
      </c>
      <c r="E2360" s="8" t="n">
        <v>6.758125</v>
      </c>
      <c r="F2360" s="4" t="n">
        <f aca="false">D2360*E2360</f>
        <v>108.13</v>
      </c>
      <c r="G2360" s="7" t="n">
        <v>1</v>
      </c>
      <c r="H2360" s="9" t="n">
        <f aca="false">IF(G2360&gt;0,D2360/G2360,"")</f>
        <v>16</v>
      </c>
      <c r="I2360" s="10" t="n">
        <v>46034</v>
      </c>
      <c r="J2360" s="3" t="s">
        <v>3480</v>
      </c>
      <c r="K2360" s="10" t="n">
        <v>45449</v>
      </c>
      <c r="L2360" s="3" t="s">
        <v>14</v>
      </c>
      <c r="M2360" s="7" t="n">
        <v>20</v>
      </c>
      <c r="N2360" s="8" t="n">
        <v>6.758</v>
      </c>
      <c r="O2360" s="4" t="n">
        <f aca="false">M2360*N2360</f>
        <v>135.16</v>
      </c>
    </row>
    <row r="2361" customFormat="false" ht="15" hidden="false" customHeight="false" outlineLevel="0" collapsed="false">
      <c r="A2361" s="0" t="s">
        <v>3481</v>
      </c>
      <c r="C2361" s="0" t="s">
        <v>765</v>
      </c>
      <c r="D2361" s="7" t="n">
        <v>3240</v>
      </c>
      <c r="E2361" s="8" t="n">
        <v>0.0333549382716049</v>
      </c>
      <c r="F2361" s="4" t="n">
        <f aca="false">D2361*E2361</f>
        <v>108.07</v>
      </c>
      <c r="G2361" s="7" t="n">
        <v>8</v>
      </c>
      <c r="H2361" s="9" t="n">
        <f aca="false">IF(G2361&gt;0,D2361/G2361,"")</f>
        <v>405</v>
      </c>
      <c r="I2361" s="10" t="n">
        <v>45987</v>
      </c>
      <c r="J2361" s="3" t="s">
        <v>3048</v>
      </c>
      <c r="K2361" s="10" t="n">
        <v>44333</v>
      </c>
      <c r="L2361" s="3" t="s">
        <v>16</v>
      </c>
      <c r="M2361" s="7" t="n">
        <v>3200</v>
      </c>
      <c r="N2361" s="8" t="n">
        <v>0.032</v>
      </c>
      <c r="O2361" s="4" t="n">
        <f aca="false">M2361*N2361</f>
        <v>102.4</v>
      </c>
    </row>
    <row r="2362" customFormat="false" ht="15" hidden="false" customHeight="false" outlineLevel="0" collapsed="false">
      <c r="A2362" s="0" t="s">
        <v>3482</v>
      </c>
      <c r="C2362" s="0" t="s">
        <v>39</v>
      </c>
      <c r="D2362" s="7" t="n">
        <v>1282</v>
      </c>
      <c r="E2362" s="8" t="n">
        <v>0.0842355694227769</v>
      </c>
      <c r="F2362" s="4" t="n">
        <f aca="false">D2362*E2362</f>
        <v>107.99</v>
      </c>
      <c r="G2362" s="7" t="n">
        <v>491</v>
      </c>
      <c r="H2362" s="9" t="n">
        <f aca="false">IF(G2362&gt;0,D2362/G2362,"")</f>
        <v>2.61099796334012</v>
      </c>
      <c r="I2362" s="10" t="n">
        <v>46183</v>
      </c>
      <c r="J2362" s="3" t="s">
        <v>1326</v>
      </c>
      <c r="K2362" s="10" t="n">
        <v>46177</v>
      </c>
      <c r="L2362" s="3" t="s">
        <v>18</v>
      </c>
      <c r="M2362" s="7" t="n">
        <v>1000</v>
      </c>
      <c r="N2362" s="8" t="n">
        <v>0.0862</v>
      </c>
      <c r="O2362" s="4" t="n">
        <f aca="false">M2362*N2362</f>
        <v>86.2</v>
      </c>
    </row>
    <row r="2363" customFormat="false" ht="15" hidden="false" customHeight="false" outlineLevel="0" collapsed="false">
      <c r="A2363" s="0" t="s">
        <v>3483</v>
      </c>
      <c r="C2363" s="0" t="s">
        <v>1010</v>
      </c>
      <c r="D2363" s="7" t="n">
        <v>1134</v>
      </c>
      <c r="E2363" s="8" t="n">
        <v>0.0951940035273369</v>
      </c>
      <c r="F2363" s="4" t="n">
        <f aca="false">D2363*E2363</f>
        <v>107.95</v>
      </c>
      <c r="G2363" s="7" t="n">
        <v>20</v>
      </c>
      <c r="H2363" s="9" t="n">
        <f aca="false">IF(G2363&gt;0,D2363/G2363,"")</f>
        <v>56.7</v>
      </c>
      <c r="I2363" s="10" t="n">
        <v>46111</v>
      </c>
      <c r="J2363" s="3" t="s">
        <v>3484</v>
      </c>
      <c r="K2363" s="10" t="n">
        <v>44743</v>
      </c>
      <c r="L2363" s="3" t="s">
        <v>16</v>
      </c>
      <c r="M2363" s="7" t="n">
        <v>1418</v>
      </c>
      <c r="N2363" s="8" t="n">
        <v>0.0963</v>
      </c>
      <c r="O2363" s="4" t="n">
        <v>135.3015</v>
      </c>
    </row>
    <row r="2364" customFormat="false" ht="15" hidden="false" customHeight="false" outlineLevel="0" collapsed="false">
      <c r="A2364" s="0" t="s">
        <v>3485</v>
      </c>
      <c r="C2364" s="0" t="s">
        <v>497</v>
      </c>
      <c r="D2364" s="7" t="n">
        <v>695</v>
      </c>
      <c r="E2364" s="8" t="n">
        <v>0.155309352517986</v>
      </c>
      <c r="F2364" s="4" t="n">
        <f aca="false">D2364*E2364</f>
        <v>107.94</v>
      </c>
      <c r="G2364" s="7" t="n">
        <v>29</v>
      </c>
      <c r="H2364" s="9" t="n">
        <f aca="false">IF(G2364&gt;0,D2364/G2364,"")</f>
        <v>23.9655172413793</v>
      </c>
      <c r="I2364" s="10" t="n">
        <v>46245</v>
      </c>
      <c r="J2364" s="3" t="s">
        <v>1547</v>
      </c>
      <c r="K2364" s="10" t="n">
        <v>45056</v>
      </c>
      <c r="L2364" s="3" t="s">
        <v>14</v>
      </c>
      <c r="M2364" s="7" t="n">
        <v>1000</v>
      </c>
      <c r="N2364" s="8" t="n">
        <v>0.1553</v>
      </c>
      <c r="O2364" s="4" t="n">
        <f aca="false">M2364*N2364</f>
        <v>155.3</v>
      </c>
    </row>
    <row r="2365" customFormat="false" ht="15" hidden="false" customHeight="false" outlineLevel="0" collapsed="false">
      <c r="A2365" s="0" t="s">
        <v>3486</v>
      </c>
      <c r="C2365" s="0" t="s">
        <v>438</v>
      </c>
      <c r="D2365" s="7" t="n">
        <v>48</v>
      </c>
      <c r="E2365" s="8" t="n">
        <v>2.248125</v>
      </c>
      <c r="F2365" s="4" t="n">
        <f aca="false">D2365*E2365</f>
        <v>107.91</v>
      </c>
      <c r="G2365" s="7" t="n">
        <v>9</v>
      </c>
      <c r="H2365" s="9" t="n">
        <f aca="false">IF(G2365&gt;0,D2365/G2365,"")</f>
        <v>5.33333333333333</v>
      </c>
      <c r="I2365" s="10" t="n">
        <v>46195</v>
      </c>
      <c r="J2365" s="3" t="s">
        <v>3487</v>
      </c>
      <c r="K2365" s="10" t="n">
        <v>45846</v>
      </c>
      <c r="L2365" s="3" t="s">
        <v>14</v>
      </c>
      <c r="M2365" s="7" t="n">
        <v>10</v>
      </c>
      <c r="N2365" s="8" t="n">
        <v>3.123</v>
      </c>
      <c r="O2365" s="4" t="n">
        <f aca="false">M2365*N2365</f>
        <v>31.23</v>
      </c>
    </row>
    <row r="2366" customFormat="false" ht="15" hidden="false" customHeight="false" outlineLevel="0" collapsed="false">
      <c r="A2366" s="0" t="s">
        <v>3488</v>
      </c>
      <c r="C2366" s="0" t="s">
        <v>32</v>
      </c>
      <c r="D2366" s="7" t="n">
        <v>260</v>
      </c>
      <c r="E2366" s="8" t="n">
        <v>0.414730769230769</v>
      </c>
      <c r="F2366" s="4" t="n">
        <f aca="false">D2366*E2366</f>
        <v>107.83</v>
      </c>
      <c r="G2366" s="7" t="n">
        <v>29</v>
      </c>
      <c r="H2366" s="9" t="n">
        <f aca="false">IF(G2366&gt;0,D2366/G2366,"")</f>
        <v>8.96551724137931</v>
      </c>
      <c r="I2366" s="10" t="n">
        <v>46265</v>
      </c>
      <c r="J2366" s="3" t="s">
        <v>1026</v>
      </c>
      <c r="K2366" s="10" t="n">
        <v>46090</v>
      </c>
      <c r="L2366" s="3" t="s">
        <v>18</v>
      </c>
      <c r="M2366" s="7" t="n">
        <v>250</v>
      </c>
      <c r="N2366" s="8" t="n">
        <v>0.4173</v>
      </c>
      <c r="O2366" s="4" t="n">
        <f aca="false">M2366*N2366</f>
        <v>104.325</v>
      </c>
    </row>
    <row r="2367" customFormat="false" ht="15" hidden="false" customHeight="false" outlineLevel="0" collapsed="false">
      <c r="A2367" s="0" t="s">
        <v>3489</v>
      </c>
      <c r="C2367" s="0" t="s">
        <v>79</v>
      </c>
      <c r="D2367" s="7" t="n">
        <v>98</v>
      </c>
      <c r="E2367" s="8" t="n">
        <v>1.09969387755102</v>
      </c>
      <c r="F2367" s="4" t="n">
        <f aca="false">D2367*E2367</f>
        <v>107.77</v>
      </c>
      <c r="G2367" s="7" t="n">
        <v>7</v>
      </c>
      <c r="H2367" s="9" t="n">
        <f aca="false">IF(G2367&gt;0,D2367/G2367,"")</f>
        <v>14</v>
      </c>
      <c r="I2367" s="10" t="n">
        <v>46216</v>
      </c>
      <c r="J2367" s="3" t="s">
        <v>2321</v>
      </c>
      <c r="K2367" s="10" t="n">
        <v>46094</v>
      </c>
      <c r="L2367" s="3" t="s">
        <v>16</v>
      </c>
      <c r="M2367" s="7" t="n">
        <v>105</v>
      </c>
      <c r="N2367" s="8" t="n">
        <v>1.0997</v>
      </c>
      <c r="O2367" s="4" t="n">
        <f aca="false">M2367*N2367</f>
        <v>115.4685</v>
      </c>
    </row>
    <row r="2368" customFormat="false" ht="15" hidden="false" customHeight="false" outlineLevel="0" collapsed="false">
      <c r="A2368" s="0" t="s">
        <v>3490</v>
      </c>
      <c r="C2368" s="0" t="s">
        <v>744</v>
      </c>
      <c r="D2368" s="7" t="n">
        <v>36</v>
      </c>
      <c r="E2368" s="8" t="n">
        <v>2.98777777777778</v>
      </c>
      <c r="F2368" s="4" t="n">
        <f aca="false">D2368*E2368</f>
        <v>107.56</v>
      </c>
      <c r="G2368" s="7" t="n">
        <v>1</v>
      </c>
      <c r="H2368" s="9" t="n">
        <f aca="false">IF(G2368&gt;0,D2368/G2368,"")</f>
        <v>36</v>
      </c>
      <c r="I2368" s="10" t="n">
        <v>46188</v>
      </c>
      <c r="J2368" s="3" t="s">
        <v>3491</v>
      </c>
      <c r="K2368" s="10" t="n">
        <v>44956</v>
      </c>
      <c r="L2368" s="3" t="s">
        <v>14</v>
      </c>
      <c r="M2368" s="7" t="n">
        <v>50</v>
      </c>
      <c r="N2368" s="8" t="n">
        <v>2.988</v>
      </c>
      <c r="O2368" s="4" t="n">
        <f aca="false">M2368*N2368</f>
        <v>149.4</v>
      </c>
    </row>
    <row r="2369" customFormat="false" ht="15" hidden="false" customHeight="false" outlineLevel="0" collapsed="false">
      <c r="A2369" s="0" t="s">
        <v>3492</v>
      </c>
      <c r="C2369" s="0" t="s">
        <v>370</v>
      </c>
      <c r="D2369" s="7" t="n">
        <v>25</v>
      </c>
      <c r="E2369" s="8" t="n">
        <v>4.3</v>
      </c>
      <c r="F2369" s="4" t="n">
        <f aca="false">D2369*E2369</f>
        <v>107.5</v>
      </c>
      <c r="G2369" s="7" t="n">
        <v>7</v>
      </c>
      <c r="H2369" s="9" t="n">
        <f aca="false">IF(G2369&gt;0,D2369/G2369,"")</f>
        <v>3.57142857142857</v>
      </c>
      <c r="I2369" s="10" t="n">
        <v>46266</v>
      </c>
      <c r="J2369" s="3" t="s">
        <v>2912</v>
      </c>
      <c r="K2369" s="10" t="n">
        <v>46231</v>
      </c>
      <c r="L2369" s="3" t="s">
        <v>21</v>
      </c>
      <c r="M2369" s="7" t="n">
        <v>28</v>
      </c>
      <c r="N2369" s="8" t="n">
        <v>4.3</v>
      </c>
      <c r="O2369" s="4" t="n">
        <f aca="false">M2369*N2369</f>
        <v>120.4</v>
      </c>
    </row>
    <row r="2370" customFormat="false" ht="15" hidden="false" customHeight="false" outlineLevel="0" collapsed="false">
      <c r="A2370" s="0" t="s">
        <v>3493</v>
      </c>
      <c r="C2370" s="0" t="s">
        <v>33</v>
      </c>
      <c r="D2370" s="7" t="n">
        <v>96</v>
      </c>
      <c r="E2370" s="8" t="n">
        <v>1.1196875</v>
      </c>
      <c r="F2370" s="4" t="n">
        <f aca="false">D2370*E2370</f>
        <v>107.49</v>
      </c>
      <c r="G2370" s="7" t="n">
        <v>21</v>
      </c>
      <c r="H2370" s="9" t="n">
        <f aca="false">IF(G2370&gt;0,D2370/G2370,"")</f>
        <v>4.57142857142857</v>
      </c>
      <c r="I2370" s="10" t="n">
        <v>46283</v>
      </c>
      <c r="J2370" s="3" t="s">
        <v>276</v>
      </c>
      <c r="K2370" s="10" t="n">
        <v>46225</v>
      </c>
      <c r="L2370" s="3" t="s">
        <v>14</v>
      </c>
      <c r="M2370" s="7" t="n">
        <v>109</v>
      </c>
      <c r="N2370" s="8" t="n">
        <v>1.12</v>
      </c>
      <c r="O2370" s="4" t="n">
        <f aca="false">M2370*N2370</f>
        <v>122.08</v>
      </c>
    </row>
    <row r="2371" customFormat="false" ht="15" hidden="false" customHeight="false" outlineLevel="0" collapsed="false">
      <c r="A2371" s="0" t="s">
        <v>3494</v>
      </c>
      <c r="C2371" s="0" t="s">
        <v>38</v>
      </c>
      <c r="D2371" s="7" t="n">
        <v>6832</v>
      </c>
      <c r="E2371" s="8" t="n">
        <v>0.0157303864168618</v>
      </c>
      <c r="F2371" s="4" t="n">
        <f aca="false">D2371*E2371</f>
        <v>107.47</v>
      </c>
      <c r="G2371" s="7" t="n">
        <v>4708</v>
      </c>
      <c r="H2371" s="9" t="n">
        <f aca="false">IF(G2371&gt;0,D2371/G2371,"")</f>
        <v>1.45114698385726</v>
      </c>
      <c r="I2371" s="10" t="n">
        <v>46226</v>
      </c>
      <c r="J2371" s="3" t="s">
        <v>345</v>
      </c>
      <c r="K2371" s="10" t="n">
        <v>46183</v>
      </c>
      <c r="L2371" s="3" t="s">
        <v>14</v>
      </c>
      <c r="M2371" s="7" t="n">
        <v>10000</v>
      </c>
      <c r="N2371" s="8" t="n">
        <v>0.0159</v>
      </c>
      <c r="O2371" s="4" t="n">
        <f aca="false">M2371*N2371</f>
        <v>159</v>
      </c>
    </row>
    <row r="2372" customFormat="false" ht="15" hidden="false" customHeight="false" outlineLevel="0" collapsed="false">
      <c r="A2372" s="0" t="s">
        <v>3495</v>
      </c>
      <c r="C2372" s="0" t="s">
        <v>497</v>
      </c>
      <c r="D2372" s="7" t="n">
        <v>844</v>
      </c>
      <c r="E2372" s="8" t="n">
        <v>0.12728672985782</v>
      </c>
      <c r="F2372" s="4" t="n">
        <f aca="false">D2372*E2372</f>
        <v>107.43</v>
      </c>
      <c r="G2372" s="7" t="n">
        <v>120</v>
      </c>
      <c r="H2372" s="9" t="n">
        <f aca="false">IF(G2372&gt;0,D2372/G2372,"")</f>
        <v>7.03333333333333</v>
      </c>
      <c r="I2372" s="10" t="n">
        <v>46314</v>
      </c>
      <c r="J2372" s="3" t="s">
        <v>3496</v>
      </c>
      <c r="K2372" s="10" t="n">
        <v>44637</v>
      </c>
      <c r="L2372" s="3" t="s">
        <v>936</v>
      </c>
      <c r="M2372" s="7" t="n">
        <v>1239</v>
      </c>
      <c r="N2372" s="8" t="n">
        <v>0.1273</v>
      </c>
      <c r="O2372" s="4" t="n">
        <f aca="false">M2372*N2372</f>
        <v>157.7247</v>
      </c>
    </row>
    <row r="2373" customFormat="false" ht="15" hidden="false" customHeight="false" outlineLevel="0" collapsed="false">
      <c r="A2373" s="0" t="s">
        <v>3497</v>
      </c>
      <c r="C2373" s="0" t="s">
        <v>741</v>
      </c>
      <c r="D2373" s="7" t="n">
        <v>991</v>
      </c>
      <c r="E2373" s="8" t="n">
        <v>0.108365287588295</v>
      </c>
      <c r="F2373" s="4" t="n">
        <f aca="false">D2373*E2373</f>
        <v>107.39</v>
      </c>
      <c r="G2373" s="7" t="n">
        <v>14</v>
      </c>
      <c r="H2373" s="9" t="n">
        <f aca="false">IF(G2373&gt;0,D2373/G2373,"")</f>
        <v>70.7857142857143</v>
      </c>
      <c r="I2373" s="10" t="n">
        <v>46112</v>
      </c>
      <c r="J2373" s="3" t="s">
        <v>2796</v>
      </c>
      <c r="K2373" s="10" t="n">
        <v>45632</v>
      </c>
      <c r="L2373" s="3" t="s">
        <v>27</v>
      </c>
      <c r="M2373" s="7" t="n">
        <v>900</v>
      </c>
      <c r="N2373" s="8" t="n">
        <v>0.1116</v>
      </c>
      <c r="O2373" s="4" t="n">
        <f aca="false">M2373*N2373</f>
        <v>100.44</v>
      </c>
    </row>
    <row r="2374" customFormat="false" ht="15" hidden="false" customHeight="false" outlineLevel="0" collapsed="false">
      <c r="A2374" s="0" t="s">
        <v>3498</v>
      </c>
      <c r="C2374" s="0" t="s">
        <v>298</v>
      </c>
      <c r="D2374" s="7" t="n">
        <v>379</v>
      </c>
      <c r="E2374" s="8" t="n">
        <v>0.283298153034301</v>
      </c>
      <c r="F2374" s="4" t="n">
        <f aca="false">D2374*E2374</f>
        <v>107.37</v>
      </c>
      <c r="G2374" s="7" t="n">
        <v>8</v>
      </c>
      <c r="H2374" s="9" t="n">
        <f aca="false">IF(G2374&gt;0,D2374/G2374,"")</f>
        <v>47.375</v>
      </c>
      <c r="I2374" s="10" t="n">
        <v>46008</v>
      </c>
      <c r="J2374" s="3" t="s">
        <v>3030</v>
      </c>
      <c r="K2374" s="10" t="n">
        <v>46126</v>
      </c>
      <c r="L2374" s="3" t="s">
        <v>14</v>
      </c>
      <c r="M2374" s="7" t="n">
        <v>349</v>
      </c>
      <c r="N2374" s="8" t="n">
        <v>0.2992</v>
      </c>
      <c r="O2374" s="4" t="n">
        <f aca="false">M2374*N2374</f>
        <v>104.4208</v>
      </c>
    </row>
    <row r="2375" customFormat="false" ht="15" hidden="false" customHeight="false" outlineLevel="0" collapsed="false">
      <c r="A2375" s="0" t="s">
        <v>3499</v>
      </c>
      <c r="C2375" s="0" t="s">
        <v>1169</v>
      </c>
      <c r="D2375" s="7" t="n">
        <v>718</v>
      </c>
      <c r="E2375" s="8" t="n">
        <v>0.149526462395543</v>
      </c>
      <c r="F2375" s="4" t="n">
        <f aca="false">D2375*E2375</f>
        <v>107.36</v>
      </c>
      <c r="G2375" s="7" t="n">
        <v>310</v>
      </c>
      <c r="H2375" s="9" t="n">
        <f aca="false">IF(G2375&gt;0,D2375/G2375,"")</f>
        <v>2.31612903225806</v>
      </c>
      <c r="I2375" s="10" t="n">
        <v>46308</v>
      </c>
      <c r="J2375" s="3" t="s">
        <v>3500</v>
      </c>
      <c r="K2375" s="10" t="n">
        <v>45035</v>
      </c>
      <c r="L2375" s="3" t="s">
        <v>2203</v>
      </c>
      <c r="M2375" s="7" t="n">
        <v>1775</v>
      </c>
      <c r="N2375" s="8" t="n">
        <v>0.14955</v>
      </c>
      <c r="O2375" s="4" t="n">
        <f aca="false">M2375*N2375</f>
        <v>265.45125</v>
      </c>
    </row>
    <row r="2376" customFormat="false" ht="15" hidden="false" customHeight="false" outlineLevel="0" collapsed="false">
      <c r="A2376" s="0" t="s">
        <v>3501</v>
      </c>
      <c r="C2376" s="0" t="s">
        <v>31</v>
      </c>
      <c r="D2376" s="7" t="n">
        <v>719</v>
      </c>
      <c r="E2376" s="8" t="n">
        <v>0.149290681502086</v>
      </c>
      <c r="F2376" s="4" t="n">
        <f aca="false">D2376*E2376</f>
        <v>107.34</v>
      </c>
      <c r="G2376" s="7" t="n">
        <v>360</v>
      </c>
      <c r="H2376" s="9" t="n">
        <f aca="false">IF(G2376&gt;0,D2376/G2376,"")</f>
        <v>1.99722222222222</v>
      </c>
      <c r="I2376" s="10" t="n">
        <v>46212</v>
      </c>
      <c r="J2376" s="3" t="s">
        <v>2710</v>
      </c>
      <c r="K2376" s="10" t="n">
        <v>46006</v>
      </c>
      <c r="L2376" s="3" t="s">
        <v>2203</v>
      </c>
      <c r="M2376" s="7" t="n">
        <v>1000</v>
      </c>
      <c r="N2376" s="8" t="n">
        <v>0.1493</v>
      </c>
      <c r="O2376" s="4" t="n">
        <f aca="false">M2376*N2376</f>
        <v>149.3</v>
      </c>
    </row>
    <row r="2377" customFormat="false" ht="15" hidden="false" customHeight="false" outlineLevel="0" collapsed="false">
      <c r="A2377" s="0" t="s">
        <v>3502</v>
      </c>
      <c r="C2377" s="0" t="s">
        <v>31</v>
      </c>
      <c r="D2377" s="7" t="n">
        <v>2963</v>
      </c>
      <c r="E2377" s="8" t="n">
        <v>0.0362031724603443</v>
      </c>
      <c r="F2377" s="4" t="n">
        <f aca="false">D2377*E2377</f>
        <v>107.27</v>
      </c>
      <c r="G2377" s="7" t="n">
        <v>600</v>
      </c>
      <c r="H2377" s="9" t="n">
        <f aca="false">IF(G2377&gt;0,D2377/G2377,"")</f>
        <v>4.93833333333333</v>
      </c>
      <c r="I2377" s="10" t="n">
        <v>46175</v>
      </c>
      <c r="K2377" s="10"/>
      <c r="M2377" s="7"/>
      <c r="N2377" s="8"/>
      <c r="O2377" s="4"/>
    </row>
    <row r="2378" customFormat="false" ht="15" hidden="false" customHeight="false" outlineLevel="0" collapsed="false">
      <c r="A2378" s="0" t="s">
        <v>3503</v>
      </c>
      <c r="C2378" s="0" t="s">
        <v>1802</v>
      </c>
      <c r="D2378" s="7" t="n">
        <v>193</v>
      </c>
      <c r="E2378" s="8" t="n">
        <v>0.555699481865285</v>
      </c>
      <c r="F2378" s="4" t="n">
        <f aca="false">D2378*E2378</f>
        <v>107.25</v>
      </c>
      <c r="G2378" s="7" t="n">
        <v>80</v>
      </c>
      <c r="H2378" s="9" t="n">
        <f aca="false">IF(G2378&gt;0,D2378/G2378,"")</f>
        <v>2.4125</v>
      </c>
      <c r="I2378" s="10" t="n">
        <v>46169</v>
      </c>
      <c r="J2378" s="3" t="s">
        <v>2234</v>
      </c>
      <c r="K2378" s="10" t="n">
        <v>45517</v>
      </c>
      <c r="L2378" s="3" t="s">
        <v>14</v>
      </c>
      <c r="M2378" s="7" t="n">
        <v>200</v>
      </c>
      <c r="N2378" s="8" t="n">
        <v>1.1171</v>
      </c>
      <c r="O2378" s="4" t="n">
        <f aca="false">M2378*N2378</f>
        <v>223.42</v>
      </c>
    </row>
    <row r="2379" customFormat="false" ht="15" hidden="false" customHeight="false" outlineLevel="0" collapsed="false">
      <c r="A2379" s="0" t="s">
        <v>3504</v>
      </c>
      <c r="C2379" s="0" t="s">
        <v>31</v>
      </c>
      <c r="D2379" s="7" t="n">
        <v>21550</v>
      </c>
      <c r="E2379" s="8" t="n">
        <v>0.00497447795823666</v>
      </c>
      <c r="F2379" s="4" t="n">
        <f aca="false">D2379*E2379</f>
        <v>107.2</v>
      </c>
      <c r="G2379" s="7" t="n">
        <v>1287</v>
      </c>
      <c r="H2379" s="9" t="n">
        <f aca="false">IF(G2379&gt;0,D2379/G2379,"")</f>
        <v>16.7443667443667</v>
      </c>
      <c r="I2379" s="10" t="n">
        <v>46314</v>
      </c>
      <c r="K2379" s="10"/>
      <c r="M2379" s="7"/>
      <c r="N2379" s="8"/>
      <c r="O2379" s="4"/>
    </row>
    <row r="2380" customFormat="false" ht="15" hidden="false" customHeight="false" outlineLevel="0" collapsed="false">
      <c r="A2380" s="0" t="s">
        <v>3505</v>
      </c>
      <c r="C2380" s="0" t="s">
        <v>340</v>
      </c>
      <c r="D2380" s="7" t="n">
        <v>34532</v>
      </c>
      <c r="E2380" s="8" t="n">
        <v>0.00310002316691764</v>
      </c>
      <c r="F2380" s="4" t="n">
        <f aca="false">D2380*E2380</f>
        <v>107.05</v>
      </c>
      <c r="G2380" s="7" t="n">
        <v>1600</v>
      </c>
      <c r="H2380" s="9" t="n">
        <f aca="false">IF(G2380&gt;0,D2380/G2380,"")</f>
        <v>21.5825</v>
      </c>
      <c r="I2380" s="10" t="n">
        <v>46317</v>
      </c>
      <c r="J2380" s="3" t="s">
        <v>2502</v>
      </c>
      <c r="K2380" s="10" t="n">
        <v>46175</v>
      </c>
      <c r="L2380" s="3" t="s">
        <v>16</v>
      </c>
      <c r="M2380" s="7" t="n">
        <v>36132</v>
      </c>
      <c r="N2380" s="8" t="n">
        <v>0.0031</v>
      </c>
      <c r="O2380" s="4" t="n">
        <f aca="false">M2380*N2380</f>
        <v>112.0092</v>
      </c>
    </row>
    <row r="2381" customFormat="false" ht="15" hidden="false" customHeight="false" outlineLevel="0" collapsed="false">
      <c r="A2381" s="0" t="s">
        <v>3506</v>
      </c>
      <c r="C2381" s="0" t="s">
        <v>31</v>
      </c>
      <c r="D2381" s="7" t="n">
        <v>741</v>
      </c>
      <c r="E2381" s="8" t="n">
        <v>0.144412955465587</v>
      </c>
      <c r="F2381" s="4" t="n">
        <f aca="false">D2381*E2381</f>
        <v>107.01</v>
      </c>
      <c r="G2381" s="7" t="n">
        <v>71</v>
      </c>
      <c r="H2381" s="9" t="n">
        <f aca="false">IF(G2381&gt;0,D2381/G2381,"")</f>
        <v>10.4366197183099</v>
      </c>
      <c r="I2381" s="10" t="n">
        <v>46140</v>
      </c>
      <c r="K2381" s="10"/>
      <c r="M2381" s="7"/>
      <c r="N2381" s="8"/>
      <c r="O2381" s="4"/>
    </row>
    <row r="2382" customFormat="false" ht="15" hidden="false" customHeight="false" outlineLevel="0" collapsed="false">
      <c r="A2382" s="0" t="s">
        <v>3507</v>
      </c>
      <c r="C2382" s="0" t="s">
        <v>298</v>
      </c>
      <c r="D2382" s="7" t="n">
        <v>3375</v>
      </c>
      <c r="E2382" s="8" t="n">
        <v>0.0317037037037037</v>
      </c>
      <c r="F2382" s="4" t="n">
        <f aca="false">D2382*E2382</f>
        <v>107</v>
      </c>
      <c r="G2382" s="7" t="n">
        <v>355</v>
      </c>
      <c r="H2382" s="9" t="n">
        <f aca="false">IF(G2382&gt;0,D2382/G2382,"")</f>
        <v>9.50704225352113</v>
      </c>
      <c r="I2382" s="10" t="n">
        <v>46293</v>
      </c>
      <c r="J2382" s="3" t="s">
        <v>1396</v>
      </c>
      <c r="K2382" s="10" t="n">
        <v>45398</v>
      </c>
      <c r="L2382" s="3" t="s">
        <v>15</v>
      </c>
      <c r="M2382" s="7" t="n">
        <v>3100</v>
      </c>
      <c r="N2382" s="8" t="n">
        <v>0.03071</v>
      </c>
      <c r="O2382" s="4" t="n">
        <f aca="false">M2382*N2382</f>
        <v>95.201</v>
      </c>
    </row>
    <row r="2383" customFormat="false" ht="15" hidden="false" customHeight="false" outlineLevel="0" collapsed="false">
      <c r="A2383" s="0" t="s">
        <v>3508</v>
      </c>
      <c r="C2383" s="0" t="s">
        <v>1169</v>
      </c>
      <c r="D2383" s="7" t="n">
        <v>862</v>
      </c>
      <c r="E2383" s="8" t="n">
        <v>0.124013921113689</v>
      </c>
      <c r="F2383" s="4" t="n">
        <f aca="false">D2383*E2383</f>
        <v>106.9</v>
      </c>
      <c r="G2383" s="7" t="n">
        <v>232</v>
      </c>
      <c r="H2383" s="9" t="n">
        <f aca="false">IF(G2383&gt;0,D2383/G2383,"")</f>
        <v>3.71551724137931</v>
      </c>
      <c r="I2383" s="10" t="n">
        <v>46294</v>
      </c>
      <c r="J2383" s="3" t="s">
        <v>3509</v>
      </c>
      <c r="K2383" s="10" t="n">
        <v>45917</v>
      </c>
      <c r="L2383" s="3" t="s">
        <v>21</v>
      </c>
      <c r="M2383" s="7" t="n">
        <v>1000</v>
      </c>
      <c r="N2383" s="8" t="n">
        <v>0.1</v>
      </c>
      <c r="O2383" s="4" t="n">
        <f aca="false">M2383*N2383</f>
        <v>100</v>
      </c>
    </row>
    <row r="2384" customFormat="false" ht="15" hidden="false" customHeight="false" outlineLevel="0" collapsed="false">
      <c r="A2384" s="0" t="s">
        <v>3510</v>
      </c>
      <c r="C2384" s="0" t="s">
        <v>31</v>
      </c>
      <c r="D2384" s="7" t="n">
        <v>12428</v>
      </c>
      <c r="E2384" s="8" t="n">
        <v>0.00859913099452848</v>
      </c>
      <c r="F2384" s="4" t="n">
        <f aca="false">D2384*E2384</f>
        <v>106.87</v>
      </c>
      <c r="G2384" s="7" t="n">
        <v>6421</v>
      </c>
      <c r="H2384" s="9" t="n">
        <f aca="false">IF(G2384&gt;0,D2384/G2384,"")</f>
        <v>1.93552406167264</v>
      </c>
      <c r="I2384" s="10" t="n">
        <v>46309</v>
      </c>
      <c r="J2384" s="3" t="s">
        <v>1384</v>
      </c>
      <c r="K2384" s="10" t="n">
        <v>45672</v>
      </c>
      <c r="L2384" s="3" t="s">
        <v>16</v>
      </c>
      <c r="M2384" s="7" t="n">
        <v>20000</v>
      </c>
      <c r="N2384" s="8" t="n">
        <v>0.0086</v>
      </c>
      <c r="O2384" s="4" t="n">
        <f aca="false">M2384*N2384</f>
        <v>172</v>
      </c>
    </row>
    <row r="2385" customFormat="false" ht="15" hidden="false" customHeight="false" outlineLevel="0" collapsed="false">
      <c r="A2385" s="0" t="s">
        <v>3511</v>
      </c>
      <c r="C2385" s="0" t="s">
        <v>777</v>
      </c>
      <c r="D2385" s="7" t="n">
        <v>6960</v>
      </c>
      <c r="E2385" s="8" t="n">
        <v>0.0153505747126437</v>
      </c>
      <c r="F2385" s="4" t="n">
        <f aca="false">D2385*E2385</f>
        <v>106.84</v>
      </c>
      <c r="G2385" s="7" t="n">
        <v>530</v>
      </c>
      <c r="H2385" s="9" t="n">
        <f aca="false">IF(G2385&gt;0,D2385/G2385,"")</f>
        <v>13.1320754716981</v>
      </c>
      <c r="I2385" s="10" t="n">
        <v>46308</v>
      </c>
      <c r="J2385" s="3" t="s">
        <v>1425</v>
      </c>
      <c r="K2385" s="10" t="n">
        <v>45890</v>
      </c>
      <c r="L2385" s="3" t="s">
        <v>15</v>
      </c>
      <c r="M2385" s="7" t="n">
        <v>8200</v>
      </c>
      <c r="N2385" s="8" t="n">
        <v>0.01535</v>
      </c>
      <c r="O2385" s="4" t="n">
        <f aca="false">M2385*N2385</f>
        <v>125.87</v>
      </c>
    </row>
    <row r="2386" customFormat="false" ht="15" hidden="false" customHeight="false" outlineLevel="0" collapsed="false">
      <c r="A2386" s="0" t="s">
        <v>3512</v>
      </c>
      <c r="C2386" s="0" t="s">
        <v>31</v>
      </c>
      <c r="D2386" s="7" t="n">
        <v>10890</v>
      </c>
      <c r="E2386" s="8" t="n">
        <v>0.00980073461891644</v>
      </c>
      <c r="F2386" s="4" t="n">
        <f aca="false">D2386*E2386</f>
        <v>106.73</v>
      </c>
      <c r="G2386" s="7" t="n">
        <v>220</v>
      </c>
      <c r="H2386" s="9" t="n">
        <f aca="false">IF(G2386&gt;0,D2386/G2386,"")</f>
        <v>49.5</v>
      </c>
      <c r="I2386" s="10" t="n">
        <v>46181</v>
      </c>
      <c r="J2386" s="3" t="s">
        <v>3385</v>
      </c>
      <c r="K2386" s="10" t="n">
        <v>45595</v>
      </c>
      <c r="L2386" s="3" t="s">
        <v>16</v>
      </c>
      <c r="M2386" s="7" t="n">
        <v>11210</v>
      </c>
      <c r="N2386" s="8" t="n">
        <v>0.0098</v>
      </c>
      <c r="O2386" s="4" t="n">
        <f aca="false">M2386*N2386</f>
        <v>109.858</v>
      </c>
    </row>
    <row r="2387" customFormat="false" ht="15" hidden="false" customHeight="false" outlineLevel="0" collapsed="false">
      <c r="A2387" s="0" t="s">
        <v>3513</v>
      </c>
      <c r="C2387" s="0" t="s">
        <v>36</v>
      </c>
      <c r="D2387" s="7" t="n">
        <v>1940</v>
      </c>
      <c r="E2387" s="8" t="n">
        <v>0.0550051546391753</v>
      </c>
      <c r="F2387" s="4" t="n">
        <f aca="false">D2387*E2387</f>
        <v>106.71</v>
      </c>
      <c r="G2387" s="7" t="n">
        <v>510</v>
      </c>
      <c r="H2387" s="9" t="n">
        <f aca="false">IF(G2387&gt;0,D2387/G2387,"")</f>
        <v>3.80392156862745</v>
      </c>
      <c r="I2387" s="10" t="n">
        <v>46304</v>
      </c>
      <c r="J2387" s="3" t="s">
        <v>709</v>
      </c>
      <c r="K2387" s="10" t="n">
        <v>46080</v>
      </c>
      <c r="L2387" s="3" t="s">
        <v>14</v>
      </c>
      <c r="M2387" s="7" t="n">
        <v>200</v>
      </c>
      <c r="N2387" s="8" t="n">
        <v>0.0743</v>
      </c>
      <c r="O2387" s="4" t="n">
        <f aca="false">M2387*N2387</f>
        <v>14.86</v>
      </c>
    </row>
    <row r="2388" customFormat="false" ht="15" hidden="false" customHeight="false" outlineLevel="0" collapsed="false">
      <c r="A2388" s="0" t="s">
        <v>3514</v>
      </c>
      <c r="C2388" s="0" t="s">
        <v>340</v>
      </c>
      <c r="D2388" s="7" t="n">
        <v>3810</v>
      </c>
      <c r="E2388" s="8" t="n">
        <v>0.028</v>
      </c>
      <c r="F2388" s="4" t="n">
        <f aca="false">D2388*E2388</f>
        <v>106.68</v>
      </c>
      <c r="G2388" s="7" t="n">
        <v>30</v>
      </c>
      <c r="H2388" s="9" t="n">
        <f aca="false">IF(G2388&gt;0,D2388/G2388,"")</f>
        <v>127</v>
      </c>
      <c r="I2388" s="10" t="n">
        <v>46276</v>
      </c>
      <c r="J2388" s="3" t="s">
        <v>1576</v>
      </c>
      <c r="K2388" s="10" t="n">
        <v>46196</v>
      </c>
      <c r="L2388" s="3" t="s">
        <v>16</v>
      </c>
      <c r="M2388" s="7" t="n">
        <v>3840</v>
      </c>
      <c r="N2388" s="8" t="n">
        <v>0.028</v>
      </c>
      <c r="O2388" s="4" t="n">
        <f aca="false">M2388*N2388</f>
        <v>107.52</v>
      </c>
    </row>
    <row r="2389" customFormat="false" ht="15" hidden="false" customHeight="false" outlineLevel="0" collapsed="false">
      <c r="A2389" s="0" t="s">
        <v>3515</v>
      </c>
      <c r="C2389" s="0" t="s">
        <v>889</v>
      </c>
      <c r="D2389" s="7" t="n">
        <v>2531</v>
      </c>
      <c r="E2389" s="8" t="n">
        <v>0.0421058870011853</v>
      </c>
      <c r="F2389" s="4" t="n">
        <f aca="false">D2389*E2389</f>
        <v>106.57</v>
      </c>
      <c r="G2389" s="7" t="n">
        <v>25</v>
      </c>
      <c r="H2389" s="9" t="n">
        <f aca="false">IF(G2389&gt;0,D2389/G2389,"")</f>
        <v>101.24</v>
      </c>
      <c r="I2389" s="10" t="n">
        <v>46290</v>
      </c>
      <c r="J2389" s="3" t="s">
        <v>249</v>
      </c>
      <c r="K2389" s="10" t="n">
        <v>44314</v>
      </c>
      <c r="L2389" s="3" t="s">
        <v>15</v>
      </c>
      <c r="M2389" s="7" t="n">
        <v>2140</v>
      </c>
      <c r="N2389" s="8" t="n">
        <v>0.01289</v>
      </c>
      <c r="O2389" s="4" t="n">
        <f aca="false">M2389*N2389</f>
        <v>27.5846</v>
      </c>
    </row>
    <row r="2390" customFormat="false" ht="15" hidden="false" customHeight="false" outlineLevel="0" collapsed="false">
      <c r="A2390" s="0" t="s">
        <v>3516</v>
      </c>
      <c r="C2390" s="0" t="s">
        <v>1039</v>
      </c>
      <c r="D2390" s="7" t="n">
        <v>7251</v>
      </c>
      <c r="E2390" s="8" t="n">
        <v>0.0146793545717832</v>
      </c>
      <c r="F2390" s="4" t="n">
        <f aca="false">D2390*E2390</f>
        <v>106.44</v>
      </c>
      <c r="G2390" s="7" t="n">
        <v>5090</v>
      </c>
      <c r="H2390" s="9" t="n">
        <f aca="false">IF(G2390&gt;0,D2390/G2390,"")</f>
        <v>1.424557956778</v>
      </c>
      <c r="I2390" s="10" t="n">
        <v>46302</v>
      </c>
      <c r="J2390" s="3" t="s">
        <v>1722</v>
      </c>
      <c r="K2390" s="10" t="n">
        <v>46146</v>
      </c>
      <c r="L2390" s="3" t="s">
        <v>19</v>
      </c>
      <c r="M2390" s="7" t="n">
        <v>10000</v>
      </c>
      <c r="N2390" s="8" t="n">
        <v>0.0167</v>
      </c>
      <c r="O2390" s="4" t="n">
        <f aca="false">M2390*N2390</f>
        <v>167</v>
      </c>
    </row>
    <row r="2391" customFormat="false" ht="15" hidden="false" customHeight="false" outlineLevel="0" collapsed="false">
      <c r="A2391" s="0" t="s">
        <v>3517</v>
      </c>
      <c r="C2391" s="0" t="s">
        <v>36</v>
      </c>
      <c r="D2391" s="7" t="n">
        <v>570</v>
      </c>
      <c r="E2391" s="8" t="n">
        <v>0.186701754385965</v>
      </c>
      <c r="F2391" s="4" t="n">
        <f aca="false">D2391*E2391</f>
        <v>106.42</v>
      </c>
      <c r="G2391" s="7" t="n">
        <v>36</v>
      </c>
      <c r="H2391" s="9" t="n">
        <f aca="false">IF(G2391&gt;0,D2391/G2391,"")</f>
        <v>15.8333333333333</v>
      </c>
      <c r="I2391" s="10" t="n">
        <v>46274</v>
      </c>
      <c r="J2391" s="3" t="s">
        <v>3518</v>
      </c>
      <c r="K2391" s="10" t="n">
        <v>45828</v>
      </c>
      <c r="L2391" s="3" t="s">
        <v>19</v>
      </c>
      <c r="M2391" s="7" t="n">
        <v>1350</v>
      </c>
      <c r="N2391" s="8" t="n">
        <v>0.1867</v>
      </c>
      <c r="O2391" s="4" t="n">
        <f aca="false">M2391*N2391</f>
        <v>252.045</v>
      </c>
    </row>
    <row r="2392" customFormat="false" ht="15" hidden="false" customHeight="false" outlineLevel="0" collapsed="false">
      <c r="A2392" s="0" t="s">
        <v>3519</v>
      </c>
      <c r="C2392" s="0" t="s">
        <v>777</v>
      </c>
      <c r="D2392" s="7" t="n">
        <v>203</v>
      </c>
      <c r="E2392" s="8" t="n">
        <v>0.524187192118227</v>
      </c>
      <c r="F2392" s="4" t="n">
        <f aca="false">D2392*E2392</f>
        <v>106.41</v>
      </c>
      <c r="G2392" s="7" t="n">
        <v>100</v>
      </c>
      <c r="H2392" s="9" t="n">
        <f aca="false">IF(G2392&gt;0,D2392/G2392,"")</f>
        <v>2.03</v>
      </c>
      <c r="I2392" s="10" t="n">
        <v>46154</v>
      </c>
      <c r="J2392" s="3" t="s">
        <v>616</v>
      </c>
      <c r="K2392" s="10" t="n">
        <v>46038</v>
      </c>
      <c r="L2392" s="3" t="s">
        <v>15</v>
      </c>
      <c r="M2392" s="7" t="n">
        <v>303</v>
      </c>
      <c r="N2392" s="8" t="n">
        <v>0.52418</v>
      </c>
      <c r="O2392" s="4" t="n">
        <f aca="false">M2392*N2392</f>
        <v>158.82654</v>
      </c>
    </row>
    <row r="2393" customFormat="false" ht="15" hidden="false" customHeight="false" outlineLevel="0" collapsed="false">
      <c r="A2393" s="0" t="s">
        <v>3520</v>
      </c>
      <c r="C2393" s="0" t="s">
        <v>31</v>
      </c>
      <c r="D2393" s="7" t="n">
        <v>1064</v>
      </c>
      <c r="E2393" s="8" t="n">
        <v>0.1</v>
      </c>
      <c r="F2393" s="4" t="n">
        <f aca="false">D2393*E2393</f>
        <v>106.4</v>
      </c>
      <c r="G2393" s="7" t="n">
        <v>32</v>
      </c>
      <c r="H2393" s="9" t="n">
        <f aca="false">IF(G2393&gt;0,D2393/G2393,"")</f>
        <v>33.25</v>
      </c>
      <c r="I2393" s="10" t="n">
        <v>46133</v>
      </c>
      <c r="K2393" s="10"/>
      <c r="M2393" s="7"/>
      <c r="N2393" s="8"/>
      <c r="O2393" s="4"/>
    </row>
    <row r="2394" customFormat="false" ht="15" hidden="false" customHeight="false" outlineLevel="0" collapsed="false">
      <c r="A2394" s="0" t="s">
        <v>3521</v>
      </c>
      <c r="C2394" s="0" t="s">
        <v>31</v>
      </c>
      <c r="D2394" s="7" t="n">
        <v>23785</v>
      </c>
      <c r="E2394" s="8" t="n">
        <v>0.00447046457851587</v>
      </c>
      <c r="F2394" s="4" t="n">
        <f aca="false">D2394*E2394</f>
        <v>106.33</v>
      </c>
      <c r="G2394" s="7" t="n">
        <v>5130</v>
      </c>
      <c r="H2394" s="9" t="n">
        <f aca="false">IF(G2394&gt;0,D2394/G2394,"")</f>
        <v>4.6364522417154</v>
      </c>
      <c r="I2394" s="10" t="n">
        <v>46230</v>
      </c>
      <c r="J2394" s="3" t="s">
        <v>1743</v>
      </c>
      <c r="K2394" s="10" t="n">
        <v>45852</v>
      </c>
      <c r="L2394" s="3" t="s">
        <v>16</v>
      </c>
      <c r="M2394" s="7" t="n">
        <v>33335</v>
      </c>
      <c r="N2394" s="8" t="n">
        <v>0.0045</v>
      </c>
      <c r="O2394" s="4" t="n">
        <f aca="false">M2394*N2394</f>
        <v>150.0075</v>
      </c>
    </row>
    <row r="2395" customFormat="false" ht="15" hidden="false" customHeight="false" outlineLevel="0" collapsed="false">
      <c r="A2395" s="0" t="s">
        <v>3522</v>
      </c>
      <c r="C2395" s="0" t="s">
        <v>31</v>
      </c>
      <c r="D2395" s="7" t="n">
        <v>11812</v>
      </c>
      <c r="E2395" s="8" t="n">
        <v>0.00899593633592956</v>
      </c>
      <c r="F2395" s="4" t="n">
        <f aca="false">D2395*E2395</f>
        <v>106.26</v>
      </c>
      <c r="G2395" s="7" t="n">
        <v>125</v>
      </c>
      <c r="H2395" s="9" t="n">
        <f aca="false">IF(G2395&gt;0,D2395/G2395,"")</f>
        <v>94.496</v>
      </c>
      <c r="I2395" s="10" t="n">
        <v>46224</v>
      </c>
      <c r="J2395" s="3" t="s">
        <v>2382</v>
      </c>
      <c r="K2395" s="10" t="n">
        <v>44753</v>
      </c>
      <c r="L2395" s="3" t="s">
        <v>25</v>
      </c>
      <c r="M2395" s="7" t="n">
        <v>12005</v>
      </c>
      <c r="N2395" s="8" t="n">
        <v>0</v>
      </c>
      <c r="O2395" s="4" t="n">
        <v>108</v>
      </c>
    </row>
    <row r="2396" customFormat="false" ht="15" hidden="false" customHeight="false" outlineLevel="0" collapsed="false">
      <c r="A2396" s="0" t="s">
        <v>3523</v>
      </c>
      <c r="C2396" s="0" t="s">
        <v>979</v>
      </c>
      <c r="D2396" s="7" t="n">
        <v>379</v>
      </c>
      <c r="E2396" s="8" t="n">
        <v>0.280290237467019</v>
      </c>
      <c r="F2396" s="4" t="n">
        <f aca="false">D2396*E2396</f>
        <v>106.23</v>
      </c>
      <c r="G2396" s="7" t="n">
        <v>108</v>
      </c>
      <c r="H2396" s="9" t="n">
        <f aca="false">IF(G2396&gt;0,D2396/G2396,"")</f>
        <v>3.50925925925926</v>
      </c>
      <c r="I2396" s="10" t="n">
        <v>46304</v>
      </c>
      <c r="J2396" s="3" t="s">
        <v>3524</v>
      </c>
      <c r="K2396" s="10" t="n">
        <v>46315</v>
      </c>
      <c r="L2396" s="3" t="s">
        <v>18</v>
      </c>
      <c r="M2396" s="7" t="n">
        <v>200</v>
      </c>
      <c r="N2396" s="8" t="n">
        <v>0.2803</v>
      </c>
      <c r="O2396" s="4" t="n">
        <f aca="false">M2396*N2396</f>
        <v>56.06</v>
      </c>
    </row>
    <row r="2397" customFormat="false" ht="15" hidden="false" customHeight="false" outlineLevel="0" collapsed="false">
      <c r="A2397" s="0" t="s">
        <v>3525</v>
      </c>
      <c r="C2397" s="0" t="s">
        <v>35</v>
      </c>
      <c r="D2397" s="7" t="n">
        <v>836</v>
      </c>
      <c r="E2397" s="8" t="n">
        <v>0.126997607655502</v>
      </c>
      <c r="F2397" s="4" t="n">
        <f aca="false">D2397*E2397</f>
        <v>106.17</v>
      </c>
      <c r="G2397" s="7" t="n">
        <v>3</v>
      </c>
      <c r="H2397" s="9" t="n">
        <f aca="false">IF(G2397&gt;0,D2397/G2397,"")</f>
        <v>278.666666666667</v>
      </c>
      <c r="I2397" s="10" t="n">
        <v>46009</v>
      </c>
      <c r="J2397" s="3" t="s">
        <v>3526</v>
      </c>
      <c r="K2397" s="10" t="n">
        <v>45293</v>
      </c>
      <c r="L2397" s="3" t="s">
        <v>14</v>
      </c>
      <c r="M2397" s="7" t="n">
        <v>1000</v>
      </c>
      <c r="N2397" s="8" t="n">
        <v>0.127</v>
      </c>
      <c r="O2397" s="4" t="n">
        <f aca="false">M2397*N2397</f>
        <v>127</v>
      </c>
    </row>
    <row r="2398" customFormat="false" ht="15" hidden="false" customHeight="false" outlineLevel="0" collapsed="false">
      <c r="A2398" s="0" t="s">
        <v>3527</v>
      </c>
      <c r="C2398" s="0" t="s">
        <v>31</v>
      </c>
      <c r="D2398" s="7" t="n">
        <v>18947</v>
      </c>
      <c r="E2398" s="8" t="n">
        <v>0.00560035889586742</v>
      </c>
      <c r="F2398" s="4" t="n">
        <f aca="false">D2398*E2398</f>
        <v>106.11</v>
      </c>
      <c r="G2398" s="7" t="n">
        <v>2441</v>
      </c>
      <c r="H2398" s="9" t="n">
        <f aca="false">IF(G2398&gt;0,D2398/G2398,"")</f>
        <v>7.76198279393691</v>
      </c>
      <c r="I2398" s="10" t="n">
        <v>46308</v>
      </c>
      <c r="J2398" s="3" t="s">
        <v>1343</v>
      </c>
      <c r="K2398" s="10" t="n">
        <v>45583</v>
      </c>
      <c r="L2398" s="3" t="s">
        <v>16</v>
      </c>
      <c r="M2398" s="7" t="n">
        <v>25000</v>
      </c>
      <c r="N2398" s="8" t="n">
        <v>0.0056</v>
      </c>
      <c r="O2398" s="4" t="n">
        <f aca="false">M2398*N2398</f>
        <v>140</v>
      </c>
    </row>
    <row r="2399" customFormat="false" ht="15" hidden="false" customHeight="false" outlineLevel="0" collapsed="false">
      <c r="A2399" s="0" t="s">
        <v>3528</v>
      </c>
      <c r="C2399" s="0" t="s">
        <v>360</v>
      </c>
      <c r="D2399" s="7" t="n">
        <v>554</v>
      </c>
      <c r="E2399" s="8" t="n">
        <v>0.19129963898917</v>
      </c>
      <c r="F2399" s="4" t="n">
        <f aca="false">D2399*E2399</f>
        <v>105.98</v>
      </c>
      <c r="G2399" s="7" t="n">
        <v>300</v>
      </c>
      <c r="H2399" s="9" t="n">
        <f aca="false">IF(G2399&gt;0,D2399/G2399,"")</f>
        <v>1.84666666666667</v>
      </c>
      <c r="I2399" s="10" t="n">
        <v>46206</v>
      </c>
      <c r="J2399" s="3" t="s">
        <v>478</v>
      </c>
      <c r="K2399" s="10" t="n">
        <v>46185</v>
      </c>
      <c r="L2399" s="3" t="s">
        <v>16</v>
      </c>
      <c r="M2399" s="7" t="n">
        <v>854</v>
      </c>
      <c r="N2399" s="8" t="n">
        <v>0.1913</v>
      </c>
      <c r="O2399" s="4" t="n">
        <f aca="false">M2399*N2399</f>
        <v>163.3702</v>
      </c>
    </row>
    <row r="2400" customFormat="false" ht="15" hidden="false" customHeight="false" outlineLevel="0" collapsed="false">
      <c r="A2400" s="0" t="s">
        <v>3529</v>
      </c>
      <c r="C2400" s="0" t="s">
        <v>298</v>
      </c>
      <c r="D2400" s="7" t="n">
        <v>1040</v>
      </c>
      <c r="E2400" s="8" t="n">
        <v>0.101894230769231</v>
      </c>
      <c r="F2400" s="4" t="n">
        <f aca="false">D2400*E2400</f>
        <v>105.97</v>
      </c>
      <c r="G2400" s="7" t="n">
        <v>145</v>
      </c>
      <c r="H2400" s="9" t="n">
        <f aca="false">IF(G2400&gt;0,D2400/G2400,"")</f>
        <v>7.17241379310345</v>
      </c>
      <c r="I2400" s="10" t="n">
        <v>46182</v>
      </c>
      <c r="J2400" s="3" t="s">
        <v>919</v>
      </c>
      <c r="K2400" s="10" t="n">
        <v>45119</v>
      </c>
      <c r="L2400" s="3" t="s">
        <v>15</v>
      </c>
      <c r="M2400" s="7" t="n">
        <v>1900</v>
      </c>
      <c r="N2400" s="8" t="n">
        <v>0.1019</v>
      </c>
      <c r="O2400" s="4" t="n">
        <f aca="false">M2400*N2400</f>
        <v>193.61</v>
      </c>
    </row>
    <row r="2401" customFormat="false" ht="15" hidden="false" customHeight="false" outlineLevel="0" collapsed="false">
      <c r="A2401" s="0" t="s">
        <v>3530</v>
      </c>
      <c r="C2401" s="0" t="s">
        <v>31</v>
      </c>
      <c r="D2401" s="7" t="n">
        <v>768</v>
      </c>
      <c r="E2401" s="8" t="n">
        <v>0.137682291666667</v>
      </c>
      <c r="F2401" s="4" t="n">
        <f aca="false">D2401*E2401</f>
        <v>105.74</v>
      </c>
      <c r="G2401" s="7" t="n">
        <v>20</v>
      </c>
      <c r="H2401" s="9" t="n">
        <f aca="false">IF(G2401&gt;0,D2401/G2401,"")</f>
        <v>38.4</v>
      </c>
      <c r="I2401" s="10" t="n">
        <v>46317</v>
      </c>
      <c r="J2401" s="3" t="s">
        <v>3531</v>
      </c>
      <c r="K2401" s="10" t="n">
        <v>44350</v>
      </c>
      <c r="L2401" s="3" t="s">
        <v>19</v>
      </c>
      <c r="M2401" s="7" t="n">
        <v>1000</v>
      </c>
      <c r="N2401" s="8" t="n">
        <v>0.1377</v>
      </c>
      <c r="O2401" s="4" t="n">
        <f aca="false">M2401*N2401</f>
        <v>137.7</v>
      </c>
    </row>
    <row r="2402" customFormat="false" ht="15" hidden="false" customHeight="false" outlineLevel="0" collapsed="false">
      <c r="A2402" s="0" t="s">
        <v>3532</v>
      </c>
      <c r="C2402" s="0" t="s">
        <v>33</v>
      </c>
      <c r="D2402" s="7" t="n">
        <v>713</v>
      </c>
      <c r="E2402" s="8" t="n">
        <v>0.148120617110799</v>
      </c>
      <c r="F2402" s="4" t="n">
        <f aca="false">D2402*E2402</f>
        <v>105.61</v>
      </c>
      <c r="G2402" s="7" t="n">
        <v>216</v>
      </c>
      <c r="H2402" s="9" t="n">
        <f aca="false">IF(G2402&gt;0,D2402/G2402,"")</f>
        <v>3.30092592592593</v>
      </c>
      <c r="I2402" s="10" t="n">
        <v>46282</v>
      </c>
      <c r="J2402" s="3" t="s">
        <v>3533</v>
      </c>
      <c r="K2402" s="10" t="n">
        <v>45903</v>
      </c>
      <c r="L2402" s="3" t="s">
        <v>18</v>
      </c>
      <c r="M2402" s="7" t="n">
        <v>1000</v>
      </c>
      <c r="N2402" s="8" t="n">
        <v>0.1477</v>
      </c>
      <c r="O2402" s="4" t="n">
        <f aca="false">M2402*N2402</f>
        <v>147.7</v>
      </c>
    </row>
    <row r="2403" customFormat="false" ht="15" hidden="false" customHeight="false" outlineLevel="0" collapsed="false">
      <c r="A2403" s="0" t="s">
        <v>3534</v>
      </c>
      <c r="C2403" s="0" t="s">
        <v>79</v>
      </c>
      <c r="D2403" s="7" t="n">
        <v>676</v>
      </c>
      <c r="E2403" s="8" t="n">
        <v>0.156198224852071</v>
      </c>
      <c r="F2403" s="4" t="n">
        <f aca="false">D2403*E2403</f>
        <v>105.59</v>
      </c>
      <c r="G2403" s="7" t="n">
        <v>100</v>
      </c>
      <c r="H2403" s="9" t="n">
        <f aca="false">IF(G2403&gt;0,D2403/G2403,"")</f>
        <v>6.76</v>
      </c>
      <c r="I2403" s="10" t="n">
        <v>45978</v>
      </c>
      <c r="J2403" s="3" t="s">
        <v>3535</v>
      </c>
      <c r="K2403" s="10" t="n">
        <v>45051</v>
      </c>
      <c r="L2403" s="3" t="s">
        <v>16</v>
      </c>
      <c r="M2403" s="7" t="n">
        <v>1000</v>
      </c>
      <c r="N2403" s="8" t="n">
        <v>0.1562</v>
      </c>
      <c r="O2403" s="4" t="n">
        <f aca="false">M2403*N2403</f>
        <v>156.2</v>
      </c>
    </row>
    <row r="2404" customFormat="false" ht="15" hidden="false" customHeight="false" outlineLevel="0" collapsed="false">
      <c r="A2404" s="0" t="s">
        <v>3536</v>
      </c>
      <c r="C2404" s="0" t="s">
        <v>31</v>
      </c>
      <c r="D2404" s="7" t="n">
        <v>18921</v>
      </c>
      <c r="E2404" s="8" t="n">
        <v>0.00557951482479784</v>
      </c>
      <c r="F2404" s="4" t="n">
        <f aca="false">D2404*E2404</f>
        <v>105.57</v>
      </c>
      <c r="G2404" s="7" t="n">
        <v>1925</v>
      </c>
      <c r="H2404" s="9" t="n">
        <f aca="false">IF(G2404&gt;0,D2404/G2404,"")</f>
        <v>9.82909090909091</v>
      </c>
      <c r="I2404" s="10" t="n">
        <v>46311</v>
      </c>
      <c r="K2404" s="10"/>
      <c r="M2404" s="7"/>
      <c r="N2404" s="8"/>
      <c r="O2404" s="4"/>
    </row>
    <row r="2405" customFormat="false" ht="15" hidden="false" customHeight="false" outlineLevel="0" collapsed="false">
      <c r="A2405" s="0" t="s">
        <v>3537</v>
      </c>
      <c r="C2405" s="0" t="s">
        <v>360</v>
      </c>
      <c r="D2405" s="7" t="n">
        <v>35907</v>
      </c>
      <c r="E2405" s="8" t="n">
        <v>0.0029400952460523</v>
      </c>
      <c r="F2405" s="4" t="n">
        <f aca="false">D2405*E2405</f>
        <v>105.57</v>
      </c>
      <c r="G2405" s="7" t="n">
        <v>35882</v>
      </c>
      <c r="H2405" s="9" t="n">
        <f aca="false">IF(G2405&gt;0,D2405/G2405,"")</f>
        <v>1.00069672816454</v>
      </c>
      <c r="I2405" s="10" t="n">
        <v>46309</v>
      </c>
      <c r="J2405" s="3" t="s">
        <v>3538</v>
      </c>
      <c r="K2405" s="10" t="n">
        <v>45574</v>
      </c>
      <c r="L2405" s="3" t="s">
        <v>223</v>
      </c>
      <c r="M2405" s="7" t="n">
        <v>10000</v>
      </c>
      <c r="N2405" s="8" t="n">
        <v>0.0462</v>
      </c>
      <c r="O2405" s="4" t="n">
        <f aca="false">M2405*N2405</f>
        <v>462</v>
      </c>
    </row>
    <row r="2406" customFormat="false" ht="15" hidden="false" customHeight="false" outlineLevel="0" collapsed="false">
      <c r="A2406" s="0" t="s">
        <v>3539</v>
      </c>
      <c r="C2406" s="0" t="s">
        <v>40</v>
      </c>
      <c r="D2406" s="7" t="n">
        <v>1450</v>
      </c>
      <c r="E2406" s="8" t="n">
        <v>0.0728</v>
      </c>
      <c r="F2406" s="4" t="n">
        <f aca="false">D2406*E2406</f>
        <v>105.56</v>
      </c>
      <c r="G2406" s="7" t="n">
        <v>193</v>
      </c>
      <c r="H2406" s="9" t="n">
        <f aca="false">IF(G2406&gt;0,D2406/G2406,"")</f>
        <v>7.51295336787565</v>
      </c>
      <c r="I2406" s="10" t="n">
        <v>46308</v>
      </c>
      <c r="J2406" s="3" t="s">
        <v>3540</v>
      </c>
      <c r="K2406" s="10" t="n">
        <v>45113</v>
      </c>
      <c r="L2406" s="3" t="s">
        <v>18</v>
      </c>
      <c r="M2406" s="7" t="n">
        <v>1400</v>
      </c>
      <c r="N2406" s="8" t="n">
        <v>0.0728</v>
      </c>
      <c r="O2406" s="4" t="n">
        <f aca="false">M2406*N2406</f>
        <v>101.92</v>
      </c>
    </row>
    <row r="2407" customFormat="false" ht="15" hidden="false" customHeight="false" outlineLevel="0" collapsed="false">
      <c r="A2407" s="0" t="s">
        <v>3541</v>
      </c>
      <c r="C2407" s="0" t="s">
        <v>360</v>
      </c>
      <c r="D2407" s="7" t="n">
        <v>612</v>
      </c>
      <c r="E2407" s="8" t="n">
        <v>0.172352941176471</v>
      </c>
      <c r="F2407" s="4" t="n">
        <f aca="false">D2407*E2407</f>
        <v>105.48</v>
      </c>
      <c r="G2407" s="7" t="n">
        <v>300</v>
      </c>
      <c r="H2407" s="9" t="n">
        <f aca="false">IF(G2407&gt;0,D2407/G2407,"")</f>
        <v>2.04</v>
      </c>
      <c r="I2407" s="10" t="n">
        <v>46247</v>
      </c>
      <c r="K2407" s="10"/>
      <c r="M2407" s="7"/>
      <c r="N2407" s="8"/>
      <c r="O2407" s="4"/>
    </row>
    <row r="2408" customFormat="false" ht="15" hidden="false" customHeight="false" outlineLevel="0" collapsed="false">
      <c r="A2408" s="0" t="s">
        <v>3542</v>
      </c>
      <c r="C2408" s="0" t="s">
        <v>31</v>
      </c>
      <c r="D2408" s="7" t="n">
        <v>2635</v>
      </c>
      <c r="E2408" s="8" t="n">
        <v>0.04</v>
      </c>
      <c r="F2408" s="4" t="n">
        <f aca="false">D2408*E2408</f>
        <v>105.4</v>
      </c>
      <c r="G2408" s="7" t="n">
        <v>396</v>
      </c>
      <c r="H2408" s="9" t="n">
        <f aca="false">IF(G2408&gt;0,D2408/G2408,"")</f>
        <v>6.6540404040404</v>
      </c>
      <c r="I2408" s="10" t="n">
        <v>46266</v>
      </c>
      <c r="K2408" s="10"/>
      <c r="M2408" s="7"/>
      <c r="N2408" s="8"/>
      <c r="O2408" s="4"/>
    </row>
    <row r="2409" customFormat="false" ht="15" hidden="false" customHeight="false" outlineLevel="0" collapsed="false">
      <c r="A2409" s="0" t="s">
        <v>3543</v>
      </c>
      <c r="C2409" s="0" t="s">
        <v>33</v>
      </c>
      <c r="D2409" s="7" t="n">
        <v>892</v>
      </c>
      <c r="E2409" s="8" t="n">
        <v>0.118094170403587</v>
      </c>
      <c r="F2409" s="4" t="n">
        <f aca="false">D2409*E2409</f>
        <v>105.34</v>
      </c>
      <c r="G2409" s="7" t="n">
        <v>601</v>
      </c>
      <c r="H2409" s="9" t="n">
        <f aca="false">IF(G2409&gt;0,D2409/G2409,"")</f>
        <v>1.48419301164725</v>
      </c>
      <c r="I2409" s="10" t="n">
        <v>46308</v>
      </c>
      <c r="J2409" s="3" t="s">
        <v>230</v>
      </c>
      <c r="K2409" s="10" t="n">
        <v>46303</v>
      </c>
      <c r="L2409" s="3" t="s">
        <v>18</v>
      </c>
      <c r="M2409" s="7" t="n">
        <v>387</v>
      </c>
      <c r="N2409" s="8" t="n">
        <v>0.1181</v>
      </c>
      <c r="O2409" s="4" t="n">
        <f aca="false">M2409*N2409</f>
        <v>45.7047</v>
      </c>
    </row>
    <row r="2410" customFormat="false" ht="15" hidden="false" customHeight="false" outlineLevel="0" collapsed="false">
      <c r="A2410" s="0" t="s">
        <v>3544</v>
      </c>
      <c r="C2410" s="0" t="s">
        <v>31</v>
      </c>
      <c r="D2410" s="7" t="n">
        <v>22412</v>
      </c>
      <c r="E2410" s="8" t="n">
        <v>0.00469659111190434</v>
      </c>
      <c r="F2410" s="4" t="n">
        <f aca="false">D2410*E2410</f>
        <v>105.26</v>
      </c>
      <c r="G2410" s="7" t="n">
        <v>3905</v>
      </c>
      <c r="H2410" s="9" t="n">
        <f aca="false">IF(G2410&gt;0,D2410/G2410,"")</f>
        <v>5.7393085787452</v>
      </c>
      <c r="I2410" s="10" t="n">
        <v>46310</v>
      </c>
      <c r="J2410" s="3" t="s">
        <v>3545</v>
      </c>
      <c r="K2410" s="10" t="n">
        <v>45772</v>
      </c>
      <c r="L2410" s="3" t="s">
        <v>19</v>
      </c>
      <c r="M2410" s="7" t="n">
        <v>10000</v>
      </c>
      <c r="N2410" s="8" t="n">
        <v>0.007</v>
      </c>
      <c r="O2410" s="4" t="n">
        <f aca="false">M2410*N2410</f>
        <v>70</v>
      </c>
    </row>
    <row r="2411" customFormat="false" ht="15" hidden="false" customHeight="false" outlineLevel="0" collapsed="false">
      <c r="A2411" s="0" t="s">
        <v>3546</v>
      </c>
      <c r="D2411" s="7" t="n">
        <v>93</v>
      </c>
      <c r="E2411" s="8" t="n">
        <v>1.13</v>
      </c>
      <c r="F2411" s="4" t="n">
        <f aca="false">D2411*E2411</f>
        <v>105.09</v>
      </c>
      <c r="G2411" s="7" t="n">
        <v>4</v>
      </c>
      <c r="H2411" s="9" t="n">
        <f aca="false">IF(G2411&gt;0,D2411/G2411,"")</f>
        <v>23.25</v>
      </c>
      <c r="I2411" s="10" t="n">
        <v>46302</v>
      </c>
      <c r="J2411" s="3" t="s">
        <v>3547</v>
      </c>
      <c r="K2411" s="10" t="n">
        <v>45471</v>
      </c>
      <c r="L2411" s="3" t="s">
        <v>1878</v>
      </c>
      <c r="M2411" s="7" t="n">
        <v>100</v>
      </c>
      <c r="N2411" s="8" t="n">
        <v>1.13</v>
      </c>
      <c r="O2411" s="4" t="n">
        <f aca="false">M2411*N2411</f>
        <v>113</v>
      </c>
    </row>
    <row r="2412" customFormat="false" ht="15" hidden="false" customHeight="false" outlineLevel="0" collapsed="false">
      <c r="A2412" s="0" t="s">
        <v>3548</v>
      </c>
      <c r="C2412" s="0" t="s">
        <v>285</v>
      </c>
      <c r="D2412" s="7" t="n">
        <v>5074</v>
      </c>
      <c r="E2412" s="8" t="n">
        <v>0.0206858494284588</v>
      </c>
      <c r="F2412" s="4" t="n">
        <f aca="false">D2412*E2412</f>
        <v>104.96</v>
      </c>
      <c r="G2412" s="7" t="n">
        <v>1042</v>
      </c>
      <c r="H2412" s="9" t="n">
        <f aca="false">IF(G2412&gt;0,D2412/G2412,"")</f>
        <v>4.86948176583493</v>
      </c>
      <c r="I2412" s="10" t="n">
        <v>46171</v>
      </c>
      <c r="J2412" s="3" t="s">
        <v>1925</v>
      </c>
      <c r="K2412" s="10" t="n">
        <v>44817</v>
      </c>
      <c r="L2412" s="3" t="s">
        <v>1926</v>
      </c>
      <c r="M2412" s="7" t="n">
        <v>3810</v>
      </c>
      <c r="N2412" s="8" t="n">
        <v>0.0206</v>
      </c>
      <c r="O2412" s="4" t="n">
        <f aca="false">M2412*N2412</f>
        <v>78.486</v>
      </c>
    </row>
    <row r="2413" customFormat="false" ht="15" hidden="false" customHeight="false" outlineLevel="0" collapsed="false">
      <c r="A2413" s="0" t="s">
        <v>3549</v>
      </c>
      <c r="C2413" s="0" t="s">
        <v>100</v>
      </c>
      <c r="D2413" s="7" t="n">
        <v>390</v>
      </c>
      <c r="E2413" s="8" t="n">
        <v>0.268897435897436</v>
      </c>
      <c r="F2413" s="4" t="n">
        <f aca="false">D2413*E2413</f>
        <v>104.87</v>
      </c>
      <c r="G2413" s="7" t="n">
        <v>110</v>
      </c>
      <c r="H2413" s="9" t="n">
        <f aca="false">IF(G2413&gt;0,D2413/G2413,"")</f>
        <v>3.54545454545455</v>
      </c>
      <c r="I2413" s="10" t="n">
        <v>46254</v>
      </c>
      <c r="J2413" s="3" t="s">
        <v>2385</v>
      </c>
      <c r="K2413" s="10" t="n">
        <v>45629</v>
      </c>
      <c r="L2413" s="3" t="s">
        <v>16</v>
      </c>
      <c r="M2413" s="7" t="n">
        <v>400</v>
      </c>
      <c r="N2413" s="8" t="n">
        <v>0.2689</v>
      </c>
      <c r="O2413" s="4" t="n">
        <f aca="false">M2413*N2413</f>
        <v>107.56</v>
      </c>
    </row>
    <row r="2414" customFormat="false" ht="15" hidden="false" customHeight="false" outlineLevel="0" collapsed="false">
      <c r="A2414" s="0" t="s">
        <v>3550</v>
      </c>
      <c r="C2414" s="0" t="s">
        <v>34</v>
      </c>
      <c r="D2414" s="7" t="n">
        <v>4765</v>
      </c>
      <c r="E2414" s="8" t="n">
        <v>0.022</v>
      </c>
      <c r="F2414" s="4" t="n">
        <f aca="false">D2414*E2414</f>
        <v>104.83</v>
      </c>
      <c r="G2414" s="7" t="n">
        <v>140</v>
      </c>
      <c r="H2414" s="9" t="n">
        <f aca="false">IF(G2414&gt;0,D2414/G2414,"")</f>
        <v>34.0357142857143</v>
      </c>
      <c r="I2414" s="10" t="n">
        <v>46304</v>
      </c>
      <c r="K2414" s="10"/>
      <c r="M2414" s="7"/>
      <c r="N2414" s="8"/>
      <c r="O2414" s="4"/>
    </row>
    <row r="2415" customFormat="false" ht="15" hidden="false" customHeight="false" outlineLevel="0" collapsed="false">
      <c r="A2415" s="0" t="s">
        <v>3551</v>
      </c>
      <c r="C2415" s="0" t="s">
        <v>95</v>
      </c>
      <c r="D2415" s="7" t="n">
        <v>1747</v>
      </c>
      <c r="E2415" s="8" t="n">
        <v>0.06</v>
      </c>
      <c r="F2415" s="4" t="n">
        <f aca="false">D2415*E2415</f>
        <v>104.82</v>
      </c>
      <c r="G2415" s="7" t="n">
        <v>350</v>
      </c>
      <c r="H2415" s="9" t="n">
        <f aca="false">IF(G2415&gt;0,D2415/G2415,"")</f>
        <v>4.99142857142857</v>
      </c>
      <c r="I2415" s="10" t="n">
        <v>46282</v>
      </c>
      <c r="J2415" s="3" t="s">
        <v>3552</v>
      </c>
      <c r="K2415" s="10" t="n">
        <v>45096</v>
      </c>
      <c r="L2415" s="3" t="s">
        <v>20</v>
      </c>
      <c r="M2415" s="7" t="n">
        <v>10300</v>
      </c>
      <c r="N2415" s="8" t="n">
        <v>0.058</v>
      </c>
      <c r="O2415" s="4" t="n">
        <f aca="false">M2415*N2415</f>
        <v>597.4</v>
      </c>
    </row>
    <row r="2416" customFormat="false" ht="15" hidden="false" customHeight="false" outlineLevel="0" collapsed="false">
      <c r="A2416" s="0" t="s">
        <v>3553</v>
      </c>
      <c r="C2416" s="0" t="s">
        <v>889</v>
      </c>
      <c r="D2416" s="7" t="n">
        <v>1402</v>
      </c>
      <c r="E2416" s="8" t="n">
        <v>0.0747289586305278</v>
      </c>
      <c r="F2416" s="4" t="n">
        <f aca="false">D2416*E2416</f>
        <v>104.77</v>
      </c>
      <c r="G2416" s="7" t="n">
        <v>114</v>
      </c>
      <c r="H2416" s="9" t="n">
        <f aca="false">IF(G2416&gt;0,D2416/G2416,"")</f>
        <v>12.2982456140351</v>
      </c>
      <c r="I2416" s="10" t="n">
        <v>46294</v>
      </c>
      <c r="K2416" s="10"/>
      <c r="M2416" s="7"/>
      <c r="N2416" s="8"/>
      <c r="O2416" s="4"/>
    </row>
    <row r="2417" customFormat="false" ht="15" hidden="false" customHeight="false" outlineLevel="0" collapsed="false">
      <c r="A2417" s="0" t="s">
        <v>3554</v>
      </c>
      <c r="C2417" s="0" t="s">
        <v>39</v>
      </c>
      <c r="D2417" s="7" t="n">
        <v>22</v>
      </c>
      <c r="E2417" s="8" t="n">
        <v>4.76181818181818</v>
      </c>
      <c r="F2417" s="4" t="n">
        <f aca="false">D2417*E2417</f>
        <v>104.76</v>
      </c>
      <c r="G2417" s="7" t="n">
        <v>4</v>
      </c>
      <c r="H2417" s="9" t="n">
        <f aca="false">IF(G2417&gt;0,D2417/G2417,"")</f>
        <v>5.5</v>
      </c>
      <c r="I2417" s="10" t="n">
        <v>46218</v>
      </c>
      <c r="J2417" s="3" t="s">
        <v>3555</v>
      </c>
      <c r="K2417" s="10" t="n">
        <v>46219</v>
      </c>
      <c r="L2417" s="3" t="s">
        <v>18</v>
      </c>
      <c r="M2417" s="7" t="n">
        <v>20</v>
      </c>
      <c r="N2417" s="8" t="n">
        <v>4.762</v>
      </c>
      <c r="O2417" s="4" t="n">
        <f aca="false">M2417*N2417</f>
        <v>95.24</v>
      </c>
    </row>
    <row r="2418" customFormat="false" ht="15" hidden="false" customHeight="false" outlineLevel="0" collapsed="false">
      <c r="A2418" s="0" t="s">
        <v>3556</v>
      </c>
      <c r="C2418" s="0" t="s">
        <v>31</v>
      </c>
      <c r="D2418" s="7" t="n">
        <v>10475</v>
      </c>
      <c r="E2418" s="8" t="n">
        <v>0.01</v>
      </c>
      <c r="F2418" s="4" t="n">
        <f aca="false">D2418*E2418</f>
        <v>104.75</v>
      </c>
      <c r="G2418" s="7" t="n">
        <v>2366</v>
      </c>
      <c r="H2418" s="9" t="n">
        <f aca="false">IF(G2418&gt;0,D2418/G2418,"")</f>
        <v>4.427303465765</v>
      </c>
      <c r="I2418" s="10" t="n">
        <v>46301</v>
      </c>
      <c r="K2418" s="10"/>
      <c r="M2418" s="7"/>
      <c r="N2418" s="8"/>
      <c r="O2418" s="4"/>
    </row>
    <row r="2419" customFormat="false" ht="15" hidden="false" customHeight="false" outlineLevel="0" collapsed="false">
      <c r="A2419" s="0" t="s">
        <v>3557</v>
      </c>
      <c r="C2419" s="0" t="s">
        <v>34</v>
      </c>
      <c r="D2419" s="7" t="n">
        <v>5235</v>
      </c>
      <c r="E2419" s="8" t="n">
        <v>0.02</v>
      </c>
      <c r="F2419" s="4" t="n">
        <f aca="false">D2419*E2419</f>
        <v>104.7</v>
      </c>
      <c r="G2419" s="7" t="n">
        <v>4511</v>
      </c>
      <c r="H2419" s="9" t="n">
        <f aca="false">IF(G2419&gt;0,D2419/G2419,"")</f>
        <v>1.16049656395478</v>
      </c>
      <c r="I2419" s="10" t="n">
        <v>46273</v>
      </c>
      <c r="J2419" s="3" t="s">
        <v>517</v>
      </c>
      <c r="K2419" s="10" t="n">
        <v>44806</v>
      </c>
      <c r="L2419" s="3" t="s">
        <v>25</v>
      </c>
      <c r="M2419" s="7" t="n">
        <v>20000</v>
      </c>
      <c r="N2419" s="8" t="n">
        <v>0.02</v>
      </c>
      <c r="O2419" s="4" t="n">
        <f aca="false">M2419*N2419</f>
        <v>400</v>
      </c>
    </row>
    <row r="2420" customFormat="false" ht="15" hidden="false" customHeight="false" outlineLevel="0" collapsed="false">
      <c r="A2420" s="0" t="s">
        <v>3558</v>
      </c>
      <c r="D2420" s="7" t="n">
        <v>13</v>
      </c>
      <c r="E2420" s="8" t="n">
        <v>8.05307692307692</v>
      </c>
      <c r="F2420" s="4" t="n">
        <f aca="false">D2420*E2420</f>
        <v>104.69</v>
      </c>
      <c r="G2420" s="7" t="n">
        <v>12</v>
      </c>
      <c r="H2420" s="9" t="n">
        <f aca="false">IF(G2420&gt;0,D2420/G2420,"")</f>
        <v>1.08333333333333</v>
      </c>
      <c r="I2420" s="10" t="n">
        <v>46078</v>
      </c>
      <c r="J2420" s="3" t="s">
        <v>3559</v>
      </c>
      <c r="K2420" s="10" t="n">
        <v>46065</v>
      </c>
      <c r="L2420" s="3" t="s">
        <v>936</v>
      </c>
      <c r="M2420" s="7" t="n">
        <v>25</v>
      </c>
      <c r="N2420" s="8" t="n">
        <v>8.0532</v>
      </c>
      <c r="O2420" s="4" t="n">
        <f aca="false">M2420*N2420</f>
        <v>201.33</v>
      </c>
    </row>
    <row r="2421" customFormat="false" ht="15" hidden="false" customHeight="false" outlineLevel="0" collapsed="false">
      <c r="A2421" s="0" t="s">
        <v>3560</v>
      </c>
      <c r="C2421" s="0" t="s">
        <v>225</v>
      </c>
      <c r="D2421" s="7" t="n">
        <v>15</v>
      </c>
      <c r="E2421" s="8" t="n">
        <v>6.97933333333333</v>
      </c>
      <c r="F2421" s="4" t="n">
        <f aca="false">D2421*E2421</f>
        <v>104.69</v>
      </c>
      <c r="G2421" s="7" t="n">
        <v>3</v>
      </c>
      <c r="H2421" s="9" t="n">
        <f aca="false">IF(G2421&gt;0,D2421/G2421,"")</f>
        <v>5</v>
      </c>
      <c r="I2421" s="10" t="n">
        <v>46282</v>
      </c>
      <c r="J2421" s="3" t="s">
        <v>1298</v>
      </c>
      <c r="K2421" s="10" t="n">
        <v>44910</v>
      </c>
      <c r="L2421" s="3" t="s">
        <v>14</v>
      </c>
      <c r="M2421" s="7" t="n">
        <v>200</v>
      </c>
      <c r="N2421" s="8" t="n">
        <v>6.9798</v>
      </c>
      <c r="O2421" s="4" t="n">
        <f aca="false">M2421*N2421</f>
        <v>1395.96</v>
      </c>
    </row>
    <row r="2422" customFormat="false" ht="15" hidden="false" customHeight="false" outlineLevel="0" collapsed="false">
      <c r="A2422" s="0" t="s">
        <v>3561</v>
      </c>
      <c r="C2422" s="0" t="s">
        <v>33</v>
      </c>
      <c r="D2422" s="7" t="n">
        <v>410</v>
      </c>
      <c r="E2422" s="8" t="n">
        <v>0.255317073170732</v>
      </c>
      <c r="F2422" s="4" t="n">
        <f aca="false">D2422*E2422</f>
        <v>104.68</v>
      </c>
      <c r="G2422" s="7" t="n">
        <v>349</v>
      </c>
      <c r="H2422" s="9" t="n">
        <f aca="false">IF(G2422&gt;0,D2422/G2422,"")</f>
        <v>1.17478510028653</v>
      </c>
      <c r="I2422" s="10" t="n">
        <v>46302</v>
      </c>
      <c r="J2422" s="3" t="s">
        <v>1090</v>
      </c>
      <c r="K2422" s="10" t="n">
        <v>46308</v>
      </c>
      <c r="L2422" s="3" t="s">
        <v>18</v>
      </c>
      <c r="M2422" s="7" t="n">
        <v>370</v>
      </c>
      <c r="N2422" s="8" t="n">
        <v>0.2579</v>
      </c>
      <c r="O2422" s="4" t="n">
        <f aca="false">M2422*N2422</f>
        <v>95.423</v>
      </c>
    </row>
    <row r="2423" customFormat="false" ht="15" hidden="false" customHeight="false" outlineLevel="0" collapsed="false">
      <c r="A2423" s="0" t="s">
        <v>3562</v>
      </c>
      <c r="C2423" s="0" t="s">
        <v>36</v>
      </c>
      <c r="D2423" s="7" t="n">
        <v>2384</v>
      </c>
      <c r="E2423" s="8" t="n">
        <v>0.0439010067114094</v>
      </c>
      <c r="F2423" s="4" t="n">
        <f aca="false">D2423*E2423</f>
        <v>104.66</v>
      </c>
      <c r="G2423" s="7" t="n">
        <v>1725</v>
      </c>
      <c r="H2423" s="9" t="n">
        <f aca="false">IF(G2423&gt;0,D2423/G2423,"")</f>
        <v>1.38202898550725</v>
      </c>
      <c r="I2423" s="10" t="n">
        <v>46258</v>
      </c>
      <c r="J2423" s="3" t="s">
        <v>3563</v>
      </c>
      <c r="K2423" s="10" t="n">
        <v>46217</v>
      </c>
      <c r="L2423" s="3" t="s">
        <v>18</v>
      </c>
      <c r="M2423" s="7" t="n">
        <v>1600</v>
      </c>
      <c r="N2423" s="8" t="n">
        <v>0.0439</v>
      </c>
      <c r="O2423" s="4" t="n">
        <f aca="false">M2423*N2423</f>
        <v>70.24</v>
      </c>
    </row>
    <row r="2424" customFormat="false" ht="15" hidden="false" customHeight="false" outlineLevel="0" collapsed="false">
      <c r="A2424" s="0" t="s">
        <v>3564</v>
      </c>
      <c r="C2424" s="0" t="s">
        <v>79</v>
      </c>
      <c r="D2424" s="7" t="n">
        <v>3896</v>
      </c>
      <c r="E2424" s="8" t="n">
        <v>0.0268326488706366</v>
      </c>
      <c r="F2424" s="4" t="n">
        <f aca="false">D2424*E2424</f>
        <v>104.54</v>
      </c>
      <c r="G2424" s="7" t="n">
        <v>1200</v>
      </c>
      <c r="H2424" s="9" t="n">
        <f aca="false">IF(G2424&gt;0,D2424/G2424,"")</f>
        <v>3.24666666666667</v>
      </c>
      <c r="I2424" s="10" t="n">
        <v>46308</v>
      </c>
      <c r="J2424" s="3" t="s">
        <v>3565</v>
      </c>
      <c r="K2424" s="10" t="n">
        <v>46293</v>
      </c>
      <c r="L2424" s="3" t="s">
        <v>14</v>
      </c>
      <c r="M2424" s="7" t="n">
        <v>500</v>
      </c>
      <c r="N2424" s="8" t="n">
        <v>0.186</v>
      </c>
      <c r="O2424" s="4" t="n">
        <f aca="false">M2424*N2424</f>
        <v>93</v>
      </c>
    </row>
    <row r="2425" customFormat="false" ht="15" hidden="false" customHeight="false" outlineLevel="0" collapsed="false">
      <c r="A2425" s="0" t="s">
        <v>3566</v>
      </c>
      <c r="C2425" s="0" t="s">
        <v>1169</v>
      </c>
      <c r="D2425" s="7" t="n">
        <v>3535</v>
      </c>
      <c r="E2425" s="8" t="n">
        <v>0.0295643564356436</v>
      </c>
      <c r="F2425" s="4" t="n">
        <f aca="false">D2425*E2425</f>
        <v>104.51</v>
      </c>
      <c r="G2425" s="7" t="n">
        <v>235</v>
      </c>
      <c r="H2425" s="9" t="n">
        <f aca="false">IF(G2425&gt;0,D2425/G2425,"")</f>
        <v>15.0425531914894</v>
      </c>
      <c r="I2425" s="10" t="n">
        <v>46156</v>
      </c>
      <c r="J2425" s="3" t="s">
        <v>2900</v>
      </c>
      <c r="K2425" s="10" t="n">
        <v>45468</v>
      </c>
      <c r="L2425" s="3" t="s">
        <v>21</v>
      </c>
      <c r="M2425" s="7" t="n">
        <v>4000</v>
      </c>
      <c r="N2425" s="8" t="n">
        <v>0.029</v>
      </c>
      <c r="O2425" s="4" t="n">
        <f aca="false">M2425*N2425</f>
        <v>116</v>
      </c>
    </row>
    <row r="2426" customFormat="false" ht="15" hidden="false" customHeight="false" outlineLevel="0" collapsed="false">
      <c r="A2426" s="0" t="s">
        <v>3567</v>
      </c>
      <c r="C2426" s="0" t="s">
        <v>340</v>
      </c>
      <c r="D2426" s="7" t="n">
        <v>36290</v>
      </c>
      <c r="E2426" s="8" t="n">
        <v>0.00287682557178286</v>
      </c>
      <c r="F2426" s="4" t="n">
        <f aca="false">D2426*E2426</f>
        <v>104.4</v>
      </c>
      <c r="G2426" s="7" t="n">
        <v>1380</v>
      </c>
      <c r="H2426" s="9" t="n">
        <f aca="false">IF(G2426&gt;0,D2426/G2426,"")</f>
        <v>26.2971014492754</v>
      </c>
      <c r="I2426" s="10" t="n">
        <v>46246</v>
      </c>
      <c r="J2426" s="3" t="s">
        <v>3568</v>
      </c>
      <c r="K2426" s="10" t="n">
        <v>45924</v>
      </c>
      <c r="L2426" s="3" t="s">
        <v>19</v>
      </c>
      <c r="M2426" s="7" t="n">
        <v>7000</v>
      </c>
      <c r="N2426" s="8" t="n">
        <v>0.0045</v>
      </c>
      <c r="O2426" s="4" t="n">
        <f aca="false">M2426*N2426</f>
        <v>31.5</v>
      </c>
    </row>
    <row r="2427" customFormat="false" ht="15" hidden="false" customHeight="false" outlineLevel="0" collapsed="false">
      <c r="A2427" s="0" t="s">
        <v>3569</v>
      </c>
      <c r="C2427" s="0" t="s">
        <v>979</v>
      </c>
      <c r="D2427" s="7" t="n">
        <v>322</v>
      </c>
      <c r="E2427" s="8" t="n">
        <v>0.324099378881988</v>
      </c>
      <c r="F2427" s="4" t="n">
        <f aca="false">D2427*E2427</f>
        <v>104.36</v>
      </c>
      <c r="G2427" s="7" t="n">
        <v>130</v>
      </c>
      <c r="H2427" s="9" t="n">
        <f aca="false">IF(G2427&gt;0,D2427/G2427,"")</f>
        <v>2.47692307692308</v>
      </c>
      <c r="I2427" s="10" t="n">
        <v>46212</v>
      </c>
      <c r="J2427" s="3" t="s">
        <v>3570</v>
      </c>
      <c r="K2427" s="10" t="n">
        <v>44608</v>
      </c>
      <c r="L2427" s="3" t="s">
        <v>18</v>
      </c>
      <c r="M2427" s="7" t="n">
        <v>621</v>
      </c>
      <c r="N2427" s="8" t="n">
        <v>0</v>
      </c>
      <c r="O2427" s="4" t="n">
        <v>201.562</v>
      </c>
    </row>
    <row r="2428" customFormat="false" ht="15" hidden="false" customHeight="false" outlineLevel="0" collapsed="false">
      <c r="A2428" s="0" t="s">
        <v>3571</v>
      </c>
      <c r="D2428" s="7" t="n">
        <v>39</v>
      </c>
      <c r="E2428" s="8" t="n">
        <v>2.67</v>
      </c>
      <c r="F2428" s="4" t="n">
        <f aca="false">D2428*E2428</f>
        <v>104.13</v>
      </c>
      <c r="G2428" s="7" t="n">
        <v>2</v>
      </c>
      <c r="H2428" s="9" t="n">
        <f aca="false">IF(G2428&gt;0,D2428/G2428,"")</f>
        <v>19.5</v>
      </c>
      <c r="I2428" s="10" t="n">
        <v>46084</v>
      </c>
      <c r="J2428" s="3" t="s">
        <v>3547</v>
      </c>
      <c r="K2428" s="10" t="n">
        <v>45471</v>
      </c>
      <c r="L2428" s="3" t="s">
        <v>1878</v>
      </c>
      <c r="M2428" s="7" t="n">
        <v>50</v>
      </c>
      <c r="N2428" s="8" t="n">
        <v>2.67</v>
      </c>
      <c r="O2428" s="4" t="n">
        <f aca="false">M2428*N2428</f>
        <v>133.5</v>
      </c>
    </row>
    <row r="2429" customFormat="false" ht="15" hidden="false" customHeight="false" outlineLevel="0" collapsed="false">
      <c r="A2429" s="0" t="s">
        <v>3572</v>
      </c>
      <c r="C2429" s="0" t="s">
        <v>934</v>
      </c>
      <c r="D2429" s="7" t="n">
        <v>216</v>
      </c>
      <c r="E2429" s="8" t="n">
        <v>0.48162037037037</v>
      </c>
      <c r="F2429" s="4" t="n">
        <f aca="false">D2429*E2429</f>
        <v>104.03</v>
      </c>
      <c r="G2429" s="7" t="n">
        <v>117</v>
      </c>
      <c r="H2429" s="9" t="n">
        <f aca="false">IF(G2429&gt;0,D2429/G2429,"")</f>
        <v>1.84615384615385</v>
      </c>
      <c r="I2429" s="10" t="n">
        <v>46316</v>
      </c>
      <c r="J2429" s="3" t="s">
        <v>3573</v>
      </c>
      <c r="K2429" s="10" t="n">
        <v>44827</v>
      </c>
      <c r="L2429" s="3" t="s">
        <v>936</v>
      </c>
      <c r="M2429" s="7" t="n">
        <v>387</v>
      </c>
      <c r="N2429" s="8" t="n">
        <v>0.4816</v>
      </c>
      <c r="O2429" s="4" t="n">
        <f aca="false">M2429*N2429</f>
        <v>186.3792</v>
      </c>
    </row>
    <row r="2430" customFormat="false" ht="15" hidden="false" customHeight="false" outlineLevel="0" collapsed="false">
      <c r="A2430" s="0" t="s">
        <v>3574</v>
      </c>
      <c r="C2430" s="0" t="s">
        <v>31</v>
      </c>
      <c r="D2430" s="7" t="n">
        <v>11231</v>
      </c>
      <c r="E2430" s="8" t="n">
        <v>0.00925652212625768</v>
      </c>
      <c r="F2430" s="4" t="n">
        <f aca="false">D2430*E2430</f>
        <v>103.96</v>
      </c>
      <c r="G2430" s="7" t="n">
        <v>202</v>
      </c>
      <c r="H2430" s="9" t="n">
        <f aca="false">IF(G2430&gt;0,D2430/G2430,"")</f>
        <v>55.5990099009901</v>
      </c>
      <c r="I2430" s="10" t="n">
        <v>46111</v>
      </c>
      <c r="K2430" s="10"/>
      <c r="M2430" s="7"/>
      <c r="N2430" s="8"/>
      <c r="O2430" s="4"/>
    </row>
    <row r="2431" customFormat="false" ht="15" hidden="false" customHeight="false" outlineLevel="0" collapsed="false">
      <c r="A2431" s="0" t="s">
        <v>3575</v>
      </c>
      <c r="C2431" s="0" t="s">
        <v>33</v>
      </c>
      <c r="D2431" s="7" t="n">
        <v>489</v>
      </c>
      <c r="E2431" s="8" t="n">
        <v>0.212576687116564</v>
      </c>
      <c r="F2431" s="4" t="n">
        <f aca="false">D2431*E2431</f>
        <v>103.95</v>
      </c>
      <c r="G2431" s="7" t="n">
        <v>428</v>
      </c>
      <c r="H2431" s="9" t="n">
        <f aca="false">IF(G2431&gt;0,D2431/G2431,"")</f>
        <v>1.14252336448598</v>
      </c>
      <c r="I2431" s="10" t="n">
        <v>46300</v>
      </c>
      <c r="J2431" s="3" t="s">
        <v>3576</v>
      </c>
      <c r="K2431" s="10" t="n">
        <v>46112</v>
      </c>
      <c r="L2431" s="3" t="s">
        <v>18</v>
      </c>
      <c r="M2431" s="7" t="n">
        <v>426</v>
      </c>
      <c r="N2431" s="8" t="n">
        <v>0.2154</v>
      </c>
      <c r="O2431" s="4" t="n">
        <f aca="false">M2431*N2431</f>
        <v>91.7604</v>
      </c>
    </row>
    <row r="2432" customFormat="false" ht="15" hidden="false" customHeight="false" outlineLevel="0" collapsed="false">
      <c r="A2432" s="0" t="s">
        <v>3577</v>
      </c>
      <c r="C2432" s="0" t="s">
        <v>41</v>
      </c>
      <c r="D2432" s="7" t="n">
        <v>3826</v>
      </c>
      <c r="E2432" s="8" t="n">
        <v>0.0271536853110298</v>
      </c>
      <c r="F2432" s="4" t="n">
        <f aca="false">D2432*E2432</f>
        <v>103.89</v>
      </c>
      <c r="G2432" s="7" t="n">
        <v>872</v>
      </c>
      <c r="H2432" s="9" t="n">
        <f aca="false">IF(G2432&gt;0,D2432/G2432,"")</f>
        <v>4.38761467889908</v>
      </c>
      <c r="I2432" s="10" t="n">
        <v>46304</v>
      </c>
      <c r="J2432" s="3" t="s">
        <v>3578</v>
      </c>
      <c r="K2432" s="10" t="n">
        <v>45343</v>
      </c>
      <c r="L2432" s="3" t="s">
        <v>19</v>
      </c>
      <c r="M2432" s="7" t="n">
        <v>10000</v>
      </c>
      <c r="N2432" s="8" t="n">
        <v>0.027</v>
      </c>
      <c r="O2432" s="4" t="n">
        <f aca="false">M2432*N2432</f>
        <v>270</v>
      </c>
    </row>
    <row r="2433" customFormat="false" ht="15" hidden="false" customHeight="false" outlineLevel="0" collapsed="false">
      <c r="A2433" s="0" t="s">
        <v>3579</v>
      </c>
      <c r="C2433" s="0" t="s">
        <v>340</v>
      </c>
      <c r="D2433" s="7" t="n">
        <v>3713</v>
      </c>
      <c r="E2433" s="8" t="n">
        <v>0.0279692970643684</v>
      </c>
      <c r="F2433" s="4" t="n">
        <f aca="false">D2433*E2433</f>
        <v>103.85</v>
      </c>
      <c r="G2433" s="7" t="n">
        <v>231</v>
      </c>
      <c r="H2433" s="9" t="n">
        <f aca="false">IF(G2433&gt;0,D2433/G2433,"")</f>
        <v>16.0735930735931</v>
      </c>
      <c r="I2433" s="10" t="n">
        <v>46210</v>
      </c>
      <c r="J2433" s="3" t="s">
        <v>341</v>
      </c>
      <c r="K2433" s="10" t="n">
        <v>46078</v>
      </c>
      <c r="L2433" s="3" t="s">
        <v>15</v>
      </c>
      <c r="M2433" s="7" t="n">
        <v>220</v>
      </c>
      <c r="N2433" s="8" t="n">
        <v>0.03065</v>
      </c>
      <c r="O2433" s="4" t="n">
        <f aca="false">M2433*N2433</f>
        <v>6.743</v>
      </c>
    </row>
    <row r="2434" customFormat="false" ht="15" hidden="false" customHeight="false" outlineLevel="0" collapsed="false">
      <c r="A2434" s="0" t="s">
        <v>3580</v>
      </c>
      <c r="C2434" s="0" t="s">
        <v>765</v>
      </c>
      <c r="D2434" s="7" t="n">
        <v>1204</v>
      </c>
      <c r="E2434" s="8" t="n">
        <v>0.0862375415282392</v>
      </c>
      <c r="F2434" s="4" t="n">
        <f aca="false">D2434*E2434</f>
        <v>103.83</v>
      </c>
      <c r="G2434" s="7" t="n">
        <v>6</v>
      </c>
      <c r="H2434" s="9" t="n">
        <f aca="false">IF(G2434&gt;0,D2434/G2434,"")</f>
        <v>200.666666666667</v>
      </c>
      <c r="I2434" s="10" t="n">
        <v>46248</v>
      </c>
      <c r="J2434" s="3" t="s">
        <v>1915</v>
      </c>
      <c r="K2434" s="10" t="n">
        <v>45736</v>
      </c>
      <c r="L2434" s="3" t="s">
        <v>19</v>
      </c>
      <c r="M2434" s="7" t="n">
        <v>50</v>
      </c>
      <c r="N2434" s="8" t="n">
        <v>0.3368</v>
      </c>
      <c r="O2434" s="4" t="n">
        <f aca="false">M2434*N2434</f>
        <v>16.84</v>
      </c>
    </row>
    <row r="2435" customFormat="false" ht="15" hidden="false" customHeight="false" outlineLevel="0" collapsed="false">
      <c r="A2435" s="0" t="s">
        <v>3581</v>
      </c>
      <c r="C2435" s="0" t="s">
        <v>100</v>
      </c>
      <c r="D2435" s="7" t="n">
        <v>6</v>
      </c>
      <c r="E2435" s="8" t="n">
        <v>17.3016666666667</v>
      </c>
      <c r="F2435" s="4" t="n">
        <f aca="false">D2435*E2435</f>
        <v>103.81</v>
      </c>
      <c r="G2435" s="7" t="n">
        <v>4</v>
      </c>
      <c r="H2435" s="9" t="n">
        <f aca="false">IF(G2435&gt;0,D2435/G2435,"")</f>
        <v>1.5</v>
      </c>
      <c r="I2435" s="10" t="n">
        <v>46265</v>
      </c>
      <c r="J2435" s="3" t="s">
        <v>553</v>
      </c>
      <c r="K2435" s="10" t="n">
        <v>44687</v>
      </c>
      <c r="L2435" s="3" t="s">
        <v>16</v>
      </c>
      <c r="M2435" s="7" t="n">
        <v>11</v>
      </c>
      <c r="N2435" s="8" t="n">
        <v>17.3009</v>
      </c>
      <c r="O2435" s="4" t="n">
        <f aca="false">M2435*N2435</f>
        <v>190.3099</v>
      </c>
    </row>
    <row r="2436" customFormat="false" ht="15" hidden="false" customHeight="false" outlineLevel="0" collapsed="false">
      <c r="A2436" s="0" t="s">
        <v>3582</v>
      </c>
      <c r="C2436" s="0" t="s">
        <v>36</v>
      </c>
      <c r="D2436" s="7" t="n">
        <v>885</v>
      </c>
      <c r="E2436" s="8" t="n">
        <v>0.117299435028249</v>
      </c>
      <c r="F2436" s="4" t="n">
        <f aca="false">D2436*E2436</f>
        <v>103.81</v>
      </c>
      <c r="G2436" s="7" t="n">
        <v>409</v>
      </c>
      <c r="H2436" s="9" t="n">
        <f aca="false">IF(G2436&gt;0,D2436/G2436,"")</f>
        <v>2.1638141809291</v>
      </c>
      <c r="I2436" s="10" t="n">
        <v>46244</v>
      </c>
      <c r="J2436" s="3" t="s">
        <v>3583</v>
      </c>
      <c r="K2436" s="10" t="n">
        <v>46106</v>
      </c>
      <c r="L2436" s="3" t="s">
        <v>18</v>
      </c>
      <c r="M2436" s="7" t="n">
        <v>900</v>
      </c>
      <c r="N2436" s="8" t="n">
        <v>0.1173</v>
      </c>
      <c r="O2436" s="4" t="n">
        <f aca="false">M2436*N2436</f>
        <v>105.57</v>
      </c>
    </row>
    <row r="2437" customFormat="false" ht="15" hidden="false" customHeight="false" outlineLevel="0" collapsed="false">
      <c r="A2437" s="0" t="s">
        <v>3584</v>
      </c>
      <c r="C2437" s="0" t="s">
        <v>34</v>
      </c>
      <c r="D2437" s="7" t="n">
        <v>4006</v>
      </c>
      <c r="E2437" s="8" t="n">
        <v>0.0259011482775836</v>
      </c>
      <c r="F2437" s="4" t="n">
        <f aca="false">D2437*E2437</f>
        <v>103.76</v>
      </c>
      <c r="G2437" s="7" t="n">
        <v>1069</v>
      </c>
      <c r="H2437" s="9" t="n">
        <f aca="false">IF(G2437&gt;0,D2437/G2437,"")</f>
        <v>3.74742750233863</v>
      </c>
      <c r="I2437" s="10" t="n">
        <v>46254</v>
      </c>
      <c r="K2437" s="10"/>
      <c r="M2437" s="7"/>
      <c r="N2437" s="8"/>
      <c r="O2437" s="4"/>
    </row>
    <row r="2438" customFormat="false" ht="15" hidden="false" customHeight="false" outlineLevel="0" collapsed="false">
      <c r="A2438" s="0" t="s">
        <v>3585</v>
      </c>
      <c r="C2438" s="0" t="s">
        <v>1169</v>
      </c>
      <c r="D2438" s="7" t="n">
        <v>2303</v>
      </c>
      <c r="E2438" s="8" t="n">
        <v>0.0449978289188016</v>
      </c>
      <c r="F2438" s="4" t="n">
        <f aca="false">D2438*E2438</f>
        <v>103.63</v>
      </c>
      <c r="G2438" s="7" t="n">
        <v>68</v>
      </c>
      <c r="H2438" s="9" t="n">
        <f aca="false">IF(G2438&gt;0,D2438/G2438,"")</f>
        <v>33.8676470588235</v>
      </c>
      <c r="I2438" s="10" t="n">
        <v>46161</v>
      </c>
      <c r="J2438" s="3" t="s">
        <v>3390</v>
      </c>
      <c r="K2438" s="10" t="n">
        <v>45415</v>
      </c>
      <c r="L2438" s="3" t="s">
        <v>21</v>
      </c>
      <c r="M2438" s="7" t="n">
        <v>2500</v>
      </c>
      <c r="N2438" s="8" t="n">
        <v>0.045</v>
      </c>
      <c r="O2438" s="4" t="n">
        <f aca="false">M2438*N2438</f>
        <v>112.5</v>
      </c>
    </row>
    <row r="2439" customFormat="false" ht="15" hidden="false" customHeight="false" outlineLevel="0" collapsed="false">
      <c r="A2439" s="0" t="s">
        <v>3586</v>
      </c>
      <c r="C2439" s="0" t="s">
        <v>41</v>
      </c>
      <c r="D2439" s="7" t="n">
        <v>4680</v>
      </c>
      <c r="E2439" s="8" t="n">
        <v>0.0221025641025641</v>
      </c>
      <c r="F2439" s="4" t="n">
        <f aca="false">D2439*E2439</f>
        <v>103.44</v>
      </c>
      <c r="G2439" s="7" t="n">
        <v>120</v>
      </c>
      <c r="H2439" s="9" t="n">
        <f aca="false">IF(G2439&gt;0,D2439/G2439,"")</f>
        <v>39</v>
      </c>
      <c r="I2439" s="10" t="n">
        <v>46055</v>
      </c>
      <c r="K2439" s="10"/>
      <c r="M2439" s="7"/>
      <c r="N2439" s="8"/>
      <c r="O2439" s="4"/>
    </row>
    <row r="2440" customFormat="false" ht="15" hidden="false" customHeight="false" outlineLevel="0" collapsed="false">
      <c r="A2440" s="0" t="s">
        <v>3587</v>
      </c>
      <c r="C2440" s="0" t="s">
        <v>777</v>
      </c>
      <c r="D2440" s="7" t="n">
        <v>1490</v>
      </c>
      <c r="E2440" s="8" t="n">
        <v>0.0694026845637584</v>
      </c>
      <c r="F2440" s="4" t="n">
        <f aca="false">D2440*E2440</f>
        <v>103.41</v>
      </c>
      <c r="G2440" s="7" t="n">
        <v>10</v>
      </c>
      <c r="H2440" s="9" t="n">
        <f aca="false">IF(G2440&gt;0,D2440/G2440,"")</f>
        <v>149</v>
      </c>
      <c r="I2440" s="10" t="n">
        <v>46226</v>
      </c>
      <c r="J2440" s="3" t="s">
        <v>341</v>
      </c>
      <c r="K2440" s="10" t="n">
        <v>46078</v>
      </c>
      <c r="L2440" s="3" t="s">
        <v>15</v>
      </c>
      <c r="M2440" s="7" t="n">
        <v>1500</v>
      </c>
      <c r="N2440" s="8" t="n">
        <v>0.0694</v>
      </c>
      <c r="O2440" s="4" t="n">
        <f aca="false">M2440*N2440</f>
        <v>104.1</v>
      </c>
    </row>
    <row r="2441" customFormat="false" ht="15" hidden="false" customHeight="false" outlineLevel="0" collapsed="false">
      <c r="A2441" s="0" t="s">
        <v>3588</v>
      </c>
      <c r="C2441" s="0" t="s">
        <v>36</v>
      </c>
      <c r="D2441" s="7" t="n">
        <v>4731</v>
      </c>
      <c r="E2441" s="8" t="n">
        <v>0.021849503276263</v>
      </c>
      <c r="F2441" s="4" t="n">
        <f aca="false">D2441*E2441</f>
        <v>103.37</v>
      </c>
      <c r="G2441" s="7" t="n">
        <v>3022</v>
      </c>
      <c r="H2441" s="9" t="n">
        <f aca="false">IF(G2441&gt;0,D2441/G2441,"")</f>
        <v>1.56551952349437</v>
      </c>
      <c r="I2441" s="10" t="n">
        <v>46226</v>
      </c>
      <c r="J2441" s="3" t="s">
        <v>247</v>
      </c>
      <c r="K2441" s="10" t="n">
        <v>44914</v>
      </c>
      <c r="L2441" s="3" t="s">
        <v>19</v>
      </c>
      <c r="M2441" s="7" t="n">
        <v>2000</v>
      </c>
      <c r="N2441" s="8" t="n">
        <v>0.0167</v>
      </c>
      <c r="O2441" s="4" t="n">
        <f aca="false">M2441*N2441</f>
        <v>33.4</v>
      </c>
    </row>
    <row r="2442" customFormat="false" ht="15" hidden="false" customHeight="false" outlineLevel="0" collapsed="false">
      <c r="A2442" s="0" t="s">
        <v>3589</v>
      </c>
      <c r="C2442" s="0" t="s">
        <v>340</v>
      </c>
      <c r="D2442" s="7" t="n">
        <v>6711</v>
      </c>
      <c r="E2442" s="8" t="n">
        <v>0.0154000894054537</v>
      </c>
      <c r="F2442" s="4" t="n">
        <f aca="false">D2442*E2442</f>
        <v>103.35</v>
      </c>
      <c r="G2442" s="7" t="n">
        <v>3008</v>
      </c>
      <c r="H2442" s="9" t="n">
        <f aca="false">IF(G2442&gt;0,D2442/G2442,"")</f>
        <v>2.23105053191489</v>
      </c>
      <c r="I2442" s="10" t="n">
        <v>46310</v>
      </c>
      <c r="J2442" s="3" t="s">
        <v>3590</v>
      </c>
      <c r="K2442" s="10" t="n">
        <v>45967</v>
      </c>
      <c r="L2442" s="3" t="s">
        <v>16</v>
      </c>
      <c r="M2442" s="7" t="n">
        <v>10000</v>
      </c>
      <c r="N2442" s="8" t="n">
        <v>0.0154</v>
      </c>
      <c r="O2442" s="4" t="n">
        <f aca="false">M2442*N2442</f>
        <v>154</v>
      </c>
    </row>
    <row r="2443" customFormat="false" ht="15" hidden="false" customHeight="false" outlineLevel="0" collapsed="false">
      <c r="A2443" s="0" t="s">
        <v>3591</v>
      </c>
      <c r="C2443" s="0" t="s">
        <v>340</v>
      </c>
      <c r="D2443" s="7" t="n">
        <v>1481</v>
      </c>
      <c r="E2443" s="8" t="n">
        <v>0.069696151249156</v>
      </c>
      <c r="F2443" s="4" t="n">
        <f aca="false">D2443*E2443</f>
        <v>103.22</v>
      </c>
      <c r="G2443" s="7" t="n">
        <v>30</v>
      </c>
      <c r="H2443" s="9" t="n">
        <f aca="false">IF(G2443&gt;0,D2443/G2443,"")</f>
        <v>49.3666666666667</v>
      </c>
      <c r="I2443" s="10" t="n">
        <v>46314</v>
      </c>
      <c r="J2443" s="3" t="s">
        <v>523</v>
      </c>
      <c r="K2443" s="10" t="n">
        <v>46148</v>
      </c>
      <c r="L2443" s="3" t="s">
        <v>16</v>
      </c>
      <c r="M2443" s="7" t="n">
        <v>1511</v>
      </c>
      <c r="N2443" s="8" t="n">
        <v>0.0697</v>
      </c>
      <c r="O2443" s="4" t="n">
        <f aca="false">M2443*N2443</f>
        <v>105.3167</v>
      </c>
    </row>
    <row r="2444" customFormat="false" ht="15" hidden="false" customHeight="false" outlineLevel="0" collapsed="false">
      <c r="A2444" s="0" t="s">
        <v>3592</v>
      </c>
      <c r="C2444" s="0" t="s">
        <v>285</v>
      </c>
      <c r="D2444" s="7" t="n">
        <v>6223</v>
      </c>
      <c r="E2444" s="8" t="n">
        <v>0.0165804274465692</v>
      </c>
      <c r="F2444" s="4" t="n">
        <f aca="false">D2444*E2444</f>
        <v>103.18</v>
      </c>
      <c r="G2444" s="7" t="n">
        <v>405</v>
      </c>
      <c r="H2444" s="9" t="n">
        <f aca="false">IF(G2444&gt;0,D2444/G2444,"")</f>
        <v>15.3654320987654</v>
      </c>
      <c r="I2444" s="10" t="n">
        <v>46240</v>
      </c>
      <c r="K2444" s="10"/>
      <c r="M2444" s="7"/>
      <c r="N2444" s="8"/>
      <c r="O2444" s="4"/>
    </row>
    <row r="2445" customFormat="false" ht="15" hidden="false" customHeight="false" outlineLevel="0" collapsed="false">
      <c r="A2445" s="0" t="s">
        <v>3593</v>
      </c>
      <c r="C2445" s="0" t="s">
        <v>889</v>
      </c>
      <c r="D2445" s="7" t="n">
        <v>432</v>
      </c>
      <c r="E2445" s="8" t="n">
        <v>0.238773148148148</v>
      </c>
      <c r="F2445" s="4" t="n">
        <f aca="false">D2445*E2445</f>
        <v>103.15</v>
      </c>
      <c r="G2445" s="7" t="n">
        <v>10</v>
      </c>
      <c r="H2445" s="9" t="n">
        <f aca="false">IF(G2445&gt;0,D2445/G2445,"")</f>
        <v>43.2</v>
      </c>
      <c r="I2445" s="10" t="n">
        <v>46036</v>
      </c>
      <c r="K2445" s="10"/>
      <c r="M2445" s="7"/>
      <c r="N2445" s="8"/>
      <c r="O2445" s="4"/>
    </row>
    <row r="2446" customFormat="false" ht="15" hidden="false" customHeight="false" outlineLevel="0" collapsed="false">
      <c r="A2446" s="0" t="s">
        <v>3594</v>
      </c>
      <c r="C2446" s="0" t="s">
        <v>583</v>
      </c>
      <c r="D2446" s="7" t="n">
        <v>2157</v>
      </c>
      <c r="E2446" s="8" t="n">
        <v>0.0476773296244785</v>
      </c>
      <c r="F2446" s="4" t="n">
        <f aca="false">D2446*E2446</f>
        <v>102.84</v>
      </c>
      <c r="G2446" s="7" t="n">
        <v>93</v>
      </c>
      <c r="H2446" s="9" t="n">
        <f aca="false">IF(G2446&gt;0,D2446/G2446,"")</f>
        <v>23.1935483870968</v>
      </c>
      <c r="I2446" s="10" t="n">
        <v>46210</v>
      </c>
      <c r="J2446" s="3" t="s">
        <v>1054</v>
      </c>
      <c r="K2446" s="10" t="n">
        <v>46224</v>
      </c>
      <c r="L2446" s="3" t="s">
        <v>16</v>
      </c>
      <c r="M2446" s="7" t="n">
        <v>2000</v>
      </c>
      <c r="N2446" s="8" t="n">
        <v>0.0383</v>
      </c>
      <c r="O2446" s="4" t="n">
        <f aca="false">M2446*N2446</f>
        <v>76.6</v>
      </c>
    </row>
    <row r="2447" customFormat="false" ht="15" hidden="false" customHeight="false" outlineLevel="0" collapsed="false">
      <c r="A2447" s="0" t="s">
        <v>3595</v>
      </c>
      <c r="C2447" s="0" t="s">
        <v>40</v>
      </c>
      <c r="D2447" s="7" t="n">
        <v>2413</v>
      </c>
      <c r="E2447" s="8" t="n">
        <v>0.0425984251968504</v>
      </c>
      <c r="F2447" s="4" t="n">
        <f aca="false">D2447*E2447</f>
        <v>102.79</v>
      </c>
      <c r="G2447" s="7" t="n">
        <v>1426</v>
      </c>
      <c r="H2447" s="9" t="n">
        <f aca="false">IF(G2447&gt;0,D2447/G2447,"")</f>
        <v>1.69214586255259</v>
      </c>
      <c r="I2447" s="10" t="n">
        <v>46259</v>
      </c>
      <c r="J2447" s="3" t="s">
        <v>3596</v>
      </c>
      <c r="K2447" s="10" t="n">
        <v>46000</v>
      </c>
      <c r="L2447" s="3" t="s">
        <v>18</v>
      </c>
      <c r="M2447" s="7" t="n">
        <v>3750</v>
      </c>
      <c r="N2447" s="8" t="n">
        <v>0.0426</v>
      </c>
      <c r="O2447" s="4" t="n">
        <f aca="false">M2447*N2447</f>
        <v>159.75</v>
      </c>
    </row>
    <row r="2448" customFormat="false" ht="15" hidden="false" customHeight="false" outlineLevel="0" collapsed="false">
      <c r="A2448" s="0" t="s">
        <v>3597</v>
      </c>
      <c r="C2448" s="0" t="s">
        <v>855</v>
      </c>
      <c r="D2448" s="7" t="n">
        <v>14334</v>
      </c>
      <c r="E2448" s="8" t="n">
        <v>0.00716966652713827</v>
      </c>
      <c r="F2448" s="4" t="n">
        <f aca="false">D2448*E2448</f>
        <v>102.77</v>
      </c>
      <c r="G2448" s="7" t="n">
        <v>136</v>
      </c>
      <c r="H2448" s="9" t="n">
        <f aca="false">IF(G2448&gt;0,D2448/G2448,"")</f>
        <v>105.397058823529</v>
      </c>
      <c r="I2448" s="10" t="n">
        <v>46302</v>
      </c>
      <c r="J2448" s="3" t="s">
        <v>2789</v>
      </c>
      <c r="K2448" s="10" t="n">
        <v>44256</v>
      </c>
      <c r="L2448" s="3" t="s">
        <v>15</v>
      </c>
      <c r="M2448" s="7" t="n">
        <v>16640</v>
      </c>
      <c r="N2448" s="8" t="n">
        <v>0.00717</v>
      </c>
      <c r="O2448" s="4" t="n">
        <f aca="false">M2448*N2448</f>
        <v>119.3088</v>
      </c>
    </row>
    <row r="2449" customFormat="false" ht="15" hidden="false" customHeight="false" outlineLevel="0" collapsed="false">
      <c r="A2449" s="0" t="s">
        <v>3598</v>
      </c>
      <c r="C2449" s="0" t="s">
        <v>31</v>
      </c>
      <c r="D2449" s="7" t="n">
        <v>8490</v>
      </c>
      <c r="E2449" s="8" t="n">
        <v>0.0121001177856302</v>
      </c>
      <c r="F2449" s="4" t="n">
        <f aca="false">D2449*E2449</f>
        <v>102.73</v>
      </c>
      <c r="G2449" s="7" t="n">
        <v>6965</v>
      </c>
      <c r="H2449" s="9" t="n">
        <f aca="false">IF(G2449&gt;0,D2449/G2449,"")</f>
        <v>1.21895190236899</v>
      </c>
      <c r="I2449" s="10" t="n">
        <v>46269</v>
      </c>
      <c r="J2449" s="3" t="s">
        <v>3599</v>
      </c>
      <c r="K2449" s="10" t="n">
        <v>44795</v>
      </c>
      <c r="L2449" s="3" t="s">
        <v>20</v>
      </c>
      <c r="M2449" s="7" t="n">
        <v>25000</v>
      </c>
      <c r="N2449" s="8" t="n">
        <v>0.0121</v>
      </c>
      <c r="O2449" s="4" t="n">
        <f aca="false">M2449*N2449</f>
        <v>302.5</v>
      </c>
    </row>
    <row r="2450" customFormat="false" ht="15" hidden="false" customHeight="false" outlineLevel="0" collapsed="false">
      <c r="A2450" s="0" t="s">
        <v>3600</v>
      </c>
      <c r="C2450" s="0" t="s">
        <v>609</v>
      </c>
      <c r="D2450" s="7" t="n">
        <v>96</v>
      </c>
      <c r="E2450" s="8" t="n">
        <v>1.07</v>
      </c>
      <c r="F2450" s="4" t="n">
        <f aca="false">D2450*E2450</f>
        <v>102.72</v>
      </c>
      <c r="G2450" s="7" t="n">
        <v>3</v>
      </c>
      <c r="H2450" s="9" t="n">
        <f aca="false">IF(G2450&gt;0,D2450/G2450,"")</f>
        <v>32</v>
      </c>
      <c r="I2450" s="10" t="n">
        <v>46302</v>
      </c>
      <c r="J2450" s="3" t="s">
        <v>3601</v>
      </c>
      <c r="K2450" s="10" t="n">
        <v>44199</v>
      </c>
      <c r="L2450" s="3" t="s">
        <v>1878</v>
      </c>
      <c r="M2450" s="7" t="n">
        <v>83</v>
      </c>
      <c r="N2450" s="8" t="n">
        <v>1.07</v>
      </c>
      <c r="O2450" s="4" t="n">
        <f aca="false">M2450*N2450</f>
        <v>88.81</v>
      </c>
    </row>
    <row r="2451" customFormat="false" ht="15" hidden="false" customHeight="false" outlineLevel="0" collapsed="false">
      <c r="A2451" s="0" t="s">
        <v>3602</v>
      </c>
      <c r="C2451" s="0" t="s">
        <v>33</v>
      </c>
      <c r="D2451" s="7" t="n">
        <v>502</v>
      </c>
      <c r="E2451" s="8" t="n">
        <v>0.204501992031873</v>
      </c>
      <c r="F2451" s="4" t="n">
        <f aca="false">D2451*E2451</f>
        <v>102.66</v>
      </c>
      <c r="G2451" s="7" t="n">
        <v>342</v>
      </c>
      <c r="H2451" s="9" t="n">
        <f aca="false">IF(G2451&gt;0,D2451/G2451,"")</f>
        <v>1.46783625730994</v>
      </c>
      <c r="I2451" s="10" t="n">
        <v>46295</v>
      </c>
      <c r="J2451" s="3" t="s">
        <v>230</v>
      </c>
      <c r="K2451" s="10" t="n">
        <v>46303</v>
      </c>
      <c r="L2451" s="3" t="s">
        <v>18</v>
      </c>
      <c r="M2451" s="7" t="n">
        <v>250</v>
      </c>
      <c r="N2451" s="8" t="n">
        <v>0.205</v>
      </c>
      <c r="O2451" s="4" t="n">
        <f aca="false">M2451*N2451</f>
        <v>51.25</v>
      </c>
    </row>
    <row r="2452" customFormat="false" ht="15" hidden="false" customHeight="false" outlineLevel="0" collapsed="false">
      <c r="A2452" s="0" t="s">
        <v>3603</v>
      </c>
      <c r="C2452" s="0" t="s">
        <v>31</v>
      </c>
      <c r="D2452" s="7" t="n">
        <v>7244</v>
      </c>
      <c r="E2452" s="8" t="n">
        <v>0.0141662065157372</v>
      </c>
      <c r="F2452" s="4" t="n">
        <f aca="false">D2452*E2452</f>
        <v>102.62</v>
      </c>
      <c r="G2452" s="7" t="n">
        <v>5654</v>
      </c>
      <c r="H2452" s="9" t="n">
        <f aca="false">IF(G2452&gt;0,D2452/G2452,"")</f>
        <v>1.28121683763707</v>
      </c>
      <c r="I2452" s="10" t="n">
        <v>46287</v>
      </c>
      <c r="J2452" s="3" t="s">
        <v>478</v>
      </c>
      <c r="K2452" s="10" t="n">
        <v>46185</v>
      </c>
      <c r="L2452" s="3" t="s">
        <v>16</v>
      </c>
      <c r="M2452" s="7" t="n">
        <v>12311</v>
      </c>
      <c r="N2452" s="8" t="n">
        <v>0.0144</v>
      </c>
      <c r="O2452" s="4" t="n">
        <f aca="false">M2452*N2452</f>
        <v>177.2784</v>
      </c>
    </row>
    <row r="2453" customFormat="false" ht="15" hidden="false" customHeight="false" outlineLevel="0" collapsed="false">
      <c r="A2453" s="0" t="s">
        <v>3604</v>
      </c>
      <c r="C2453" s="0" t="s">
        <v>69</v>
      </c>
      <c r="D2453" s="7" t="n">
        <v>224</v>
      </c>
      <c r="E2453" s="8" t="n">
        <v>0.458125</v>
      </c>
      <c r="F2453" s="4" t="n">
        <f aca="false">D2453*E2453</f>
        <v>102.62</v>
      </c>
      <c r="G2453" s="7" t="n">
        <v>104</v>
      </c>
      <c r="H2453" s="9" t="n">
        <f aca="false">IF(G2453&gt;0,D2453/G2453,"")</f>
        <v>2.15384615384615</v>
      </c>
      <c r="I2453" s="10" t="n">
        <v>46234</v>
      </c>
      <c r="J2453" s="3" t="s">
        <v>1863</v>
      </c>
      <c r="K2453" s="10" t="n">
        <v>45958</v>
      </c>
      <c r="L2453" s="3" t="s">
        <v>14</v>
      </c>
      <c r="M2453" s="7" t="n">
        <v>328</v>
      </c>
      <c r="N2453" s="8" t="n">
        <v>0.4581</v>
      </c>
      <c r="O2453" s="4" t="n">
        <f aca="false">M2453*N2453</f>
        <v>150.2568</v>
      </c>
    </row>
    <row r="2454" customFormat="false" ht="15" hidden="false" customHeight="false" outlineLevel="0" collapsed="false">
      <c r="A2454" s="0" t="s">
        <v>3605</v>
      </c>
      <c r="C2454" s="0" t="s">
        <v>36</v>
      </c>
      <c r="D2454" s="7" t="n">
        <v>288</v>
      </c>
      <c r="E2454" s="8" t="n">
        <v>0.356284722222222</v>
      </c>
      <c r="F2454" s="4" t="n">
        <f aca="false">D2454*E2454</f>
        <v>102.61</v>
      </c>
      <c r="G2454" s="7" t="n">
        <v>12</v>
      </c>
      <c r="H2454" s="9" t="n">
        <f aca="false">IF(G2454&gt;0,D2454/G2454,"")</f>
        <v>24</v>
      </c>
      <c r="I2454" s="10" t="n">
        <v>46185</v>
      </c>
      <c r="J2454" s="3" t="s">
        <v>3583</v>
      </c>
      <c r="K2454" s="10" t="n">
        <v>46106</v>
      </c>
      <c r="L2454" s="3" t="s">
        <v>18</v>
      </c>
      <c r="M2454" s="7" t="n">
        <v>300</v>
      </c>
      <c r="N2454" s="8" t="n">
        <v>0.3563</v>
      </c>
      <c r="O2454" s="4" t="n">
        <f aca="false">M2454*N2454</f>
        <v>106.89</v>
      </c>
    </row>
    <row r="2455" customFormat="false" ht="15" hidden="false" customHeight="false" outlineLevel="0" collapsed="false">
      <c r="A2455" s="0" t="s">
        <v>3606</v>
      </c>
      <c r="C2455" s="0" t="s">
        <v>1161</v>
      </c>
      <c r="D2455" s="7" t="n">
        <v>171</v>
      </c>
      <c r="E2455" s="8" t="n">
        <v>0.599473684210526</v>
      </c>
      <c r="F2455" s="4" t="n">
        <f aca="false">D2455*E2455</f>
        <v>102.51</v>
      </c>
      <c r="G2455" s="7" t="n">
        <v>56</v>
      </c>
      <c r="H2455" s="9" t="n">
        <f aca="false">IF(G2455&gt;0,D2455/G2455,"")</f>
        <v>3.05357142857143</v>
      </c>
      <c r="I2455" s="10" t="n">
        <v>46304</v>
      </c>
      <c r="J2455" s="3" t="s">
        <v>3607</v>
      </c>
      <c r="K2455" s="10" t="n">
        <v>45243</v>
      </c>
      <c r="L2455" s="3" t="s">
        <v>936</v>
      </c>
      <c r="M2455" s="7" t="n">
        <v>251</v>
      </c>
      <c r="N2455" s="8" t="n">
        <v>0.5995</v>
      </c>
      <c r="O2455" s="4" t="n">
        <f aca="false">M2455*N2455</f>
        <v>150.4745</v>
      </c>
    </row>
    <row r="2456" customFormat="false" ht="15" hidden="false" customHeight="false" outlineLevel="0" collapsed="false">
      <c r="A2456" s="0" t="s">
        <v>3608</v>
      </c>
      <c r="C2456" s="0" t="s">
        <v>41</v>
      </c>
      <c r="D2456" s="7" t="n">
        <v>22713</v>
      </c>
      <c r="E2456" s="8" t="n">
        <v>0.00451151323030863</v>
      </c>
      <c r="F2456" s="4" t="n">
        <f aca="false">D2456*E2456</f>
        <v>102.47</v>
      </c>
      <c r="G2456" s="7" t="n">
        <v>10641</v>
      </c>
      <c r="H2456" s="9" t="n">
        <f aca="false">IF(G2456&gt;0,D2456/G2456,"")</f>
        <v>2.1344798421201</v>
      </c>
      <c r="I2456" s="10" t="n">
        <v>46308</v>
      </c>
      <c r="J2456" s="3" t="s">
        <v>457</v>
      </c>
      <c r="K2456" s="10" t="n">
        <v>45866</v>
      </c>
      <c r="L2456" s="3" t="s">
        <v>16</v>
      </c>
      <c r="M2456" s="7" t="n">
        <v>33335</v>
      </c>
      <c r="N2456" s="8" t="n">
        <v>0.0045</v>
      </c>
      <c r="O2456" s="4" t="n">
        <f aca="false">M2456*N2456</f>
        <v>150.0075</v>
      </c>
    </row>
    <row r="2457" customFormat="false" ht="15" hidden="false" customHeight="false" outlineLevel="0" collapsed="false">
      <c r="A2457" s="0" t="s">
        <v>3609</v>
      </c>
      <c r="C2457" s="0" t="s">
        <v>31</v>
      </c>
      <c r="D2457" s="7" t="n">
        <v>34545</v>
      </c>
      <c r="E2457" s="8" t="n">
        <v>0.00296627587205095</v>
      </c>
      <c r="F2457" s="4" t="n">
        <f aca="false">D2457*E2457</f>
        <v>102.47</v>
      </c>
      <c r="G2457" s="7" t="n">
        <v>2858</v>
      </c>
      <c r="H2457" s="9" t="n">
        <f aca="false">IF(G2457&gt;0,D2457/G2457,"")</f>
        <v>12.0871238628411</v>
      </c>
      <c r="I2457" s="10" t="n">
        <v>46311</v>
      </c>
      <c r="K2457" s="10"/>
      <c r="M2457" s="7"/>
      <c r="N2457" s="8"/>
      <c r="O2457" s="4"/>
    </row>
    <row r="2458" customFormat="false" ht="15" hidden="false" customHeight="false" outlineLevel="0" collapsed="false">
      <c r="A2458" s="0" t="s">
        <v>3610</v>
      </c>
      <c r="C2458" s="0" t="s">
        <v>118</v>
      </c>
      <c r="D2458" s="7" t="n">
        <v>907</v>
      </c>
      <c r="E2458" s="8" t="n">
        <v>0.112976846747519</v>
      </c>
      <c r="F2458" s="4" t="n">
        <f aca="false">D2458*E2458</f>
        <v>102.47</v>
      </c>
      <c r="G2458" s="7" t="n">
        <v>130</v>
      </c>
      <c r="H2458" s="9" t="n">
        <f aca="false">IF(G2458&gt;0,D2458/G2458,"")</f>
        <v>6.97692307692308</v>
      </c>
      <c r="I2458" s="10" t="n">
        <v>46300</v>
      </c>
      <c r="J2458" s="3" t="s">
        <v>3590</v>
      </c>
      <c r="K2458" s="10" t="n">
        <v>45967</v>
      </c>
      <c r="L2458" s="3" t="s">
        <v>16</v>
      </c>
      <c r="M2458" s="7" t="n">
        <v>1000</v>
      </c>
      <c r="N2458" s="8" t="n">
        <v>0.1131</v>
      </c>
      <c r="O2458" s="4" t="n">
        <f aca="false">M2458*N2458</f>
        <v>113.1</v>
      </c>
    </row>
    <row r="2459" customFormat="false" ht="15" hidden="false" customHeight="false" outlineLevel="0" collapsed="false">
      <c r="A2459" s="0" t="s">
        <v>3611</v>
      </c>
      <c r="C2459" s="0" t="s">
        <v>298</v>
      </c>
      <c r="D2459" s="7" t="n">
        <v>5380</v>
      </c>
      <c r="E2459" s="8" t="n">
        <v>0.0190315985130112</v>
      </c>
      <c r="F2459" s="4" t="n">
        <f aca="false">D2459*E2459</f>
        <v>102.39</v>
      </c>
      <c r="G2459" s="7" t="n">
        <v>636</v>
      </c>
      <c r="H2459" s="9" t="n">
        <f aca="false">IF(G2459&gt;0,D2459/G2459,"")</f>
        <v>8.45911949685535</v>
      </c>
      <c r="I2459" s="10" t="n">
        <v>46296</v>
      </c>
      <c r="K2459" s="10"/>
      <c r="M2459" s="7"/>
      <c r="N2459" s="8"/>
      <c r="O2459" s="4"/>
    </row>
    <row r="2460" customFormat="false" ht="15" hidden="false" customHeight="false" outlineLevel="0" collapsed="false">
      <c r="A2460" s="0" t="s">
        <v>3612</v>
      </c>
      <c r="C2460" s="0" t="s">
        <v>295</v>
      </c>
      <c r="D2460" s="7" t="n">
        <v>3776</v>
      </c>
      <c r="E2460" s="8" t="n">
        <v>0.0271001059322034</v>
      </c>
      <c r="F2460" s="4" t="n">
        <f aca="false">D2460*E2460</f>
        <v>102.33</v>
      </c>
      <c r="G2460" s="7" t="n">
        <v>2206</v>
      </c>
      <c r="H2460" s="9" t="n">
        <f aca="false">IF(G2460&gt;0,D2460/G2460,"")</f>
        <v>1.7116953762466</v>
      </c>
      <c r="I2460" s="10" t="n">
        <v>46310</v>
      </c>
      <c r="J2460" s="3" t="s">
        <v>620</v>
      </c>
      <c r="K2460" s="10" t="n">
        <v>46146</v>
      </c>
      <c r="L2460" s="3" t="s">
        <v>16</v>
      </c>
      <c r="M2460" s="7" t="n">
        <v>5000</v>
      </c>
      <c r="N2460" s="8" t="n">
        <v>0.0271</v>
      </c>
      <c r="O2460" s="4" t="n">
        <f aca="false">M2460*N2460</f>
        <v>135.5</v>
      </c>
    </row>
    <row r="2461" customFormat="false" ht="15" hidden="false" customHeight="false" outlineLevel="0" collapsed="false">
      <c r="A2461" s="0" t="s">
        <v>3613</v>
      </c>
      <c r="C2461" s="0" t="s">
        <v>40</v>
      </c>
      <c r="D2461" s="7" t="n">
        <v>3189</v>
      </c>
      <c r="E2461" s="8" t="n">
        <v>0.0320727500783945</v>
      </c>
      <c r="F2461" s="4" t="n">
        <f aca="false">D2461*E2461</f>
        <v>102.28</v>
      </c>
      <c r="G2461" s="7" t="n">
        <v>69</v>
      </c>
      <c r="H2461" s="9" t="n">
        <f aca="false">IF(G2461&gt;0,D2461/G2461,"")</f>
        <v>46.2173913043478</v>
      </c>
      <c r="I2461" s="10" t="n">
        <v>46268</v>
      </c>
      <c r="J2461" s="3" t="s">
        <v>3614</v>
      </c>
      <c r="K2461" s="10" t="n">
        <v>44840</v>
      </c>
      <c r="L2461" s="3" t="s">
        <v>18</v>
      </c>
      <c r="M2461" s="7" t="n">
        <v>4780</v>
      </c>
      <c r="N2461" s="8" t="n">
        <v>0.0321</v>
      </c>
      <c r="O2461" s="4" t="n">
        <f aca="false">M2461*N2461</f>
        <v>153.438</v>
      </c>
    </row>
    <row r="2462" customFormat="false" ht="15" hidden="false" customHeight="false" outlineLevel="0" collapsed="false">
      <c r="A2462" s="0" t="s">
        <v>3615</v>
      </c>
      <c r="C2462" s="0" t="s">
        <v>38</v>
      </c>
      <c r="D2462" s="7" t="n">
        <v>779</v>
      </c>
      <c r="E2462" s="8" t="n">
        <v>0.131219512195122</v>
      </c>
      <c r="F2462" s="4" t="n">
        <f aca="false">D2462*E2462</f>
        <v>102.22</v>
      </c>
      <c r="G2462" s="7" t="n">
        <v>12</v>
      </c>
      <c r="H2462" s="9" t="n">
        <f aca="false">IF(G2462&gt;0,D2462/G2462,"")</f>
        <v>64.9166666666667</v>
      </c>
      <c r="I2462" s="10" t="n">
        <v>46183</v>
      </c>
      <c r="J2462" s="3" t="s">
        <v>3616</v>
      </c>
      <c r="K2462" s="10" t="n">
        <v>45471</v>
      </c>
      <c r="L2462" s="3" t="s">
        <v>18</v>
      </c>
      <c r="M2462" s="7" t="n">
        <v>800</v>
      </c>
      <c r="N2462" s="8" t="n">
        <v>0.1312</v>
      </c>
      <c r="O2462" s="4" t="n">
        <f aca="false">M2462*N2462</f>
        <v>104.96</v>
      </c>
    </row>
    <row r="2463" customFormat="false" ht="15" hidden="false" customHeight="false" outlineLevel="0" collapsed="false">
      <c r="A2463" s="0" t="s">
        <v>3617</v>
      </c>
      <c r="C2463" s="0" t="s">
        <v>33</v>
      </c>
      <c r="D2463" s="7" t="n">
        <v>202</v>
      </c>
      <c r="E2463" s="8" t="n">
        <v>0.505990099009901</v>
      </c>
      <c r="F2463" s="4" t="n">
        <f aca="false">D2463*E2463</f>
        <v>102.21</v>
      </c>
      <c r="G2463" s="7" t="n">
        <v>192</v>
      </c>
      <c r="H2463" s="9" t="n">
        <f aca="false">IF(G2463&gt;0,D2463/G2463,"")</f>
        <v>1.05208333333333</v>
      </c>
      <c r="I2463" s="10" t="n">
        <v>46283</v>
      </c>
      <c r="J2463" s="3" t="s">
        <v>3618</v>
      </c>
      <c r="K2463" s="10" t="n">
        <v>46155</v>
      </c>
      <c r="L2463" s="3" t="s">
        <v>18</v>
      </c>
      <c r="M2463" s="7" t="n">
        <v>212</v>
      </c>
      <c r="N2463" s="8" t="n">
        <v>0.506</v>
      </c>
      <c r="O2463" s="4" t="n">
        <f aca="false">M2463*N2463</f>
        <v>107.272</v>
      </c>
    </row>
    <row r="2464" customFormat="false" ht="15" hidden="false" customHeight="false" outlineLevel="0" collapsed="false">
      <c r="A2464" s="0" t="s">
        <v>3619</v>
      </c>
      <c r="C2464" s="0" t="s">
        <v>799</v>
      </c>
      <c r="D2464" s="7" t="n">
        <v>54</v>
      </c>
      <c r="E2464" s="8" t="n">
        <v>1.89277777777778</v>
      </c>
      <c r="F2464" s="4" t="n">
        <f aca="false">D2464*E2464</f>
        <v>102.21</v>
      </c>
      <c r="G2464" s="7" t="n">
        <v>21</v>
      </c>
      <c r="H2464" s="9" t="n">
        <f aca="false">IF(G2464&gt;0,D2464/G2464,"")</f>
        <v>2.57142857142857</v>
      </c>
      <c r="I2464" s="10" t="n">
        <v>46202</v>
      </c>
      <c r="J2464" s="3" t="s">
        <v>1284</v>
      </c>
      <c r="K2464" s="10" t="n">
        <v>46295</v>
      </c>
      <c r="L2464" s="3" t="s">
        <v>14</v>
      </c>
      <c r="M2464" s="7" t="n">
        <v>50</v>
      </c>
      <c r="N2464" s="8" t="n">
        <v>1.8446</v>
      </c>
      <c r="O2464" s="4" t="n">
        <f aca="false">M2464*N2464</f>
        <v>92.23</v>
      </c>
    </row>
    <row r="2465" customFormat="false" ht="15" hidden="false" customHeight="false" outlineLevel="0" collapsed="false">
      <c r="A2465" s="0" t="s">
        <v>3620</v>
      </c>
      <c r="C2465" s="0" t="s">
        <v>38</v>
      </c>
      <c r="D2465" s="7" t="n">
        <v>1481</v>
      </c>
      <c r="E2465" s="8" t="n">
        <v>0.0690006752194463</v>
      </c>
      <c r="F2465" s="4" t="n">
        <f aca="false">D2465*E2465</f>
        <v>102.19</v>
      </c>
      <c r="G2465" s="7" t="n">
        <v>21</v>
      </c>
      <c r="H2465" s="9" t="n">
        <f aca="false">IF(G2465&gt;0,D2465/G2465,"")</f>
        <v>70.5238095238095</v>
      </c>
      <c r="I2465" s="10" t="n">
        <v>46051</v>
      </c>
      <c r="J2465" s="3" t="s">
        <v>3621</v>
      </c>
      <c r="K2465" s="10" t="n">
        <v>45722</v>
      </c>
      <c r="L2465" s="3" t="s">
        <v>28</v>
      </c>
      <c r="M2465" s="7" t="n">
        <v>1600</v>
      </c>
      <c r="N2465" s="8" t="n">
        <v>0.069</v>
      </c>
      <c r="O2465" s="4" t="n">
        <f aca="false">M2465*N2465</f>
        <v>110.4</v>
      </c>
    </row>
    <row r="2466" customFormat="false" ht="15" hidden="false" customHeight="false" outlineLevel="0" collapsed="false">
      <c r="A2466" s="0" t="s">
        <v>3622</v>
      </c>
      <c r="C2466" s="0" t="s">
        <v>744</v>
      </c>
      <c r="D2466" s="7" t="n">
        <v>39</v>
      </c>
      <c r="E2466" s="8" t="n">
        <v>2.62</v>
      </c>
      <c r="F2466" s="4" t="n">
        <f aca="false">D2466*E2466</f>
        <v>102.18</v>
      </c>
      <c r="G2466" s="7" t="n">
        <v>4</v>
      </c>
      <c r="H2466" s="9" t="n">
        <f aca="false">IF(G2466&gt;0,D2466/G2466,"")</f>
        <v>9.75</v>
      </c>
      <c r="I2466" s="10" t="n">
        <v>46038</v>
      </c>
      <c r="K2466" s="10"/>
      <c r="M2466" s="7"/>
      <c r="N2466" s="8"/>
      <c r="O2466" s="4"/>
    </row>
    <row r="2467" customFormat="false" ht="15" hidden="false" customHeight="false" outlineLevel="0" collapsed="false">
      <c r="A2467" s="0" t="s">
        <v>3623</v>
      </c>
      <c r="C2467" s="0" t="s">
        <v>889</v>
      </c>
      <c r="D2467" s="7" t="n">
        <v>7159</v>
      </c>
      <c r="E2467" s="8" t="n">
        <v>0.0142687526190809</v>
      </c>
      <c r="F2467" s="4" t="n">
        <f aca="false">D2467*E2467</f>
        <v>102.15</v>
      </c>
      <c r="G2467" s="7" t="n">
        <v>192</v>
      </c>
      <c r="H2467" s="9" t="n">
        <f aca="false">IF(G2467&gt;0,D2467/G2467,"")</f>
        <v>37.2864583333333</v>
      </c>
      <c r="I2467" s="10" t="n">
        <v>46101</v>
      </c>
      <c r="K2467" s="10"/>
      <c r="M2467" s="7"/>
      <c r="N2467" s="8"/>
      <c r="O2467" s="4"/>
    </row>
    <row r="2468" customFormat="false" ht="15" hidden="false" customHeight="false" outlineLevel="0" collapsed="false">
      <c r="A2468" s="0" t="s">
        <v>3624</v>
      </c>
      <c r="C2468" s="0" t="s">
        <v>38</v>
      </c>
      <c r="D2468" s="7" t="n">
        <v>3331</v>
      </c>
      <c r="E2468" s="8" t="n">
        <v>0.0306604623236265</v>
      </c>
      <c r="F2468" s="4" t="n">
        <f aca="false">D2468*E2468</f>
        <v>102.13</v>
      </c>
      <c r="G2468" s="7" t="n">
        <v>195</v>
      </c>
      <c r="H2468" s="9" t="n">
        <f aca="false">IF(G2468&gt;0,D2468/G2468,"")</f>
        <v>17.0820512820513</v>
      </c>
      <c r="I2468" s="10" t="n">
        <v>46196</v>
      </c>
      <c r="J2468" s="3" t="s">
        <v>3625</v>
      </c>
      <c r="K2468" s="10" t="n">
        <v>45896</v>
      </c>
      <c r="L2468" s="3" t="s">
        <v>18</v>
      </c>
      <c r="M2468" s="7" t="n">
        <v>3200</v>
      </c>
      <c r="N2468" s="8" t="n">
        <v>0.031</v>
      </c>
      <c r="O2468" s="4" t="n">
        <f aca="false">M2468*N2468</f>
        <v>99.2</v>
      </c>
    </row>
    <row r="2469" customFormat="false" ht="15" hidden="false" customHeight="false" outlineLevel="0" collapsed="false">
      <c r="A2469" s="0" t="s">
        <v>3626</v>
      </c>
      <c r="D2469" s="7" t="n">
        <v>73</v>
      </c>
      <c r="E2469" s="8" t="n">
        <v>1.3986301369863</v>
      </c>
      <c r="F2469" s="4" t="n">
        <f aca="false">D2469*E2469</f>
        <v>102.1</v>
      </c>
      <c r="G2469" s="7" t="n">
        <v>4</v>
      </c>
      <c r="H2469" s="9" t="n">
        <f aca="false">IF(G2469&gt;0,D2469/G2469,"")</f>
        <v>18.25</v>
      </c>
      <c r="I2469" s="10" t="n">
        <v>46010</v>
      </c>
      <c r="J2469" s="3" t="s">
        <v>3559</v>
      </c>
      <c r="K2469" s="10" t="n">
        <v>46065</v>
      </c>
      <c r="L2469" s="3" t="s">
        <v>936</v>
      </c>
      <c r="M2469" s="7" t="n">
        <v>71</v>
      </c>
      <c r="N2469" s="8" t="n">
        <v>1.4171</v>
      </c>
      <c r="O2469" s="4" t="n">
        <f aca="false">M2469*N2469</f>
        <v>100.6141</v>
      </c>
    </row>
    <row r="2470" customFormat="false" ht="15" hidden="false" customHeight="false" outlineLevel="0" collapsed="false">
      <c r="A2470" s="0" t="s">
        <v>3627</v>
      </c>
      <c r="C2470" s="0" t="s">
        <v>799</v>
      </c>
      <c r="D2470" s="7" t="n">
        <v>48</v>
      </c>
      <c r="E2470" s="8" t="n">
        <v>2.12645833333333</v>
      </c>
      <c r="F2470" s="4" t="n">
        <f aca="false">D2470*E2470</f>
        <v>102.07</v>
      </c>
      <c r="G2470" s="7" t="n">
        <v>2</v>
      </c>
      <c r="H2470" s="9" t="n">
        <f aca="false">IF(G2470&gt;0,D2470/G2470,"")</f>
        <v>24</v>
      </c>
      <c r="I2470" s="10" t="n">
        <v>46248</v>
      </c>
      <c r="J2470" s="3" t="s">
        <v>680</v>
      </c>
      <c r="K2470" s="10" t="n">
        <v>46240</v>
      </c>
      <c r="L2470" s="3" t="s">
        <v>14</v>
      </c>
      <c r="M2470" s="7" t="n">
        <v>50</v>
      </c>
      <c r="N2470" s="8" t="n">
        <v>2.1264</v>
      </c>
      <c r="O2470" s="4" t="n">
        <f aca="false">M2470*N2470</f>
        <v>106.32</v>
      </c>
    </row>
    <row r="2471" customFormat="false" ht="15" hidden="false" customHeight="false" outlineLevel="0" collapsed="false">
      <c r="A2471" s="0" t="s">
        <v>3628</v>
      </c>
      <c r="D2471" s="7" t="n">
        <v>6719</v>
      </c>
      <c r="E2471" s="8" t="n">
        <v>0.0151897603810091</v>
      </c>
      <c r="F2471" s="4" t="n">
        <f aca="false">D2471*E2471</f>
        <v>102.06</v>
      </c>
      <c r="G2471" s="7" t="n">
        <v>508</v>
      </c>
      <c r="H2471" s="9" t="n">
        <f aca="false">IF(G2471&gt;0,D2471/G2471,"")</f>
        <v>13.2263779527559</v>
      </c>
      <c r="I2471" s="10" t="n">
        <v>46294</v>
      </c>
      <c r="K2471" s="10"/>
      <c r="M2471" s="7"/>
      <c r="N2471" s="8"/>
      <c r="O2471" s="4"/>
    </row>
    <row r="2472" customFormat="false" ht="15" hidden="false" customHeight="false" outlineLevel="0" collapsed="false">
      <c r="A2472" s="0" t="s">
        <v>3629</v>
      </c>
      <c r="C2472" s="0" t="s">
        <v>33</v>
      </c>
      <c r="D2472" s="7" t="n">
        <v>1075</v>
      </c>
      <c r="E2472" s="8" t="n">
        <v>0.0949116279069767</v>
      </c>
      <c r="F2472" s="4" t="n">
        <f aca="false">D2472*E2472</f>
        <v>102.03</v>
      </c>
      <c r="G2472" s="7" t="n">
        <v>827</v>
      </c>
      <c r="H2472" s="9" t="n">
        <f aca="false">IF(G2472&gt;0,D2472/G2472,"")</f>
        <v>1.29987908101572</v>
      </c>
      <c r="I2472" s="10" t="n">
        <v>46283</v>
      </c>
      <c r="J2472" s="3" t="s">
        <v>230</v>
      </c>
      <c r="K2472" s="10" t="n">
        <v>46303</v>
      </c>
      <c r="L2472" s="3" t="s">
        <v>18</v>
      </c>
      <c r="M2472" s="7" t="n">
        <v>530</v>
      </c>
      <c r="N2472" s="8" t="n">
        <v>0.0949</v>
      </c>
      <c r="O2472" s="4" t="n">
        <f aca="false">M2472*N2472</f>
        <v>50.297</v>
      </c>
    </row>
    <row r="2473" customFormat="false" ht="15" hidden="false" customHeight="false" outlineLevel="0" collapsed="false">
      <c r="A2473" s="0" t="s">
        <v>3630</v>
      </c>
      <c r="C2473" s="0" t="s">
        <v>2981</v>
      </c>
      <c r="D2473" s="7" t="n">
        <v>131</v>
      </c>
      <c r="E2473" s="8" t="n">
        <v>0.778778625954198</v>
      </c>
      <c r="F2473" s="4" t="n">
        <f aca="false">D2473*E2473</f>
        <v>102.02</v>
      </c>
      <c r="G2473" s="7" t="n">
        <v>17</v>
      </c>
      <c r="H2473" s="9" t="n">
        <f aca="false">IF(G2473&gt;0,D2473/G2473,"")</f>
        <v>7.70588235294118</v>
      </c>
      <c r="I2473" s="10" t="n">
        <v>46203</v>
      </c>
      <c r="J2473" s="3" t="s">
        <v>3631</v>
      </c>
      <c r="K2473" s="10" t="n">
        <v>44749</v>
      </c>
      <c r="L2473" s="3" t="s">
        <v>936</v>
      </c>
      <c r="M2473" s="7" t="n">
        <v>130</v>
      </c>
      <c r="N2473" s="8" t="n">
        <v>0.595</v>
      </c>
      <c r="O2473" s="4" t="n">
        <f aca="false">M2473*N2473</f>
        <v>77.35</v>
      </c>
    </row>
    <row r="2474" customFormat="false" ht="15" hidden="false" customHeight="false" outlineLevel="0" collapsed="false">
      <c r="A2474" s="0" t="s">
        <v>3632</v>
      </c>
      <c r="C2474" s="0" t="s">
        <v>31</v>
      </c>
      <c r="D2474" s="7" t="n">
        <v>17581</v>
      </c>
      <c r="E2474" s="8" t="n">
        <v>0.00580001137591718</v>
      </c>
      <c r="F2474" s="4" t="n">
        <f aca="false">D2474*E2474</f>
        <v>101.97</v>
      </c>
      <c r="G2474" s="7" t="n">
        <v>1010</v>
      </c>
      <c r="H2474" s="9" t="n">
        <f aca="false">IF(G2474&gt;0,D2474/G2474,"")</f>
        <v>17.4069306930693</v>
      </c>
      <c r="I2474" s="10" t="n">
        <v>46289</v>
      </c>
      <c r="J2474" s="3" t="s">
        <v>3385</v>
      </c>
      <c r="K2474" s="10" t="n">
        <v>45595</v>
      </c>
      <c r="L2474" s="3" t="s">
        <v>16</v>
      </c>
      <c r="M2474" s="7" t="n">
        <v>20000</v>
      </c>
      <c r="N2474" s="8" t="n">
        <v>0.0058</v>
      </c>
      <c r="O2474" s="4" t="n">
        <f aca="false">M2474*N2474</f>
        <v>116</v>
      </c>
    </row>
    <row r="2475" customFormat="false" ht="15" hidden="false" customHeight="false" outlineLevel="0" collapsed="false">
      <c r="A2475" s="0" t="s">
        <v>3633</v>
      </c>
      <c r="C2475" s="0" t="s">
        <v>3634</v>
      </c>
      <c r="D2475" s="7" t="n">
        <v>178</v>
      </c>
      <c r="E2475" s="8" t="n">
        <v>0.572640449438202</v>
      </c>
      <c r="F2475" s="4" t="n">
        <f aca="false">D2475*E2475</f>
        <v>101.93</v>
      </c>
      <c r="G2475" s="7" t="n">
        <v>17</v>
      </c>
      <c r="H2475" s="9" t="n">
        <f aca="false">IF(G2475&gt;0,D2475/G2475,"")</f>
        <v>10.4705882352941</v>
      </c>
      <c r="I2475" s="10" t="n">
        <v>46246</v>
      </c>
      <c r="J2475" s="3" t="s">
        <v>3635</v>
      </c>
      <c r="K2475" s="10" t="n">
        <v>45435</v>
      </c>
      <c r="L2475" s="3" t="s">
        <v>14</v>
      </c>
      <c r="M2475" s="7" t="n">
        <v>328</v>
      </c>
      <c r="N2475" s="8" t="n">
        <v>0.5726219</v>
      </c>
      <c r="O2475" s="4" t="n">
        <f aca="false">M2475*N2475</f>
        <v>187.8199832</v>
      </c>
    </row>
    <row r="2476" customFormat="false" ht="15" hidden="false" customHeight="false" outlineLevel="0" collapsed="false">
      <c r="A2476" s="0" t="s">
        <v>3636</v>
      </c>
      <c r="C2476" s="0" t="s">
        <v>402</v>
      </c>
      <c r="D2476" s="7" t="n">
        <v>52</v>
      </c>
      <c r="E2476" s="8" t="n">
        <v>1.96</v>
      </c>
      <c r="F2476" s="4" t="n">
        <f aca="false">D2476*E2476</f>
        <v>101.92</v>
      </c>
      <c r="G2476" s="7" t="n">
        <v>14</v>
      </c>
      <c r="H2476" s="9" t="n">
        <f aca="false">IF(G2476&gt;0,D2476/G2476,"")</f>
        <v>3.71428571428571</v>
      </c>
      <c r="I2476" s="10" t="n">
        <v>46247</v>
      </c>
      <c r="J2476" s="3" t="s">
        <v>3637</v>
      </c>
      <c r="K2476" s="10" t="n">
        <v>45208</v>
      </c>
      <c r="L2476" s="3" t="s">
        <v>1103</v>
      </c>
      <c r="M2476" s="7" t="n">
        <v>175</v>
      </c>
      <c r="N2476" s="8" t="n">
        <v>1.96</v>
      </c>
      <c r="O2476" s="4" t="n">
        <f aca="false">M2476*N2476</f>
        <v>343</v>
      </c>
    </row>
    <row r="2477" customFormat="false" ht="15" hidden="false" customHeight="false" outlineLevel="0" collapsed="false">
      <c r="A2477" s="0" t="s">
        <v>3638</v>
      </c>
      <c r="C2477" s="0" t="s">
        <v>34</v>
      </c>
      <c r="D2477" s="7" t="n">
        <v>3881</v>
      </c>
      <c r="E2477" s="8" t="n">
        <v>0.0262483895903118</v>
      </c>
      <c r="F2477" s="4" t="n">
        <f aca="false">D2477*E2477</f>
        <v>101.87</v>
      </c>
      <c r="G2477" s="7" t="n">
        <v>569</v>
      </c>
      <c r="H2477" s="9" t="n">
        <f aca="false">IF(G2477&gt;0,D2477/G2477,"")</f>
        <v>6.8207381370826</v>
      </c>
      <c r="I2477" s="10" t="n">
        <v>46279</v>
      </c>
      <c r="J2477" s="3" t="s">
        <v>903</v>
      </c>
      <c r="K2477" s="10" t="n">
        <v>45098</v>
      </c>
      <c r="L2477" s="3" t="s">
        <v>15</v>
      </c>
      <c r="M2477" s="7" t="n">
        <v>10000</v>
      </c>
      <c r="N2477" s="8" t="n">
        <v>0.02625</v>
      </c>
      <c r="O2477" s="4" t="n">
        <f aca="false">M2477*N2477</f>
        <v>262.5</v>
      </c>
    </row>
    <row r="2478" customFormat="false" ht="15" hidden="false" customHeight="false" outlineLevel="0" collapsed="false">
      <c r="A2478" s="0" t="s">
        <v>3639</v>
      </c>
      <c r="C2478" s="0" t="s">
        <v>34</v>
      </c>
      <c r="D2478" s="7" t="n">
        <v>9206</v>
      </c>
      <c r="E2478" s="8" t="n">
        <v>0.0110612643927873</v>
      </c>
      <c r="F2478" s="4" t="n">
        <f aca="false">D2478*E2478</f>
        <v>101.83</v>
      </c>
      <c r="G2478" s="7" t="n">
        <v>414</v>
      </c>
      <c r="H2478" s="9" t="n">
        <f aca="false">IF(G2478&gt;0,D2478/G2478,"")</f>
        <v>22.2367149758454</v>
      </c>
      <c r="I2478" s="10" t="n">
        <v>46287</v>
      </c>
      <c r="J2478" s="3" t="s">
        <v>287</v>
      </c>
      <c r="K2478" s="10" t="n">
        <v>45922</v>
      </c>
      <c r="L2478" s="3" t="s">
        <v>16</v>
      </c>
      <c r="M2478" s="7" t="n">
        <v>10000</v>
      </c>
      <c r="N2478" s="8" t="n">
        <v>0.01106</v>
      </c>
      <c r="O2478" s="4" t="n">
        <f aca="false">M2478*N2478</f>
        <v>110.6</v>
      </c>
    </row>
    <row r="2479" customFormat="false" ht="15" hidden="false" customHeight="false" outlineLevel="0" collapsed="false">
      <c r="A2479" s="0" t="s">
        <v>3640</v>
      </c>
      <c r="C2479" s="0" t="s">
        <v>1169</v>
      </c>
      <c r="D2479" s="7" t="n">
        <v>1496</v>
      </c>
      <c r="E2479" s="8" t="n">
        <v>0.0680013368983957</v>
      </c>
      <c r="F2479" s="4" t="n">
        <f aca="false">D2479*E2479</f>
        <v>101.73</v>
      </c>
      <c r="G2479" s="7" t="n">
        <v>4</v>
      </c>
      <c r="H2479" s="9" t="n">
        <f aca="false">IF(G2479&gt;0,D2479/G2479,"")</f>
        <v>374</v>
      </c>
      <c r="I2479" s="10" t="n">
        <v>46176</v>
      </c>
      <c r="J2479" s="3" t="s">
        <v>3273</v>
      </c>
      <c r="K2479" s="10" t="n">
        <v>46043</v>
      </c>
      <c r="L2479" s="3" t="s">
        <v>21</v>
      </c>
      <c r="M2479" s="7" t="n">
        <v>1500</v>
      </c>
      <c r="N2479" s="8" t="n">
        <v>0.068</v>
      </c>
      <c r="O2479" s="4" t="n">
        <f aca="false">M2479*N2479</f>
        <v>102</v>
      </c>
    </row>
    <row r="2480" customFormat="false" ht="15" hidden="false" customHeight="false" outlineLevel="0" collapsed="false">
      <c r="A2480" s="0" t="s">
        <v>3641</v>
      </c>
      <c r="C2480" s="0" t="s">
        <v>33</v>
      </c>
      <c r="D2480" s="7" t="n">
        <v>327</v>
      </c>
      <c r="E2480" s="8" t="n">
        <v>0.311100917431193</v>
      </c>
      <c r="F2480" s="4" t="n">
        <f aca="false">D2480*E2480</f>
        <v>101.73</v>
      </c>
      <c r="G2480" s="7" t="n">
        <v>142</v>
      </c>
      <c r="H2480" s="9" t="n">
        <f aca="false">IF(G2480&gt;0,D2480/G2480,"")</f>
        <v>2.30281690140845</v>
      </c>
      <c r="I2480" s="10" t="n">
        <v>46283</v>
      </c>
      <c r="J2480" s="3" t="s">
        <v>322</v>
      </c>
      <c r="K2480" s="10" t="n">
        <v>44349</v>
      </c>
      <c r="L2480" s="3" t="s">
        <v>18</v>
      </c>
      <c r="M2480" s="7" t="n">
        <v>2500</v>
      </c>
      <c r="N2480" s="8" t="n">
        <v>0.3111</v>
      </c>
      <c r="O2480" s="4" t="n">
        <f aca="false">M2480*N2480</f>
        <v>777.75</v>
      </c>
    </row>
    <row r="2481" customFormat="false" ht="15" hidden="false" customHeight="false" outlineLevel="0" collapsed="false">
      <c r="A2481" s="0" t="s">
        <v>3642</v>
      </c>
      <c r="C2481" s="0" t="s">
        <v>31</v>
      </c>
      <c r="D2481" s="7" t="n">
        <v>2249</v>
      </c>
      <c r="E2481" s="8" t="n">
        <v>0.0452023121387283</v>
      </c>
      <c r="F2481" s="4" t="n">
        <f aca="false">D2481*E2481</f>
        <v>101.66</v>
      </c>
      <c r="G2481" s="7" t="n">
        <v>603</v>
      </c>
      <c r="H2481" s="9" t="n">
        <f aca="false">IF(G2481&gt;0,D2481/G2481,"")</f>
        <v>3.72968490878939</v>
      </c>
      <c r="I2481" s="10" t="n">
        <v>46251</v>
      </c>
      <c r="J2481" s="3" t="s">
        <v>2888</v>
      </c>
      <c r="K2481" s="10" t="n">
        <v>45984</v>
      </c>
      <c r="L2481" s="3" t="s">
        <v>16</v>
      </c>
      <c r="M2481" s="7" t="n">
        <v>2478</v>
      </c>
      <c r="N2481" s="8" t="n">
        <v>0.0452</v>
      </c>
      <c r="O2481" s="4" t="n">
        <f aca="false">M2481*N2481</f>
        <v>112.0056</v>
      </c>
    </row>
    <row r="2482" customFormat="false" ht="15" hidden="false" customHeight="false" outlineLevel="0" collapsed="false">
      <c r="A2482" s="0" t="s">
        <v>3643</v>
      </c>
      <c r="C2482" s="0" t="s">
        <v>1169</v>
      </c>
      <c r="D2482" s="7" t="n">
        <v>470</v>
      </c>
      <c r="E2482" s="8" t="n">
        <v>0.216</v>
      </c>
      <c r="F2482" s="4" t="n">
        <f aca="false">D2482*E2482</f>
        <v>101.52</v>
      </c>
      <c r="G2482" s="7" t="n">
        <v>125</v>
      </c>
      <c r="H2482" s="9" t="n">
        <f aca="false">IF(G2482&gt;0,D2482/G2482,"")</f>
        <v>3.76</v>
      </c>
      <c r="I2482" s="10" t="n">
        <v>46126</v>
      </c>
      <c r="J2482" s="3" t="s">
        <v>2202</v>
      </c>
      <c r="K2482" s="10" t="n">
        <v>46083</v>
      </c>
      <c r="L2482" s="3" t="s">
        <v>2203</v>
      </c>
      <c r="M2482" s="7" t="n">
        <v>125</v>
      </c>
      <c r="N2482" s="8" t="n">
        <v>0.7889</v>
      </c>
      <c r="O2482" s="4" t="n">
        <f aca="false">M2482*N2482</f>
        <v>98.6125</v>
      </c>
    </row>
    <row r="2483" customFormat="false" ht="15" hidden="false" customHeight="false" outlineLevel="0" collapsed="false">
      <c r="A2483" s="0" t="s">
        <v>3644</v>
      </c>
      <c r="C2483" s="0" t="s">
        <v>41</v>
      </c>
      <c r="D2483" s="7" t="n">
        <v>18728</v>
      </c>
      <c r="E2483" s="8" t="n">
        <v>0.00541168304143528</v>
      </c>
      <c r="F2483" s="4" t="n">
        <f aca="false">D2483*E2483</f>
        <v>101.35</v>
      </c>
      <c r="G2483" s="7" t="n">
        <v>2093</v>
      </c>
      <c r="H2483" s="9" t="n">
        <f aca="false">IF(G2483&gt;0,D2483/G2483,"")</f>
        <v>8.94792164357382</v>
      </c>
      <c r="I2483" s="10" t="n">
        <v>46287</v>
      </c>
      <c r="J2483" s="3" t="s">
        <v>1179</v>
      </c>
      <c r="K2483" s="10" t="n">
        <v>45869</v>
      </c>
      <c r="L2483" s="3" t="s">
        <v>26</v>
      </c>
      <c r="M2483" s="7" t="n">
        <v>1000</v>
      </c>
      <c r="N2483" s="8" t="n">
        <v>0.0172</v>
      </c>
      <c r="O2483" s="4" t="n">
        <f aca="false">M2483*N2483</f>
        <v>17.2</v>
      </c>
    </row>
    <row r="2484" customFormat="false" ht="15" hidden="false" customHeight="false" outlineLevel="0" collapsed="false">
      <c r="A2484" s="0" t="s">
        <v>3645</v>
      </c>
      <c r="C2484" s="0" t="s">
        <v>298</v>
      </c>
      <c r="D2484" s="7" t="n">
        <v>311</v>
      </c>
      <c r="E2484" s="8" t="n">
        <v>0.32588424437299</v>
      </c>
      <c r="F2484" s="4" t="n">
        <f aca="false">D2484*E2484</f>
        <v>101.35</v>
      </c>
      <c r="G2484" s="7" t="n">
        <v>5</v>
      </c>
      <c r="H2484" s="9" t="n">
        <f aca="false">IF(G2484&gt;0,D2484/G2484,"")</f>
        <v>62.2</v>
      </c>
      <c r="I2484" s="10" t="n">
        <v>46244</v>
      </c>
      <c r="J2484" s="3" t="s">
        <v>3030</v>
      </c>
      <c r="K2484" s="10" t="n">
        <v>46126</v>
      </c>
      <c r="L2484" s="3" t="s">
        <v>14</v>
      </c>
      <c r="M2484" s="7" t="n">
        <v>218</v>
      </c>
      <c r="N2484" s="8" t="n">
        <v>0.3189</v>
      </c>
      <c r="O2484" s="4" t="n">
        <f aca="false">M2484*N2484</f>
        <v>69.5202</v>
      </c>
    </row>
    <row r="2485" customFormat="false" ht="15" hidden="false" customHeight="false" outlineLevel="0" collapsed="false">
      <c r="A2485" s="0" t="s">
        <v>3646</v>
      </c>
      <c r="C2485" s="0" t="s">
        <v>275</v>
      </c>
      <c r="D2485" s="7" t="n">
        <v>23</v>
      </c>
      <c r="E2485" s="8" t="n">
        <v>4.40260869565217</v>
      </c>
      <c r="F2485" s="4" t="n">
        <f aca="false">D2485*E2485</f>
        <v>101.26</v>
      </c>
      <c r="G2485" s="7" t="n">
        <v>12</v>
      </c>
      <c r="H2485" s="9" t="n">
        <f aca="false">IF(G2485&gt;0,D2485/G2485,"")</f>
        <v>1.91666666666667</v>
      </c>
      <c r="I2485" s="10" t="n">
        <v>46302</v>
      </c>
      <c r="J2485" s="3" t="s">
        <v>938</v>
      </c>
      <c r="K2485" s="10" t="n">
        <v>46294</v>
      </c>
      <c r="L2485" s="3" t="s">
        <v>14</v>
      </c>
      <c r="M2485" s="7" t="n">
        <v>25</v>
      </c>
      <c r="N2485" s="8" t="n">
        <v>4.4028</v>
      </c>
      <c r="O2485" s="4" t="n">
        <f aca="false">M2485*N2485</f>
        <v>110.07</v>
      </c>
    </row>
    <row r="2486" customFormat="false" ht="15" hidden="false" customHeight="false" outlineLevel="0" collapsed="false">
      <c r="A2486" s="0" t="s">
        <v>3647</v>
      </c>
      <c r="C2486" s="0" t="s">
        <v>118</v>
      </c>
      <c r="D2486" s="7" t="n">
        <v>3600</v>
      </c>
      <c r="E2486" s="8" t="n">
        <v>0.0281</v>
      </c>
      <c r="F2486" s="4" t="n">
        <f aca="false">D2486*E2486</f>
        <v>101.16</v>
      </c>
      <c r="G2486" s="7" t="n">
        <v>28</v>
      </c>
      <c r="H2486" s="9" t="n">
        <f aca="false">IF(G2486&gt;0,D2486/G2486,"")</f>
        <v>128.571428571429</v>
      </c>
      <c r="I2486" s="10" t="n">
        <v>46265</v>
      </c>
      <c r="J2486" s="3" t="s">
        <v>1616</v>
      </c>
      <c r="K2486" s="10" t="n">
        <v>46266</v>
      </c>
      <c r="L2486" s="3" t="s">
        <v>16</v>
      </c>
      <c r="M2486" s="7" t="n">
        <v>3600</v>
      </c>
      <c r="N2486" s="8" t="n">
        <v>0.0281</v>
      </c>
      <c r="O2486" s="4" t="n">
        <f aca="false">M2486*N2486</f>
        <v>101.16</v>
      </c>
    </row>
    <row r="2487" customFormat="false" ht="15" hidden="false" customHeight="false" outlineLevel="0" collapsed="false">
      <c r="A2487" s="0" t="s">
        <v>3648</v>
      </c>
      <c r="C2487" s="0" t="s">
        <v>360</v>
      </c>
      <c r="D2487" s="7" t="n">
        <v>44775</v>
      </c>
      <c r="E2487" s="8" t="n">
        <v>0.00225884980457845</v>
      </c>
      <c r="F2487" s="4" t="n">
        <f aca="false">D2487*E2487</f>
        <v>101.14</v>
      </c>
      <c r="G2487" s="7" t="n">
        <v>9725</v>
      </c>
      <c r="H2487" s="9" t="n">
        <f aca="false">IF(G2487&gt;0,D2487/G2487,"")</f>
        <v>4.60411311053985</v>
      </c>
      <c r="I2487" s="10" t="n">
        <v>46314</v>
      </c>
      <c r="J2487" s="3" t="s">
        <v>2595</v>
      </c>
      <c r="K2487" s="10" t="n">
        <v>44944</v>
      </c>
      <c r="L2487" s="3" t="s">
        <v>15</v>
      </c>
      <c r="M2487" s="7" t="n">
        <v>79700</v>
      </c>
      <c r="N2487" s="8" t="n">
        <v>0.00307</v>
      </c>
      <c r="O2487" s="4" t="n">
        <f aca="false">M2487*N2487</f>
        <v>244.679</v>
      </c>
    </row>
    <row r="2488" customFormat="false" ht="15" hidden="false" customHeight="false" outlineLevel="0" collapsed="false">
      <c r="A2488" s="0" t="s">
        <v>3649</v>
      </c>
      <c r="C2488" s="0" t="s">
        <v>360</v>
      </c>
      <c r="D2488" s="7" t="n">
        <v>19473</v>
      </c>
      <c r="E2488" s="8" t="n">
        <v>0.00518974991013198</v>
      </c>
      <c r="F2488" s="4" t="n">
        <f aca="false">D2488*E2488</f>
        <v>101.06</v>
      </c>
      <c r="G2488" s="7" t="n">
        <v>4550</v>
      </c>
      <c r="H2488" s="9" t="n">
        <f aca="false">IF(G2488&gt;0,D2488/G2488,"")</f>
        <v>4.27978021978022</v>
      </c>
      <c r="I2488" s="10" t="n">
        <v>46314</v>
      </c>
      <c r="J2488" s="3" t="s">
        <v>1240</v>
      </c>
      <c r="K2488" s="10" t="n">
        <v>44622</v>
      </c>
      <c r="L2488" s="3" t="s">
        <v>15</v>
      </c>
      <c r="M2488" s="7" t="n">
        <v>38000</v>
      </c>
      <c r="N2488" s="8" t="n">
        <v>0.00519</v>
      </c>
      <c r="O2488" s="4" t="n">
        <f aca="false">M2488*N2488</f>
        <v>197.22</v>
      </c>
    </row>
    <row r="2489" customFormat="false" ht="15" hidden="false" customHeight="false" outlineLevel="0" collapsed="false">
      <c r="A2489" s="0" t="s">
        <v>3650</v>
      </c>
      <c r="C2489" s="0" t="s">
        <v>31</v>
      </c>
      <c r="D2489" s="7" t="n">
        <v>1659</v>
      </c>
      <c r="E2489" s="8" t="n">
        <v>0.0608981314044605</v>
      </c>
      <c r="F2489" s="4" t="n">
        <f aca="false">D2489*E2489</f>
        <v>101.03</v>
      </c>
      <c r="G2489" s="7" t="n">
        <v>6</v>
      </c>
      <c r="H2489" s="9" t="n">
        <f aca="false">IF(G2489&gt;0,D2489/G2489,"")</f>
        <v>276.5</v>
      </c>
      <c r="I2489" s="10" t="n">
        <v>45993</v>
      </c>
      <c r="K2489" s="10"/>
      <c r="M2489" s="7"/>
      <c r="N2489" s="8"/>
      <c r="O2489" s="4"/>
    </row>
    <row r="2490" customFormat="false" ht="15" hidden="false" customHeight="false" outlineLevel="0" collapsed="false">
      <c r="A2490" s="0" t="s">
        <v>3651</v>
      </c>
      <c r="C2490" s="0" t="s">
        <v>765</v>
      </c>
      <c r="D2490" s="7" t="n">
        <v>14382</v>
      </c>
      <c r="E2490" s="8" t="n">
        <v>0.00702475316367682</v>
      </c>
      <c r="F2490" s="4" t="n">
        <f aca="false">D2490*E2490</f>
        <v>101.03</v>
      </c>
      <c r="G2490" s="7" t="n">
        <v>458</v>
      </c>
      <c r="H2490" s="9" t="n">
        <f aca="false">IF(G2490&gt;0,D2490/G2490,"")</f>
        <v>31.4017467248908</v>
      </c>
      <c r="I2490" s="10" t="n">
        <v>46244</v>
      </c>
      <c r="J2490" s="3" t="s">
        <v>3652</v>
      </c>
      <c r="K2490" s="10" t="n">
        <v>45735</v>
      </c>
      <c r="L2490" s="3" t="s">
        <v>19</v>
      </c>
      <c r="M2490" s="7" t="n">
        <v>1000</v>
      </c>
      <c r="N2490" s="8" t="n">
        <v>0.0211</v>
      </c>
      <c r="O2490" s="4" t="n">
        <f aca="false">M2490*N2490</f>
        <v>21.1</v>
      </c>
    </row>
    <row r="2491" customFormat="false" ht="15" hidden="false" customHeight="false" outlineLevel="0" collapsed="false">
      <c r="A2491" s="0" t="s">
        <v>3653</v>
      </c>
      <c r="C2491" s="0" t="s">
        <v>1169</v>
      </c>
      <c r="D2491" s="7" t="n">
        <v>1327</v>
      </c>
      <c r="E2491" s="8" t="n">
        <v>0.0761341371514695</v>
      </c>
      <c r="F2491" s="4" t="n">
        <f aca="false">D2491*E2491</f>
        <v>101.03</v>
      </c>
      <c r="G2491" s="7" t="n">
        <v>204</v>
      </c>
      <c r="H2491" s="9" t="n">
        <f aca="false">IF(G2491&gt;0,D2491/G2491,"")</f>
        <v>6.50490196078431</v>
      </c>
      <c r="I2491" s="10" t="n">
        <v>46041</v>
      </c>
      <c r="J2491" s="3" t="s">
        <v>3273</v>
      </c>
      <c r="K2491" s="10" t="n">
        <v>46043</v>
      </c>
      <c r="L2491" s="3" t="s">
        <v>21</v>
      </c>
      <c r="M2491" s="7" t="n">
        <v>1325</v>
      </c>
      <c r="N2491" s="8" t="n">
        <v>0.076</v>
      </c>
      <c r="O2491" s="4" t="n">
        <f aca="false">M2491*N2491</f>
        <v>100.7</v>
      </c>
    </row>
    <row r="2492" customFormat="false" ht="15" hidden="false" customHeight="false" outlineLevel="0" collapsed="false">
      <c r="A2492" s="0" t="s">
        <v>3654</v>
      </c>
      <c r="C2492" s="0" t="s">
        <v>36</v>
      </c>
      <c r="D2492" s="7" t="n">
        <v>356</v>
      </c>
      <c r="E2492" s="8" t="n">
        <v>0.28376404494382</v>
      </c>
      <c r="F2492" s="4" t="n">
        <f aca="false">D2492*E2492</f>
        <v>101.02</v>
      </c>
      <c r="G2492" s="7" t="n">
        <v>60</v>
      </c>
      <c r="H2492" s="9" t="n">
        <f aca="false">IF(G2492&gt;0,D2492/G2492,"")</f>
        <v>5.93333333333333</v>
      </c>
      <c r="I2492" s="10" t="n">
        <v>46042</v>
      </c>
      <c r="J2492" s="3" t="s">
        <v>3583</v>
      </c>
      <c r="K2492" s="10" t="n">
        <v>46106</v>
      </c>
      <c r="L2492" s="3" t="s">
        <v>18</v>
      </c>
      <c r="M2492" s="7" t="n">
        <v>350</v>
      </c>
      <c r="N2492" s="8" t="n">
        <v>0.2864</v>
      </c>
      <c r="O2492" s="4" t="n">
        <f aca="false">M2492*N2492</f>
        <v>100.24</v>
      </c>
    </row>
    <row r="2493" customFormat="false" ht="15" hidden="false" customHeight="false" outlineLevel="0" collapsed="false">
      <c r="A2493" s="0" t="s">
        <v>3655</v>
      </c>
      <c r="C2493" s="0" t="s">
        <v>765</v>
      </c>
      <c r="D2493" s="7" t="n">
        <v>319</v>
      </c>
      <c r="E2493" s="8" t="n">
        <v>0.316457680250784</v>
      </c>
      <c r="F2493" s="4" t="n">
        <f aca="false">D2493*E2493</f>
        <v>100.95</v>
      </c>
      <c r="G2493" s="7" t="n">
        <v>1</v>
      </c>
      <c r="H2493" s="9" t="n">
        <f aca="false">IF(G2493&gt;0,D2493/G2493,"")</f>
        <v>319</v>
      </c>
      <c r="I2493" s="10" t="n">
        <v>46311</v>
      </c>
      <c r="J2493" s="3" t="s">
        <v>3656</v>
      </c>
      <c r="K2493" s="10" t="n">
        <v>44320</v>
      </c>
      <c r="L2493" s="3" t="s">
        <v>16</v>
      </c>
      <c r="M2493" s="7" t="n">
        <v>350</v>
      </c>
      <c r="N2493" s="8" t="n">
        <v>0.31644</v>
      </c>
      <c r="O2493" s="4" t="n">
        <f aca="false">M2493*N2493</f>
        <v>110.754</v>
      </c>
    </row>
    <row r="2494" customFormat="false" ht="15" hidden="false" customHeight="false" outlineLevel="0" collapsed="false">
      <c r="A2494" s="0" t="s">
        <v>3657</v>
      </c>
      <c r="C2494" s="0" t="s">
        <v>340</v>
      </c>
      <c r="D2494" s="7" t="n">
        <v>32564</v>
      </c>
      <c r="E2494" s="8" t="n">
        <v>0.00310004913401302</v>
      </c>
      <c r="F2494" s="4" t="n">
        <f aca="false">D2494*E2494</f>
        <v>100.95</v>
      </c>
      <c r="G2494" s="7" t="n">
        <v>5050</v>
      </c>
      <c r="H2494" s="9" t="n">
        <f aca="false">IF(G2494&gt;0,D2494/G2494,"")</f>
        <v>6.44831683168317</v>
      </c>
      <c r="I2494" s="10" t="n">
        <v>46183</v>
      </c>
      <c r="J2494" s="3" t="s">
        <v>2739</v>
      </c>
      <c r="K2494" s="10" t="n">
        <v>46142</v>
      </c>
      <c r="L2494" s="3" t="s">
        <v>16</v>
      </c>
      <c r="M2494" s="7" t="n">
        <v>36154</v>
      </c>
      <c r="N2494" s="8" t="n">
        <v>0.0031</v>
      </c>
      <c r="O2494" s="4" t="n">
        <f aca="false">M2494*N2494</f>
        <v>112.0774</v>
      </c>
    </row>
    <row r="2495" customFormat="false" ht="15" hidden="false" customHeight="false" outlineLevel="0" collapsed="false">
      <c r="A2495" s="0" t="s">
        <v>3658</v>
      </c>
      <c r="C2495" s="0" t="s">
        <v>370</v>
      </c>
      <c r="D2495" s="7" t="n">
        <v>385</v>
      </c>
      <c r="E2495" s="8" t="n">
        <v>0.262</v>
      </c>
      <c r="F2495" s="4" t="n">
        <f aca="false">D2495*E2495</f>
        <v>100.87</v>
      </c>
      <c r="G2495" s="7" t="n">
        <v>73</v>
      </c>
      <c r="H2495" s="9" t="n">
        <f aca="false">IF(G2495&gt;0,D2495/G2495,"")</f>
        <v>5.27397260273973</v>
      </c>
      <c r="I2495" s="10" t="n">
        <v>46076</v>
      </c>
      <c r="J2495" s="3" t="s">
        <v>3659</v>
      </c>
      <c r="K2495" s="10" t="n">
        <v>46105</v>
      </c>
      <c r="L2495" s="3" t="s">
        <v>21</v>
      </c>
      <c r="M2495" s="7" t="n">
        <v>385</v>
      </c>
      <c r="N2495" s="8" t="n">
        <v>0.262</v>
      </c>
      <c r="O2495" s="4" t="n">
        <f aca="false">M2495*N2495</f>
        <v>100.87</v>
      </c>
    </row>
    <row r="2496" customFormat="false" ht="15" hidden="false" customHeight="false" outlineLevel="0" collapsed="false">
      <c r="A2496" s="0" t="s">
        <v>3660</v>
      </c>
      <c r="C2496" s="0" t="s">
        <v>1169</v>
      </c>
      <c r="D2496" s="7" t="n">
        <v>1413</v>
      </c>
      <c r="E2496" s="8" t="n">
        <v>0.0713234253361642</v>
      </c>
      <c r="F2496" s="4" t="n">
        <f aca="false">D2496*E2496</f>
        <v>100.78</v>
      </c>
      <c r="G2496" s="7" t="n">
        <v>23</v>
      </c>
      <c r="H2496" s="9" t="n">
        <f aca="false">IF(G2496&gt;0,D2496/G2496,"")</f>
        <v>61.4347826086957</v>
      </c>
      <c r="I2496" s="10" t="n">
        <v>46308</v>
      </c>
      <c r="J2496" s="3" t="s">
        <v>3661</v>
      </c>
      <c r="K2496" s="10" t="n">
        <v>45800</v>
      </c>
      <c r="L2496" s="3" t="s">
        <v>21</v>
      </c>
      <c r="M2496" s="7" t="n">
        <v>1500</v>
      </c>
      <c r="N2496" s="8" t="n">
        <v>0.07</v>
      </c>
      <c r="O2496" s="4" t="n">
        <f aca="false">M2496*N2496</f>
        <v>105</v>
      </c>
    </row>
    <row r="2497" customFormat="false" ht="15" hidden="false" customHeight="false" outlineLevel="0" collapsed="false">
      <c r="A2497" s="0" t="s">
        <v>3662</v>
      </c>
      <c r="C2497" s="0" t="s">
        <v>40</v>
      </c>
      <c r="D2497" s="7" t="n">
        <v>38726</v>
      </c>
      <c r="E2497" s="8" t="n">
        <v>0.002599803749419</v>
      </c>
      <c r="F2497" s="4" t="n">
        <f aca="false">D2497*E2497</f>
        <v>100.68</v>
      </c>
      <c r="G2497" s="7" t="n">
        <v>984</v>
      </c>
      <c r="H2497" s="9" t="n">
        <f aca="false">IF(G2497&gt;0,D2497/G2497,"")</f>
        <v>39.3556910569106</v>
      </c>
      <c r="I2497" s="10" t="n">
        <v>46260</v>
      </c>
      <c r="J2497" s="3" t="s">
        <v>3663</v>
      </c>
      <c r="K2497" s="10" t="n">
        <v>44392</v>
      </c>
      <c r="L2497" s="3" t="s">
        <v>18</v>
      </c>
      <c r="M2497" s="7" t="n">
        <v>45000</v>
      </c>
      <c r="N2497" s="8" t="n">
        <v>0.0026</v>
      </c>
      <c r="O2497" s="4" t="n">
        <f aca="false">M2497*N2497</f>
        <v>117</v>
      </c>
    </row>
    <row r="2498" customFormat="false" ht="15" hidden="false" customHeight="false" outlineLevel="0" collapsed="false">
      <c r="A2498" s="0" t="s">
        <v>3664</v>
      </c>
      <c r="C2498" s="0" t="s">
        <v>40</v>
      </c>
      <c r="D2498" s="7" t="n">
        <v>1782</v>
      </c>
      <c r="E2498" s="8" t="n">
        <v>0.0564758698092031</v>
      </c>
      <c r="F2498" s="4" t="n">
        <f aca="false">D2498*E2498</f>
        <v>100.64</v>
      </c>
      <c r="G2498" s="7" t="n">
        <v>775</v>
      </c>
      <c r="H2498" s="9" t="n">
        <f aca="false">IF(G2498&gt;0,D2498/G2498,"")</f>
        <v>2.29935483870968</v>
      </c>
      <c r="I2498" s="10" t="n">
        <v>46205</v>
      </c>
      <c r="J2498" s="3" t="s">
        <v>3583</v>
      </c>
      <c r="K2498" s="10" t="n">
        <v>46106</v>
      </c>
      <c r="L2498" s="3" t="s">
        <v>18</v>
      </c>
      <c r="M2498" s="7" t="n">
        <v>1785</v>
      </c>
      <c r="N2498" s="8" t="n">
        <v>0.0565</v>
      </c>
      <c r="O2498" s="4" t="n">
        <f aca="false">M2498*N2498</f>
        <v>100.8525</v>
      </c>
    </row>
    <row r="2499" customFormat="false" ht="15" hidden="false" customHeight="false" outlineLevel="0" collapsed="false">
      <c r="A2499" s="0" t="s">
        <v>3665</v>
      </c>
      <c r="C2499" s="0" t="s">
        <v>36</v>
      </c>
      <c r="D2499" s="7" t="n">
        <v>178</v>
      </c>
      <c r="E2499" s="8" t="n">
        <v>0.565</v>
      </c>
      <c r="F2499" s="4" t="n">
        <f aca="false">D2499*E2499</f>
        <v>100.57</v>
      </c>
      <c r="G2499" s="7" t="n">
        <v>2</v>
      </c>
      <c r="H2499" s="9" t="n">
        <f aca="false">IF(G2499&gt;0,D2499/G2499,"")</f>
        <v>89</v>
      </c>
      <c r="I2499" s="10" t="n">
        <v>46021</v>
      </c>
      <c r="J2499" s="3" t="s">
        <v>3666</v>
      </c>
      <c r="K2499" s="10" t="n">
        <v>46009</v>
      </c>
      <c r="L2499" s="3" t="s">
        <v>18</v>
      </c>
      <c r="M2499" s="7" t="n">
        <v>180</v>
      </c>
      <c r="N2499" s="8" t="n">
        <v>0.565</v>
      </c>
      <c r="O2499" s="4" t="n">
        <f aca="false">M2499*N2499</f>
        <v>101.7</v>
      </c>
    </row>
    <row r="2500" customFormat="false" ht="15" hidden="false" customHeight="false" outlineLevel="0" collapsed="false">
      <c r="A2500" s="0" t="s">
        <v>3667</v>
      </c>
      <c r="C2500" s="0" t="s">
        <v>36</v>
      </c>
      <c r="D2500" s="7" t="n">
        <v>156</v>
      </c>
      <c r="E2500" s="8" t="n">
        <v>0.644423076923077</v>
      </c>
      <c r="F2500" s="4" t="n">
        <f aca="false">D2500*E2500</f>
        <v>100.53</v>
      </c>
      <c r="G2500" s="7" t="n">
        <v>6</v>
      </c>
      <c r="H2500" s="9" t="n">
        <f aca="false">IF(G2500&gt;0,D2500/G2500,"")</f>
        <v>26</v>
      </c>
      <c r="I2500" s="10" t="n">
        <v>46317</v>
      </c>
      <c r="K2500" s="10"/>
      <c r="M2500" s="7"/>
      <c r="N2500" s="8"/>
      <c r="O2500" s="4"/>
    </row>
    <row r="2501" customFormat="false" ht="15" hidden="false" customHeight="false" outlineLevel="0" collapsed="false">
      <c r="A2501" s="0" t="s">
        <v>3668</v>
      </c>
      <c r="C2501" s="0" t="s">
        <v>979</v>
      </c>
      <c r="D2501" s="7" t="n">
        <v>1906</v>
      </c>
      <c r="E2501" s="8" t="n">
        <v>0.0527229800629591</v>
      </c>
      <c r="F2501" s="4" t="n">
        <f aca="false">D2501*E2501</f>
        <v>100.49</v>
      </c>
      <c r="G2501" s="7" t="n">
        <v>1233</v>
      </c>
      <c r="H2501" s="9" t="n">
        <f aca="false">IF(G2501&gt;0,D2501/G2501,"")</f>
        <v>1.54582319545823</v>
      </c>
      <c r="I2501" s="10" t="n">
        <v>46247</v>
      </c>
      <c r="J2501" s="3" t="s">
        <v>3669</v>
      </c>
      <c r="K2501" s="10" t="n">
        <v>46226</v>
      </c>
      <c r="L2501" s="3" t="s">
        <v>18</v>
      </c>
      <c r="M2501" s="7" t="n">
        <v>1368</v>
      </c>
      <c r="N2501" s="8" t="n">
        <v>0.0527</v>
      </c>
      <c r="O2501" s="4" t="n">
        <f aca="false">M2501*N2501</f>
        <v>72.0936</v>
      </c>
    </row>
    <row r="2502" customFormat="false" ht="15" hidden="false" customHeight="false" outlineLevel="0" collapsed="false">
      <c r="A2502" s="0" t="s">
        <v>3670</v>
      </c>
      <c r="C2502" s="0" t="s">
        <v>31</v>
      </c>
      <c r="D2502" s="7" t="n">
        <v>6652</v>
      </c>
      <c r="E2502" s="8" t="n">
        <v>0.0151022248947685</v>
      </c>
      <c r="F2502" s="4" t="n">
        <f aca="false">D2502*E2502</f>
        <v>100.46</v>
      </c>
      <c r="G2502" s="7" t="n">
        <v>674</v>
      </c>
      <c r="H2502" s="9" t="n">
        <f aca="false">IF(G2502&gt;0,D2502/G2502,"")</f>
        <v>9.86943620178042</v>
      </c>
      <c r="I2502" s="10" t="n">
        <v>46317</v>
      </c>
      <c r="K2502" s="10"/>
      <c r="M2502" s="7"/>
      <c r="N2502" s="8"/>
      <c r="O2502" s="4"/>
    </row>
    <row r="2503" customFormat="false" ht="15" hidden="false" customHeight="false" outlineLevel="0" collapsed="false">
      <c r="A2503" s="0" t="s">
        <v>3671</v>
      </c>
      <c r="C2503" s="0" t="s">
        <v>31</v>
      </c>
      <c r="D2503" s="7" t="n">
        <v>1490</v>
      </c>
      <c r="E2503" s="8" t="n">
        <v>0.0674093959731544</v>
      </c>
      <c r="F2503" s="4" t="n">
        <f aca="false">D2503*E2503</f>
        <v>100.44</v>
      </c>
      <c r="G2503" s="7" t="n">
        <v>130</v>
      </c>
      <c r="H2503" s="9" t="n">
        <f aca="false">IF(G2503&gt;0,D2503/G2503,"")</f>
        <v>11.4615384615385</v>
      </c>
      <c r="I2503" s="10" t="n">
        <v>46181</v>
      </c>
      <c r="J2503" s="3" t="s">
        <v>1563</v>
      </c>
      <c r="K2503" s="10" t="n">
        <v>45768</v>
      </c>
      <c r="L2503" s="3" t="s">
        <v>16</v>
      </c>
      <c r="M2503" s="7" t="n">
        <v>2300</v>
      </c>
      <c r="N2503" s="8" t="n">
        <v>0.06741</v>
      </c>
      <c r="O2503" s="4" t="n">
        <f aca="false">M2503*N2503</f>
        <v>155.043</v>
      </c>
    </row>
    <row r="2504" customFormat="false" ht="15" hidden="false" customHeight="false" outlineLevel="0" collapsed="false">
      <c r="A2504" s="0" t="s">
        <v>3672</v>
      </c>
      <c r="C2504" s="0" t="s">
        <v>95</v>
      </c>
      <c r="D2504" s="7" t="n">
        <v>1497</v>
      </c>
      <c r="E2504" s="8" t="n">
        <v>0.0669939879759519</v>
      </c>
      <c r="F2504" s="4" t="n">
        <f aca="false">D2504*E2504</f>
        <v>100.29</v>
      </c>
      <c r="G2504" s="7" t="n">
        <v>20</v>
      </c>
      <c r="H2504" s="9" t="n">
        <f aca="false">IF(G2504&gt;0,D2504/G2504,"")</f>
        <v>74.85</v>
      </c>
      <c r="I2504" s="10" t="n">
        <v>46177</v>
      </c>
      <c r="J2504" s="3" t="s">
        <v>3673</v>
      </c>
      <c r="K2504" s="10" t="n">
        <v>46210</v>
      </c>
      <c r="L2504" s="3" t="s">
        <v>21</v>
      </c>
      <c r="M2504" s="7" t="n">
        <v>1500</v>
      </c>
      <c r="N2504" s="8" t="n">
        <v>0.067</v>
      </c>
      <c r="O2504" s="4" t="n">
        <f aca="false">M2504*N2504</f>
        <v>100.5</v>
      </c>
    </row>
    <row r="2505" customFormat="false" ht="15" hidden="false" customHeight="false" outlineLevel="0" collapsed="false">
      <c r="A2505" s="0" t="s">
        <v>3674</v>
      </c>
      <c r="C2505" s="0" t="s">
        <v>765</v>
      </c>
      <c r="D2505" s="7" t="n">
        <v>1086</v>
      </c>
      <c r="E2505" s="8" t="n">
        <v>0.0923020257826888</v>
      </c>
      <c r="F2505" s="4" t="n">
        <f aca="false">D2505*E2505</f>
        <v>100.24</v>
      </c>
      <c r="G2505" s="7" t="n">
        <v>14</v>
      </c>
      <c r="H2505" s="9" t="n">
        <f aca="false">IF(G2505&gt;0,D2505/G2505,"")</f>
        <v>77.5714285714286</v>
      </c>
      <c r="I2505" s="10" t="n">
        <v>46086</v>
      </c>
      <c r="J2505" s="3" t="s">
        <v>2385</v>
      </c>
      <c r="K2505" s="10" t="n">
        <v>45629</v>
      </c>
      <c r="L2505" s="3" t="s">
        <v>16</v>
      </c>
      <c r="M2505" s="7" t="n">
        <v>1100</v>
      </c>
      <c r="N2505" s="8" t="n">
        <v>0.0923</v>
      </c>
      <c r="O2505" s="4" t="n">
        <f aca="false">M2505*N2505</f>
        <v>101.53</v>
      </c>
    </row>
    <row r="2506" customFormat="false" ht="15" hidden="false" customHeight="false" outlineLevel="0" collapsed="false">
      <c r="A2506" s="0" t="s">
        <v>3675</v>
      </c>
      <c r="C2506" s="0" t="s">
        <v>1169</v>
      </c>
      <c r="D2506" s="7" t="n">
        <v>120</v>
      </c>
      <c r="E2506" s="8" t="n">
        <v>0.835</v>
      </c>
      <c r="F2506" s="4" t="n">
        <f aca="false">D2506*E2506</f>
        <v>100.2</v>
      </c>
      <c r="G2506" s="7" t="n">
        <v>50</v>
      </c>
      <c r="H2506" s="9" t="n">
        <f aca="false">IF(G2506&gt;0,D2506/G2506,"")</f>
        <v>2.4</v>
      </c>
      <c r="I2506" s="10" t="n">
        <v>46126</v>
      </c>
      <c r="J2506" s="3" t="s">
        <v>2202</v>
      </c>
      <c r="K2506" s="10" t="n">
        <v>46083</v>
      </c>
      <c r="L2506" s="3" t="s">
        <v>2203</v>
      </c>
      <c r="M2506" s="7" t="n">
        <v>50</v>
      </c>
      <c r="N2506" s="8" t="n">
        <v>2.1663</v>
      </c>
      <c r="O2506" s="4" t="n">
        <f aca="false">M2506*N2506</f>
        <v>108.315</v>
      </c>
    </row>
    <row r="2507" customFormat="false" ht="15" hidden="false" customHeight="false" outlineLevel="0" collapsed="false">
      <c r="A2507" s="0" t="s">
        <v>3676</v>
      </c>
      <c r="C2507" s="0" t="s">
        <v>40</v>
      </c>
      <c r="D2507" s="7" t="n">
        <v>10685</v>
      </c>
      <c r="E2507" s="8" t="n">
        <v>0.00937014506317267</v>
      </c>
      <c r="F2507" s="4" t="n">
        <f aca="false">D2507*E2507</f>
        <v>100.12</v>
      </c>
      <c r="G2507" s="7" t="n">
        <v>6924</v>
      </c>
      <c r="H2507" s="9" t="n">
        <f aca="false">IF(G2507&gt;0,D2507/G2507,"")</f>
        <v>1.54318313113807</v>
      </c>
      <c r="I2507" s="10" t="n">
        <v>46280</v>
      </c>
      <c r="J2507" s="3" t="s">
        <v>3677</v>
      </c>
      <c r="K2507" s="10" t="n">
        <v>46252</v>
      </c>
      <c r="L2507" s="3" t="s">
        <v>18</v>
      </c>
      <c r="M2507" s="7" t="n">
        <v>11000</v>
      </c>
      <c r="N2507" s="8" t="n">
        <v>0.0094</v>
      </c>
      <c r="O2507" s="4" t="n">
        <f aca="false">M2507*N2507</f>
        <v>103.4</v>
      </c>
    </row>
    <row r="2508" customFormat="false" ht="15" hidden="false" customHeight="false" outlineLevel="0" collapsed="false">
      <c r="A2508" s="0" t="s">
        <v>3678</v>
      </c>
      <c r="C2508" s="0" t="s">
        <v>34</v>
      </c>
      <c r="D2508" s="7" t="n">
        <v>405</v>
      </c>
      <c r="E2508" s="8" t="n">
        <v>0.246987654320988</v>
      </c>
      <c r="F2508" s="4" t="n">
        <f aca="false">D2508*E2508</f>
        <v>100.03</v>
      </c>
      <c r="G2508" s="7" t="n">
        <v>40</v>
      </c>
      <c r="H2508" s="9" t="n">
        <f aca="false">IF(G2508&gt;0,D2508/G2508,"")</f>
        <v>10.125</v>
      </c>
      <c r="I2508" s="10" t="n">
        <v>46188</v>
      </c>
      <c r="J2508" s="3" t="s">
        <v>3679</v>
      </c>
      <c r="K2508" s="10" t="n">
        <v>44692</v>
      </c>
      <c r="L2508" s="3" t="s">
        <v>19</v>
      </c>
      <c r="M2508" s="7" t="n">
        <v>2416</v>
      </c>
      <c r="N2508" s="8" t="n">
        <v>0.247</v>
      </c>
      <c r="O2508" s="4" t="n">
        <f aca="false">M2508*N2508</f>
        <v>596.752</v>
      </c>
    </row>
    <row r="2509" customFormat="false" ht="15" hidden="false" customHeight="false" outlineLevel="0" collapsed="false">
      <c r="A2509" s="0" t="s">
        <v>3680</v>
      </c>
      <c r="C2509" s="0" t="s">
        <v>979</v>
      </c>
      <c r="D2509" s="7" t="n">
        <v>108</v>
      </c>
      <c r="E2509" s="8" t="n">
        <v>0.925925925925926</v>
      </c>
      <c r="F2509" s="4" t="n">
        <f aca="false">D2509*E2509</f>
        <v>100</v>
      </c>
      <c r="G2509" s="7" t="n">
        <v>2</v>
      </c>
      <c r="H2509" s="9" t="n">
        <f aca="false">IF(G2509&gt;0,D2509/G2509,"")</f>
        <v>54</v>
      </c>
      <c r="I2509" s="10" t="n">
        <v>46247</v>
      </c>
      <c r="J2509" s="3" t="s">
        <v>3681</v>
      </c>
      <c r="K2509" s="10" t="n">
        <v>45796</v>
      </c>
      <c r="L2509" s="3" t="s">
        <v>18</v>
      </c>
      <c r="M2509" s="7" t="n">
        <v>110</v>
      </c>
      <c r="N2509" s="8" t="n">
        <v>0.9259</v>
      </c>
      <c r="O2509" s="4" t="n">
        <f aca="false">M2509*N2509</f>
        <v>101.849</v>
      </c>
    </row>
    <row r="2510" customFormat="false" ht="15" hidden="false" customHeight="false" outlineLevel="0" collapsed="false">
      <c r="A2510" s="0" t="s">
        <v>3682</v>
      </c>
      <c r="C2510" s="0" t="s">
        <v>1169</v>
      </c>
      <c r="D2510" s="7" t="n">
        <v>500</v>
      </c>
      <c r="E2510" s="8" t="n">
        <v>0.2</v>
      </c>
      <c r="F2510" s="4" t="n">
        <f aca="false">D2510*E2510</f>
        <v>100</v>
      </c>
      <c r="G2510" s="7" t="n">
        <v>100</v>
      </c>
      <c r="H2510" s="9" t="n">
        <f aca="false">IF(G2510&gt;0,D2510/G2510,"")</f>
        <v>5</v>
      </c>
      <c r="I2510" s="10" t="n">
        <v>46007</v>
      </c>
      <c r="J2510" s="3" t="s">
        <v>3273</v>
      </c>
      <c r="K2510" s="10" t="n">
        <v>46043</v>
      </c>
      <c r="L2510" s="3" t="s">
        <v>21</v>
      </c>
      <c r="M2510" s="7" t="n">
        <v>500</v>
      </c>
      <c r="N2510" s="8" t="n">
        <v>0.2</v>
      </c>
      <c r="O2510" s="4" t="n">
        <f aca="false">M2510*N2510</f>
        <v>100</v>
      </c>
    </row>
    <row r="2511" customFormat="false" ht="15" hidden="false" customHeight="false" outlineLevel="0" collapsed="false">
      <c r="A2511" s="0" t="s">
        <v>3683</v>
      </c>
      <c r="C2511" s="0" t="s">
        <v>765</v>
      </c>
      <c r="D2511" s="7" t="n">
        <v>1014</v>
      </c>
      <c r="E2511" s="8" t="n">
        <v>0.0985996055226825</v>
      </c>
      <c r="F2511" s="4" t="n">
        <f aca="false">D2511*E2511</f>
        <v>99.98</v>
      </c>
      <c r="G2511" s="7" t="n">
        <v>410</v>
      </c>
      <c r="H2511" s="9" t="n">
        <f aca="false">IF(G2511&gt;0,D2511/G2511,"")</f>
        <v>2.47317073170732</v>
      </c>
      <c r="I2511" s="10" t="n">
        <v>46265</v>
      </c>
      <c r="J2511" s="3" t="s">
        <v>428</v>
      </c>
      <c r="K2511" s="10" t="n">
        <v>46253</v>
      </c>
      <c r="L2511" s="3" t="s">
        <v>14</v>
      </c>
      <c r="M2511" s="7" t="n">
        <v>1200</v>
      </c>
      <c r="N2511" s="8" t="n">
        <v>0.0986</v>
      </c>
      <c r="O2511" s="4" t="n">
        <f aca="false">M2511*N2511</f>
        <v>118.32</v>
      </c>
    </row>
    <row r="2512" customFormat="false" ht="15" hidden="false" customHeight="false" outlineLevel="0" collapsed="false">
      <c r="A2512" s="0" t="s">
        <v>3684</v>
      </c>
      <c r="C2512" s="0" t="s">
        <v>979</v>
      </c>
      <c r="D2512" s="7" t="n">
        <v>939</v>
      </c>
      <c r="E2512" s="8" t="n">
        <v>0.106453674121406</v>
      </c>
      <c r="F2512" s="4" t="n">
        <f aca="false">D2512*E2512</f>
        <v>99.96</v>
      </c>
      <c r="G2512" s="7" t="n">
        <v>6</v>
      </c>
      <c r="H2512" s="9" t="n">
        <f aca="false">IF(G2512&gt;0,D2512/G2512,"")</f>
        <v>156.5</v>
      </c>
      <c r="I2512" s="10" t="n">
        <v>46112</v>
      </c>
      <c r="J2512" s="3" t="s">
        <v>3444</v>
      </c>
      <c r="K2512" s="10" t="n">
        <v>45925</v>
      </c>
      <c r="L2512" s="3" t="s">
        <v>18</v>
      </c>
      <c r="M2512" s="7" t="n">
        <v>900</v>
      </c>
      <c r="N2512" s="8" t="n">
        <v>0.1054</v>
      </c>
      <c r="O2512" s="4" t="n">
        <f aca="false">M2512*N2512</f>
        <v>94.86</v>
      </c>
    </row>
    <row r="2513" customFormat="false" ht="15" hidden="false" customHeight="false" outlineLevel="0" collapsed="false">
      <c r="A2513" s="0" t="s">
        <v>3685</v>
      </c>
      <c r="C2513" s="0" t="s">
        <v>31</v>
      </c>
      <c r="D2513" s="7" t="n">
        <v>11097</v>
      </c>
      <c r="E2513" s="8" t="n">
        <v>0.00899972965666396</v>
      </c>
      <c r="F2513" s="4" t="n">
        <f aca="false">D2513*E2513</f>
        <v>99.87</v>
      </c>
      <c r="G2513" s="7" t="n">
        <v>177</v>
      </c>
      <c r="H2513" s="9" t="n">
        <f aca="false">IF(G2513&gt;0,D2513/G2513,"")</f>
        <v>62.6949152542373</v>
      </c>
      <c r="I2513" s="10" t="n">
        <v>46287</v>
      </c>
      <c r="K2513" s="10"/>
      <c r="M2513" s="7"/>
      <c r="N2513" s="8"/>
      <c r="O2513" s="4"/>
    </row>
    <row r="2514" customFormat="false" ht="15" hidden="false" customHeight="false" outlineLevel="0" collapsed="false">
      <c r="A2514" s="0" t="s">
        <v>3686</v>
      </c>
      <c r="C2514" s="0" t="s">
        <v>34</v>
      </c>
      <c r="D2514" s="7" t="n">
        <v>1561</v>
      </c>
      <c r="E2514" s="8" t="n">
        <v>0.0639013452914798</v>
      </c>
      <c r="F2514" s="4" t="n">
        <f aca="false">D2514*E2514</f>
        <v>99.75</v>
      </c>
      <c r="G2514" s="7" t="n">
        <v>106</v>
      </c>
      <c r="H2514" s="9" t="n">
        <f aca="false">IF(G2514&gt;0,D2514/G2514,"")</f>
        <v>14.7264150943396</v>
      </c>
      <c r="I2514" s="10" t="n">
        <v>46202</v>
      </c>
      <c r="J2514" s="3" t="s">
        <v>1192</v>
      </c>
      <c r="K2514" s="10" t="n">
        <v>45736</v>
      </c>
      <c r="L2514" s="3" t="s">
        <v>26</v>
      </c>
      <c r="M2514" s="7" t="n">
        <v>550</v>
      </c>
      <c r="N2514" s="8" t="n">
        <v>0.1349</v>
      </c>
      <c r="O2514" s="4" t="n">
        <f aca="false">M2514*N2514</f>
        <v>74.195</v>
      </c>
    </row>
    <row r="2515" customFormat="false" ht="15" hidden="false" customHeight="false" outlineLevel="0" collapsed="false">
      <c r="A2515" s="0" t="s">
        <v>3687</v>
      </c>
      <c r="C2515" s="0" t="s">
        <v>31</v>
      </c>
      <c r="D2515" s="7" t="n">
        <v>16781</v>
      </c>
      <c r="E2515" s="8" t="n">
        <v>0.0059412430725225</v>
      </c>
      <c r="F2515" s="4" t="n">
        <f aca="false">D2515*E2515</f>
        <v>99.7</v>
      </c>
      <c r="G2515" s="7" t="n">
        <v>3407</v>
      </c>
      <c r="H2515" s="9" t="n">
        <f aca="false">IF(G2515&gt;0,D2515/G2515,"")</f>
        <v>4.92544760786616</v>
      </c>
      <c r="I2515" s="10" t="n">
        <v>46290</v>
      </c>
      <c r="J2515" s="3" t="s">
        <v>1565</v>
      </c>
      <c r="K2515" s="10" t="n">
        <v>45516</v>
      </c>
      <c r="L2515" s="3" t="s">
        <v>16</v>
      </c>
      <c r="M2515" s="7" t="n">
        <v>25300</v>
      </c>
      <c r="N2515" s="8" t="n">
        <v>0.00594</v>
      </c>
      <c r="O2515" s="4" t="n">
        <f aca="false">M2515*N2515</f>
        <v>150.282</v>
      </c>
    </row>
    <row r="2516" customFormat="false" ht="15" hidden="false" customHeight="false" outlineLevel="0" collapsed="false">
      <c r="A2516" s="0" t="s">
        <v>3688</v>
      </c>
      <c r="C2516" s="0" t="s">
        <v>765</v>
      </c>
      <c r="D2516" s="7" t="n">
        <v>825</v>
      </c>
      <c r="E2516" s="8" t="n">
        <v>0.1208</v>
      </c>
      <c r="F2516" s="4" t="n">
        <f aca="false">D2516*E2516</f>
        <v>99.66</v>
      </c>
      <c r="G2516" s="7" t="n">
        <v>25</v>
      </c>
      <c r="H2516" s="9" t="n">
        <f aca="false">IF(G2516&gt;0,D2516/G2516,"")</f>
        <v>33</v>
      </c>
      <c r="I2516" s="10" t="n">
        <v>46072</v>
      </c>
      <c r="J2516" s="3" t="s">
        <v>2719</v>
      </c>
      <c r="K2516" s="10" t="n">
        <v>46049</v>
      </c>
      <c r="L2516" s="3" t="s">
        <v>16</v>
      </c>
      <c r="M2516" s="7" t="n">
        <v>850</v>
      </c>
      <c r="N2516" s="8" t="n">
        <v>0.1208</v>
      </c>
      <c r="O2516" s="4" t="n">
        <f aca="false">M2516*N2516</f>
        <v>102.68</v>
      </c>
    </row>
    <row r="2517" customFormat="false" ht="15" hidden="false" customHeight="false" outlineLevel="0" collapsed="false">
      <c r="A2517" s="0" t="s">
        <v>3689</v>
      </c>
      <c r="C2517" s="0" t="s">
        <v>34</v>
      </c>
      <c r="D2517" s="7" t="n">
        <v>1584</v>
      </c>
      <c r="E2517" s="8" t="n">
        <v>0.0629166666666667</v>
      </c>
      <c r="F2517" s="4" t="n">
        <f aca="false">D2517*E2517</f>
        <v>99.66</v>
      </c>
      <c r="G2517" s="7" t="n">
        <v>20</v>
      </c>
      <c r="H2517" s="9" t="n">
        <f aca="false">IF(G2517&gt;0,D2517/G2517,"")</f>
        <v>79.2</v>
      </c>
      <c r="I2517" s="10" t="n">
        <v>46210</v>
      </c>
      <c r="J2517" s="3" t="s">
        <v>2162</v>
      </c>
      <c r="K2517" s="10" t="n">
        <v>44222</v>
      </c>
      <c r="L2517" s="3" t="s">
        <v>15</v>
      </c>
      <c r="M2517" s="7" t="n">
        <v>1703</v>
      </c>
      <c r="N2517" s="8" t="n">
        <v>0.06292</v>
      </c>
      <c r="O2517" s="4" t="n">
        <f aca="false">M2517*N2517</f>
        <v>107.15276</v>
      </c>
    </row>
    <row r="2518" customFormat="false" ht="15" hidden="false" customHeight="false" outlineLevel="0" collapsed="false">
      <c r="A2518" s="0" t="s">
        <v>3690</v>
      </c>
      <c r="C2518" s="0" t="s">
        <v>38</v>
      </c>
      <c r="D2518" s="7" t="n">
        <v>12488</v>
      </c>
      <c r="E2518" s="8" t="n">
        <v>0.00797885970531711</v>
      </c>
      <c r="F2518" s="4" t="n">
        <f aca="false">D2518*E2518</f>
        <v>99.64</v>
      </c>
      <c r="G2518" s="7" t="n">
        <v>3856</v>
      </c>
      <c r="H2518" s="9" t="n">
        <f aca="false">IF(G2518&gt;0,D2518/G2518,"")</f>
        <v>3.23858921161826</v>
      </c>
      <c r="I2518" s="10" t="n">
        <v>46302</v>
      </c>
      <c r="J2518" s="3" t="s">
        <v>2342</v>
      </c>
      <c r="K2518" s="10" t="n">
        <v>46290</v>
      </c>
      <c r="L2518" s="3" t="s">
        <v>15</v>
      </c>
      <c r="M2518" s="7" t="n">
        <v>42200</v>
      </c>
      <c r="N2518" s="8" t="n">
        <v>0.00474</v>
      </c>
      <c r="O2518" s="4" t="n">
        <f aca="false">M2518*N2518</f>
        <v>200.028</v>
      </c>
    </row>
    <row r="2519" customFormat="false" ht="15" hidden="false" customHeight="false" outlineLevel="0" collapsed="false">
      <c r="A2519" s="0" t="s">
        <v>3691</v>
      </c>
      <c r="C2519" s="0" t="s">
        <v>370</v>
      </c>
      <c r="D2519" s="7" t="n">
        <v>291</v>
      </c>
      <c r="E2519" s="8" t="n">
        <v>0.342164948453608</v>
      </c>
      <c r="F2519" s="4" t="n">
        <f aca="false">D2519*E2519</f>
        <v>99.57</v>
      </c>
      <c r="G2519" s="7" t="n">
        <v>30</v>
      </c>
      <c r="H2519" s="9" t="n">
        <f aca="false">IF(G2519&gt;0,D2519/G2519,"")</f>
        <v>9.7</v>
      </c>
      <c r="I2519" s="10" t="n">
        <v>46280</v>
      </c>
      <c r="J2519" s="3" t="s">
        <v>3659</v>
      </c>
      <c r="K2519" s="10" t="n">
        <v>46105</v>
      </c>
      <c r="L2519" s="3" t="s">
        <v>21</v>
      </c>
      <c r="M2519" s="7" t="n">
        <v>310</v>
      </c>
      <c r="N2519" s="8" t="n">
        <v>0.326</v>
      </c>
      <c r="O2519" s="4" t="n">
        <f aca="false">M2519*N2519</f>
        <v>101.06</v>
      </c>
    </row>
    <row r="2520" customFormat="false" ht="15" hidden="false" customHeight="false" outlineLevel="0" collapsed="false">
      <c r="A2520" s="0" t="s">
        <v>3692</v>
      </c>
      <c r="C2520" s="0" t="s">
        <v>40</v>
      </c>
      <c r="D2520" s="7" t="n">
        <v>5294</v>
      </c>
      <c r="E2520" s="8" t="n">
        <v>0.0187986399697771</v>
      </c>
      <c r="F2520" s="4" t="n">
        <f aca="false">D2520*E2520</f>
        <v>99.52</v>
      </c>
      <c r="G2520" s="7" t="n">
        <v>2551</v>
      </c>
      <c r="H2520" s="9" t="n">
        <f aca="false">IF(G2520&gt;0,D2520/G2520,"")</f>
        <v>2.07526460211682</v>
      </c>
      <c r="I2520" s="10" t="n">
        <v>46293</v>
      </c>
      <c r="J2520" s="3" t="s">
        <v>3583</v>
      </c>
      <c r="K2520" s="10" t="n">
        <v>46106</v>
      </c>
      <c r="L2520" s="3" t="s">
        <v>18</v>
      </c>
      <c r="M2520" s="7" t="n">
        <v>5300</v>
      </c>
      <c r="N2520" s="8" t="n">
        <v>0.0188</v>
      </c>
      <c r="O2520" s="4" t="n">
        <f aca="false">M2520*N2520</f>
        <v>99.64</v>
      </c>
    </row>
    <row r="2521" customFormat="false" ht="15" hidden="false" customHeight="false" outlineLevel="0" collapsed="false">
      <c r="A2521" s="0" t="s">
        <v>3693</v>
      </c>
      <c r="C2521" s="0" t="s">
        <v>38</v>
      </c>
      <c r="D2521" s="7" t="n">
        <v>3003</v>
      </c>
      <c r="E2521" s="8" t="n">
        <v>0.0331235431235431</v>
      </c>
      <c r="F2521" s="4" t="n">
        <f aca="false">D2521*E2521</f>
        <v>99.47</v>
      </c>
      <c r="G2521" s="7" t="n">
        <v>65</v>
      </c>
      <c r="H2521" s="9" t="n">
        <f aca="false">IF(G2521&gt;0,D2521/G2521,"")</f>
        <v>46.2</v>
      </c>
      <c r="I2521" s="10" t="n">
        <v>46218</v>
      </c>
      <c r="J2521" s="3" t="s">
        <v>3444</v>
      </c>
      <c r="K2521" s="10" t="n">
        <v>45925</v>
      </c>
      <c r="L2521" s="3" t="s">
        <v>18</v>
      </c>
      <c r="M2521" s="7" t="n">
        <v>3000</v>
      </c>
      <c r="N2521" s="8" t="n">
        <v>0.0331</v>
      </c>
      <c r="O2521" s="4" t="n">
        <f aca="false">M2521*N2521</f>
        <v>99.3</v>
      </c>
    </row>
    <row r="2522" customFormat="false" ht="15" hidden="false" customHeight="false" outlineLevel="0" collapsed="false">
      <c r="A2522" s="0" t="s">
        <v>3694</v>
      </c>
      <c r="C2522" s="0" t="s">
        <v>33</v>
      </c>
      <c r="D2522" s="7" t="n">
        <v>1293</v>
      </c>
      <c r="E2522" s="8" t="n">
        <v>0.0769141531322506</v>
      </c>
      <c r="F2522" s="4" t="n">
        <f aca="false">D2522*E2522</f>
        <v>99.45</v>
      </c>
      <c r="G2522" s="7" t="n">
        <v>533</v>
      </c>
      <c r="H2522" s="9" t="n">
        <f aca="false">IF(G2522&gt;0,D2522/G2522,"")</f>
        <v>2.42589118198874</v>
      </c>
      <c r="I2522" s="10" t="n">
        <v>46283</v>
      </c>
      <c r="J2522" s="3" t="s">
        <v>3261</v>
      </c>
      <c r="K2522" s="10" t="n">
        <v>45784</v>
      </c>
      <c r="L2522" s="3" t="s">
        <v>18</v>
      </c>
      <c r="M2522" s="7" t="n">
        <v>2350</v>
      </c>
      <c r="N2522" s="8" t="n">
        <v>0.0769</v>
      </c>
      <c r="O2522" s="4" t="n">
        <f aca="false">M2522*N2522</f>
        <v>180.715</v>
      </c>
    </row>
    <row r="2523" customFormat="false" ht="15" hidden="false" customHeight="false" outlineLevel="0" collapsed="false">
      <c r="A2523" s="0" t="s">
        <v>3695</v>
      </c>
      <c r="C2523" s="0" t="s">
        <v>31</v>
      </c>
      <c r="D2523" s="7" t="n">
        <v>30209</v>
      </c>
      <c r="E2523" s="8" t="n">
        <v>0.00328941706114072</v>
      </c>
      <c r="F2523" s="4" t="n">
        <f aca="false">D2523*E2523</f>
        <v>99.37</v>
      </c>
      <c r="G2523" s="7" t="n">
        <v>204</v>
      </c>
      <c r="H2523" s="9" t="n">
        <f aca="false">IF(G2523&gt;0,D2523/G2523,"")</f>
        <v>148.083333333333</v>
      </c>
      <c r="I2523" s="10" t="n">
        <v>46178</v>
      </c>
      <c r="J2523" s="3" t="s">
        <v>2789</v>
      </c>
      <c r="K2523" s="10" t="n">
        <v>44256</v>
      </c>
      <c r="L2523" s="3" t="s">
        <v>15</v>
      </c>
      <c r="M2523" s="7" t="n">
        <v>36850</v>
      </c>
      <c r="N2523" s="8" t="n">
        <v>0.00329</v>
      </c>
      <c r="O2523" s="4" t="n">
        <f aca="false">M2523*N2523</f>
        <v>121.2365</v>
      </c>
    </row>
    <row r="2524" customFormat="false" ht="15" hidden="false" customHeight="false" outlineLevel="0" collapsed="false">
      <c r="A2524" s="0" t="s">
        <v>3696</v>
      </c>
      <c r="C2524" s="0" t="s">
        <v>40</v>
      </c>
      <c r="D2524" s="7" t="n">
        <v>414</v>
      </c>
      <c r="E2524" s="8" t="n">
        <v>0.239806763285024</v>
      </c>
      <c r="F2524" s="4" t="n">
        <f aca="false">D2524*E2524</f>
        <v>99.28</v>
      </c>
      <c r="G2524" s="7" t="n">
        <v>6</v>
      </c>
      <c r="H2524" s="9" t="n">
        <f aca="false">IF(G2524&gt;0,D2524/G2524,"")</f>
        <v>69</v>
      </c>
      <c r="I2524" s="10" t="n">
        <v>46090</v>
      </c>
      <c r="J2524" s="3" t="s">
        <v>3444</v>
      </c>
      <c r="K2524" s="10" t="n">
        <v>45925</v>
      </c>
      <c r="L2524" s="3" t="s">
        <v>18</v>
      </c>
      <c r="M2524" s="7" t="n">
        <v>420</v>
      </c>
      <c r="N2524" s="8" t="n">
        <v>0.2398</v>
      </c>
      <c r="O2524" s="4" t="n">
        <f aca="false">M2524*N2524</f>
        <v>100.716</v>
      </c>
    </row>
    <row r="2525" customFormat="false" ht="15" hidden="false" customHeight="false" outlineLevel="0" collapsed="false">
      <c r="A2525" s="0" t="s">
        <v>3697</v>
      </c>
      <c r="C2525" s="0" t="s">
        <v>38</v>
      </c>
      <c r="D2525" s="7" t="n">
        <v>2019</v>
      </c>
      <c r="E2525" s="8" t="n">
        <v>0.0491134224863794</v>
      </c>
      <c r="F2525" s="4" t="n">
        <f aca="false">D2525*E2525</f>
        <v>99.16</v>
      </c>
      <c r="G2525" s="7" t="n">
        <v>89</v>
      </c>
      <c r="H2525" s="9" t="n">
        <f aca="false">IF(G2525&gt;0,D2525/G2525,"")</f>
        <v>22.685393258427</v>
      </c>
      <c r="I2525" s="10" t="n">
        <v>46104</v>
      </c>
      <c r="J2525" s="3" t="s">
        <v>3444</v>
      </c>
      <c r="K2525" s="10" t="n">
        <v>45925</v>
      </c>
      <c r="L2525" s="3" t="s">
        <v>18</v>
      </c>
      <c r="M2525" s="7" t="n">
        <v>2000</v>
      </c>
      <c r="N2525" s="8" t="n">
        <v>0.0494</v>
      </c>
      <c r="O2525" s="4" t="n">
        <f aca="false">M2525*N2525</f>
        <v>98.8</v>
      </c>
    </row>
    <row r="2526" customFormat="false" ht="15" hidden="false" customHeight="false" outlineLevel="0" collapsed="false">
      <c r="A2526" s="0" t="s">
        <v>3698</v>
      </c>
      <c r="C2526" s="0" t="s">
        <v>31</v>
      </c>
      <c r="D2526" s="7" t="n">
        <v>17702</v>
      </c>
      <c r="E2526" s="8" t="n">
        <v>0.00560049711896961</v>
      </c>
      <c r="F2526" s="4" t="n">
        <f aca="false">D2526*E2526</f>
        <v>99.14</v>
      </c>
      <c r="G2526" s="7" t="n">
        <v>777</v>
      </c>
      <c r="H2526" s="9" t="n">
        <f aca="false">IF(G2526&gt;0,D2526/G2526,"")</f>
        <v>22.7824967824968</v>
      </c>
      <c r="I2526" s="10" t="n">
        <v>46253</v>
      </c>
      <c r="J2526" s="3" t="s">
        <v>2043</v>
      </c>
      <c r="K2526" s="10" t="n">
        <v>46104</v>
      </c>
      <c r="L2526" s="3" t="s">
        <v>16</v>
      </c>
      <c r="M2526" s="7" t="n">
        <v>18000</v>
      </c>
      <c r="N2526" s="8" t="n">
        <v>0.0056</v>
      </c>
      <c r="O2526" s="4" t="n">
        <f aca="false">M2526*N2526</f>
        <v>100.8</v>
      </c>
    </row>
    <row r="2527" customFormat="false" ht="15" hidden="false" customHeight="false" outlineLevel="0" collapsed="false">
      <c r="A2527" s="0" t="s">
        <v>3699</v>
      </c>
      <c r="C2527" s="0" t="s">
        <v>35</v>
      </c>
      <c r="D2527" s="7" t="n">
        <v>100</v>
      </c>
      <c r="E2527" s="8" t="n">
        <v>0.991</v>
      </c>
      <c r="F2527" s="4" t="n">
        <f aca="false">D2527*E2527</f>
        <v>99.1</v>
      </c>
      <c r="G2527" s="7" t="n">
        <v>7</v>
      </c>
      <c r="H2527" s="9" t="n">
        <f aca="false">IF(G2527&gt;0,D2527/G2527,"")</f>
        <v>14.2857142857143</v>
      </c>
      <c r="I2527" s="10" t="n">
        <v>46176</v>
      </c>
      <c r="J2527" s="3" t="s">
        <v>2705</v>
      </c>
      <c r="K2527" s="10" t="n">
        <v>46175</v>
      </c>
      <c r="L2527" s="3" t="s">
        <v>14</v>
      </c>
      <c r="M2527" s="7" t="n">
        <v>100</v>
      </c>
      <c r="N2527" s="8" t="n">
        <v>0.991</v>
      </c>
      <c r="O2527" s="4" t="n">
        <f aca="false">M2527*N2527</f>
        <v>99.1</v>
      </c>
    </row>
    <row r="2528" customFormat="false" ht="15" hidden="false" customHeight="false" outlineLevel="0" collapsed="false">
      <c r="A2528" s="0" t="s">
        <v>3700</v>
      </c>
      <c r="C2528" s="0" t="s">
        <v>31</v>
      </c>
      <c r="D2528" s="7" t="n">
        <v>6561</v>
      </c>
      <c r="E2528" s="8" t="n">
        <v>0.0150998323426307</v>
      </c>
      <c r="F2528" s="4" t="n">
        <f aca="false">D2528*E2528</f>
        <v>99.07</v>
      </c>
      <c r="G2528" s="7" t="n">
        <v>20</v>
      </c>
      <c r="H2528" s="9" t="n">
        <f aca="false">IF(G2528&gt;0,D2528/G2528,"")</f>
        <v>328.05</v>
      </c>
      <c r="I2528" s="10" t="n">
        <v>46275</v>
      </c>
      <c r="J2528" s="3" t="s">
        <v>1211</v>
      </c>
      <c r="K2528" s="10" t="n">
        <v>45750</v>
      </c>
      <c r="L2528" s="3" t="s">
        <v>26</v>
      </c>
      <c r="M2528" s="7" t="n">
        <v>30</v>
      </c>
      <c r="N2528" s="8" t="n">
        <v>0.166667</v>
      </c>
      <c r="O2528" s="4" t="n">
        <f aca="false">M2528*N2528</f>
        <v>5.00001</v>
      </c>
    </row>
    <row r="2529" customFormat="false" ht="15" hidden="false" customHeight="false" outlineLevel="0" collapsed="false">
      <c r="A2529" s="0" t="s">
        <v>3701</v>
      </c>
      <c r="C2529" s="0" t="s">
        <v>33</v>
      </c>
      <c r="D2529" s="7" t="n">
        <v>60</v>
      </c>
      <c r="E2529" s="8" t="n">
        <v>1.65</v>
      </c>
      <c r="F2529" s="4" t="n">
        <f aca="false">D2529*E2529</f>
        <v>99</v>
      </c>
      <c r="G2529" s="7" t="n">
        <v>50</v>
      </c>
      <c r="H2529" s="9" t="n">
        <f aca="false">IF(G2529&gt;0,D2529/G2529,"")</f>
        <v>1.2</v>
      </c>
      <c r="I2529" s="10" t="n">
        <v>46274</v>
      </c>
      <c r="J2529" s="3" t="s">
        <v>373</v>
      </c>
      <c r="K2529" s="10" t="n">
        <v>46275</v>
      </c>
      <c r="L2529" s="3" t="s">
        <v>18</v>
      </c>
      <c r="M2529" s="7" t="n">
        <v>57</v>
      </c>
      <c r="N2529" s="8" t="n">
        <v>1.6618</v>
      </c>
      <c r="O2529" s="4" t="n">
        <f aca="false">M2529*N2529</f>
        <v>94.7226</v>
      </c>
    </row>
    <row r="2530" customFormat="false" ht="15" hidden="false" customHeight="false" outlineLevel="0" collapsed="false">
      <c r="A2530" s="0" t="s">
        <v>3702</v>
      </c>
      <c r="C2530" s="0" t="s">
        <v>36</v>
      </c>
      <c r="D2530" s="7" t="n">
        <v>568</v>
      </c>
      <c r="E2530" s="8" t="n">
        <v>0.174278169014085</v>
      </c>
      <c r="F2530" s="4" t="n">
        <f aca="false">D2530*E2530</f>
        <v>98.99</v>
      </c>
      <c r="G2530" s="7" t="n">
        <v>61</v>
      </c>
      <c r="H2530" s="9" t="n">
        <f aca="false">IF(G2530&gt;0,D2530/G2530,"")</f>
        <v>9.31147540983607</v>
      </c>
      <c r="I2530" s="10" t="n">
        <v>46230</v>
      </c>
      <c r="J2530" s="3" t="s">
        <v>3703</v>
      </c>
      <c r="K2530" s="10" t="n">
        <v>45566</v>
      </c>
      <c r="L2530" s="3" t="s">
        <v>18</v>
      </c>
      <c r="M2530" s="7" t="n">
        <v>1961</v>
      </c>
      <c r="N2530" s="8" t="n">
        <v>0.1743</v>
      </c>
      <c r="O2530" s="4" t="n">
        <f aca="false">M2530*N2530</f>
        <v>341.8023</v>
      </c>
    </row>
    <row r="2531" customFormat="false" ht="15" hidden="false" customHeight="false" outlineLevel="0" collapsed="false">
      <c r="A2531" s="0" t="s">
        <v>3704</v>
      </c>
      <c r="C2531" s="0" t="s">
        <v>340</v>
      </c>
      <c r="D2531" s="7" t="n">
        <v>1632</v>
      </c>
      <c r="E2531" s="8" t="n">
        <v>0.0606433823529412</v>
      </c>
      <c r="F2531" s="4" t="n">
        <f aca="false">D2531*E2531</f>
        <v>98.97</v>
      </c>
      <c r="G2531" s="7" t="n">
        <v>1132</v>
      </c>
      <c r="H2531" s="9" t="n">
        <f aca="false">IF(G2531&gt;0,D2531/G2531,"")</f>
        <v>1.44169611307421</v>
      </c>
      <c r="I2531" s="10" t="n">
        <v>46274</v>
      </c>
      <c r="J2531" s="3" t="s">
        <v>1636</v>
      </c>
      <c r="K2531" s="10" t="n">
        <v>46252</v>
      </c>
      <c r="L2531" s="3" t="s">
        <v>19</v>
      </c>
      <c r="M2531" s="7" t="n">
        <v>312</v>
      </c>
      <c r="N2531" s="8" t="n">
        <v>0.1019</v>
      </c>
      <c r="O2531" s="4" t="n">
        <f aca="false">M2531*N2531</f>
        <v>31.7928</v>
      </c>
    </row>
    <row r="2532" customFormat="false" ht="15" hidden="false" customHeight="false" outlineLevel="0" collapsed="false">
      <c r="A2532" s="0" t="s">
        <v>3705</v>
      </c>
      <c r="C2532" s="0" t="s">
        <v>438</v>
      </c>
      <c r="D2532" s="7" t="n">
        <v>100</v>
      </c>
      <c r="E2532" s="8" t="n">
        <v>0.988</v>
      </c>
      <c r="F2532" s="4" t="n">
        <f aca="false">D2532*E2532</f>
        <v>98.8</v>
      </c>
      <c r="G2532" s="7" t="n">
        <v>17</v>
      </c>
      <c r="H2532" s="9" t="n">
        <f aca="false">IF(G2532&gt;0,D2532/G2532,"")</f>
        <v>5.88235294117647</v>
      </c>
      <c r="I2532" s="10" t="n">
        <v>46209</v>
      </c>
      <c r="J2532" s="3" t="s">
        <v>3706</v>
      </c>
      <c r="K2532" s="10" t="n">
        <v>46310</v>
      </c>
      <c r="L2532" s="3" t="s">
        <v>14</v>
      </c>
      <c r="M2532" s="7" t="n">
        <v>100</v>
      </c>
      <c r="N2532" s="8" t="n">
        <v>0.988</v>
      </c>
      <c r="O2532" s="4" t="n">
        <f aca="false">M2532*N2532</f>
        <v>98.8</v>
      </c>
    </row>
    <row r="2533" customFormat="false" ht="15" hidden="false" customHeight="false" outlineLevel="0" collapsed="false">
      <c r="A2533" s="0" t="s">
        <v>3707</v>
      </c>
      <c r="C2533" s="0" t="s">
        <v>41</v>
      </c>
      <c r="D2533" s="7" t="n">
        <v>1355</v>
      </c>
      <c r="E2533" s="8" t="n">
        <v>0.0728929889298893</v>
      </c>
      <c r="F2533" s="4" t="n">
        <f aca="false">D2533*E2533</f>
        <v>98.77</v>
      </c>
      <c r="G2533" s="7" t="n">
        <v>10</v>
      </c>
      <c r="H2533" s="9" t="n">
        <f aca="false">IF(G2533&gt;0,D2533/G2533,"")</f>
        <v>135.5</v>
      </c>
      <c r="I2533" s="10" t="n">
        <v>45987</v>
      </c>
      <c r="J2533" s="3" t="s">
        <v>1778</v>
      </c>
      <c r="K2533" s="10" t="n">
        <v>44699</v>
      </c>
      <c r="L2533" s="3" t="s">
        <v>15</v>
      </c>
      <c r="M2533" s="7" t="n">
        <v>1492</v>
      </c>
      <c r="N2533" s="8" t="n">
        <v>0</v>
      </c>
      <c r="O2533" s="4" t="n">
        <v>108.77</v>
      </c>
    </row>
    <row r="2534" customFormat="false" ht="15" hidden="false" customHeight="false" outlineLevel="0" collapsed="false">
      <c r="A2534" s="0" t="s">
        <v>3708</v>
      </c>
      <c r="C2534" s="0" t="s">
        <v>31</v>
      </c>
      <c r="D2534" s="7" t="n">
        <v>7900</v>
      </c>
      <c r="E2534" s="8" t="n">
        <v>0.0125</v>
      </c>
      <c r="F2534" s="4" t="n">
        <f aca="false">D2534*E2534</f>
        <v>98.75</v>
      </c>
      <c r="G2534" s="7" t="n">
        <v>3000</v>
      </c>
      <c r="H2534" s="9" t="n">
        <f aca="false">IF(G2534&gt;0,D2534/G2534,"")</f>
        <v>2.63333333333333</v>
      </c>
      <c r="I2534" s="10" t="n">
        <v>46161</v>
      </c>
      <c r="J2534" s="3" t="s">
        <v>1198</v>
      </c>
      <c r="K2534" s="10" t="n">
        <v>45689</v>
      </c>
      <c r="L2534" s="3" t="s">
        <v>16</v>
      </c>
      <c r="M2534" s="7" t="n">
        <v>11057</v>
      </c>
      <c r="N2534" s="8" t="n">
        <v>0.0125</v>
      </c>
      <c r="O2534" s="4" t="n">
        <f aca="false">M2534*N2534</f>
        <v>138.2125</v>
      </c>
    </row>
    <row r="2535" customFormat="false" ht="15" hidden="false" customHeight="false" outlineLevel="0" collapsed="false">
      <c r="A2535" s="0" t="s">
        <v>3709</v>
      </c>
      <c r="C2535" s="0" t="s">
        <v>33</v>
      </c>
      <c r="D2535" s="7" t="n">
        <v>182</v>
      </c>
      <c r="E2535" s="8" t="n">
        <v>0.542582417582418</v>
      </c>
      <c r="F2535" s="4" t="n">
        <f aca="false">D2535*E2535</f>
        <v>98.75</v>
      </c>
      <c r="G2535" s="7" t="n">
        <v>103</v>
      </c>
      <c r="H2535" s="9" t="n">
        <f aca="false">IF(G2535&gt;0,D2535/G2535,"")</f>
        <v>1.76699029126214</v>
      </c>
      <c r="I2535" s="10" t="n">
        <v>46283</v>
      </c>
      <c r="J2535" s="3" t="s">
        <v>3618</v>
      </c>
      <c r="K2535" s="10" t="n">
        <v>46155</v>
      </c>
      <c r="L2535" s="3" t="s">
        <v>18</v>
      </c>
      <c r="M2535" s="7" t="n">
        <v>197</v>
      </c>
      <c r="N2535" s="8" t="n">
        <v>0.5426</v>
      </c>
      <c r="O2535" s="4" t="n">
        <f aca="false">M2535*N2535</f>
        <v>106.8922</v>
      </c>
    </row>
    <row r="2536" customFormat="false" ht="15" hidden="false" customHeight="false" outlineLevel="0" collapsed="false">
      <c r="A2536" s="0" t="s">
        <v>3710</v>
      </c>
      <c r="C2536" s="0" t="s">
        <v>298</v>
      </c>
      <c r="D2536" s="7" t="n">
        <v>4937</v>
      </c>
      <c r="E2536" s="8" t="n">
        <v>0.02</v>
      </c>
      <c r="F2536" s="4" t="n">
        <f aca="false">D2536*E2536</f>
        <v>98.74</v>
      </c>
      <c r="G2536" s="7" t="n">
        <v>2950</v>
      </c>
      <c r="H2536" s="9" t="n">
        <f aca="false">IF(G2536&gt;0,D2536/G2536,"")</f>
        <v>1.6735593220339</v>
      </c>
      <c r="I2536" s="10" t="n">
        <v>46314</v>
      </c>
      <c r="J2536" s="3" t="s">
        <v>1054</v>
      </c>
      <c r="K2536" s="10" t="n">
        <v>46224</v>
      </c>
      <c r="L2536" s="3" t="s">
        <v>16</v>
      </c>
      <c r="M2536" s="7" t="n">
        <v>5000</v>
      </c>
      <c r="N2536" s="8" t="n">
        <v>0.0215</v>
      </c>
      <c r="O2536" s="4" t="n">
        <f aca="false">M2536*N2536</f>
        <v>107.5</v>
      </c>
    </row>
    <row r="2537" customFormat="false" ht="15" hidden="false" customHeight="false" outlineLevel="0" collapsed="false">
      <c r="A2537" s="0" t="s">
        <v>3711</v>
      </c>
      <c r="C2537" s="0" t="s">
        <v>741</v>
      </c>
      <c r="D2537" s="7" t="n">
        <v>724</v>
      </c>
      <c r="E2537" s="8" t="n">
        <v>0.136298342541437</v>
      </c>
      <c r="F2537" s="4" t="n">
        <f aca="false">D2537*E2537</f>
        <v>98.68</v>
      </c>
      <c r="G2537" s="7" t="n">
        <v>12</v>
      </c>
      <c r="H2537" s="9" t="n">
        <f aca="false">IF(G2537&gt;0,D2537/G2537,"")</f>
        <v>60.3333333333333</v>
      </c>
      <c r="I2537" s="10" t="n">
        <v>45985</v>
      </c>
      <c r="J2537" s="3" t="s">
        <v>3712</v>
      </c>
      <c r="K2537" s="10" t="n">
        <v>46190</v>
      </c>
      <c r="L2537" s="3" t="s">
        <v>14</v>
      </c>
      <c r="M2537" s="7" t="n">
        <v>724</v>
      </c>
      <c r="N2537" s="8" t="n">
        <v>0.1363</v>
      </c>
      <c r="O2537" s="4" t="n">
        <f aca="false">M2537*N2537</f>
        <v>98.6812</v>
      </c>
    </row>
    <row r="2538" customFormat="false" ht="15" hidden="false" customHeight="false" outlineLevel="0" collapsed="false">
      <c r="A2538" s="0" t="s">
        <v>3713</v>
      </c>
      <c r="C2538" s="0" t="s">
        <v>31</v>
      </c>
      <c r="D2538" s="7" t="n">
        <v>4310</v>
      </c>
      <c r="E2538" s="8" t="n">
        <v>0.0228955916473318</v>
      </c>
      <c r="F2538" s="4" t="n">
        <f aca="false">D2538*E2538</f>
        <v>98.68</v>
      </c>
      <c r="G2538" s="7" t="n">
        <v>16</v>
      </c>
      <c r="H2538" s="9" t="n">
        <f aca="false">IF(G2538&gt;0,D2538/G2538,"")</f>
        <v>269.375</v>
      </c>
      <c r="I2538" s="10" t="n">
        <v>46034</v>
      </c>
      <c r="J2538" s="3" t="s">
        <v>3714</v>
      </c>
      <c r="K2538" s="10" t="n">
        <v>44264</v>
      </c>
      <c r="L2538" s="3" t="s">
        <v>19</v>
      </c>
      <c r="M2538" s="7" t="n">
        <v>5000</v>
      </c>
      <c r="N2538" s="8" t="n">
        <v>0.0229</v>
      </c>
      <c r="O2538" s="4" t="n">
        <f aca="false">M2538*N2538</f>
        <v>114.5</v>
      </c>
    </row>
    <row r="2539" customFormat="false" ht="15" hidden="false" customHeight="false" outlineLevel="0" collapsed="false">
      <c r="A2539" s="0" t="s">
        <v>3715</v>
      </c>
      <c r="C2539" s="0" t="s">
        <v>31</v>
      </c>
      <c r="D2539" s="7" t="n">
        <v>2410</v>
      </c>
      <c r="E2539" s="8" t="n">
        <v>0.0409419087136929</v>
      </c>
      <c r="F2539" s="4" t="n">
        <f aca="false">D2539*E2539</f>
        <v>98.67</v>
      </c>
      <c r="G2539" s="7" t="n">
        <v>633</v>
      </c>
      <c r="H2539" s="9" t="n">
        <f aca="false">IF(G2539&gt;0,D2539/G2539,"")</f>
        <v>3.80726698262243</v>
      </c>
      <c r="I2539" s="10" t="n">
        <v>46309</v>
      </c>
      <c r="J2539" s="3" t="s">
        <v>253</v>
      </c>
      <c r="K2539" s="10" t="n">
        <v>44565</v>
      </c>
      <c r="L2539" s="3" t="s">
        <v>14</v>
      </c>
      <c r="M2539" s="7" t="n">
        <v>764</v>
      </c>
      <c r="N2539" s="8" t="n">
        <v>0.0652</v>
      </c>
      <c r="O2539" s="4" t="n">
        <f aca="false">M2539*N2539</f>
        <v>49.8128</v>
      </c>
    </row>
    <row r="2540" customFormat="false" ht="15" hidden="false" customHeight="false" outlineLevel="0" collapsed="false">
      <c r="A2540" s="0" t="s">
        <v>3716</v>
      </c>
      <c r="C2540" s="0" t="s">
        <v>31</v>
      </c>
      <c r="D2540" s="7" t="n">
        <v>10636</v>
      </c>
      <c r="E2540" s="8" t="n">
        <v>0.00927322301617149</v>
      </c>
      <c r="F2540" s="4" t="n">
        <f aca="false">D2540*E2540</f>
        <v>98.63</v>
      </c>
      <c r="G2540" s="7" t="n">
        <v>193</v>
      </c>
      <c r="H2540" s="9" t="n">
        <f aca="false">IF(G2540&gt;0,D2540/G2540,"")</f>
        <v>55.1088082901554</v>
      </c>
      <c r="I2540" s="10" t="n">
        <v>46287</v>
      </c>
      <c r="J2540" s="3" t="s">
        <v>3717</v>
      </c>
      <c r="K2540" s="10" t="n">
        <v>45236</v>
      </c>
      <c r="L2540" s="3" t="s">
        <v>19</v>
      </c>
      <c r="M2540" s="7" t="n">
        <v>10000</v>
      </c>
      <c r="N2540" s="8" t="n">
        <v>0.0091</v>
      </c>
      <c r="O2540" s="4" t="n">
        <f aca="false">M2540*N2540</f>
        <v>91</v>
      </c>
    </row>
    <row r="2541" customFormat="false" ht="15" hidden="false" customHeight="false" outlineLevel="0" collapsed="false">
      <c r="A2541" s="0" t="s">
        <v>3718</v>
      </c>
      <c r="C2541" s="0" t="s">
        <v>32</v>
      </c>
      <c r="D2541" s="7" t="n">
        <v>3242</v>
      </c>
      <c r="E2541" s="8" t="n">
        <v>0.0303824799506478</v>
      </c>
      <c r="F2541" s="4" t="n">
        <f aca="false">D2541*E2541</f>
        <v>98.5</v>
      </c>
      <c r="G2541" s="7" t="n">
        <v>608</v>
      </c>
      <c r="H2541" s="9" t="n">
        <f aca="false">IF(G2541&gt;0,D2541/G2541,"")</f>
        <v>5.33223684210526</v>
      </c>
      <c r="I2541" s="10" t="n">
        <v>46308</v>
      </c>
      <c r="J2541" s="3" t="s">
        <v>3719</v>
      </c>
      <c r="K2541" s="10" t="n">
        <v>45218</v>
      </c>
      <c r="L2541" s="3" t="s">
        <v>18</v>
      </c>
      <c r="M2541" s="7" t="n">
        <v>2800</v>
      </c>
      <c r="N2541" s="8" t="n">
        <v>0.0321</v>
      </c>
      <c r="O2541" s="4" t="n">
        <f aca="false">M2541*N2541</f>
        <v>89.88</v>
      </c>
    </row>
    <row r="2542" customFormat="false" ht="15" hidden="false" customHeight="false" outlineLevel="0" collapsed="false">
      <c r="A2542" s="0" t="s">
        <v>3720</v>
      </c>
      <c r="C2542" s="0" t="s">
        <v>31</v>
      </c>
      <c r="D2542" s="7" t="n">
        <v>5793</v>
      </c>
      <c r="E2542" s="8" t="n">
        <v>0.0169998273778698</v>
      </c>
      <c r="F2542" s="4" t="n">
        <f aca="false">D2542*E2542</f>
        <v>98.48</v>
      </c>
      <c r="G2542" s="7" t="n">
        <v>1997</v>
      </c>
      <c r="H2542" s="9" t="n">
        <f aca="false">IF(G2542&gt;0,D2542/G2542,"")</f>
        <v>2.90085127691537</v>
      </c>
      <c r="I2542" s="10" t="n">
        <v>46311</v>
      </c>
      <c r="J2542" s="3" t="s">
        <v>3721</v>
      </c>
      <c r="K2542" s="10" t="n">
        <v>45305</v>
      </c>
      <c r="L2542" s="3" t="s">
        <v>25</v>
      </c>
      <c r="M2542" s="7" t="n">
        <v>10000</v>
      </c>
      <c r="N2542" s="8" t="n">
        <v>0.017</v>
      </c>
      <c r="O2542" s="4" t="n">
        <f aca="false">M2542*N2542</f>
        <v>170</v>
      </c>
    </row>
    <row r="2543" customFormat="false" ht="15" hidden="false" customHeight="false" outlineLevel="0" collapsed="false">
      <c r="A2543" s="0" t="s">
        <v>3722</v>
      </c>
      <c r="C2543" s="0" t="s">
        <v>40</v>
      </c>
      <c r="D2543" s="7" t="n">
        <v>236</v>
      </c>
      <c r="E2543" s="8" t="n">
        <v>0.417076271186441</v>
      </c>
      <c r="F2543" s="4" t="n">
        <f aca="false">D2543*E2543</f>
        <v>98.43</v>
      </c>
      <c r="G2543" s="7" t="n">
        <v>4</v>
      </c>
      <c r="H2543" s="9" t="n">
        <f aca="false">IF(G2543&gt;0,D2543/G2543,"")</f>
        <v>59</v>
      </c>
      <c r="I2543" s="10" t="n">
        <v>46246</v>
      </c>
      <c r="J2543" s="3" t="s">
        <v>3723</v>
      </c>
      <c r="K2543" s="10" t="n">
        <v>45391</v>
      </c>
      <c r="L2543" s="3" t="s">
        <v>18</v>
      </c>
      <c r="M2543" s="7" t="n">
        <v>240</v>
      </c>
      <c r="N2543" s="8" t="n">
        <v>0.4171</v>
      </c>
      <c r="O2543" s="4" t="n">
        <f aca="false">M2543*N2543</f>
        <v>100.104</v>
      </c>
    </row>
    <row r="2544" customFormat="false" ht="15" hidden="false" customHeight="false" outlineLevel="0" collapsed="false">
      <c r="A2544" s="0" t="s">
        <v>3724</v>
      </c>
      <c r="C2544" s="0" t="s">
        <v>69</v>
      </c>
      <c r="D2544" s="7" t="n">
        <v>185</v>
      </c>
      <c r="E2544" s="8" t="n">
        <v>0.532</v>
      </c>
      <c r="F2544" s="4" t="n">
        <f aca="false">D2544*E2544</f>
        <v>98.42</v>
      </c>
      <c r="G2544" s="7" t="n">
        <v>110</v>
      </c>
      <c r="H2544" s="9" t="n">
        <f aca="false">IF(G2544&gt;0,D2544/G2544,"")</f>
        <v>1.68181818181818</v>
      </c>
      <c r="I2544" s="10" t="n">
        <v>46177</v>
      </c>
      <c r="J2544" s="3" t="s">
        <v>3725</v>
      </c>
      <c r="K2544" s="10" t="n">
        <v>44288</v>
      </c>
      <c r="L2544" s="3" t="s">
        <v>223</v>
      </c>
      <c r="M2544" s="7" t="n">
        <v>500</v>
      </c>
      <c r="N2544" s="8" t="n">
        <v>0.532</v>
      </c>
      <c r="O2544" s="4" t="n">
        <f aca="false">M2544*N2544</f>
        <v>266</v>
      </c>
    </row>
    <row r="2545" customFormat="false" ht="15" hidden="false" customHeight="false" outlineLevel="0" collapsed="false">
      <c r="A2545" s="0" t="s">
        <v>3726</v>
      </c>
      <c r="C2545" s="0" t="s">
        <v>1169</v>
      </c>
      <c r="D2545" s="7" t="n">
        <v>751</v>
      </c>
      <c r="E2545" s="8" t="n">
        <v>0.131011984021305</v>
      </c>
      <c r="F2545" s="4" t="n">
        <f aca="false">D2545*E2545</f>
        <v>98.39</v>
      </c>
      <c r="G2545" s="7" t="n">
        <v>226</v>
      </c>
      <c r="H2545" s="9" t="n">
        <f aca="false">IF(G2545&gt;0,D2545/G2545,"")</f>
        <v>3.32300884955752</v>
      </c>
      <c r="I2545" s="10" t="n">
        <v>46254</v>
      </c>
      <c r="J2545" s="3" t="s">
        <v>3273</v>
      </c>
      <c r="K2545" s="10" t="n">
        <v>46043</v>
      </c>
      <c r="L2545" s="3" t="s">
        <v>21</v>
      </c>
      <c r="M2545" s="7" t="n">
        <v>765</v>
      </c>
      <c r="N2545" s="8" t="n">
        <v>0.131</v>
      </c>
      <c r="O2545" s="4" t="n">
        <f aca="false">M2545*N2545</f>
        <v>100.215</v>
      </c>
    </row>
    <row r="2546" customFormat="false" ht="15" hidden="false" customHeight="false" outlineLevel="0" collapsed="false">
      <c r="A2546" s="0" t="s">
        <v>3727</v>
      </c>
      <c r="C2546" s="0" t="s">
        <v>36</v>
      </c>
      <c r="D2546" s="7" t="n">
        <v>170</v>
      </c>
      <c r="E2546" s="8" t="n">
        <v>0.578588235294118</v>
      </c>
      <c r="F2546" s="4" t="n">
        <f aca="false">D2546*E2546</f>
        <v>98.36</v>
      </c>
      <c r="G2546" s="7" t="n">
        <v>13</v>
      </c>
      <c r="H2546" s="9" t="n">
        <f aca="false">IF(G2546&gt;0,D2546/G2546,"")</f>
        <v>13.0769230769231</v>
      </c>
      <c r="I2546" s="10" t="n">
        <v>46308</v>
      </c>
      <c r="J2546" s="3" t="s">
        <v>1090</v>
      </c>
      <c r="K2546" s="10" t="n">
        <v>46308</v>
      </c>
      <c r="L2546" s="3" t="s">
        <v>18</v>
      </c>
      <c r="M2546" s="7" t="n">
        <v>170</v>
      </c>
      <c r="N2546" s="8" t="n">
        <v>0.5786</v>
      </c>
      <c r="O2546" s="4" t="n">
        <f aca="false">M2546*N2546</f>
        <v>98.362</v>
      </c>
    </row>
    <row r="2547" customFormat="false" ht="15" hidden="false" customHeight="false" outlineLevel="0" collapsed="false">
      <c r="A2547" s="0" t="s">
        <v>3728</v>
      </c>
      <c r="C2547" s="0" t="s">
        <v>285</v>
      </c>
      <c r="D2547" s="7" t="n">
        <v>414</v>
      </c>
      <c r="E2547" s="8" t="n">
        <v>0.237512077294686</v>
      </c>
      <c r="F2547" s="4" t="n">
        <f aca="false">D2547*E2547</f>
        <v>98.33</v>
      </c>
      <c r="G2547" s="7" t="n">
        <v>81</v>
      </c>
      <c r="H2547" s="9" t="n">
        <f aca="false">IF(G2547&gt;0,D2547/G2547,"")</f>
        <v>5.11111111111111</v>
      </c>
      <c r="I2547" s="10" t="n">
        <v>46206</v>
      </c>
      <c r="J2547" s="3" t="s">
        <v>1741</v>
      </c>
      <c r="K2547" s="10" t="n">
        <v>45261</v>
      </c>
      <c r="L2547" s="3" t="s">
        <v>15</v>
      </c>
      <c r="M2547" s="7" t="n">
        <v>948</v>
      </c>
      <c r="N2547" s="8" t="n">
        <v>0.23747</v>
      </c>
      <c r="O2547" s="4" t="n">
        <f aca="false">M2547*N2547</f>
        <v>225.12156</v>
      </c>
    </row>
    <row r="2548" customFormat="false" ht="15" hidden="false" customHeight="false" outlineLevel="0" collapsed="false">
      <c r="A2548" s="0" t="s">
        <v>3729</v>
      </c>
      <c r="C2548" s="0" t="s">
        <v>1169</v>
      </c>
      <c r="D2548" s="7" t="n">
        <v>339</v>
      </c>
      <c r="E2548" s="8" t="n">
        <v>0.29</v>
      </c>
      <c r="F2548" s="4" t="n">
        <f aca="false">D2548*E2548</f>
        <v>98.31</v>
      </c>
      <c r="G2548" s="7" t="n">
        <v>10</v>
      </c>
      <c r="H2548" s="9" t="n">
        <f aca="false">IF(G2548&gt;0,D2548/G2548,"")</f>
        <v>33.9</v>
      </c>
      <c r="I2548" s="10" t="n">
        <v>46140</v>
      </c>
      <c r="J2548" s="3" t="s">
        <v>2903</v>
      </c>
      <c r="K2548" s="10" t="n">
        <v>44301</v>
      </c>
      <c r="L2548" s="3" t="s">
        <v>21</v>
      </c>
      <c r="M2548" s="7" t="n">
        <v>350</v>
      </c>
      <c r="N2548" s="8" t="n">
        <v>0.29</v>
      </c>
      <c r="O2548" s="4" t="n">
        <f aca="false">M2548*N2548</f>
        <v>101.5</v>
      </c>
    </row>
    <row r="2549" customFormat="false" ht="15" hidden="false" customHeight="false" outlineLevel="0" collapsed="false">
      <c r="A2549" s="0" t="s">
        <v>3730</v>
      </c>
      <c r="C2549" s="0" t="s">
        <v>765</v>
      </c>
      <c r="D2549" s="7" t="n">
        <v>2202</v>
      </c>
      <c r="E2549" s="8" t="n">
        <v>0.0446003633060854</v>
      </c>
      <c r="F2549" s="4" t="n">
        <f aca="false">D2549*E2549</f>
        <v>98.21</v>
      </c>
      <c r="G2549" s="7" t="n">
        <v>7</v>
      </c>
      <c r="H2549" s="9" t="n">
        <f aca="false">IF(G2549&gt;0,D2549/G2549,"")</f>
        <v>314.571428571429</v>
      </c>
      <c r="I2549" s="10" t="n">
        <v>45987</v>
      </c>
      <c r="J2549" s="3" t="s">
        <v>3048</v>
      </c>
      <c r="K2549" s="10" t="n">
        <v>44333</v>
      </c>
      <c r="L2549" s="3" t="s">
        <v>16</v>
      </c>
      <c r="M2549" s="7" t="n">
        <v>2300</v>
      </c>
      <c r="N2549" s="8" t="n">
        <v>0.0446</v>
      </c>
      <c r="O2549" s="4" t="n">
        <f aca="false">M2549*N2549</f>
        <v>102.58</v>
      </c>
    </row>
    <row r="2550" customFormat="false" ht="15" hidden="false" customHeight="false" outlineLevel="0" collapsed="false">
      <c r="A2550" s="0" t="s">
        <v>3731</v>
      </c>
      <c r="C2550" s="0" t="s">
        <v>1010</v>
      </c>
      <c r="D2550" s="7" t="n">
        <v>1000</v>
      </c>
      <c r="E2550" s="8" t="n">
        <v>0.0982</v>
      </c>
      <c r="F2550" s="4" t="n">
        <f aca="false">D2550*E2550</f>
        <v>98.2</v>
      </c>
      <c r="G2550" s="7" t="n">
        <v>224</v>
      </c>
      <c r="H2550" s="9" t="n">
        <f aca="false">IF(G2550&gt;0,D2550/G2550,"")</f>
        <v>4.46428571428571</v>
      </c>
      <c r="I2550" s="10" t="n">
        <v>46141</v>
      </c>
      <c r="J2550" s="3" t="s">
        <v>1955</v>
      </c>
      <c r="K2550" s="10" t="n">
        <v>46268</v>
      </c>
      <c r="L2550" s="3" t="s">
        <v>16</v>
      </c>
      <c r="M2550" s="7" t="n">
        <v>1000</v>
      </c>
      <c r="N2550" s="8" t="n">
        <v>0.0982</v>
      </c>
      <c r="O2550" s="4" t="n">
        <f aca="false">M2550*N2550</f>
        <v>98.2</v>
      </c>
    </row>
    <row r="2551" customFormat="false" ht="15" hidden="false" customHeight="false" outlineLevel="0" collapsed="false">
      <c r="A2551" s="0" t="s">
        <v>3732</v>
      </c>
      <c r="C2551" s="0" t="s">
        <v>979</v>
      </c>
      <c r="D2551" s="7" t="n">
        <v>420</v>
      </c>
      <c r="E2551" s="8" t="n">
        <v>0.233785714285714</v>
      </c>
      <c r="F2551" s="4" t="n">
        <f aca="false">D2551*E2551</f>
        <v>98.19</v>
      </c>
      <c r="G2551" s="7" t="n">
        <v>10</v>
      </c>
      <c r="H2551" s="9" t="n">
        <f aca="false">IF(G2551&gt;0,D2551/G2551,"")</f>
        <v>42</v>
      </c>
      <c r="I2551" s="10" t="n">
        <v>46052</v>
      </c>
      <c r="J2551" s="3" t="s">
        <v>3444</v>
      </c>
      <c r="K2551" s="10" t="n">
        <v>45925</v>
      </c>
      <c r="L2551" s="3" t="s">
        <v>18</v>
      </c>
      <c r="M2551" s="7" t="n">
        <v>430</v>
      </c>
      <c r="N2551" s="8" t="n">
        <v>0.2338</v>
      </c>
      <c r="O2551" s="4" t="n">
        <f aca="false">M2551*N2551</f>
        <v>100.534</v>
      </c>
    </row>
    <row r="2552" customFormat="false" ht="15" hidden="false" customHeight="false" outlineLevel="0" collapsed="false">
      <c r="A2552" s="0" t="s">
        <v>3733</v>
      </c>
      <c r="C2552" s="0" t="s">
        <v>340</v>
      </c>
      <c r="D2552" s="7" t="n">
        <v>10074</v>
      </c>
      <c r="E2552" s="8" t="n">
        <v>0.00974488783005757</v>
      </c>
      <c r="F2552" s="4" t="n">
        <f aca="false">D2552*E2552</f>
        <v>98.17</v>
      </c>
      <c r="G2552" s="7" t="n">
        <v>666</v>
      </c>
      <c r="H2552" s="9" t="n">
        <f aca="false">IF(G2552&gt;0,D2552/G2552,"")</f>
        <v>15.1261261261261</v>
      </c>
      <c r="I2552" s="10" t="n">
        <v>46260</v>
      </c>
      <c r="J2552" s="3" t="s">
        <v>1616</v>
      </c>
      <c r="K2552" s="10" t="n">
        <v>46266</v>
      </c>
      <c r="L2552" s="3" t="s">
        <v>16</v>
      </c>
      <c r="M2552" s="7" t="n">
        <v>8700</v>
      </c>
      <c r="N2552" s="8" t="n">
        <v>0.0086</v>
      </c>
      <c r="O2552" s="4" t="n">
        <f aca="false">M2552*N2552</f>
        <v>74.82</v>
      </c>
    </row>
    <row r="2553" customFormat="false" ht="15" hidden="false" customHeight="false" outlineLevel="0" collapsed="false">
      <c r="A2553" s="0" t="s">
        <v>3734</v>
      </c>
      <c r="C2553" s="0" t="s">
        <v>34</v>
      </c>
      <c r="D2553" s="7" t="n">
        <v>1273</v>
      </c>
      <c r="E2553" s="8" t="n">
        <v>0.0771013354281225</v>
      </c>
      <c r="F2553" s="4" t="n">
        <f aca="false">D2553*E2553</f>
        <v>98.15</v>
      </c>
      <c r="G2553" s="7" t="n">
        <v>200</v>
      </c>
      <c r="H2553" s="9" t="n">
        <f aca="false">IF(G2553&gt;0,D2553/G2553,"")</f>
        <v>6.365</v>
      </c>
      <c r="I2553" s="10" t="n">
        <v>46293</v>
      </c>
      <c r="J2553" s="3" t="s">
        <v>1192</v>
      </c>
      <c r="K2553" s="10" t="n">
        <v>45736</v>
      </c>
      <c r="L2553" s="3" t="s">
        <v>26</v>
      </c>
      <c r="M2553" s="7" t="n">
        <v>100</v>
      </c>
      <c r="N2553" s="8" t="n">
        <v>0.1782</v>
      </c>
      <c r="O2553" s="4" t="n">
        <f aca="false">M2553*N2553</f>
        <v>17.82</v>
      </c>
    </row>
    <row r="2554" customFormat="false" ht="15" hidden="false" customHeight="false" outlineLevel="0" collapsed="false">
      <c r="A2554" s="0" t="s">
        <v>3735</v>
      </c>
      <c r="C2554" s="0" t="s">
        <v>40</v>
      </c>
      <c r="D2554" s="7" t="n">
        <v>638</v>
      </c>
      <c r="E2554" s="8" t="n">
        <v>0.153793103448276</v>
      </c>
      <c r="F2554" s="4" t="n">
        <f aca="false">D2554*E2554</f>
        <v>98.12</v>
      </c>
      <c r="G2554" s="7" t="n">
        <v>263</v>
      </c>
      <c r="H2554" s="9" t="n">
        <f aca="false">IF(G2554&gt;0,D2554/G2554,"")</f>
        <v>2.42585551330799</v>
      </c>
      <c r="I2554" s="10" t="n">
        <v>46310</v>
      </c>
      <c r="J2554" s="3" t="s">
        <v>193</v>
      </c>
      <c r="K2554" s="10" t="n">
        <v>46265</v>
      </c>
      <c r="L2554" s="3" t="s">
        <v>18</v>
      </c>
      <c r="M2554" s="7" t="n">
        <v>650</v>
      </c>
      <c r="N2554" s="8" t="n">
        <v>0.1538</v>
      </c>
      <c r="O2554" s="4" t="n">
        <f aca="false">M2554*N2554</f>
        <v>99.97</v>
      </c>
    </row>
    <row r="2555" customFormat="false" ht="15" hidden="false" customHeight="false" outlineLevel="0" collapsed="false">
      <c r="A2555" s="0" t="s">
        <v>3736</v>
      </c>
      <c r="C2555" s="0" t="s">
        <v>370</v>
      </c>
      <c r="D2555" s="7" t="n">
        <v>1923</v>
      </c>
      <c r="E2555" s="8" t="n">
        <v>0.0510140405616225</v>
      </c>
      <c r="F2555" s="4" t="n">
        <f aca="false">D2555*E2555</f>
        <v>98.1</v>
      </c>
      <c r="G2555" s="7" t="n">
        <v>65</v>
      </c>
      <c r="H2555" s="9" t="n">
        <f aca="false">IF(G2555&gt;0,D2555/G2555,"")</f>
        <v>29.5846153846154</v>
      </c>
      <c r="I2555" s="10" t="n">
        <v>46209</v>
      </c>
      <c r="J2555" s="3" t="s">
        <v>1192</v>
      </c>
      <c r="K2555" s="10" t="n">
        <v>45736</v>
      </c>
      <c r="L2555" s="3" t="s">
        <v>26</v>
      </c>
      <c r="M2555" s="7" t="n">
        <v>250</v>
      </c>
      <c r="N2555" s="8" t="n">
        <v>0.294</v>
      </c>
      <c r="O2555" s="4" t="n">
        <f aca="false">M2555*N2555</f>
        <v>73.5</v>
      </c>
    </row>
    <row r="2556" customFormat="false" ht="15" hidden="false" customHeight="false" outlineLevel="0" collapsed="false">
      <c r="A2556" s="0" t="s">
        <v>3737</v>
      </c>
      <c r="C2556" s="0" t="s">
        <v>34</v>
      </c>
      <c r="D2556" s="7" t="n">
        <v>5301</v>
      </c>
      <c r="E2556" s="8" t="n">
        <v>0.0185002829654782</v>
      </c>
      <c r="F2556" s="4" t="n">
        <f aca="false">D2556*E2556</f>
        <v>98.07</v>
      </c>
      <c r="G2556" s="7" t="n">
        <v>30</v>
      </c>
      <c r="H2556" s="9" t="n">
        <f aca="false">IF(G2556&gt;0,D2556/G2556,"")</f>
        <v>176.7</v>
      </c>
      <c r="I2556" s="10" t="n">
        <v>46286</v>
      </c>
      <c r="J2556" s="3" t="s">
        <v>1384</v>
      </c>
      <c r="K2556" s="10" t="n">
        <v>45672</v>
      </c>
      <c r="L2556" s="3" t="s">
        <v>16</v>
      </c>
      <c r="M2556" s="7" t="n">
        <v>5361</v>
      </c>
      <c r="N2556" s="8" t="n">
        <v>0.0185</v>
      </c>
      <c r="O2556" s="4" t="n">
        <f aca="false">M2556*N2556</f>
        <v>99.1785</v>
      </c>
    </row>
    <row r="2557" customFormat="false" ht="15" hidden="false" customHeight="false" outlineLevel="0" collapsed="false">
      <c r="A2557" s="0" t="s">
        <v>3738</v>
      </c>
      <c r="C2557" s="0" t="s">
        <v>32</v>
      </c>
      <c r="D2557" s="7" t="n">
        <v>823</v>
      </c>
      <c r="E2557" s="8" t="n">
        <v>0.11910085054678</v>
      </c>
      <c r="F2557" s="4" t="n">
        <f aca="false">D2557*E2557</f>
        <v>98.02</v>
      </c>
      <c r="G2557" s="7" t="n">
        <v>727</v>
      </c>
      <c r="H2557" s="9" t="n">
        <f aca="false">IF(G2557&gt;0,D2557/G2557,"")</f>
        <v>1.13204951856946</v>
      </c>
      <c r="I2557" s="10" t="n">
        <v>46300</v>
      </c>
      <c r="J2557" s="3" t="s">
        <v>3358</v>
      </c>
      <c r="K2557" s="10" t="n">
        <v>46164</v>
      </c>
      <c r="L2557" s="3" t="s">
        <v>18</v>
      </c>
      <c r="M2557" s="7" t="n">
        <v>1000</v>
      </c>
      <c r="N2557" s="8" t="n">
        <v>0.1191</v>
      </c>
      <c r="O2557" s="4" t="n">
        <f aca="false">M2557*N2557</f>
        <v>119.1</v>
      </c>
    </row>
    <row r="2558" customFormat="false" ht="15" hidden="false" customHeight="false" outlineLevel="0" collapsed="false">
      <c r="A2558" s="0" t="s">
        <v>3739</v>
      </c>
      <c r="C2558" s="0" t="s">
        <v>285</v>
      </c>
      <c r="D2558" s="7" t="n">
        <v>138</v>
      </c>
      <c r="E2558" s="8" t="n">
        <v>0.709927536231884</v>
      </c>
      <c r="F2558" s="4" t="n">
        <f aca="false">D2558*E2558</f>
        <v>97.97</v>
      </c>
      <c r="G2558" s="7" t="n">
        <v>16</v>
      </c>
      <c r="H2558" s="9" t="n">
        <f aca="false">IF(G2558&gt;0,D2558/G2558,"")</f>
        <v>8.625</v>
      </c>
      <c r="I2558" s="10" t="n">
        <v>46140</v>
      </c>
      <c r="J2558" s="3" t="s">
        <v>3740</v>
      </c>
      <c r="K2558" s="10" t="n">
        <v>45909</v>
      </c>
      <c r="L2558" s="3" t="s">
        <v>936</v>
      </c>
      <c r="M2558" s="7" t="n">
        <v>225</v>
      </c>
      <c r="N2558" s="8" t="n">
        <v>0.7099</v>
      </c>
      <c r="O2558" s="4" t="n">
        <f aca="false">M2558*N2558</f>
        <v>159.7275</v>
      </c>
    </row>
    <row r="2559" customFormat="false" ht="15" hidden="false" customHeight="false" outlineLevel="0" collapsed="false">
      <c r="A2559" s="0" t="s">
        <v>3741</v>
      </c>
      <c r="C2559" s="0" t="s">
        <v>945</v>
      </c>
      <c r="D2559" s="7" t="n">
        <v>9</v>
      </c>
      <c r="E2559" s="8" t="n">
        <v>10.88</v>
      </c>
      <c r="F2559" s="4" t="n">
        <f aca="false">D2559*E2559</f>
        <v>97.92</v>
      </c>
      <c r="G2559" s="7" t="n">
        <v>1</v>
      </c>
      <c r="H2559" s="9" t="n">
        <f aca="false">IF(G2559&gt;0,D2559/G2559,"")</f>
        <v>9</v>
      </c>
      <c r="I2559" s="10" t="n">
        <v>45961</v>
      </c>
      <c r="J2559" s="3" t="s">
        <v>1167</v>
      </c>
      <c r="K2559" s="10" t="n">
        <v>44221</v>
      </c>
      <c r="L2559" s="3" t="s">
        <v>14</v>
      </c>
      <c r="M2559" s="7" t="n">
        <v>20</v>
      </c>
      <c r="N2559" s="8" t="n">
        <v>10.8801</v>
      </c>
      <c r="O2559" s="4" t="n">
        <f aca="false">M2559*N2559</f>
        <v>217.602</v>
      </c>
    </row>
    <row r="2560" customFormat="false" ht="15" hidden="false" customHeight="false" outlineLevel="0" collapsed="false">
      <c r="A2560" s="0" t="s">
        <v>3742</v>
      </c>
      <c r="C2560" s="0" t="s">
        <v>32</v>
      </c>
      <c r="D2560" s="7" t="n">
        <v>325</v>
      </c>
      <c r="E2560" s="8" t="n">
        <v>0.3012</v>
      </c>
      <c r="F2560" s="4" t="n">
        <f aca="false">D2560*E2560</f>
        <v>97.89</v>
      </c>
      <c r="G2560" s="7" t="n">
        <v>71</v>
      </c>
      <c r="H2560" s="9" t="n">
        <f aca="false">IF(G2560&gt;0,D2560/G2560,"")</f>
        <v>4.57746478873239</v>
      </c>
      <c r="I2560" s="10" t="n">
        <v>46154</v>
      </c>
      <c r="J2560" s="3" t="s">
        <v>1026</v>
      </c>
      <c r="K2560" s="10" t="n">
        <v>46090</v>
      </c>
      <c r="L2560" s="3" t="s">
        <v>18</v>
      </c>
      <c r="M2560" s="7" t="n">
        <v>325</v>
      </c>
      <c r="N2560" s="8" t="n">
        <v>0.3012</v>
      </c>
      <c r="O2560" s="4" t="n">
        <f aca="false">M2560*N2560</f>
        <v>97.89</v>
      </c>
    </row>
    <row r="2561" customFormat="false" ht="15" hidden="false" customHeight="false" outlineLevel="0" collapsed="false">
      <c r="A2561" s="0" t="s">
        <v>3743</v>
      </c>
      <c r="C2561" s="0" t="s">
        <v>285</v>
      </c>
      <c r="D2561" s="7" t="n">
        <v>6371</v>
      </c>
      <c r="E2561" s="8" t="n">
        <v>0.0153649348610893</v>
      </c>
      <c r="F2561" s="4" t="n">
        <f aca="false">D2561*E2561</f>
        <v>97.89</v>
      </c>
      <c r="G2561" s="7" t="n">
        <v>55</v>
      </c>
      <c r="H2561" s="9" t="n">
        <f aca="false">IF(G2561&gt;0,D2561/G2561,"")</f>
        <v>115.836363636364</v>
      </c>
      <c r="I2561" s="10" t="n">
        <v>46140</v>
      </c>
      <c r="K2561" s="10"/>
      <c r="M2561" s="7"/>
      <c r="N2561" s="8"/>
      <c r="O2561" s="4"/>
    </row>
    <row r="2562" customFormat="false" ht="15" hidden="false" customHeight="false" outlineLevel="0" collapsed="false">
      <c r="A2562" s="0" t="s">
        <v>3744</v>
      </c>
      <c r="C2562" s="0" t="s">
        <v>40</v>
      </c>
      <c r="D2562" s="7" t="n">
        <v>4702</v>
      </c>
      <c r="E2562" s="8" t="n">
        <v>0.0207975329646959</v>
      </c>
      <c r="F2562" s="4" t="n">
        <f aca="false">D2562*E2562</f>
        <v>97.79</v>
      </c>
      <c r="G2562" s="7" t="n">
        <v>40</v>
      </c>
      <c r="H2562" s="9" t="n">
        <f aca="false">IF(G2562&gt;0,D2562/G2562,"")</f>
        <v>117.55</v>
      </c>
      <c r="I2562" s="10" t="n">
        <v>46154</v>
      </c>
      <c r="J2562" s="3" t="s">
        <v>3745</v>
      </c>
      <c r="K2562" s="10" t="n">
        <v>44228</v>
      </c>
      <c r="L2562" s="3" t="s">
        <v>18</v>
      </c>
      <c r="M2562" s="7" t="n">
        <v>4800</v>
      </c>
      <c r="N2562" s="8" t="n">
        <v>0.0208</v>
      </c>
      <c r="O2562" s="4" t="n">
        <f aca="false">M2562*N2562</f>
        <v>99.84</v>
      </c>
    </row>
    <row r="2563" customFormat="false" ht="15" hidden="false" customHeight="false" outlineLevel="0" collapsed="false">
      <c r="A2563" s="0" t="s">
        <v>3746</v>
      </c>
      <c r="C2563" s="0" t="s">
        <v>225</v>
      </c>
      <c r="D2563" s="7" t="n">
        <v>6</v>
      </c>
      <c r="E2563" s="8" t="n">
        <v>16.2983333333333</v>
      </c>
      <c r="F2563" s="4" t="n">
        <f aca="false">D2563*E2563</f>
        <v>97.79</v>
      </c>
      <c r="G2563" s="7" t="n">
        <v>6</v>
      </c>
      <c r="H2563" s="9" t="n">
        <f aca="false">IF(G2563&gt;0,D2563/G2563,"")</f>
        <v>1</v>
      </c>
      <c r="I2563" s="10" t="n">
        <v>46108</v>
      </c>
      <c r="J2563" s="3" t="s">
        <v>2995</v>
      </c>
      <c r="K2563" s="10" t="n">
        <v>46101</v>
      </c>
      <c r="L2563" s="3" t="s">
        <v>14</v>
      </c>
      <c r="M2563" s="7" t="n">
        <v>8</v>
      </c>
      <c r="N2563" s="8" t="n">
        <v>17.61</v>
      </c>
      <c r="O2563" s="4" t="n">
        <f aca="false">M2563*N2563</f>
        <v>140.88</v>
      </c>
    </row>
    <row r="2564" customFormat="false" ht="15" hidden="false" customHeight="false" outlineLevel="0" collapsed="false">
      <c r="A2564" s="0" t="s">
        <v>3747</v>
      </c>
      <c r="C2564" s="0" t="s">
        <v>38</v>
      </c>
      <c r="D2564" s="7" t="n">
        <v>2785</v>
      </c>
      <c r="E2564" s="8" t="n">
        <v>0.0350915619389587</v>
      </c>
      <c r="F2564" s="4" t="n">
        <f aca="false">D2564*E2564</f>
        <v>97.73</v>
      </c>
      <c r="G2564" s="7" t="n">
        <v>305</v>
      </c>
      <c r="H2564" s="9" t="n">
        <f aca="false">IF(G2564&gt;0,D2564/G2564,"")</f>
        <v>9.13114754098361</v>
      </c>
      <c r="I2564" s="10" t="n">
        <v>46281</v>
      </c>
      <c r="J2564" s="3" t="s">
        <v>3444</v>
      </c>
      <c r="K2564" s="10" t="n">
        <v>45925</v>
      </c>
      <c r="L2564" s="3" t="s">
        <v>18</v>
      </c>
      <c r="M2564" s="7" t="n">
        <v>2900</v>
      </c>
      <c r="N2564" s="8" t="n">
        <v>0.0351</v>
      </c>
      <c r="O2564" s="4" t="n">
        <f aca="false">M2564*N2564</f>
        <v>101.79</v>
      </c>
    </row>
    <row r="2565" customFormat="false" ht="15" hidden="false" customHeight="false" outlineLevel="0" collapsed="false">
      <c r="A2565" s="0" t="s">
        <v>3748</v>
      </c>
      <c r="C2565" s="0" t="s">
        <v>1169</v>
      </c>
      <c r="D2565" s="7" t="n">
        <v>2713</v>
      </c>
      <c r="E2565" s="8" t="n">
        <v>0.0359970512347954</v>
      </c>
      <c r="F2565" s="4" t="n">
        <f aca="false">D2565*E2565</f>
        <v>97.66</v>
      </c>
      <c r="G2565" s="7" t="n">
        <v>297</v>
      </c>
      <c r="H2565" s="9" t="n">
        <f aca="false">IF(G2565&gt;0,D2565/G2565,"")</f>
        <v>9.13468013468014</v>
      </c>
      <c r="I2565" s="10" t="n">
        <v>46286</v>
      </c>
      <c r="J2565" s="3" t="s">
        <v>2054</v>
      </c>
      <c r="K2565" s="10" t="n">
        <v>45176</v>
      </c>
      <c r="L2565" s="3" t="s">
        <v>21</v>
      </c>
      <c r="M2565" s="7" t="n">
        <v>3000</v>
      </c>
      <c r="N2565" s="8" t="n">
        <v>0.036</v>
      </c>
      <c r="O2565" s="4" t="n">
        <f aca="false">M2565*N2565</f>
        <v>108</v>
      </c>
    </row>
    <row r="2566" customFormat="false" ht="15" hidden="false" customHeight="false" outlineLevel="0" collapsed="false">
      <c r="A2566" s="0" t="s">
        <v>3749</v>
      </c>
      <c r="C2566" s="0" t="s">
        <v>38</v>
      </c>
      <c r="D2566" s="7" t="n">
        <v>5003</v>
      </c>
      <c r="E2566" s="8" t="n">
        <v>0.0195002998201079</v>
      </c>
      <c r="F2566" s="4" t="n">
        <f aca="false">D2566*E2566</f>
        <v>97.56</v>
      </c>
      <c r="G2566" s="7" t="n">
        <v>1799</v>
      </c>
      <c r="H2566" s="9" t="n">
        <f aca="false">IF(G2566&gt;0,D2566/G2566,"")</f>
        <v>2.78098943857699</v>
      </c>
      <c r="I2566" s="10" t="n">
        <v>46308</v>
      </c>
      <c r="J2566" s="3" t="s">
        <v>703</v>
      </c>
      <c r="K2566" s="10" t="n">
        <v>46155</v>
      </c>
      <c r="L2566" s="3" t="s">
        <v>14</v>
      </c>
      <c r="M2566" s="7" t="n">
        <v>6000</v>
      </c>
      <c r="N2566" s="8" t="n">
        <v>0.0195</v>
      </c>
      <c r="O2566" s="4" t="n">
        <f aca="false">M2566*N2566</f>
        <v>117</v>
      </c>
    </row>
    <row r="2567" customFormat="false" ht="15" hidden="false" customHeight="false" outlineLevel="0" collapsed="false">
      <c r="A2567" s="0" t="s">
        <v>3750</v>
      </c>
      <c r="C2567" s="0" t="s">
        <v>1169</v>
      </c>
      <c r="D2567" s="7" t="n">
        <v>1267</v>
      </c>
      <c r="E2567" s="8" t="n">
        <v>0.0770007892659826</v>
      </c>
      <c r="F2567" s="4" t="n">
        <f aca="false">D2567*E2567</f>
        <v>97.56</v>
      </c>
      <c r="G2567" s="7" t="n">
        <v>10</v>
      </c>
      <c r="H2567" s="9" t="n">
        <f aca="false">IF(G2567&gt;0,D2567/G2567,"")</f>
        <v>126.7</v>
      </c>
      <c r="I2567" s="10" t="n">
        <v>46071</v>
      </c>
      <c r="J2567" s="3" t="s">
        <v>2186</v>
      </c>
      <c r="K2567" s="10" t="n">
        <v>44309</v>
      </c>
      <c r="L2567" s="3" t="s">
        <v>21</v>
      </c>
      <c r="M2567" s="7" t="n">
        <v>1500</v>
      </c>
      <c r="N2567" s="8" t="n">
        <v>0.077</v>
      </c>
      <c r="O2567" s="4" t="n">
        <f aca="false">M2567*N2567</f>
        <v>115.5</v>
      </c>
    </row>
    <row r="2568" customFormat="false" ht="15" hidden="false" customHeight="false" outlineLevel="0" collapsed="false">
      <c r="A2568" s="0" t="s">
        <v>3751</v>
      </c>
      <c r="C2568" s="0" t="s">
        <v>36</v>
      </c>
      <c r="D2568" s="7" t="n">
        <v>440</v>
      </c>
      <c r="E2568" s="8" t="n">
        <v>0.221704545454546</v>
      </c>
      <c r="F2568" s="4" t="n">
        <f aca="false">D2568*E2568</f>
        <v>97.55</v>
      </c>
      <c r="G2568" s="7" t="n">
        <v>37</v>
      </c>
      <c r="H2568" s="9" t="n">
        <f aca="false">IF(G2568&gt;0,D2568/G2568,"")</f>
        <v>11.8918918918919</v>
      </c>
      <c r="I2568" s="10" t="n">
        <v>46175</v>
      </c>
      <c r="J2568" s="3" t="s">
        <v>3583</v>
      </c>
      <c r="K2568" s="10" t="n">
        <v>46106</v>
      </c>
      <c r="L2568" s="3" t="s">
        <v>18</v>
      </c>
      <c r="M2568" s="7" t="n">
        <v>450</v>
      </c>
      <c r="N2568" s="8" t="n">
        <v>0.2217</v>
      </c>
      <c r="O2568" s="4" t="n">
        <f aca="false">M2568*N2568</f>
        <v>99.765</v>
      </c>
    </row>
    <row r="2569" customFormat="false" ht="15" hidden="false" customHeight="false" outlineLevel="0" collapsed="false">
      <c r="A2569" s="0" t="s">
        <v>3752</v>
      </c>
      <c r="C2569" s="0" t="s">
        <v>39</v>
      </c>
      <c r="D2569" s="7" t="n">
        <v>1185</v>
      </c>
      <c r="E2569" s="8" t="n">
        <v>0.0822869198312236</v>
      </c>
      <c r="F2569" s="4" t="n">
        <f aca="false">D2569*E2569</f>
        <v>97.51</v>
      </c>
      <c r="G2569" s="7" t="n">
        <v>985</v>
      </c>
      <c r="H2569" s="9" t="n">
        <f aca="false">IF(G2569&gt;0,D2569/G2569,"")</f>
        <v>1.20304568527919</v>
      </c>
      <c r="I2569" s="10" t="n">
        <v>46308</v>
      </c>
      <c r="J2569" s="3" t="s">
        <v>1326</v>
      </c>
      <c r="K2569" s="10" t="n">
        <v>46177</v>
      </c>
      <c r="L2569" s="3" t="s">
        <v>18</v>
      </c>
      <c r="M2569" s="7" t="n">
        <v>1000</v>
      </c>
      <c r="N2569" s="8" t="n">
        <v>0.0823</v>
      </c>
      <c r="O2569" s="4" t="n">
        <f aca="false">M2569*N2569</f>
        <v>82.3</v>
      </c>
    </row>
    <row r="2570" customFormat="false" ht="15" hidden="false" customHeight="false" outlineLevel="0" collapsed="false">
      <c r="A2570" s="0" t="s">
        <v>3753</v>
      </c>
      <c r="C2570" s="0" t="s">
        <v>44</v>
      </c>
      <c r="D2570" s="7" t="n">
        <v>8</v>
      </c>
      <c r="E2570" s="8" t="n">
        <v>12.1875</v>
      </c>
      <c r="F2570" s="4" t="n">
        <f aca="false">D2570*E2570</f>
        <v>97.5</v>
      </c>
      <c r="G2570" s="7" t="n">
        <v>1</v>
      </c>
      <c r="H2570" s="9" t="n">
        <f aca="false">IF(G2570&gt;0,D2570/G2570,"")</f>
        <v>8</v>
      </c>
      <c r="I2570" s="10" t="n">
        <v>46197</v>
      </c>
      <c r="J2570" s="3" t="s">
        <v>3754</v>
      </c>
      <c r="K2570" s="10" t="n">
        <v>45559</v>
      </c>
      <c r="L2570" s="3" t="s">
        <v>14</v>
      </c>
      <c r="M2570" s="7" t="n">
        <v>10</v>
      </c>
      <c r="N2570" s="8" t="n">
        <v>12.368</v>
      </c>
      <c r="O2570" s="4" t="n">
        <f aca="false">M2570*N2570</f>
        <v>123.68</v>
      </c>
    </row>
    <row r="2571" customFormat="false" ht="15" hidden="false" customHeight="false" outlineLevel="0" collapsed="false">
      <c r="A2571" s="0" t="s">
        <v>3755</v>
      </c>
      <c r="D2571" s="7" t="n">
        <v>25</v>
      </c>
      <c r="E2571" s="8" t="n">
        <v>3.8976</v>
      </c>
      <c r="F2571" s="4" t="n">
        <f aca="false">D2571*E2571</f>
        <v>97.44</v>
      </c>
      <c r="G2571" s="7" t="n">
        <v>4</v>
      </c>
      <c r="H2571" s="9" t="n">
        <f aca="false">IF(G2571&gt;0,D2571/G2571,"")</f>
        <v>6.25</v>
      </c>
      <c r="I2571" s="10" t="n">
        <v>46083</v>
      </c>
      <c r="J2571" s="3" t="s">
        <v>3756</v>
      </c>
      <c r="K2571" s="10" t="n">
        <v>44733</v>
      </c>
      <c r="L2571" s="3" t="s">
        <v>14</v>
      </c>
      <c r="M2571" s="7" t="n">
        <v>30</v>
      </c>
      <c r="N2571" s="8" t="n">
        <v>3.8973</v>
      </c>
      <c r="O2571" s="4" t="n">
        <f aca="false">M2571*N2571</f>
        <v>116.919</v>
      </c>
    </row>
    <row r="2572" customFormat="false" ht="15" hidden="false" customHeight="false" outlineLevel="0" collapsed="false">
      <c r="A2572" s="0" t="s">
        <v>3757</v>
      </c>
      <c r="C2572" s="0" t="s">
        <v>31</v>
      </c>
      <c r="D2572" s="7" t="n">
        <v>28157</v>
      </c>
      <c r="E2572" s="8" t="n">
        <v>0.00345988564122598</v>
      </c>
      <c r="F2572" s="4" t="n">
        <f aca="false">D2572*E2572</f>
        <v>97.42</v>
      </c>
      <c r="G2572" s="7" t="n">
        <v>2140</v>
      </c>
      <c r="H2572" s="9" t="n">
        <f aca="false">IF(G2572&gt;0,D2572/G2572,"")</f>
        <v>13.157476635514</v>
      </c>
      <c r="I2572" s="10" t="n">
        <v>46282</v>
      </c>
      <c r="K2572" s="10"/>
      <c r="M2572" s="7"/>
      <c r="N2572" s="8"/>
      <c r="O2572" s="4"/>
    </row>
    <row r="2573" customFormat="false" ht="15" hidden="false" customHeight="false" outlineLevel="0" collapsed="false">
      <c r="A2573" s="0" t="s">
        <v>3758</v>
      </c>
      <c r="C2573" s="0" t="s">
        <v>32</v>
      </c>
      <c r="D2573" s="7" t="n">
        <v>110</v>
      </c>
      <c r="E2573" s="8" t="n">
        <v>0.885545454545455</v>
      </c>
      <c r="F2573" s="4" t="n">
        <f aca="false">D2573*E2573</f>
        <v>97.41</v>
      </c>
      <c r="G2573" s="7" t="n">
        <v>6</v>
      </c>
      <c r="H2573" s="9" t="n">
        <f aca="false">IF(G2573&gt;0,D2573/G2573,"")</f>
        <v>18.3333333333333</v>
      </c>
      <c r="I2573" s="10" t="n">
        <v>46119</v>
      </c>
      <c r="J2573" s="3" t="s">
        <v>3759</v>
      </c>
      <c r="K2573" s="10" t="n">
        <v>46289</v>
      </c>
      <c r="L2573" s="3" t="s">
        <v>18</v>
      </c>
      <c r="M2573" s="7" t="n">
        <v>31</v>
      </c>
      <c r="N2573" s="8" t="n">
        <v>0.9784</v>
      </c>
      <c r="O2573" s="4" t="n">
        <f aca="false">M2573*N2573</f>
        <v>30.3304</v>
      </c>
    </row>
    <row r="2574" customFormat="false" ht="15" hidden="false" customHeight="false" outlineLevel="0" collapsed="false">
      <c r="A2574" s="0" t="s">
        <v>3760</v>
      </c>
      <c r="C2574" s="0" t="s">
        <v>40</v>
      </c>
      <c r="D2574" s="7" t="n">
        <v>2843</v>
      </c>
      <c r="E2574" s="8" t="n">
        <v>0.0342631023566655</v>
      </c>
      <c r="F2574" s="4" t="n">
        <f aca="false">D2574*E2574</f>
        <v>97.41</v>
      </c>
      <c r="G2574" s="7" t="n">
        <v>330</v>
      </c>
      <c r="H2574" s="9" t="n">
        <f aca="false">IF(G2574&gt;0,D2574/G2574,"")</f>
        <v>8.61515151515152</v>
      </c>
      <c r="I2574" s="10" t="n">
        <v>46266</v>
      </c>
      <c r="J2574" s="3" t="s">
        <v>3761</v>
      </c>
      <c r="K2574" s="10" t="n">
        <v>46171</v>
      </c>
      <c r="L2574" s="3" t="s">
        <v>18</v>
      </c>
      <c r="M2574" s="7" t="n">
        <v>2900</v>
      </c>
      <c r="N2574" s="8" t="n">
        <v>0.0343</v>
      </c>
      <c r="O2574" s="4" t="n">
        <f aca="false">M2574*N2574</f>
        <v>99.47</v>
      </c>
    </row>
    <row r="2575" customFormat="false" ht="15" hidden="false" customHeight="false" outlineLevel="0" collapsed="false">
      <c r="A2575" s="0" t="s">
        <v>3762</v>
      </c>
      <c r="C2575" s="0" t="s">
        <v>765</v>
      </c>
      <c r="D2575" s="7" t="n">
        <v>8049</v>
      </c>
      <c r="E2575" s="8" t="n">
        <v>0.0120996397067959</v>
      </c>
      <c r="F2575" s="4" t="n">
        <f aca="false">D2575*E2575</f>
        <v>97.39</v>
      </c>
      <c r="G2575" s="7" t="n">
        <v>251</v>
      </c>
      <c r="H2575" s="9" t="n">
        <f aca="false">IF(G2575&gt;0,D2575/G2575,"")</f>
        <v>32.0677290836653</v>
      </c>
      <c r="I2575" s="10" t="n">
        <v>46301</v>
      </c>
      <c r="J2575" s="3" t="s">
        <v>677</v>
      </c>
      <c r="K2575" s="10" t="n">
        <v>45642</v>
      </c>
      <c r="L2575" s="3" t="s">
        <v>16</v>
      </c>
      <c r="M2575" s="7" t="n">
        <v>8300</v>
      </c>
      <c r="N2575" s="8" t="n">
        <v>0.0121</v>
      </c>
      <c r="O2575" s="4" t="n">
        <f aca="false">M2575*N2575</f>
        <v>100.43</v>
      </c>
    </row>
    <row r="2576" customFormat="false" ht="15" hidden="false" customHeight="false" outlineLevel="0" collapsed="false">
      <c r="A2576" s="0" t="s">
        <v>3763</v>
      </c>
      <c r="D2576" s="7" t="n">
        <v>45</v>
      </c>
      <c r="E2576" s="8" t="n">
        <v>2.16266666666667</v>
      </c>
      <c r="F2576" s="4" t="n">
        <f aca="false">D2576*E2576</f>
        <v>97.32</v>
      </c>
      <c r="G2576" s="7" t="n">
        <v>10</v>
      </c>
      <c r="H2576" s="9" t="n">
        <f aca="false">IF(G2576&gt;0,D2576/G2576,"")</f>
        <v>4.5</v>
      </c>
      <c r="I2576" s="10" t="n">
        <v>46171</v>
      </c>
      <c r="J2576" s="3" t="s">
        <v>982</v>
      </c>
      <c r="K2576" s="10" t="n">
        <v>46169</v>
      </c>
      <c r="L2576" s="3" t="s">
        <v>14</v>
      </c>
      <c r="M2576" s="7" t="n">
        <v>50</v>
      </c>
      <c r="N2576" s="8" t="n">
        <v>2.1626</v>
      </c>
      <c r="O2576" s="4" t="n">
        <f aca="false">M2576*N2576</f>
        <v>108.13</v>
      </c>
    </row>
    <row r="2577" customFormat="false" ht="15" hidden="false" customHeight="false" outlineLevel="0" collapsed="false">
      <c r="A2577" s="0" t="s">
        <v>3764</v>
      </c>
      <c r="C2577" s="0" t="s">
        <v>497</v>
      </c>
      <c r="D2577" s="7" t="n">
        <v>679</v>
      </c>
      <c r="E2577" s="8" t="n">
        <v>0.143298969072165</v>
      </c>
      <c r="F2577" s="4" t="n">
        <f aca="false">D2577*E2577</f>
        <v>97.3</v>
      </c>
      <c r="G2577" s="7" t="n">
        <v>60</v>
      </c>
      <c r="H2577" s="9" t="n">
        <f aca="false">IF(G2577&gt;0,D2577/G2577,"")</f>
        <v>11.3166666666667</v>
      </c>
      <c r="I2577" s="10" t="n">
        <v>46266</v>
      </c>
      <c r="J2577" s="3" t="s">
        <v>3765</v>
      </c>
      <c r="K2577" s="10" t="n">
        <v>44643</v>
      </c>
      <c r="L2577" s="3" t="s">
        <v>936</v>
      </c>
      <c r="M2577" s="7" t="n">
        <v>1046</v>
      </c>
      <c r="N2577" s="8" t="n">
        <v>0</v>
      </c>
      <c r="O2577" s="4" t="n">
        <v>150.0228</v>
      </c>
    </row>
    <row r="2578" customFormat="false" ht="15" hidden="false" customHeight="false" outlineLevel="0" collapsed="false">
      <c r="A2578" s="0" t="s">
        <v>3766</v>
      </c>
      <c r="C2578" s="0" t="s">
        <v>31</v>
      </c>
      <c r="D2578" s="7" t="n">
        <v>11722</v>
      </c>
      <c r="E2578" s="8" t="n">
        <v>0.00830063129158847</v>
      </c>
      <c r="F2578" s="4" t="n">
        <f aca="false">D2578*E2578</f>
        <v>97.3</v>
      </c>
      <c r="G2578" s="7" t="n">
        <v>326</v>
      </c>
      <c r="H2578" s="9" t="n">
        <f aca="false">IF(G2578&gt;0,D2578/G2578,"")</f>
        <v>35.9570552147239</v>
      </c>
      <c r="I2578" s="10" t="n">
        <v>46310</v>
      </c>
      <c r="K2578" s="10"/>
      <c r="M2578" s="7"/>
      <c r="N2578" s="8"/>
      <c r="O2578" s="4"/>
    </row>
    <row r="2579" customFormat="false" ht="15" hidden="false" customHeight="false" outlineLevel="0" collapsed="false">
      <c r="A2579" s="0" t="s">
        <v>3767</v>
      </c>
      <c r="C2579" s="0" t="s">
        <v>36</v>
      </c>
      <c r="D2579" s="7" t="n">
        <v>585</v>
      </c>
      <c r="E2579" s="8" t="n">
        <v>0.166290598290598</v>
      </c>
      <c r="F2579" s="4" t="n">
        <f aca="false">D2579*E2579</f>
        <v>97.28</v>
      </c>
      <c r="G2579" s="7" t="n">
        <v>227</v>
      </c>
      <c r="H2579" s="9" t="n">
        <f aca="false">IF(G2579&gt;0,D2579/G2579,"")</f>
        <v>2.57709251101322</v>
      </c>
      <c r="I2579" s="10" t="n">
        <v>46090</v>
      </c>
      <c r="J2579" s="3" t="s">
        <v>2506</v>
      </c>
      <c r="K2579" s="10" t="n">
        <v>45911</v>
      </c>
      <c r="L2579" s="3" t="s">
        <v>18</v>
      </c>
      <c r="M2579" s="7" t="n">
        <v>904</v>
      </c>
      <c r="N2579" s="8" t="n">
        <v>0.1663</v>
      </c>
      <c r="O2579" s="4" t="n">
        <f aca="false">M2579*N2579</f>
        <v>150.3352</v>
      </c>
    </row>
    <row r="2580" customFormat="false" ht="15" hidden="false" customHeight="false" outlineLevel="0" collapsed="false">
      <c r="A2580" s="0" t="s">
        <v>3768</v>
      </c>
      <c r="C2580" s="0" t="s">
        <v>295</v>
      </c>
      <c r="D2580" s="7" t="n">
        <v>1484</v>
      </c>
      <c r="E2580" s="8" t="n">
        <v>0.0655458221024259</v>
      </c>
      <c r="F2580" s="4" t="n">
        <f aca="false">D2580*E2580</f>
        <v>97.27</v>
      </c>
      <c r="G2580" s="7" t="n">
        <v>520</v>
      </c>
      <c r="H2580" s="9" t="n">
        <f aca="false">IF(G2580&gt;0,D2580/G2580,"")</f>
        <v>2.85384615384615</v>
      </c>
      <c r="I2580" s="10" t="n">
        <v>46196</v>
      </c>
      <c r="K2580" s="10"/>
      <c r="M2580" s="7"/>
      <c r="N2580" s="8"/>
      <c r="O2580" s="4"/>
    </row>
    <row r="2581" customFormat="false" ht="15" hidden="false" customHeight="false" outlineLevel="0" collapsed="false">
      <c r="A2581" s="0" t="s">
        <v>3769</v>
      </c>
      <c r="C2581" s="0" t="s">
        <v>79</v>
      </c>
      <c r="D2581" s="7" t="n">
        <v>284</v>
      </c>
      <c r="E2581" s="8" t="n">
        <v>0.342464788732394</v>
      </c>
      <c r="F2581" s="4" t="n">
        <f aca="false">D2581*E2581</f>
        <v>97.26</v>
      </c>
      <c r="G2581" s="7" t="n">
        <v>200</v>
      </c>
      <c r="H2581" s="9" t="n">
        <f aca="false">IF(G2581&gt;0,D2581/G2581,"")</f>
        <v>1.42</v>
      </c>
      <c r="I2581" s="10" t="n">
        <v>46149</v>
      </c>
      <c r="J2581" s="3" t="s">
        <v>3770</v>
      </c>
      <c r="K2581" s="10" t="n">
        <v>45322</v>
      </c>
      <c r="L2581" s="3" t="s">
        <v>15</v>
      </c>
      <c r="M2581" s="7" t="n">
        <v>400</v>
      </c>
      <c r="N2581" s="8" t="n">
        <v>0.34247</v>
      </c>
      <c r="O2581" s="4" t="n">
        <f aca="false">M2581*N2581</f>
        <v>136.988</v>
      </c>
    </row>
    <row r="2582" customFormat="false" ht="15" hidden="false" customHeight="false" outlineLevel="0" collapsed="false">
      <c r="A2582" s="0" t="s">
        <v>3771</v>
      </c>
      <c r="C2582" s="0" t="s">
        <v>38</v>
      </c>
      <c r="D2582" s="7" t="n">
        <v>2400</v>
      </c>
      <c r="E2582" s="8" t="n">
        <v>0.0405</v>
      </c>
      <c r="F2582" s="4" t="n">
        <f aca="false">D2582*E2582</f>
        <v>97.2</v>
      </c>
      <c r="G2582" s="7" t="n">
        <v>170</v>
      </c>
      <c r="H2582" s="9" t="n">
        <f aca="false">IF(G2582&gt;0,D2582/G2582,"")</f>
        <v>14.1176470588235</v>
      </c>
      <c r="I2582" s="10" t="n">
        <v>46237</v>
      </c>
      <c r="J2582" s="3" t="s">
        <v>3444</v>
      </c>
      <c r="K2582" s="10" t="n">
        <v>45925</v>
      </c>
      <c r="L2582" s="3" t="s">
        <v>18</v>
      </c>
      <c r="M2582" s="7" t="n">
        <v>2500</v>
      </c>
      <c r="N2582" s="8" t="n">
        <v>0.0404</v>
      </c>
      <c r="O2582" s="4" t="n">
        <f aca="false">M2582*N2582</f>
        <v>101</v>
      </c>
    </row>
    <row r="2583" customFormat="false" ht="15" hidden="false" customHeight="false" outlineLevel="0" collapsed="false">
      <c r="A2583" s="0" t="s">
        <v>3772</v>
      </c>
      <c r="C2583" s="0" t="s">
        <v>1169</v>
      </c>
      <c r="D2583" s="7" t="n">
        <v>540</v>
      </c>
      <c r="E2583" s="8" t="n">
        <v>0.18</v>
      </c>
      <c r="F2583" s="4" t="n">
        <f aca="false">D2583*E2583</f>
        <v>97.2</v>
      </c>
      <c r="G2583" s="7" t="n">
        <v>4</v>
      </c>
      <c r="H2583" s="9" t="n">
        <f aca="false">IF(G2583&gt;0,D2583/G2583,"")</f>
        <v>135</v>
      </c>
      <c r="I2583" s="10" t="n">
        <v>46267</v>
      </c>
      <c r="J2583" s="3" t="s">
        <v>3773</v>
      </c>
      <c r="K2583" s="10" t="n">
        <v>45105</v>
      </c>
      <c r="L2583" s="3" t="s">
        <v>21</v>
      </c>
      <c r="M2583" s="7" t="n">
        <v>560</v>
      </c>
      <c r="N2583" s="8" t="n">
        <v>0.18</v>
      </c>
      <c r="O2583" s="4" t="n">
        <f aca="false">M2583*N2583</f>
        <v>100.8</v>
      </c>
    </row>
    <row r="2584" customFormat="false" ht="15" hidden="false" customHeight="false" outlineLevel="0" collapsed="false">
      <c r="A2584" s="0" t="s">
        <v>3774</v>
      </c>
      <c r="C2584" s="0" t="s">
        <v>39</v>
      </c>
      <c r="D2584" s="7" t="n">
        <v>25</v>
      </c>
      <c r="E2584" s="8" t="n">
        <v>3.8804</v>
      </c>
      <c r="F2584" s="4" t="n">
        <f aca="false">D2584*E2584</f>
        <v>97.01</v>
      </c>
      <c r="G2584" s="7" t="n">
        <v>10</v>
      </c>
      <c r="H2584" s="9" t="n">
        <f aca="false">IF(G2584&gt;0,D2584/G2584,"")</f>
        <v>2.5</v>
      </c>
      <c r="I2584" s="10" t="n">
        <v>46238</v>
      </c>
      <c r="J2584" s="3" t="s">
        <v>1309</v>
      </c>
      <c r="K2584" s="10" t="n">
        <v>46246</v>
      </c>
      <c r="L2584" s="3" t="s">
        <v>18</v>
      </c>
      <c r="M2584" s="7" t="n">
        <v>24</v>
      </c>
      <c r="N2584" s="8" t="n">
        <v>3.8804</v>
      </c>
      <c r="O2584" s="4" t="n">
        <f aca="false">M2584*N2584</f>
        <v>93.1296</v>
      </c>
    </row>
    <row r="2585" customFormat="false" ht="15" hidden="false" customHeight="false" outlineLevel="0" collapsed="false">
      <c r="A2585" s="0" t="s">
        <v>3775</v>
      </c>
      <c r="C2585" s="0" t="s">
        <v>889</v>
      </c>
      <c r="D2585" s="7" t="n">
        <v>5231</v>
      </c>
      <c r="E2585" s="8" t="n">
        <v>0.0185452112406806</v>
      </c>
      <c r="F2585" s="4" t="n">
        <f aca="false">D2585*E2585</f>
        <v>97.01</v>
      </c>
      <c r="G2585" s="7" t="n">
        <v>150</v>
      </c>
      <c r="H2585" s="9" t="n">
        <f aca="false">IF(G2585&gt;0,D2585/G2585,"")</f>
        <v>34.8733333333333</v>
      </c>
      <c r="I2585" s="10" t="n">
        <v>46245</v>
      </c>
      <c r="J2585" s="3" t="s">
        <v>249</v>
      </c>
      <c r="K2585" s="10" t="n">
        <v>44314</v>
      </c>
      <c r="L2585" s="3" t="s">
        <v>15</v>
      </c>
      <c r="M2585" s="7" t="n">
        <v>1505</v>
      </c>
      <c r="N2585" s="8" t="n">
        <v>0.00952</v>
      </c>
      <c r="O2585" s="4" t="n">
        <f aca="false">M2585*N2585</f>
        <v>14.3276</v>
      </c>
    </row>
    <row r="2586" customFormat="false" ht="15" hidden="false" customHeight="false" outlineLevel="0" collapsed="false">
      <c r="A2586" s="0" t="s">
        <v>3776</v>
      </c>
      <c r="C2586" s="0" t="s">
        <v>39</v>
      </c>
      <c r="D2586" s="7" t="n">
        <v>159</v>
      </c>
      <c r="E2586" s="8" t="n">
        <v>0.61</v>
      </c>
      <c r="F2586" s="4" t="n">
        <f aca="false">D2586*E2586</f>
        <v>96.99</v>
      </c>
      <c r="G2586" s="7" t="n">
        <v>131</v>
      </c>
      <c r="H2586" s="9" t="n">
        <f aca="false">IF(G2586&gt;0,D2586/G2586,"")</f>
        <v>1.21374045801527</v>
      </c>
      <c r="I2586" s="10" t="n">
        <v>46290</v>
      </c>
      <c r="J2586" s="3" t="s">
        <v>3777</v>
      </c>
      <c r="K2586" s="10" t="n">
        <v>44334</v>
      </c>
      <c r="L2586" s="3" t="s">
        <v>19</v>
      </c>
      <c r="M2586" s="7" t="n">
        <v>405</v>
      </c>
      <c r="N2586" s="8" t="n">
        <v>0.605</v>
      </c>
      <c r="O2586" s="4" t="n">
        <f aca="false">M2586*N2586</f>
        <v>245.025</v>
      </c>
    </row>
    <row r="2587" customFormat="false" ht="15" hidden="false" customHeight="false" outlineLevel="0" collapsed="false">
      <c r="A2587" s="0" t="s">
        <v>3778</v>
      </c>
      <c r="C2587" s="0" t="s">
        <v>340</v>
      </c>
      <c r="D2587" s="7" t="n">
        <v>967</v>
      </c>
      <c r="E2587" s="8" t="n">
        <v>0.100248190279214</v>
      </c>
      <c r="F2587" s="4" t="n">
        <f aca="false">D2587*E2587</f>
        <v>96.94</v>
      </c>
      <c r="G2587" s="7" t="n">
        <v>564</v>
      </c>
      <c r="H2587" s="9" t="n">
        <f aca="false">IF(G2587&gt;0,D2587/G2587,"")</f>
        <v>1.7145390070922</v>
      </c>
      <c r="I2587" s="10" t="n">
        <v>46301</v>
      </c>
      <c r="J2587" s="3" t="s">
        <v>341</v>
      </c>
      <c r="K2587" s="10" t="n">
        <v>46078</v>
      </c>
      <c r="L2587" s="3" t="s">
        <v>15</v>
      </c>
      <c r="M2587" s="7" t="n">
        <v>11</v>
      </c>
      <c r="N2587" s="8" t="n">
        <v>0.12146</v>
      </c>
      <c r="O2587" s="4" t="n">
        <f aca="false">M2587*N2587</f>
        <v>1.33606</v>
      </c>
    </row>
    <row r="2588" customFormat="false" ht="15" hidden="false" customHeight="false" outlineLevel="0" collapsed="false">
      <c r="A2588" s="0" t="s">
        <v>3779</v>
      </c>
      <c r="C2588" s="0" t="s">
        <v>34</v>
      </c>
      <c r="D2588" s="7" t="n">
        <v>9374</v>
      </c>
      <c r="E2588" s="8" t="n">
        <v>0.0103392361851931</v>
      </c>
      <c r="F2588" s="4" t="n">
        <f aca="false">D2588*E2588</f>
        <v>96.92</v>
      </c>
      <c r="G2588" s="7" t="n">
        <v>1034</v>
      </c>
      <c r="H2588" s="9" t="n">
        <f aca="false">IF(G2588&gt;0,D2588/G2588,"")</f>
        <v>9.06576402321083</v>
      </c>
      <c r="I2588" s="10" t="n">
        <v>46315</v>
      </c>
      <c r="K2588" s="10"/>
      <c r="M2588" s="7"/>
      <c r="N2588" s="8"/>
      <c r="O2588" s="4"/>
    </row>
    <row r="2589" customFormat="false" ht="15" hidden="false" customHeight="false" outlineLevel="0" collapsed="false">
      <c r="A2589" s="0" t="s">
        <v>3780</v>
      </c>
      <c r="C2589" s="0" t="s">
        <v>40</v>
      </c>
      <c r="D2589" s="7" t="n">
        <v>28512</v>
      </c>
      <c r="E2589" s="8" t="n">
        <v>0.00339856902356902</v>
      </c>
      <c r="F2589" s="4" t="n">
        <f aca="false">D2589*E2589</f>
        <v>96.9</v>
      </c>
      <c r="G2589" s="7" t="n">
        <v>500</v>
      </c>
      <c r="H2589" s="9" t="n">
        <f aca="false">IF(G2589&gt;0,D2589/G2589,"")</f>
        <v>57.024</v>
      </c>
      <c r="I2589" s="10" t="n">
        <v>45968</v>
      </c>
      <c r="J2589" s="3" t="s">
        <v>3781</v>
      </c>
      <c r="K2589" s="10" t="n">
        <v>45958</v>
      </c>
      <c r="L2589" s="3" t="s">
        <v>18</v>
      </c>
      <c r="M2589" s="7" t="n">
        <v>29000</v>
      </c>
      <c r="N2589" s="8" t="n">
        <v>0.0034</v>
      </c>
      <c r="O2589" s="4" t="n">
        <f aca="false">M2589*N2589</f>
        <v>98.6</v>
      </c>
    </row>
    <row r="2590" customFormat="false" ht="15" hidden="false" customHeight="false" outlineLevel="0" collapsed="false">
      <c r="A2590" s="0" t="s">
        <v>3782</v>
      </c>
      <c r="C2590" s="0" t="s">
        <v>679</v>
      </c>
      <c r="D2590" s="7" t="n">
        <v>50</v>
      </c>
      <c r="E2590" s="8" t="n">
        <v>1.9372</v>
      </c>
      <c r="F2590" s="4" t="n">
        <f aca="false">D2590*E2590</f>
        <v>96.86</v>
      </c>
      <c r="G2590" s="7" t="n">
        <v>8</v>
      </c>
      <c r="H2590" s="9" t="n">
        <f aca="false">IF(G2590&gt;0,D2590/G2590,"")</f>
        <v>6.25</v>
      </c>
      <c r="I2590" s="10" t="n">
        <v>46177</v>
      </c>
      <c r="J2590" s="3" t="s">
        <v>1284</v>
      </c>
      <c r="K2590" s="10" t="n">
        <v>46295</v>
      </c>
      <c r="L2590" s="3" t="s">
        <v>14</v>
      </c>
      <c r="M2590" s="7" t="n">
        <v>50</v>
      </c>
      <c r="N2590" s="8" t="n">
        <v>1.9372</v>
      </c>
      <c r="O2590" s="4" t="n">
        <f aca="false">M2590*N2590</f>
        <v>96.86</v>
      </c>
    </row>
    <row r="2591" customFormat="false" ht="15" hidden="false" customHeight="false" outlineLevel="0" collapsed="false">
      <c r="A2591" s="0" t="s">
        <v>3783</v>
      </c>
      <c r="C2591" s="0" t="s">
        <v>583</v>
      </c>
      <c r="D2591" s="7" t="n">
        <v>6013</v>
      </c>
      <c r="E2591" s="8" t="n">
        <v>0.0161034425411608</v>
      </c>
      <c r="F2591" s="4" t="n">
        <f aca="false">D2591*E2591</f>
        <v>96.83</v>
      </c>
      <c r="G2591" s="7" t="n">
        <v>1711</v>
      </c>
      <c r="H2591" s="9" t="n">
        <f aca="false">IF(G2591&gt;0,D2591/G2591,"")</f>
        <v>3.51431911163063</v>
      </c>
      <c r="I2591" s="10" t="n">
        <v>46274</v>
      </c>
      <c r="J2591" s="3" t="s">
        <v>536</v>
      </c>
      <c r="K2591" s="10" t="n">
        <v>45531</v>
      </c>
      <c r="L2591" s="3" t="s">
        <v>16</v>
      </c>
      <c r="M2591" s="7" t="n">
        <v>10000</v>
      </c>
      <c r="N2591" s="8" t="n">
        <v>0.0161</v>
      </c>
      <c r="O2591" s="4" t="n">
        <f aca="false">M2591*N2591</f>
        <v>161</v>
      </c>
    </row>
    <row r="2592" customFormat="false" ht="15" hidden="false" customHeight="false" outlineLevel="0" collapsed="false">
      <c r="A2592" s="0" t="s">
        <v>3784</v>
      </c>
      <c r="C2592" s="0" t="s">
        <v>118</v>
      </c>
      <c r="D2592" s="7" t="n">
        <v>1016</v>
      </c>
      <c r="E2592" s="8" t="n">
        <v>0.095246062992126</v>
      </c>
      <c r="F2592" s="4" t="n">
        <f aca="false">D2592*E2592</f>
        <v>96.77</v>
      </c>
      <c r="G2592" s="7" t="n">
        <v>104</v>
      </c>
      <c r="H2592" s="9" t="n">
        <f aca="false">IF(G2592&gt;0,D2592/G2592,"")</f>
        <v>9.76923076923077</v>
      </c>
      <c r="I2592" s="10" t="n">
        <v>46209</v>
      </c>
      <c r="K2592" s="10"/>
      <c r="M2592" s="7"/>
      <c r="N2592" s="8"/>
      <c r="O2592" s="4"/>
    </row>
    <row r="2593" customFormat="false" ht="15" hidden="false" customHeight="false" outlineLevel="0" collapsed="false">
      <c r="A2593" s="0" t="s">
        <v>3785</v>
      </c>
      <c r="C2593" s="0" t="s">
        <v>40</v>
      </c>
      <c r="D2593" s="7" t="n">
        <v>725</v>
      </c>
      <c r="E2593" s="8" t="n">
        <v>0.133406896551724</v>
      </c>
      <c r="F2593" s="4" t="n">
        <f aca="false">D2593*E2593</f>
        <v>96.72</v>
      </c>
      <c r="G2593" s="7" t="n">
        <v>27</v>
      </c>
      <c r="H2593" s="9" t="n">
        <f aca="false">IF(G2593&gt;0,D2593/G2593,"")</f>
        <v>26.8518518518519</v>
      </c>
      <c r="I2593" s="10" t="n">
        <v>46294</v>
      </c>
      <c r="J2593" s="3" t="s">
        <v>1691</v>
      </c>
      <c r="K2593" s="10" t="n">
        <v>44335</v>
      </c>
      <c r="L2593" s="3" t="s">
        <v>18</v>
      </c>
      <c r="M2593" s="7" t="n">
        <v>840</v>
      </c>
      <c r="N2593" s="8" t="n">
        <v>0.1334</v>
      </c>
      <c r="O2593" s="4" t="n">
        <f aca="false">M2593*N2593</f>
        <v>112.056</v>
      </c>
    </row>
    <row r="2594" customFormat="false" ht="15" hidden="false" customHeight="false" outlineLevel="0" collapsed="false">
      <c r="A2594" s="0" t="s">
        <v>3786</v>
      </c>
      <c r="C2594" s="0" t="s">
        <v>741</v>
      </c>
      <c r="D2594" s="7" t="n">
        <v>324</v>
      </c>
      <c r="E2594" s="8" t="n">
        <v>0.29820987654321</v>
      </c>
      <c r="F2594" s="4" t="n">
        <f aca="false">D2594*E2594</f>
        <v>96.62</v>
      </c>
      <c r="G2594" s="7" t="n">
        <v>10</v>
      </c>
      <c r="H2594" s="9" t="n">
        <f aca="false">IF(G2594&gt;0,D2594/G2594,"")</f>
        <v>32.4</v>
      </c>
      <c r="I2594" s="10" t="n">
        <v>46171</v>
      </c>
      <c r="J2594" s="3" t="s">
        <v>1459</v>
      </c>
      <c r="K2594" s="10" t="n">
        <v>45883</v>
      </c>
      <c r="L2594" s="3" t="s">
        <v>27</v>
      </c>
      <c r="M2594" s="7" t="n">
        <v>250</v>
      </c>
      <c r="N2594" s="8" t="n">
        <v>0.2799</v>
      </c>
      <c r="O2594" s="4" t="n">
        <f aca="false">M2594*N2594</f>
        <v>69.975</v>
      </c>
    </row>
    <row r="2595" customFormat="false" ht="15" hidden="false" customHeight="false" outlineLevel="0" collapsed="false">
      <c r="A2595" s="0" t="s">
        <v>3787</v>
      </c>
      <c r="C2595" s="0" t="s">
        <v>34</v>
      </c>
      <c r="D2595" s="7" t="n">
        <v>1932</v>
      </c>
      <c r="E2595" s="8" t="n">
        <v>0.05</v>
      </c>
      <c r="F2595" s="4" t="n">
        <f aca="false">D2595*E2595</f>
        <v>96.6</v>
      </c>
      <c r="G2595" s="7" t="n">
        <v>125</v>
      </c>
      <c r="H2595" s="9" t="n">
        <f aca="false">IF(G2595&gt;0,D2595/G2595,"")</f>
        <v>15.456</v>
      </c>
      <c r="I2595" s="10" t="n">
        <v>46154</v>
      </c>
      <c r="K2595" s="10"/>
      <c r="M2595" s="7"/>
      <c r="N2595" s="8"/>
      <c r="O2595" s="4"/>
    </row>
    <row r="2596" customFormat="false" ht="15" hidden="false" customHeight="false" outlineLevel="0" collapsed="false">
      <c r="A2596" s="0" t="s">
        <v>3788</v>
      </c>
      <c r="C2596" s="0" t="s">
        <v>370</v>
      </c>
      <c r="D2596" s="7" t="n">
        <v>946</v>
      </c>
      <c r="E2596" s="8" t="n">
        <v>0.102050739957717</v>
      </c>
      <c r="F2596" s="4" t="n">
        <f aca="false">D2596*E2596</f>
        <v>96.54</v>
      </c>
      <c r="G2596" s="7" t="n">
        <v>388</v>
      </c>
      <c r="H2596" s="9" t="n">
        <f aca="false">IF(G2596&gt;0,D2596/G2596,"")</f>
        <v>2.43814432989691</v>
      </c>
      <c r="I2596" s="10" t="n">
        <v>46281</v>
      </c>
      <c r="J2596" s="3" t="s">
        <v>3273</v>
      </c>
      <c r="K2596" s="10" t="n">
        <v>46043</v>
      </c>
      <c r="L2596" s="3" t="s">
        <v>21</v>
      </c>
      <c r="M2596" s="7" t="n">
        <v>1150</v>
      </c>
      <c r="N2596" s="8" t="n">
        <v>0.09</v>
      </c>
      <c r="O2596" s="4" t="n">
        <f aca="false">M2596*N2596</f>
        <v>103.5</v>
      </c>
    </row>
    <row r="2597" customFormat="false" ht="15" hidden="false" customHeight="false" outlineLevel="0" collapsed="false">
      <c r="A2597" s="0" t="s">
        <v>3789</v>
      </c>
      <c r="C2597" s="0" t="s">
        <v>40</v>
      </c>
      <c r="D2597" s="7" t="n">
        <v>126</v>
      </c>
      <c r="E2597" s="8" t="n">
        <v>0.765873015873016</v>
      </c>
      <c r="F2597" s="4" t="n">
        <f aca="false">D2597*E2597</f>
        <v>96.5</v>
      </c>
      <c r="G2597" s="7" t="n">
        <v>4</v>
      </c>
      <c r="H2597" s="9" t="n">
        <f aca="false">IF(G2597&gt;0,D2597/G2597,"")</f>
        <v>31.5</v>
      </c>
      <c r="I2597" s="10" t="n">
        <v>46251</v>
      </c>
      <c r="J2597" s="3" t="s">
        <v>3790</v>
      </c>
      <c r="K2597" s="10" t="n">
        <v>45609</v>
      </c>
      <c r="L2597" s="3" t="s">
        <v>18</v>
      </c>
      <c r="M2597" s="7" t="n">
        <v>130</v>
      </c>
      <c r="N2597" s="8" t="n">
        <v>0.775</v>
      </c>
      <c r="O2597" s="4" t="n">
        <f aca="false">M2597*N2597</f>
        <v>100.75</v>
      </c>
    </row>
    <row r="2598" customFormat="false" ht="15" hidden="false" customHeight="false" outlineLevel="0" collapsed="false">
      <c r="A2598" s="0" t="s">
        <v>3791</v>
      </c>
      <c r="C2598" s="0" t="s">
        <v>889</v>
      </c>
      <c r="D2598" s="7" t="n">
        <v>19477</v>
      </c>
      <c r="E2598" s="8" t="n">
        <v>0.00495250808646095</v>
      </c>
      <c r="F2598" s="4" t="n">
        <f aca="false">D2598*E2598</f>
        <v>96.46</v>
      </c>
      <c r="G2598" s="7" t="n">
        <v>4000</v>
      </c>
      <c r="H2598" s="9" t="n">
        <f aca="false">IF(G2598&gt;0,D2598/G2598,"")</f>
        <v>4.86925</v>
      </c>
      <c r="I2598" s="10" t="n">
        <v>46030</v>
      </c>
      <c r="J2598" s="3" t="s">
        <v>1369</v>
      </c>
      <c r="K2598" s="10" t="n">
        <v>44299</v>
      </c>
      <c r="L2598" s="3" t="s">
        <v>15</v>
      </c>
      <c r="M2598" s="7" t="n">
        <v>22949</v>
      </c>
      <c r="N2598" s="8" t="n">
        <v>0.0045</v>
      </c>
      <c r="O2598" s="4" t="n">
        <f aca="false">M2598*N2598</f>
        <v>103.2705</v>
      </c>
    </row>
    <row r="2599" customFormat="false" ht="15" hidden="false" customHeight="false" outlineLevel="0" collapsed="false">
      <c r="A2599" s="0" t="s">
        <v>3792</v>
      </c>
      <c r="C2599" s="0" t="s">
        <v>35</v>
      </c>
      <c r="D2599" s="7" t="n">
        <v>15</v>
      </c>
      <c r="E2599" s="8" t="n">
        <v>6.428</v>
      </c>
      <c r="F2599" s="4" t="n">
        <f aca="false">D2599*E2599</f>
        <v>96.42</v>
      </c>
      <c r="G2599" s="7" t="n">
        <v>10</v>
      </c>
      <c r="H2599" s="9" t="n">
        <f aca="false">IF(G2599&gt;0,D2599/G2599,"")</f>
        <v>1.5</v>
      </c>
      <c r="I2599" s="10" t="n">
        <v>46294</v>
      </c>
      <c r="J2599" s="3" t="s">
        <v>467</v>
      </c>
      <c r="K2599" s="10" t="n">
        <v>45967</v>
      </c>
      <c r="L2599" s="3" t="s">
        <v>14</v>
      </c>
      <c r="M2599" s="7" t="n">
        <v>25</v>
      </c>
      <c r="N2599" s="8" t="n">
        <v>6.4288</v>
      </c>
      <c r="O2599" s="4" t="n">
        <f aca="false">M2599*N2599</f>
        <v>160.72</v>
      </c>
    </row>
    <row r="2600" customFormat="false" ht="15" hidden="false" customHeight="false" outlineLevel="0" collapsed="false">
      <c r="A2600" s="0" t="s">
        <v>3793</v>
      </c>
      <c r="C2600" s="0" t="s">
        <v>438</v>
      </c>
      <c r="D2600" s="7" t="n">
        <v>122</v>
      </c>
      <c r="E2600" s="8" t="n">
        <v>0.790245901639344</v>
      </c>
      <c r="F2600" s="4" t="n">
        <f aca="false">D2600*E2600</f>
        <v>96.41</v>
      </c>
      <c r="G2600" s="7" t="n">
        <v>5</v>
      </c>
      <c r="H2600" s="9" t="n">
        <f aca="false">IF(G2600&gt;0,D2600/G2600,"")</f>
        <v>24.4</v>
      </c>
      <c r="I2600" s="10" t="n">
        <v>45981</v>
      </c>
      <c r="J2600" s="3" t="s">
        <v>1877</v>
      </c>
      <c r="K2600" s="10" t="n">
        <v>45896</v>
      </c>
      <c r="L2600" s="3" t="s">
        <v>1878</v>
      </c>
      <c r="M2600" s="7" t="n">
        <v>50</v>
      </c>
      <c r="N2600" s="8" t="n">
        <v>0.66</v>
      </c>
      <c r="O2600" s="4" t="n">
        <f aca="false">M2600*N2600</f>
        <v>33</v>
      </c>
    </row>
    <row r="2601" customFormat="false" ht="15" hidden="false" customHeight="false" outlineLevel="0" collapsed="false">
      <c r="A2601" s="0" t="s">
        <v>3794</v>
      </c>
      <c r="C2601" s="0" t="s">
        <v>33</v>
      </c>
      <c r="D2601" s="7" t="n">
        <v>599</v>
      </c>
      <c r="E2601" s="8" t="n">
        <v>0.160818030050084</v>
      </c>
      <c r="F2601" s="4" t="n">
        <f aca="false">D2601*E2601</f>
        <v>96.33</v>
      </c>
      <c r="G2601" s="7" t="n">
        <v>422</v>
      </c>
      <c r="H2601" s="9" t="n">
        <f aca="false">IF(G2601&gt;0,D2601/G2601,"")</f>
        <v>1.41943127962085</v>
      </c>
      <c r="I2601" s="10" t="n">
        <v>46297</v>
      </c>
      <c r="J2601" s="3" t="s">
        <v>230</v>
      </c>
      <c r="K2601" s="10" t="n">
        <v>46303</v>
      </c>
      <c r="L2601" s="3" t="s">
        <v>18</v>
      </c>
      <c r="M2601" s="7" t="n">
        <v>320</v>
      </c>
      <c r="N2601" s="8" t="n">
        <v>0.1608</v>
      </c>
      <c r="O2601" s="4" t="n">
        <f aca="false">M2601*N2601</f>
        <v>51.456</v>
      </c>
    </row>
    <row r="2602" customFormat="false" ht="15" hidden="false" customHeight="false" outlineLevel="0" collapsed="false">
      <c r="A2602" s="0" t="s">
        <v>3795</v>
      </c>
      <c r="C2602" s="0" t="s">
        <v>40</v>
      </c>
      <c r="D2602" s="7" t="n">
        <v>5841</v>
      </c>
      <c r="E2602" s="8" t="n">
        <v>0.0164886149631912</v>
      </c>
      <c r="F2602" s="4" t="n">
        <f aca="false">D2602*E2602</f>
        <v>96.31</v>
      </c>
      <c r="G2602" s="7" t="n">
        <v>508</v>
      </c>
      <c r="H2602" s="9" t="n">
        <f aca="false">IF(G2602&gt;0,D2602/G2602,"")</f>
        <v>11.498031496063</v>
      </c>
      <c r="I2602" s="10" t="n">
        <v>46238</v>
      </c>
      <c r="K2602" s="10"/>
      <c r="M2602" s="7"/>
      <c r="N2602" s="8"/>
      <c r="O2602" s="4"/>
    </row>
    <row r="2603" customFormat="false" ht="15" hidden="false" customHeight="false" outlineLevel="0" collapsed="false">
      <c r="A2603" s="0" t="s">
        <v>3796</v>
      </c>
      <c r="C2603" s="0" t="s">
        <v>383</v>
      </c>
      <c r="D2603" s="7" t="n">
        <v>5011</v>
      </c>
      <c r="E2603" s="8" t="n">
        <v>0.019215725404111</v>
      </c>
      <c r="F2603" s="4" t="n">
        <f aca="false">D2603*E2603</f>
        <v>96.29</v>
      </c>
      <c r="G2603" s="7" t="n">
        <v>3576</v>
      </c>
      <c r="H2603" s="9" t="n">
        <f aca="false">IF(G2603&gt;0,D2603/G2603,"")</f>
        <v>1.40128635346756</v>
      </c>
      <c r="I2603" s="10" t="n">
        <v>46182</v>
      </c>
      <c r="J2603" s="3" t="s">
        <v>3797</v>
      </c>
      <c r="K2603" s="10" t="n">
        <v>45056</v>
      </c>
      <c r="L2603" s="3" t="s">
        <v>15</v>
      </c>
      <c r="M2603" s="7" t="n">
        <v>5250</v>
      </c>
      <c r="N2603" s="8" t="n">
        <v>0.02031</v>
      </c>
      <c r="O2603" s="4" t="n">
        <f aca="false">M2603*N2603</f>
        <v>106.6275</v>
      </c>
    </row>
    <row r="2604" customFormat="false" ht="15" hidden="false" customHeight="false" outlineLevel="0" collapsed="false">
      <c r="A2604" s="0" t="s">
        <v>3798</v>
      </c>
      <c r="C2604" s="0" t="s">
        <v>38</v>
      </c>
      <c r="D2604" s="7" t="n">
        <v>7815</v>
      </c>
      <c r="E2604" s="8" t="n">
        <v>0.0123198976327575</v>
      </c>
      <c r="F2604" s="4" t="n">
        <f aca="false">D2604*E2604</f>
        <v>96.28</v>
      </c>
      <c r="G2604" s="7" t="n">
        <v>1612</v>
      </c>
      <c r="H2604" s="9" t="n">
        <f aca="false">IF(G2604&gt;0,D2604/G2604,"")</f>
        <v>4.84801488833747</v>
      </c>
      <c r="I2604" s="10" t="n">
        <v>46315</v>
      </c>
      <c r="J2604" s="3" t="s">
        <v>230</v>
      </c>
      <c r="K2604" s="10" t="n">
        <v>46303</v>
      </c>
      <c r="L2604" s="3" t="s">
        <v>18</v>
      </c>
      <c r="M2604" s="7" t="n">
        <v>7475</v>
      </c>
      <c r="N2604" s="8" t="n">
        <v>0.0124</v>
      </c>
      <c r="O2604" s="4" t="n">
        <f aca="false">M2604*N2604</f>
        <v>92.69</v>
      </c>
    </row>
    <row r="2605" customFormat="false" ht="15" hidden="false" customHeight="false" outlineLevel="0" collapsed="false">
      <c r="A2605" s="0" t="s">
        <v>3799</v>
      </c>
      <c r="C2605" s="0" t="s">
        <v>40</v>
      </c>
      <c r="D2605" s="7" t="n">
        <v>142</v>
      </c>
      <c r="E2605" s="8" t="n">
        <v>0.677464788732394</v>
      </c>
      <c r="F2605" s="4" t="n">
        <f aca="false">D2605*E2605</f>
        <v>96.2</v>
      </c>
      <c r="G2605" s="7" t="n">
        <v>6</v>
      </c>
      <c r="H2605" s="9" t="n">
        <f aca="false">IF(G2605&gt;0,D2605/G2605,"")</f>
        <v>23.6666666666667</v>
      </c>
      <c r="I2605" s="10" t="n">
        <v>46238</v>
      </c>
      <c r="J2605" s="3" t="s">
        <v>3616</v>
      </c>
      <c r="K2605" s="10" t="n">
        <v>45471</v>
      </c>
      <c r="L2605" s="3" t="s">
        <v>18</v>
      </c>
      <c r="M2605" s="7" t="n">
        <v>150</v>
      </c>
      <c r="N2605" s="8" t="n">
        <v>0.6775</v>
      </c>
      <c r="O2605" s="4" t="n">
        <f aca="false">M2605*N2605</f>
        <v>101.625</v>
      </c>
    </row>
    <row r="2606" customFormat="false" ht="15" hidden="false" customHeight="false" outlineLevel="0" collapsed="false">
      <c r="A2606" s="0" t="s">
        <v>3800</v>
      </c>
      <c r="C2606" s="0" t="s">
        <v>36</v>
      </c>
      <c r="D2606" s="7" t="n">
        <v>2148</v>
      </c>
      <c r="E2606" s="8" t="n">
        <v>0.0447858472998138</v>
      </c>
      <c r="F2606" s="4" t="n">
        <f aca="false">D2606*E2606</f>
        <v>96.2</v>
      </c>
      <c r="G2606" s="7" t="n">
        <v>210</v>
      </c>
      <c r="H2606" s="9" t="n">
        <f aca="false">IF(G2606&gt;0,D2606/G2606,"")</f>
        <v>10.2285714285714</v>
      </c>
      <c r="I2606" s="10" t="n">
        <v>46296</v>
      </c>
      <c r="J2606" s="3" t="s">
        <v>3801</v>
      </c>
      <c r="K2606" s="10" t="n">
        <v>44503</v>
      </c>
      <c r="L2606" s="3" t="s">
        <v>465</v>
      </c>
      <c r="M2606" s="7" t="n">
        <v>4194</v>
      </c>
      <c r="N2606" s="8" t="n">
        <v>0</v>
      </c>
      <c r="O2606" s="4" t="n">
        <v>188.0861</v>
      </c>
    </row>
    <row r="2607" customFormat="false" ht="15" hidden="false" customHeight="false" outlineLevel="0" collapsed="false">
      <c r="A2607" s="0" t="s">
        <v>3802</v>
      </c>
      <c r="C2607" s="0" t="s">
        <v>340</v>
      </c>
      <c r="D2607" s="7" t="n">
        <v>22630</v>
      </c>
      <c r="E2607" s="8" t="n">
        <v>0.00424966858152894</v>
      </c>
      <c r="F2607" s="4" t="n">
        <f aca="false">D2607*E2607</f>
        <v>96.17</v>
      </c>
      <c r="G2607" s="7" t="n">
        <v>9570</v>
      </c>
      <c r="H2607" s="9" t="n">
        <f aca="false">IF(G2607&gt;0,D2607/G2607,"")</f>
        <v>2.36468129571578</v>
      </c>
      <c r="I2607" s="10" t="n">
        <v>46290</v>
      </c>
      <c r="J2607" s="3" t="s">
        <v>1140</v>
      </c>
      <c r="K2607" s="10" t="n">
        <v>45614</v>
      </c>
      <c r="L2607" s="3" t="s">
        <v>15</v>
      </c>
      <c r="M2607" s="7" t="n">
        <v>51500</v>
      </c>
      <c r="N2607" s="8" t="n">
        <v>0.00425</v>
      </c>
      <c r="O2607" s="4" t="n">
        <f aca="false">M2607*N2607</f>
        <v>218.875</v>
      </c>
    </row>
    <row r="2608" customFormat="false" ht="15" hidden="false" customHeight="false" outlineLevel="0" collapsed="false">
      <c r="A2608" s="0" t="s">
        <v>3803</v>
      </c>
      <c r="C2608" s="0" t="s">
        <v>31</v>
      </c>
      <c r="D2608" s="7" t="n">
        <v>1605</v>
      </c>
      <c r="E2608" s="8" t="n">
        <v>0.0599190031152648</v>
      </c>
      <c r="F2608" s="4" t="n">
        <f aca="false">D2608*E2608</f>
        <v>96.17</v>
      </c>
      <c r="G2608" s="7" t="n">
        <v>381</v>
      </c>
      <c r="H2608" s="9" t="n">
        <f aca="false">IF(G2608&gt;0,D2608/G2608,"")</f>
        <v>4.21259842519685</v>
      </c>
      <c r="I2608" s="10" t="n">
        <v>46253</v>
      </c>
      <c r="J2608" s="3" t="s">
        <v>2263</v>
      </c>
      <c r="K2608" s="10" t="n">
        <v>45630</v>
      </c>
      <c r="L2608" s="3" t="s">
        <v>15</v>
      </c>
      <c r="M2608" s="7" t="n">
        <v>2150</v>
      </c>
      <c r="N2608" s="8" t="n">
        <v>0.05992</v>
      </c>
      <c r="O2608" s="4" t="n">
        <f aca="false">M2608*N2608</f>
        <v>128.828</v>
      </c>
    </row>
    <row r="2609" customFormat="false" ht="15" hidden="false" customHeight="false" outlineLevel="0" collapsed="false">
      <c r="A2609" s="0" t="s">
        <v>3804</v>
      </c>
      <c r="C2609" s="0" t="s">
        <v>32</v>
      </c>
      <c r="D2609" s="7" t="n">
        <v>438</v>
      </c>
      <c r="E2609" s="8" t="n">
        <v>0.219406392694064</v>
      </c>
      <c r="F2609" s="4" t="n">
        <f aca="false">D2609*E2609</f>
        <v>96.1</v>
      </c>
      <c r="G2609" s="7" t="n">
        <v>164</v>
      </c>
      <c r="H2609" s="9" t="n">
        <f aca="false">IF(G2609&gt;0,D2609/G2609,"")</f>
        <v>2.67073170731707</v>
      </c>
      <c r="I2609" s="10" t="n">
        <v>46204</v>
      </c>
      <c r="J2609" s="3" t="s">
        <v>3805</v>
      </c>
      <c r="K2609" s="10" t="n">
        <v>45457</v>
      </c>
      <c r="L2609" s="3" t="s">
        <v>14</v>
      </c>
      <c r="M2609" s="7" t="n">
        <v>1000</v>
      </c>
      <c r="N2609" s="8" t="n">
        <v>0.2987</v>
      </c>
      <c r="O2609" s="4" t="n">
        <f aca="false">M2609*N2609</f>
        <v>298.7</v>
      </c>
    </row>
    <row r="2610" customFormat="false" ht="15" hidden="false" customHeight="false" outlineLevel="0" collapsed="false">
      <c r="A2610" s="0" t="s">
        <v>3806</v>
      </c>
      <c r="C2610" s="0" t="s">
        <v>438</v>
      </c>
      <c r="D2610" s="7" t="n">
        <v>196</v>
      </c>
      <c r="E2610" s="8" t="n">
        <v>0.49</v>
      </c>
      <c r="F2610" s="4" t="n">
        <f aca="false">D2610*E2610</f>
        <v>96.04</v>
      </c>
      <c r="G2610" s="7" t="n">
        <v>57</v>
      </c>
      <c r="H2610" s="9" t="n">
        <f aca="false">IF(G2610&gt;0,D2610/G2610,"")</f>
        <v>3.43859649122807</v>
      </c>
      <c r="I2610" s="10" t="n">
        <v>46302</v>
      </c>
      <c r="J2610" s="3" t="s">
        <v>3807</v>
      </c>
      <c r="K2610" s="10" t="n">
        <v>45447</v>
      </c>
      <c r="L2610" s="3" t="s">
        <v>1878</v>
      </c>
      <c r="M2610" s="7" t="n">
        <v>250</v>
      </c>
      <c r="N2610" s="8" t="n">
        <v>0.49</v>
      </c>
      <c r="O2610" s="4" t="n">
        <f aca="false">M2610*N2610</f>
        <v>122.5</v>
      </c>
    </row>
    <row r="2611" customFormat="false" ht="15" hidden="false" customHeight="false" outlineLevel="0" collapsed="false">
      <c r="A2611" s="0" t="s">
        <v>3808</v>
      </c>
      <c r="C2611" s="0" t="s">
        <v>36</v>
      </c>
      <c r="D2611" s="7" t="n">
        <v>469</v>
      </c>
      <c r="E2611" s="8" t="n">
        <v>0.204626865671642</v>
      </c>
      <c r="F2611" s="4" t="n">
        <f aca="false">D2611*E2611</f>
        <v>95.97</v>
      </c>
      <c r="G2611" s="7" t="n">
        <v>41</v>
      </c>
      <c r="H2611" s="9" t="n">
        <f aca="false">IF(G2611&gt;0,D2611/G2611,"")</f>
        <v>11.4390243902439</v>
      </c>
      <c r="I2611" s="10" t="n">
        <v>46059</v>
      </c>
      <c r="J2611" s="3" t="s">
        <v>980</v>
      </c>
      <c r="K2611" s="10" t="n">
        <v>46049</v>
      </c>
      <c r="L2611" s="3" t="s">
        <v>18</v>
      </c>
      <c r="M2611" s="7" t="n">
        <v>490</v>
      </c>
      <c r="N2611" s="8" t="n">
        <v>0.2056</v>
      </c>
      <c r="O2611" s="4" t="n">
        <f aca="false">M2611*N2611</f>
        <v>100.744</v>
      </c>
    </row>
    <row r="2612" customFormat="false" ht="15" hidden="false" customHeight="false" outlineLevel="0" collapsed="false">
      <c r="A2612" s="0" t="s">
        <v>3809</v>
      </c>
      <c r="C2612" s="0" t="s">
        <v>765</v>
      </c>
      <c r="D2612" s="7" t="n">
        <v>987</v>
      </c>
      <c r="E2612" s="8" t="n">
        <v>0.097193515704154</v>
      </c>
      <c r="F2612" s="4" t="n">
        <f aca="false">D2612*E2612</f>
        <v>95.93</v>
      </c>
      <c r="G2612" s="7" t="n">
        <v>95</v>
      </c>
      <c r="H2612" s="9" t="n">
        <f aca="false">IF(G2612&gt;0,D2612/G2612,"")</f>
        <v>10.3894736842105</v>
      </c>
      <c r="I2612" s="10" t="n">
        <v>46072</v>
      </c>
      <c r="J2612" s="3" t="s">
        <v>2719</v>
      </c>
      <c r="K2612" s="10" t="n">
        <v>46049</v>
      </c>
      <c r="L2612" s="3" t="s">
        <v>16</v>
      </c>
      <c r="M2612" s="7" t="n">
        <v>1006</v>
      </c>
      <c r="N2612" s="8" t="n">
        <v>0.0972</v>
      </c>
      <c r="O2612" s="4" t="n">
        <f aca="false">M2612*N2612</f>
        <v>97.7832</v>
      </c>
    </row>
    <row r="2613" customFormat="false" ht="15" hidden="false" customHeight="false" outlineLevel="0" collapsed="false">
      <c r="A2613" s="0" t="s">
        <v>3810</v>
      </c>
      <c r="C2613" s="0" t="s">
        <v>370</v>
      </c>
      <c r="D2613" s="7" t="n">
        <v>959</v>
      </c>
      <c r="E2613" s="8" t="n">
        <v>0.1</v>
      </c>
      <c r="F2613" s="4" t="n">
        <f aca="false">D2613*E2613</f>
        <v>95.9</v>
      </c>
      <c r="G2613" s="7" t="n">
        <v>15</v>
      </c>
      <c r="H2613" s="9" t="n">
        <f aca="false">IF(G2613&gt;0,D2613/G2613,"")</f>
        <v>63.9333333333333</v>
      </c>
      <c r="I2613" s="10" t="n">
        <v>46265</v>
      </c>
      <c r="J2613" s="3" t="s">
        <v>1442</v>
      </c>
      <c r="K2613" s="10" t="n">
        <v>44361</v>
      </c>
      <c r="L2613" s="3" t="s">
        <v>21</v>
      </c>
      <c r="M2613" s="7" t="n">
        <v>1000</v>
      </c>
      <c r="N2613" s="8" t="n">
        <v>0.1</v>
      </c>
      <c r="O2613" s="4" t="n">
        <f aca="false">M2613*N2613</f>
        <v>100</v>
      </c>
    </row>
    <row r="2614" customFormat="false" ht="15" hidden="false" customHeight="false" outlineLevel="0" collapsed="false">
      <c r="A2614" s="0" t="s">
        <v>3811</v>
      </c>
      <c r="C2614" s="0" t="s">
        <v>61</v>
      </c>
      <c r="D2614" s="7" t="n">
        <v>170</v>
      </c>
      <c r="E2614" s="8" t="n">
        <v>0.563882352941177</v>
      </c>
      <c r="F2614" s="4" t="n">
        <f aca="false">D2614*E2614</f>
        <v>95.86</v>
      </c>
      <c r="G2614" s="7" t="n">
        <v>4</v>
      </c>
      <c r="H2614" s="9" t="n">
        <f aca="false">IF(G2614&gt;0,D2614/G2614,"")</f>
        <v>42.5</v>
      </c>
      <c r="I2614" s="10" t="n">
        <v>45957</v>
      </c>
      <c r="J2614" s="3" t="s">
        <v>3812</v>
      </c>
      <c r="K2614" s="10" t="n">
        <v>44343</v>
      </c>
      <c r="L2614" s="3" t="s">
        <v>23</v>
      </c>
      <c r="M2614" s="7" t="n">
        <v>1500</v>
      </c>
      <c r="N2614" s="8" t="n">
        <v>0.5639</v>
      </c>
      <c r="O2614" s="4" t="n">
        <f aca="false">M2614*N2614</f>
        <v>845.85</v>
      </c>
    </row>
    <row r="2615" customFormat="false" ht="15" hidden="false" customHeight="false" outlineLevel="0" collapsed="false">
      <c r="A2615" s="0" t="s">
        <v>3813</v>
      </c>
      <c r="C2615" s="0" t="s">
        <v>340</v>
      </c>
      <c r="D2615" s="7" t="n">
        <v>12613</v>
      </c>
      <c r="E2615" s="8" t="n">
        <v>0.00760009513993499</v>
      </c>
      <c r="F2615" s="4" t="n">
        <f aca="false">D2615*E2615</f>
        <v>95.86</v>
      </c>
      <c r="G2615" s="7" t="n">
        <v>2280</v>
      </c>
      <c r="H2615" s="9" t="n">
        <f aca="false">IF(G2615&gt;0,D2615/G2615,"")</f>
        <v>5.53201754385965</v>
      </c>
      <c r="I2615" s="10" t="n">
        <v>46295</v>
      </c>
      <c r="J2615" s="3" t="s">
        <v>1054</v>
      </c>
      <c r="K2615" s="10" t="n">
        <v>46224</v>
      </c>
      <c r="L2615" s="3" t="s">
        <v>16</v>
      </c>
      <c r="M2615" s="7" t="n">
        <v>12807</v>
      </c>
      <c r="N2615" s="8" t="n">
        <v>0.0076</v>
      </c>
      <c r="O2615" s="4" t="n">
        <f aca="false">M2615*N2615</f>
        <v>97.3332</v>
      </c>
    </row>
    <row r="2616" customFormat="false" ht="15" hidden="false" customHeight="false" outlineLevel="0" collapsed="false">
      <c r="A2616" s="0" t="s">
        <v>3814</v>
      </c>
      <c r="C2616" s="0" t="s">
        <v>36</v>
      </c>
      <c r="D2616" s="7" t="n">
        <v>4335</v>
      </c>
      <c r="E2616" s="8" t="n">
        <v>0.0221014994232987</v>
      </c>
      <c r="F2616" s="4" t="n">
        <f aca="false">D2616*E2616</f>
        <v>95.81</v>
      </c>
      <c r="G2616" s="7" t="n">
        <v>15</v>
      </c>
      <c r="H2616" s="9" t="n">
        <f aca="false">IF(G2616&gt;0,D2616/G2616,"")</f>
        <v>289</v>
      </c>
      <c r="I2616" s="10" t="n">
        <v>46038</v>
      </c>
      <c r="J2616" s="3" t="s">
        <v>3815</v>
      </c>
      <c r="K2616" s="10" t="n">
        <v>45260</v>
      </c>
      <c r="L2616" s="3" t="s">
        <v>18</v>
      </c>
      <c r="M2616" s="7" t="n">
        <v>4500</v>
      </c>
      <c r="N2616" s="8" t="n">
        <v>0.0221</v>
      </c>
      <c r="O2616" s="4" t="n">
        <f aca="false">M2616*N2616</f>
        <v>99.45</v>
      </c>
    </row>
    <row r="2617" customFormat="false" ht="15" hidden="false" customHeight="false" outlineLevel="0" collapsed="false">
      <c r="A2617" s="0" t="s">
        <v>3816</v>
      </c>
      <c r="C2617" s="0" t="s">
        <v>1169</v>
      </c>
      <c r="D2617" s="7" t="n">
        <v>1122</v>
      </c>
      <c r="E2617" s="8" t="n">
        <v>0.0853832442067736</v>
      </c>
      <c r="F2617" s="4" t="n">
        <f aca="false">D2617*E2617</f>
        <v>95.8</v>
      </c>
      <c r="G2617" s="7" t="n">
        <v>50</v>
      </c>
      <c r="H2617" s="9" t="n">
        <f aca="false">IF(G2617&gt;0,D2617/G2617,"")</f>
        <v>22.44</v>
      </c>
      <c r="I2617" s="10" t="n">
        <v>46245</v>
      </c>
      <c r="J2617" s="3" t="s">
        <v>3817</v>
      </c>
      <c r="K2617" s="10" t="n">
        <v>44412</v>
      </c>
      <c r="L2617" s="3" t="s">
        <v>14</v>
      </c>
      <c r="M2617" s="7" t="n">
        <v>20</v>
      </c>
      <c r="N2617" s="8" t="n">
        <v>0.2823</v>
      </c>
      <c r="O2617" s="4" t="n">
        <f aca="false">M2617*N2617</f>
        <v>5.646</v>
      </c>
    </row>
    <row r="2618" customFormat="false" ht="15" hidden="false" customHeight="false" outlineLevel="0" collapsed="false">
      <c r="A2618" s="0" t="s">
        <v>3818</v>
      </c>
      <c r="C2618" s="0" t="s">
        <v>370</v>
      </c>
      <c r="D2618" s="7" t="n">
        <v>252</v>
      </c>
      <c r="E2618" s="8" t="n">
        <v>0.38</v>
      </c>
      <c r="F2618" s="4" t="n">
        <f aca="false">D2618*E2618</f>
        <v>95.76</v>
      </c>
      <c r="G2618" s="7" t="n">
        <v>23</v>
      </c>
      <c r="H2618" s="9" t="n">
        <f aca="false">IF(G2618&gt;0,D2618/G2618,"")</f>
        <v>10.9565217391304</v>
      </c>
      <c r="I2618" s="10" t="n">
        <v>45994</v>
      </c>
      <c r="J2618" s="3" t="s">
        <v>3819</v>
      </c>
      <c r="K2618" s="10" t="n">
        <v>45954</v>
      </c>
      <c r="L2618" s="3" t="s">
        <v>21</v>
      </c>
      <c r="M2618" s="7" t="n">
        <v>275</v>
      </c>
      <c r="N2618" s="8" t="n">
        <v>0.38</v>
      </c>
      <c r="O2618" s="4" t="n">
        <f aca="false">M2618*N2618</f>
        <v>104.5</v>
      </c>
    </row>
    <row r="2619" customFormat="false" ht="15" hidden="false" customHeight="false" outlineLevel="0" collapsed="false">
      <c r="A2619" s="0" t="s">
        <v>3820</v>
      </c>
      <c r="C2619" s="0" t="s">
        <v>583</v>
      </c>
      <c r="D2619" s="7" t="n">
        <v>3720</v>
      </c>
      <c r="E2619" s="8" t="n">
        <v>0.025739247311828</v>
      </c>
      <c r="F2619" s="4" t="n">
        <f aca="false">D2619*E2619</f>
        <v>95.75</v>
      </c>
      <c r="G2619" s="7" t="n">
        <v>180</v>
      </c>
      <c r="H2619" s="9" t="n">
        <f aca="false">IF(G2619&gt;0,D2619/G2619,"")</f>
        <v>20.6666666666667</v>
      </c>
      <c r="I2619" s="10" t="n">
        <v>46171</v>
      </c>
      <c r="J2619" s="3" t="s">
        <v>3821</v>
      </c>
      <c r="K2619" s="10" t="n">
        <v>45980</v>
      </c>
      <c r="L2619" s="3" t="s">
        <v>19</v>
      </c>
      <c r="M2619" s="7" t="n">
        <v>500</v>
      </c>
      <c r="N2619" s="8" t="n">
        <v>0.0539</v>
      </c>
      <c r="O2619" s="4" t="n">
        <f aca="false">M2619*N2619</f>
        <v>26.95</v>
      </c>
    </row>
    <row r="2620" customFormat="false" ht="15" hidden="false" customHeight="false" outlineLevel="0" collapsed="false">
      <c r="A2620" s="0" t="s">
        <v>3822</v>
      </c>
      <c r="C2620" s="0" t="s">
        <v>979</v>
      </c>
      <c r="D2620" s="7" t="n">
        <v>2267</v>
      </c>
      <c r="E2620" s="8" t="n">
        <v>0.0422055580061756</v>
      </c>
      <c r="F2620" s="4" t="n">
        <f aca="false">D2620*E2620</f>
        <v>95.68</v>
      </c>
      <c r="G2620" s="7" t="n">
        <v>33</v>
      </c>
      <c r="H2620" s="9" t="n">
        <f aca="false">IF(G2620&gt;0,D2620/G2620,"")</f>
        <v>68.6969696969697</v>
      </c>
      <c r="I2620" s="10" t="n">
        <v>46175</v>
      </c>
      <c r="J2620" s="3" t="s">
        <v>2977</v>
      </c>
      <c r="K2620" s="10" t="n">
        <v>45876</v>
      </c>
      <c r="L2620" s="3" t="s">
        <v>18</v>
      </c>
      <c r="M2620" s="7" t="n">
        <v>2400</v>
      </c>
      <c r="N2620" s="8" t="n">
        <v>0.0422</v>
      </c>
      <c r="O2620" s="4" t="n">
        <f aca="false">M2620*N2620</f>
        <v>101.28</v>
      </c>
    </row>
    <row r="2621" customFormat="false" ht="15" hidden="false" customHeight="false" outlineLevel="0" collapsed="false">
      <c r="A2621" s="0" t="s">
        <v>3823</v>
      </c>
      <c r="C2621" s="0" t="s">
        <v>979</v>
      </c>
      <c r="D2621" s="7" t="n">
        <v>38</v>
      </c>
      <c r="E2621" s="8" t="n">
        <v>2.51763157894737</v>
      </c>
      <c r="F2621" s="4" t="n">
        <f aca="false">D2621*E2621</f>
        <v>95.67</v>
      </c>
      <c r="G2621" s="7" t="n">
        <v>9</v>
      </c>
      <c r="H2621" s="9" t="n">
        <f aca="false">IF(G2621&gt;0,D2621/G2621,"")</f>
        <v>4.22222222222222</v>
      </c>
      <c r="I2621" s="10" t="n">
        <v>46195</v>
      </c>
      <c r="J2621" s="3" t="s">
        <v>1183</v>
      </c>
      <c r="K2621" s="10" t="n">
        <v>44679</v>
      </c>
      <c r="L2621" s="3" t="s">
        <v>18</v>
      </c>
      <c r="M2621" s="7" t="n">
        <v>72</v>
      </c>
      <c r="N2621" s="8" t="n">
        <v>2.5176</v>
      </c>
      <c r="O2621" s="4" t="n">
        <f aca="false">M2621*N2621</f>
        <v>181.2672</v>
      </c>
    </row>
    <row r="2622" customFormat="false" ht="15" hidden="false" customHeight="false" outlineLevel="0" collapsed="false">
      <c r="A2622" s="0" t="s">
        <v>3824</v>
      </c>
      <c r="C2622" s="0" t="s">
        <v>398</v>
      </c>
      <c r="D2622" s="7" t="n">
        <v>8692</v>
      </c>
      <c r="E2622" s="8" t="n">
        <v>0.0110043718361712</v>
      </c>
      <c r="F2622" s="4" t="n">
        <f aca="false">D2622*E2622</f>
        <v>95.65</v>
      </c>
      <c r="G2622" s="7" t="n">
        <v>226</v>
      </c>
      <c r="H2622" s="9" t="n">
        <f aca="false">IF(G2622&gt;0,D2622/G2622,"")</f>
        <v>38.4601769911504</v>
      </c>
      <c r="I2622" s="10" t="n">
        <v>46311</v>
      </c>
      <c r="K2622" s="10"/>
      <c r="M2622" s="7"/>
      <c r="N2622" s="8"/>
      <c r="O2622" s="4"/>
    </row>
    <row r="2623" customFormat="false" ht="15" hidden="false" customHeight="false" outlineLevel="0" collapsed="false">
      <c r="A2623" s="0" t="s">
        <v>3825</v>
      </c>
      <c r="C2623" s="0" t="s">
        <v>33</v>
      </c>
      <c r="D2623" s="7" t="n">
        <v>7189</v>
      </c>
      <c r="E2623" s="8" t="n">
        <v>0.0132994853248018</v>
      </c>
      <c r="F2623" s="4" t="n">
        <f aca="false">D2623*E2623</f>
        <v>95.61</v>
      </c>
      <c r="G2623" s="7" t="n">
        <v>276</v>
      </c>
      <c r="H2623" s="9" t="n">
        <f aca="false">IF(G2623&gt;0,D2623/G2623,"")</f>
        <v>26.0471014492754</v>
      </c>
      <c r="I2623" s="10" t="n">
        <v>46301</v>
      </c>
      <c r="J2623" s="3" t="s">
        <v>3826</v>
      </c>
      <c r="K2623" s="10" t="n">
        <v>44867</v>
      </c>
      <c r="L2623" s="3" t="s">
        <v>18</v>
      </c>
      <c r="M2623" s="7" t="n">
        <v>7500</v>
      </c>
      <c r="N2623" s="8" t="n">
        <v>0.0133</v>
      </c>
      <c r="O2623" s="4" t="n">
        <f aca="false">M2623*N2623</f>
        <v>99.75</v>
      </c>
    </row>
    <row r="2624" customFormat="false" ht="15" hidden="false" customHeight="false" outlineLevel="0" collapsed="false">
      <c r="A2624" s="0" t="s">
        <v>3827</v>
      </c>
      <c r="C2624" s="0" t="s">
        <v>1169</v>
      </c>
      <c r="D2624" s="7" t="n">
        <v>390</v>
      </c>
      <c r="E2624" s="8" t="n">
        <v>0.245</v>
      </c>
      <c r="F2624" s="4" t="n">
        <f aca="false">D2624*E2624</f>
        <v>95.55</v>
      </c>
      <c r="G2624" s="7" t="n">
        <v>4</v>
      </c>
      <c r="H2624" s="9" t="n">
        <f aca="false">IF(G2624&gt;0,D2624/G2624,"")</f>
        <v>97.5</v>
      </c>
      <c r="I2624" s="10" t="n">
        <v>46273</v>
      </c>
      <c r="J2624" s="3" t="s">
        <v>3773</v>
      </c>
      <c r="K2624" s="10" t="n">
        <v>45105</v>
      </c>
      <c r="L2624" s="3" t="s">
        <v>21</v>
      </c>
      <c r="M2624" s="7" t="n">
        <v>410</v>
      </c>
      <c r="N2624" s="8" t="n">
        <v>0.245</v>
      </c>
      <c r="O2624" s="4" t="n">
        <f aca="false">M2624*N2624</f>
        <v>100.45</v>
      </c>
    </row>
    <row r="2625" customFormat="false" ht="15" hidden="false" customHeight="false" outlineLevel="0" collapsed="false">
      <c r="A2625" s="0" t="s">
        <v>3828</v>
      </c>
      <c r="C2625" s="0" t="s">
        <v>41</v>
      </c>
      <c r="D2625" s="7" t="n">
        <v>10302</v>
      </c>
      <c r="E2625" s="8" t="n">
        <v>0.00927004465152398</v>
      </c>
      <c r="F2625" s="4" t="n">
        <f aca="false">D2625*E2625</f>
        <v>95.5</v>
      </c>
      <c r="G2625" s="7" t="n">
        <v>6043</v>
      </c>
      <c r="H2625" s="9" t="n">
        <f aca="false">IF(G2625&gt;0,D2625/G2625,"")</f>
        <v>1.70478239285123</v>
      </c>
      <c r="I2625" s="10" t="n">
        <v>46314</v>
      </c>
      <c r="J2625" s="3" t="s">
        <v>2385</v>
      </c>
      <c r="K2625" s="10" t="n">
        <v>45629</v>
      </c>
      <c r="L2625" s="3" t="s">
        <v>16</v>
      </c>
      <c r="M2625" s="7" t="n">
        <v>16350</v>
      </c>
      <c r="N2625" s="8" t="n">
        <v>0.0092</v>
      </c>
      <c r="O2625" s="4" t="n">
        <f aca="false">M2625*N2625</f>
        <v>150.42</v>
      </c>
    </row>
    <row r="2626" customFormat="false" ht="15" hidden="false" customHeight="false" outlineLevel="0" collapsed="false">
      <c r="A2626" s="0" t="s">
        <v>3829</v>
      </c>
      <c r="C2626" s="0" t="s">
        <v>765</v>
      </c>
      <c r="D2626" s="7" t="n">
        <v>113</v>
      </c>
      <c r="E2626" s="8" t="n">
        <v>0.844513274336283</v>
      </c>
      <c r="F2626" s="4" t="n">
        <f aca="false">D2626*E2626</f>
        <v>95.43</v>
      </c>
      <c r="G2626" s="7" t="n">
        <v>8</v>
      </c>
      <c r="H2626" s="9" t="n">
        <f aca="false">IF(G2626&gt;0,D2626/G2626,"")</f>
        <v>14.125</v>
      </c>
      <c r="I2626" s="10" t="n">
        <v>46052</v>
      </c>
      <c r="J2626" s="3" t="s">
        <v>3830</v>
      </c>
      <c r="K2626" s="10" t="n">
        <v>46192</v>
      </c>
      <c r="L2626" s="3" t="s">
        <v>14</v>
      </c>
      <c r="M2626" s="7" t="n">
        <v>765</v>
      </c>
      <c r="N2626" s="8" t="n">
        <v>0.8434</v>
      </c>
      <c r="O2626" s="4" t="n">
        <f aca="false">M2626*N2626</f>
        <v>645.201</v>
      </c>
    </row>
    <row r="2627" customFormat="false" ht="15" hidden="false" customHeight="false" outlineLevel="0" collapsed="false">
      <c r="A2627" s="0" t="s">
        <v>3831</v>
      </c>
      <c r="C2627" s="0" t="s">
        <v>370</v>
      </c>
      <c r="D2627" s="7" t="n">
        <v>1645</v>
      </c>
      <c r="E2627" s="8" t="n">
        <v>0.0579878419452888</v>
      </c>
      <c r="F2627" s="4" t="n">
        <f aca="false">D2627*E2627</f>
        <v>95.39</v>
      </c>
      <c r="G2627" s="7" t="n">
        <v>1194</v>
      </c>
      <c r="H2627" s="9" t="n">
        <f aca="false">IF(G2627&gt;0,D2627/G2627,"")</f>
        <v>1.37772194304858</v>
      </c>
      <c r="I2627" s="10" t="n">
        <v>46311</v>
      </c>
      <c r="J2627" s="3" t="s">
        <v>2186</v>
      </c>
      <c r="K2627" s="10" t="n">
        <v>44309</v>
      </c>
      <c r="L2627" s="3" t="s">
        <v>21</v>
      </c>
      <c r="M2627" s="7" t="n">
        <v>5000</v>
      </c>
      <c r="N2627" s="8" t="n">
        <v>0.058</v>
      </c>
      <c r="O2627" s="4" t="n">
        <f aca="false">M2627*N2627</f>
        <v>290</v>
      </c>
    </row>
    <row r="2628" customFormat="false" ht="15" hidden="false" customHeight="false" outlineLevel="0" collapsed="false">
      <c r="A2628" s="0" t="s">
        <v>3832</v>
      </c>
      <c r="C2628" s="0" t="s">
        <v>285</v>
      </c>
      <c r="D2628" s="7" t="n">
        <v>580</v>
      </c>
      <c r="E2628" s="8" t="n">
        <v>0.164396551724138</v>
      </c>
      <c r="F2628" s="4" t="n">
        <f aca="false">D2628*E2628</f>
        <v>95.35</v>
      </c>
      <c r="G2628" s="7" t="n">
        <v>34</v>
      </c>
      <c r="H2628" s="9" t="n">
        <f aca="false">IF(G2628&gt;0,D2628/G2628,"")</f>
        <v>17.0588235294118</v>
      </c>
      <c r="I2628" s="10" t="n">
        <v>46279</v>
      </c>
      <c r="J2628" s="3" t="s">
        <v>2001</v>
      </c>
      <c r="K2628" s="10" t="n">
        <v>45553</v>
      </c>
      <c r="L2628" s="3" t="s">
        <v>15</v>
      </c>
      <c r="M2628" s="7" t="n">
        <v>248</v>
      </c>
      <c r="N2628" s="8" t="n">
        <v>0.16823</v>
      </c>
      <c r="O2628" s="4" t="n">
        <f aca="false">M2628*N2628</f>
        <v>41.72104</v>
      </c>
    </row>
    <row r="2629" customFormat="false" ht="15" hidden="false" customHeight="false" outlineLevel="0" collapsed="false">
      <c r="A2629" s="0" t="s">
        <v>3833</v>
      </c>
      <c r="C2629" s="0" t="s">
        <v>32</v>
      </c>
      <c r="D2629" s="7" t="n">
        <v>5510</v>
      </c>
      <c r="E2629" s="8" t="n">
        <v>0.0172976406533575</v>
      </c>
      <c r="F2629" s="4" t="n">
        <f aca="false">D2629*E2629</f>
        <v>95.31</v>
      </c>
      <c r="G2629" s="7" t="n">
        <v>3266</v>
      </c>
      <c r="H2629" s="9" t="n">
        <f aca="false">IF(G2629&gt;0,D2629/G2629,"")</f>
        <v>1.68707899571341</v>
      </c>
      <c r="I2629" s="10" t="n">
        <v>46300</v>
      </c>
      <c r="J2629" s="3" t="s">
        <v>3358</v>
      </c>
      <c r="K2629" s="10" t="n">
        <v>46164</v>
      </c>
      <c r="L2629" s="3" t="s">
        <v>18</v>
      </c>
      <c r="M2629" s="7" t="n">
        <v>7000</v>
      </c>
      <c r="N2629" s="8" t="n">
        <v>0.0173</v>
      </c>
      <c r="O2629" s="4" t="n">
        <f aca="false">M2629*N2629</f>
        <v>121.1</v>
      </c>
    </row>
    <row r="2630" customFormat="false" ht="15" hidden="false" customHeight="false" outlineLevel="0" collapsed="false">
      <c r="A2630" s="0" t="s">
        <v>3834</v>
      </c>
      <c r="C2630" s="0" t="s">
        <v>3835</v>
      </c>
      <c r="D2630" s="7" t="n">
        <v>530</v>
      </c>
      <c r="E2630" s="8" t="n">
        <v>0.179698113207547</v>
      </c>
      <c r="F2630" s="4" t="n">
        <f aca="false">D2630*E2630</f>
        <v>95.24</v>
      </c>
      <c r="G2630" s="7" t="n">
        <v>10</v>
      </c>
      <c r="H2630" s="9" t="n">
        <f aca="false">IF(G2630&gt;0,D2630/G2630,"")</f>
        <v>53</v>
      </c>
      <c r="I2630" s="10" t="n">
        <v>46090</v>
      </c>
      <c r="J2630" s="3" t="s">
        <v>3836</v>
      </c>
      <c r="K2630" s="10" t="n">
        <v>44257</v>
      </c>
      <c r="L2630" s="3" t="s">
        <v>223</v>
      </c>
      <c r="M2630" s="7" t="n">
        <v>1000</v>
      </c>
      <c r="N2630" s="8" t="n">
        <v>0.179</v>
      </c>
      <c r="O2630" s="4" t="n">
        <f aca="false">M2630*N2630</f>
        <v>179</v>
      </c>
    </row>
    <row r="2631" customFormat="false" ht="15" hidden="false" customHeight="false" outlineLevel="0" collapsed="false">
      <c r="A2631" s="0" t="s">
        <v>3837</v>
      </c>
      <c r="C2631" s="0" t="s">
        <v>40</v>
      </c>
      <c r="D2631" s="7" t="n">
        <v>1034</v>
      </c>
      <c r="E2631" s="8" t="n">
        <v>0.0920986460348163</v>
      </c>
      <c r="F2631" s="4" t="n">
        <f aca="false">D2631*E2631</f>
        <v>95.23</v>
      </c>
      <c r="G2631" s="7" t="n">
        <v>72</v>
      </c>
      <c r="H2631" s="9" t="n">
        <f aca="false">IF(G2631&gt;0,D2631/G2631,"")</f>
        <v>14.3611111111111</v>
      </c>
      <c r="I2631" s="10" t="n">
        <v>46184</v>
      </c>
      <c r="J2631" s="3" t="s">
        <v>3444</v>
      </c>
      <c r="K2631" s="10" t="n">
        <v>45925</v>
      </c>
      <c r="L2631" s="3" t="s">
        <v>18</v>
      </c>
      <c r="M2631" s="7" t="n">
        <v>1100</v>
      </c>
      <c r="N2631" s="8" t="n">
        <v>0.0921</v>
      </c>
      <c r="O2631" s="4" t="n">
        <f aca="false">M2631*N2631</f>
        <v>101.31</v>
      </c>
    </row>
    <row r="2632" customFormat="false" ht="15" hidden="false" customHeight="false" outlineLevel="0" collapsed="false">
      <c r="A2632" s="0" t="s">
        <v>3838</v>
      </c>
      <c r="C2632" s="0" t="s">
        <v>1169</v>
      </c>
      <c r="D2632" s="7" t="n">
        <v>1535</v>
      </c>
      <c r="E2632" s="8" t="n">
        <v>0.062</v>
      </c>
      <c r="F2632" s="4" t="n">
        <f aca="false">D2632*E2632</f>
        <v>95.17</v>
      </c>
      <c r="G2632" s="7" t="n">
        <v>142</v>
      </c>
      <c r="H2632" s="9" t="n">
        <f aca="false">IF(G2632&gt;0,D2632/G2632,"")</f>
        <v>10.8098591549296</v>
      </c>
      <c r="I2632" s="10" t="n">
        <v>46287</v>
      </c>
      <c r="J2632" s="3" t="s">
        <v>2903</v>
      </c>
      <c r="K2632" s="10" t="n">
        <v>44301</v>
      </c>
      <c r="L2632" s="3" t="s">
        <v>21</v>
      </c>
      <c r="M2632" s="7" t="n">
        <v>1800</v>
      </c>
      <c r="N2632" s="8" t="n">
        <v>0.062</v>
      </c>
      <c r="O2632" s="4" t="n">
        <f aca="false">M2632*N2632</f>
        <v>111.6</v>
      </c>
    </row>
    <row r="2633" customFormat="false" ht="15" hidden="false" customHeight="false" outlineLevel="0" collapsed="false">
      <c r="A2633" s="0" t="s">
        <v>3839</v>
      </c>
      <c r="C2633" s="0" t="s">
        <v>44</v>
      </c>
      <c r="D2633" s="7" t="n">
        <v>4</v>
      </c>
      <c r="E2633" s="8" t="n">
        <v>23.7925</v>
      </c>
      <c r="F2633" s="4" t="n">
        <f aca="false">D2633*E2633</f>
        <v>95.17</v>
      </c>
      <c r="G2633" s="7" t="n">
        <v>2</v>
      </c>
      <c r="H2633" s="9" t="n">
        <f aca="false">IF(G2633&gt;0,D2633/G2633,"")</f>
        <v>2</v>
      </c>
      <c r="I2633" s="10" t="n">
        <v>46007</v>
      </c>
      <c r="J2633" s="3" t="s">
        <v>984</v>
      </c>
      <c r="K2633" s="10" t="n">
        <v>45974</v>
      </c>
      <c r="L2633" s="3" t="s">
        <v>14</v>
      </c>
      <c r="M2633" s="7" t="n">
        <v>5</v>
      </c>
      <c r="N2633" s="8" t="n">
        <v>24.576</v>
      </c>
      <c r="O2633" s="4" t="n">
        <f aca="false">M2633*N2633</f>
        <v>122.88</v>
      </c>
    </row>
    <row r="2634" customFormat="false" ht="15" hidden="false" customHeight="false" outlineLevel="0" collapsed="false">
      <c r="A2634" s="0" t="s">
        <v>3840</v>
      </c>
      <c r="C2634" s="0" t="s">
        <v>979</v>
      </c>
      <c r="D2634" s="7" t="n">
        <v>886</v>
      </c>
      <c r="E2634" s="8" t="n">
        <v>0.107404063205418</v>
      </c>
      <c r="F2634" s="4" t="n">
        <f aca="false">D2634*E2634</f>
        <v>95.16</v>
      </c>
      <c r="G2634" s="7" t="n">
        <v>80</v>
      </c>
      <c r="H2634" s="9" t="n">
        <f aca="false">IF(G2634&gt;0,D2634/G2634,"")</f>
        <v>11.075</v>
      </c>
      <c r="I2634" s="10" t="n">
        <v>46212</v>
      </c>
      <c r="J2634" s="3" t="s">
        <v>3841</v>
      </c>
      <c r="K2634" s="10" t="n">
        <v>44651</v>
      </c>
      <c r="L2634" s="3" t="s">
        <v>28</v>
      </c>
      <c r="M2634" s="7" t="n">
        <v>3205</v>
      </c>
      <c r="N2634" s="8" t="n">
        <v>0</v>
      </c>
      <c r="O2634" s="4" t="n">
        <v>351.1824</v>
      </c>
    </row>
    <row r="2635" customFormat="false" ht="15" hidden="false" customHeight="false" outlineLevel="0" collapsed="false">
      <c r="A2635" s="0" t="s">
        <v>3842</v>
      </c>
      <c r="C2635" s="0" t="s">
        <v>34</v>
      </c>
      <c r="D2635" s="7" t="n">
        <v>8886</v>
      </c>
      <c r="E2635" s="8" t="n">
        <v>0.0106988521269413</v>
      </c>
      <c r="F2635" s="4" t="n">
        <f aca="false">D2635*E2635</f>
        <v>95.07</v>
      </c>
      <c r="G2635" s="7" t="n">
        <v>1442</v>
      </c>
      <c r="H2635" s="9" t="n">
        <f aca="false">IF(G2635&gt;0,D2635/G2635,"")</f>
        <v>6.1622746185853</v>
      </c>
      <c r="I2635" s="10" t="n">
        <v>46247</v>
      </c>
      <c r="J2635" s="3" t="s">
        <v>2294</v>
      </c>
      <c r="K2635" s="10" t="n">
        <v>46220</v>
      </c>
      <c r="L2635" s="3" t="s">
        <v>15</v>
      </c>
      <c r="M2635" s="7" t="n">
        <v>9200</v>
      </c>
      <c r="N2635" s="8" t="n">
        <v>0.01047</v>
      </c>
      <c r="O2635" s="4" t="n">
        <f aca="false">M2635*N2635</f>
        <v>96.324</v>
      </c>
    </row>
    <row r="2636" customFormat="false" ht="15" hidden="false" customHeight="false" outlineLevel="0" collapsed="false">
      <c r="A2636" s="0" t="s">
        <v>3843</v>
      </c>
      <c r="C2636" s="0" t="s">
        <v>855</v>
      </c>
      <c r="D2636" s="7" t="n">
        <v>14852</v>
      </c>
      <c r="E2636" s="8" t="n">
        <v>0.00640048478319418</v>
      </c>
      <c r="F2636" s="4" t="n">
        <f aca="false">D2636*E2636</f>
        <v>95.06</v>
      </c>
      <c r="G2636" s="7" t="n">
        <v>30</v>
      </c>
      <c r="H2636" s="9" t="n">
        <f aca="false">IF(G2636&gt;0,D2636/G2636,"")</f>
        <v>495.066666666667</v>
      </c>
      <c r="I2636" s="10" t="n">
        <v>46071</v>
      </c>
      <c r="J2636" s="3" t="s">
        <v>366</v>
      </c>
      <c r="K2636" s="10" t="n">
        <v>45721</v>
      </c>
      <c r="L2636" s="3" t="s">
        <v>16</v>
      </c>
      <c r="M2636" s="7" t="n">
        <v>14928</v>
      </c>
      <c r="N2636" s="8" t="n">
        <v>0.0064</v>
      </c>
      <c r="O2636" s="4" t="n">
        <f aca="false">M2636*N2636</f>
        <v>95.5392</v>
      </c>
    </row>
    <row r="2637" customFormat="false" ht="15" hidden="false" customHeight="false" outlineLevel="0" collapsed="false">
      <c r="A2637" s="0" t="s">
        <v>3844</v>
      </c>
      <c r="C2637" s="0" t="s">
        <v>40</v>
      </c>
      <c r="D2637" s="7" t="n">
        <v>4635</v>
      </c>
      <c r="E2637" s="8" t="n">
        <v>0.0204983818770227</v>
      </c>
      <c r="F2637" s="4" t="n">
        <f aca="false">D2637*E2637</f>
        <v>95.01</v>
      </c>
      <c r="G2637" s="7" t="n">
        <v>20</v>
      </c>
      <c r="H2637" s="9" t="n">
        <f aca="false">IF(G2637&gt;0,D2637/G2637,"")</f>
        <v>231.75</v>
      </c>
      <c r="I2637" s="10" t="n">
        <v>46066</v>
      </c>
      <c r="J2637" s="3" t="s">
        <v>3845</v>
      </c>
      <c r="K2637" s="10" t="n">
        <v>44238</v>
      </c>
      <c r="L2637" s="3" t="s">
        <v>18</v>
      </c>
      <c r="M2637" s="7" t="n">
        <v>4900</v>
      </c>
      <c r="N2637" s="8" t="n">
        <v>0.0205</v>
      </c>
      <c r="O2637" s="4" t="n">
        <f aca="false">M2637*N2637</f>
        <v>100.45</v>
      </c>
    </row>
    <row r="2638" customFormat="false" ht="15" hidden="false" customHeight="false" outlineLevel="0" collapsed="false">
      <c r="A2638" s="0" t="s">
        <v>3846</v>
      </c>
      <c r="C2638" s="0" t="s">
        <v>41</v>
      </c>
      <c r="D2638" s="7" t="n">
        <v>9376</v>
      </c>
      <c r="E2638" s="8" t="n">
        <v>0.0101301194539249</v>
      </c>
      <c r="F2638" s="4" t="n">
        <f aca="false">D2638*E2638</f>
        <v>94.98</v>
      </c>
      <c r="G2638" s="7" t="n">
        <v>242</v>
      </c>
      <c r="H2638" s="9" t="n">
        <f aca="false">IF(G2638&gt;0,D2638/G2638,"")</f>
        <v>38.7438016528926</v>
      </c>
      <c r="I2638" s="10" t="n">
        <v>46317</v>
      </c>
      <c r="J2638" s="3" t="s">
        <v>3847</v>
      </c>
      <c r="K2638" s="10" t="n">
        <v>44524</v>
      </c>
      <c r="L2638" s="3" t="s">
        <v>16</v>
      </c>
      <c r="M2638" s="7" t="n">
        <v>10436</v>
      </c>
      <c r="N2638" s="8" t="n">
        <v>0.0107</v>
      </c>
      <c r="O2638" s="4" t="n">
        <v>110.9483</v>
      </c>
    </row>
    <row r="2639" customFormat="false" ht="15" hidden="false" customHeight="false" outlineLevel="0" collapsed="false">
      <c r="A2639" s="0" t="s">
        <v>3848</v>
      </c>
      <c r="C2639" s="0" t="s">
        <v>741</v>
      </c>
      <c r="D2639" s="7" t="n">
        <v>188</v>
      </c>
      <c r="E2639" s="8" t="n">
        <v>0.504840425531915</v>
      </c>
      <c r="F2639" s="4" t="n">
        <f aca="false">D2639*E2639</f>
        <v>94.91</v>
      </c>
      <c r="G2639" s="7" t="n">
        <v>4</v>
      </c>
      <c r="H2639" s="9" t="n">
        <f aca="false">IF(G2639&gt;0,D2639/G2639,"")</f>
        <v>47</v>
      </c>
      <c r="I2639" s="10" t="n">
        <v>46171</v>
      </c>
      <c r="J2639" s="3" t="s">
        <v>3849</v>
      </c>
      <c r="K2639" s="10" t="n">
        <v>45015</v>
      </c>
      <c r="L2639" s="3" t="s">
        <v>27</v>
      </c>
      <c r="M2639" s="7" t="n">
        <v>100</v>
      </c>
      <c r="N2639" s="8" t="n">
        <v>0.3768</v>
      </c>
      <c r="O2639" s="4" t="n">
        <f aca="false">M2639*N2639</f>
        <v>37.68</v>
      </c>
    </row>
    <row r="2640" customFormat="false" ht="15" hidden="false" customHeight="false" outlineLevel="0" collapsed="false">
      <c r="A2640" s="0" t="s">
        <v>3850</v>
      </c>
      <c r="C2640" s="0" t="s">
        <v>298</v>
      </c>
      <c r="D2640" s="7" t="n">
        <v>2673</v>
      </c>
      <c r="E2640" s="8" t="n">
        <v>0.0354732510288066</v>
      </c>
      <c r="F2640" s="4" t="n">
        <f aca="false">D2640*E2640</f>
        <v>94.82</v>
      </c>
      <c r="G2640" s="7" t="n">
        <v>151</v>
      </c>
      <c r="H2640" s="9" t="n">
        <f aca="false">IF(G2640&gt;0,D2640/G2640,"")</f>
        <v>17.7019867549669</v>
      </c>
      <c r="I2640" s="10" t="n">
        <v>46309</v>
      </c>
      <c r="J2640" s="3" t="s">
        <v>922</v>
      </c>
      <c r="K2640" s="10" t="n">
        <v>44908</v>
      </c>
      <c r="L2640" s="3" t="s">
        <v>19</v>
      </c>
      <c r="M2640" s="7" t="n">
        <v>1000</v>
      </c>
      <c r="N2640" s="8" t="n">
        <v>0.04</v>
      </c>
      <c r="O2640" s="4" t="n">
        <f aca="false">M2640*N2640</f>
        <v>40</v>
      </c>
    </row>
    <row r="2641" customFormat="false" ht="15" hidden="false" customHeight="false" outlineLevel="0" collapsed="false">
      <c r="A2641" s="0" t="s">
        <v>3851</v>
      </c>
      <c r="C2641" s="0" t="s">
        <v>33</v>
      </c>
      <c r="D2641" s="7" t="n">
        <v>195</v>
      </c>
      <c r="E2641" s="8" t="n">
        <v>0.485794871794872</v>
      </c>
      <c r="F2641" s="4" t="n">
        <f aca="false">D2641*E2641</f>
        <v>94.73</v>
      </c>
      <c r="G2641" s="7" t="n">
        <v>41</v>
      </c>
      <c r="H2641" s="9" t="n">
        <f aca="false">IF(G2641&gt;0,D2641/G2641,"")</f>
        <v>4.75609756097561</v>
      </c>
      <c r="I2641" s="10" t="n">
        <v>46314</v>
      </c>
      <c r="J2641" s="3" t="s">
        <v>3852</v>
      </c>
      <c r="K2641" s="10" t="n">
        <v>46126</v>
      </c>
      <c r="L2641" s="3" t="s">
        <v>18</v>
      </c>
      <c r="M2641" s="7" t="n">
        <v>219</v>
      </c>
      <c r="N2641" s="8" t="n">
        <v>0.4858</v>
      </c>
      <c r="O2641" s="4" t="n">
        <f aca="false">M2641*N2641</f>
        <v>106.3902</v>
      </c>
    </row>
    <row r="2642" customFormat="false" ht="15" hidden="false" customHeight="false" outlineLevel="0" collapsed="false">
      <c r="A2642" s="0" t="s">
        <v>3853</v>
      </c>
      <c r="C2642" s="0" t="s">
        <v>34</v>
      </c>
      <c r="D2642" s="7" t="n">
        <v>3111</v>
      </c>
      <c r="E2642" s="8" t="n">
        <v>0.0304243008678881</v>
      </c>
      <c r="F2642" s="4" t="n">
        <f aca="false">D2642*E2642</f>
        <v>94.65</v>
      </c>
      <c r="G2642" s="7" t="n">
        <v>16</v>
      </c>
      <c r="H2642" s="9" t="n">
        <f aca="false">IF(G2642&gt;0,D2642/G2642,"")</f>
        <v>194.4375</v>
      </c>
      <c r="I2642" s="10" t="n">
        <v>46203</v>
      </c>
      <c r="J2642" s="3" t="s">
        <v>3379</v>
      </c>
      <c r="K2642" s="10" t="n">
        <v>44645</v>
      </c>
      <c r="L2642" s="3" t="s">
        <v>15</v>
      </c>
      <c r="M2642" s="7" t="n">
        <v>3790</v>
      </c>
      <c r="N2642" s="8" t="n">
        <v>0.03042</v>
      </c>
      <c r="O2642" s="4" t="n">
        <f aca="false">M2642*N2642</f>
        <v>115.2918</v>
      </c>
    </row>
    <row r="2643" customFormat="false" ht="15" hidden="false" customHeight="false" outlineLevel="0" collapsed="false">
      <c r="A2643" s="0" t="s">
        <v>3854</v>
      </c>
      <c r="C2643" s="0" t="s">
        <v>36</v>
      </c>
      <c r="D2643" s="7" t="n">
        <v>2751</v>
      </c>
      <c r="E2643" s="8" t="n">
        <v>0.0343984005816067</v>
      </c>
      <c r="F2643" s="4" t="n">
        <f aca="false">D2643*E2643</f>
        <v>94.63</v>
      </c>
      <c r="G2643" s="7" t="n">
        <v>42</v>
      </c>
      <c r="H2643" s="9" t="n">
        <f aca="false">IF(G2643&gt;0,D2643/G2643,"")</f>
        <v>65.5</v>
      </c>
      <c r="I2643" s="10" t="n">
        <v>46289</v>
      </c>
      <c r="J2643" s="3" t="s">
        <v>3533</v>
      </c>
      <c r="K2643" s="10" t="n">
        <v>45903</v>
      </c>
      <c r="L2643" s="3" t="s">
        <v>18</v>
      </c>
      <c r="M2643" s="7" t="n">
        <v>2900</v>
      </c>
      <c r="N2643" s="8" t="n">
        <v>0.0344</v>
      </c>
      <c r="O2643" s="4" t="n">
        <f aca="false">M2643*N2643</f>
        <v>99.76</v>
      </c>
    </row>
    <row r="2644" customFormat="false" ht="15" hidden="false" customHeight="false" outlineLevel="0" collapsed="false">
      <c r="A2644" s="0" t="s">
        <v>3855</v>
      </c>
      <c r="C2644" s="0" t="s">
        <v>33</v>
      </c>
      <c r="D2644" s="7" t="n">
        <v>96</v>
      </c>
      <c r="E2644" s="8" t="n">
        <v>0.985416666666667</v>
      </c>
      <c r="F2644" s="4" t="n">
        <f aca="false">D2644*E2644</f>
        <v>94.6</v>
      </c>
      <c r="G2644" s="7" t="n">
        <v>10</v>
      </c>
      <c r="H2644" s="9" t="n">
        <f aca="false">IF(G2644&gt;0,D2644/G2644,"")</f>
        <v>9.6</v>
      </c>
      <c r="I2644" s="10" t="n">
        <v>46253</v>
      </c>
      <c r="J2644" s="3" t="s">
        <v>170</v>
      </c>
      <c r="K2644" s="10" t="n">
        <v>46237</v>
      </c>
      <c r="L2644" s="3" t="s">
        <v>14</v>
      </c>
      <c r="M2644" s="7" t="n">
        <v>100</v>
      </c>
      <c r="N2644" s="8" t="n">
        <v>0.9854</v>
      </c>
      <c r="O2644" s="4" t="n">
        <f aca="false">M2644*N2644</f>
        <v>98.54</v>
      </c>
    </row>
    <row r="2645" customFormat="false" ht="15" hidden="false" customHeight="false" outlineLevel="0" collapsed="false">
      <c r="A2645" s="0" t="s">
        <v>3856</v>
      </c>
      <c r="C2645" s="0" t="s">
        <v>36</v>
      </c>
      <c r="D2645" s="7" t="n">
        <v>276</v>
      </c>
      <c r="E2645" s="8" t="n">
        <v>0.342753623188406</v>
      </c>
      <c r="F2645" s="4" t="n">
        <f aca="false">D2645*E2645</f>
        <v>94.6</v>
      </c>
      <c r="G2645" s="7" t="n">
        <v>17</v>
      </c>
      <c r="H2645" s="9" t="n">
        <f aca="false">IF(G2645&gt;0,D2645/G2645,"")</f>
        <v>16.2352941176471</v>
      </c>
      <c r="I2645" s="10" t="n">
        <v>46308</v>
      </c>
      <c r="J2645" s="3" t="s">
        <v>3666</v>
      </c>
      <c r="K2645" s="10" t="n">
        <v>46009</v>
      </c>
      <c r="L2645" s="3" t="s">
        <v>18</v>
      </c>
      <c r="M2645" s="7" t="n">
        <v>290</v>
      </c>
      <c r="N2645" s="8" t="n">
        <v>0.3428</v>
      </c>
      <c r="O2645" s="4" t="n">
        <f aca="false">M2645*N2645</f>
        <v>99.412</v>
      </c>
    </row>
    <row r="2646" customFormat="false" ht="15" hidden="false" customHeight="false" outlineLevel="0" collapsed="false">
      <c r="A2646" s="0" t="s">
        <v>3857</v>
      </c>
      <c r="C2646" s="0" t="s">
        <v>31</v>
      </c>
      <c r="D2646" s="7" t="n">
        <v>11805</v>
      </c>
      <c r="E2646" s="8" t="n">
        <v>0.00801016518424397</v>
      </c>
      <c r="F2646" s="4" t="n">
        <f aca="false">D2646*E2646</f>
        <v>94.56</v>
      </c>
      <c r="G2646" s="7" t="n">
        <v>187</v>
      </c>
      <c r="H2646" s="9" t="n">
        <f aca="false">IF(G2646&gt;0,D2646/G2646,"")</f>
        <v>63.1283422459893</v>
      </c>
      <c r="I2646" s="10" t="n">
        <v>46066</v>
      </c>
      <c r="J2646" s="3" t="s">
        <v>2757</v>
      </c>
      <c r="K2646" s="10" t="n">
        <v>44210</v>
      </c>
      <c r="L2646" s="3" t="s">
        <v>15</v>
      </c>
      <c r="M2646" s="7" t="n">
        <v>12560</v>
      </c>
      <c r="N2646" s="8" t="n">
        <v>0.00801</v>
      </c>
      <c r="O2646" s="4" t="n">
        <f aca="false">M2646*N2646</f>
        <v>100.6056</v>
      </c>
    </row>
    <row r="2647" customFormat="false" ht="15" hidden="false" customHeight="false" outlineLevel="0" collapsed="false">
      <c r="A2647" s="0" t="s">
        <v>3858</v>
      </c>
      <c r="C2647" s="0" t="s">
        <v>31</v>
      </c>
      <c r="D2647" s="7" t="n">
        <v>2340</v>
      </c>
      <c r="E2647" s="8" t="n">
        <v>0.0403974358974359</v>
      </c>
      <c r="F2647" s="4" t="n">
        <f aca="false">D2647*E2647</f>
        <v>94.53</v>
      </c>
      <c r="G2647" s="7" t="n">
        <v>40</v>
      </c>
      <c r="H2647" s="9" t="n">
        <f aca="false">IF(G2647&gt;0,D2647/G2647,"")</f>
        <v>58.5</v>
      </c>
      <c r="I2647" s="10" t="n">
        <v>45978</v>
      </c>
      <c r="J2647" s="3" t="s">
        <v>1211</v>
      </c>
      <c r="K2647" s="10" t="n">
        <v>45750</v>
      </c>
      <c r="L2647" s="3" t="s">
        <v>26</v>
      </c>
      <c r="M2647" s="7" t="n">
        <v>50</v>
      </c>
      <c r="N2647" s="8" t="n">
        <v>0.1217</v>
      </c>
      <c r="O2647" s="4" t="n">
        <f aca="false">M2647*N2647</f>
        <v>6.085</v>
      </c>
    </row>
    <row r="2648" customFormat="false" ht="15" hidden="false" customHeight="false" outlineLevel="0" collapsed="false">
      <c r="A2648" s="0" t="s">
        <v>3859</v>
      </c>
      <c r="C2648" s="0" t="s">
        <v>34</v>
      </c>
      <c r="D2648" s="7" t="n">
        <v>435</v>
      </c>
      <c r="E2648" s="8" t="n">
        <v>0.217287356321839</v>
      </c>
      <c r="F2648" s="4" t="n">
        <f aca="false">D2648*E2648</f>
        <v>94.52</v>
      </c>
      <c r="G2648" s="7" t="n">
        <v>27</v>
      </c>
      <c r="H2648" s="9" t="n">
        <f aca="false">IF(G2648&gt;0,D2648/G2648,"")</f>
        <v>16.1111111111111</v>
      </c>
      <c r="I2648" s="10" t="n">
        <v>46168</v>
      </c>
      <c r="J2648" s="3" t="s">
        <v>3860</v>
      </c>
      <c r="K2648" s="10" t="n">
        <v>44692</v>
      </c>
      <c r="L2648" s="3" t="s">
        <v>15</v>
      </c>
      <c r="M2648" s="7" t="n">
        <v>600</v>
      </c>
      <c r="N2648" s="8" t="n">
        <v>0.21727</v>
      </c>
      <c r="O2648" s="4" t="n">
        <f aca="false">M2648*N2648</f>
        <v>130.362</v>
      </c>
    </row>
    <row r="2649" customFormat="false" ht="15" hidden="false" customHeight="false" outlineLevel="0" collapsed="false">
      <c r="A2649" s="0" t="s">
        <v>3861</v>
      </c>
      <c r="C2649" s="0" t="s">
        <v>360</v>
      </c>
      <c r="D2649" s="7" t="n">
        <v>9499</v>
      </c>
      <c r="E2649" s="8" t="n">
        <v>0.00993262448678808</v>
      </c>
      <c r="F2649" s="4" t="n">
        <f aca="false">D2649*E2649</f>
        <v>94.35</v>
      </c>
      <c r="G2649" s="7" t="n">
        <v>5662</v>
      </c>
      <c r="H2649" s="9" t="n">
        <f aca="false">IF(G2649&gt;0,D2649/G2649,"")</f>
        <v>1.67767573295655</v>
      </c>
      <c r="I2649" s="10" t="n">
        <v>46181</v>
      </c>
      <c r="J2649" s="3" t="s">
        <v>558</v>
      </c>
      <c r="K2649" s="10" t="n">
        <v>45457</v>
      </c>
      <c r="L2649" s="3" t="s">
        <v>15</v>
      </c>
      <c r="M2649" s="7" t="n">
        <v>21000</v>
      </c>
      <c r="N2649" s="8" t="n">
        <v>0.00993</v>
      </c>
      <c r="O2649" s="4" t="n">
        <f aca="false">M2649*N2649</f>
        <v>208.53</v>
      </c>
    </row>
    <row r="2650" customFormat="false" ht="15" hidden="false" customHeight="false" outlineLevel="0" collapsed="false">
      <c r="A2650" s="0" t="s">
        <v>3862</v>
      </c>
      <c r="C2650" s="0" t="s">
        <v>61</v>
      </c>
      <c r="D2650" s="7" t="n">
        <v>40</v>
      </c>
      <c r="E2650" s="8" t="n">
        <v>2.3545</v>
      </c>
      <c r="F2650" s="4" t="n">
        <f aca="false">D2650*E2650</f>
        <v>94.18</v>
      </c>
      <c r="G2650" s="7" t="n">
        <v>10</v>
      </c>
      <c r="H2650" s="9" t="n">
        <f aca="false">IF(G2650&gt;0,D2650/G2650,"")</f>
        <v>4</v>
      </c>
      <c r="I2650" s="10" t="n">
        <v>46297</v>
      </c>
      <c r="J2650" s="3" t="s">
        <v>568</v>
      </c>
      <c r="K2650" s="10" t="n">
        <v>46268</v>
      </c>
      <c r="L2650" s="3" t="s">
        <v>14</v>
      </c>
      <c r="M2650" s="7" t="n">
        <v>50</v>
      </c>
      <c r="N2650" s="8" t="n">
        <v>2.3543</v>
      </c>
      <c r="O2650" s="4" t="n">
        <f aca="false">M2650*N2650</f>
        <v>117.715</v>
      </c>
    </row>
    <row r="2651" customFormat="false" ht="15" hidden="false" customHeight="false" outlineLevel="0" collapsed="false">
      <c r="A2651" s="0" t="s">
        <v>3863</v>
      </c>
      <c r="C2651" s="0" t="s">
        <v>33</v>
      </c>
      <c r="D2651" s="7" t="n">
        <v>89</v>
      </c>
      <c r="E2651" s="8" t="n">
        <v>1.05808988764045</v>
      </c>
      <c r="F2651" s="4" t="n">
        <f aca="false">D2651*E2651</f>
        <v>94.17</v>
      </c>
      <c r="G2651" s="7" t="n">
        <v>18</v>
      </c>
      <c r="H2651" s="9" t="n">
        <f aca="false">IF(G2651&gt;0,D2651/G2651,"")</f>
        <v>4.94444444444445</v>
      </c>
      <c r="I2651" s="10" t="n">
        <v>46097</v>
      </c>
      <c r="J2651" s="3" t="s">
        <v>3864</v>
      </c>
      <c r="K2651" s="10" t="n">
        <v>46058</v>
      </c>
      <c r="L2651" s="3" t="s">
        <v>18</v>
      </c>
      <c r="M2651" s="7" t="n">
        <v>90</v>
      </c>
      <c r="N2651" s="8" t="n">
        <v>1.0581</v>
      </c>
      <c r="O2651" s="4" t="n">
        <f aca="false">M2651*N2651</f>
        <v>95.229</v>
      </c>
    </row>
    <row r="2652" customFormat="false" ht="15" hidden="false" customHeight="false" outlineLevel="0" collapsed="false">
      <c r="A2652" s="0" t="s">
        <v>3865</v>
      </c>
      <c r="C2652" s="0" t="s">
        <v>1169</v>
      </c>
      <c r="D2652" s="7" t="n">
        <v>3621</v>
      </c>
      <c r="E2652" s="8" t="n">
        <v>0.026001104667219</v>
      </c>
      <c r="F2652" s="4" t="n">
        <f aca="false">D2652*E2652</f>
        <v>94.15</v>
      </c>
      <c r="G2652" s="7" t="n">
        <v>120</v>
      </c>
      <c r="H2652" s="9" t="n">
        <f aca="false">IF(G2652&gt;0,D2652/G2652,"")</f>
        <v>30.175</v>
      </c>
      <c r="I2652" s="10" t="n">
        <v>46133</v>
      </c>
      <c r="J2652" s="3" t="s">
        <v>1945</v>
      </c>
      <c r="K2652" s="10" t="n">
        <v>44328</v>
      </c>
      <c r="L2652" s="3" t="s">
        <v>21</v>
      </c>
      <c r="M2652" s="7" t="n">
        <v>5000</v>
      </c>
      <c r="N2652" s="8" t="n">
        <v>0.026</v>
      </c>
      <c r="O2652" s="4" t="n">
        <f aca="false">M2652*N2652</f>
        <v>130</v>
      </c>
    </row>
    <row r="2653" customFormat="false" ht="15" hidden="false" customHeight="false" outlineLevel="0" collapsed="false">
      <c r="A2653" s="0" t="s">
        <v>3866</v>
      </c>
      <c r="C2653" s="0" t="s">
        <v>285</v>
      </c>
      <c r="D2653" s="7" t="n">
        <v>2151</v>
      </c>
      <c r="E2653" s="8" t="n">
        <v>0.0436959553695955</v>
      </c>
      <c r="F2653" s="4" t="n">
        <f aca="false">D2653*E2653</f>
        <v>93.99</v>
      </c>
      <c r="G2653" s="7" t="n">
        <v>61</v>
      </c>
      <c r="H2653" s="9" t="n">
        <f aca="false">IF(G2653&gt;0,D2653/G2653,"")</f>
        <v>35.2622950819672</v>
      </c>
      <c r="I2653" s="10" t="n">
        <v>46224</v>
      </c>
      <c r="K2653" s="10"/>
      <c r="M2653" s="7"/>
      <c r="N2653" s="8"/>
      <c r="O2653" s="4"/>
    </row>
    <row r="2654" customFormat="false" ht="15" hidden="false" customHeight="false" outlineLevel="0" collapsed="false">
      <c r="A2654" s="0" t="s">
        <v>3867</v>
      </c>
      <c r="C2654" s="0" t="s">
        <v>31</v>
      </c>
      <c r="D2654" s="7" t="n">
        <v>4791</v>
      </c>
      <c r="E2654" s="8" t="n">
        <v>0.0195992485911083</v>
      </c>
      <c r="F2654" s="4" t="n">
        <f aca="false">D2654*E2654</f>
        <v>93.9</v>
      </c>
      <c r="G2654" s="7" t="n">
        <v>4284</v>
      </c>
      <c r="H2654" s="9" t="n">
        <f aca="false">IF(G2654&gt;0,D2654/G2654,"")</f>
        <v>1.11834733893557</v>
      </c>
      <c r="I2654" s="10" t="n">
        <v>46276</v>
      </c>
      <c r="J2654" s="3" t="s">
        <v>3868</v>
      </c>
      <c r="K2654" s="10" t="n">
        <v>46247</v>
      </c>
      <c r="L2654" s="3" t="s">
        <v>19</v>
      </c>
      <c r="M2654" s="7" t="n">
        <v>5000</v>
      </c>
      <c r="N2654" s="8" t="n">
        <v>0.0196</v>
      </c>
      <c r="O2654" s="4" t="n">
        <f aca="false">M2654*N2654</f>
        <v>98</v>
      </c>
    </row>
    <row r="2655" customFormat="false" ht="15" hidden="false" customHeight="false" outlineLevel="0" collapsed="false">
      <c r="A2655" s="0" t="s">
        <v>3869</v>
      </c>
      <c r="C2655" s="0" t="s">
        <v>1010</v>
      </c>
      <c r="D2655" s="7" t="n">
        <v>1395</v>
      </c>
      <c r="E2655" s="8" t="n">
        <v>0.0672974910394265</v>
      </c>
      <c r="F2655" s="4" t="n">
        <f aca="false">D2655*E2655</f>
        <v>93.88</v>
      </c>
      <c r="G2655" s="7" t="n">
        <v>34</v>
      </c>
      <c r="H2655" s="9" t="n">
        <f aca="false">IF(G2655&gt;0,D2655/G2655,"")</f>
        <v>41.0294117647059</v>
      </c>
      <c r="I2655" s="10" t="n">
        <v>46275</v>
      </c>
      <c r="J2655" s="3" t="s">
        <v>1563</v>
      </c>
      <c r="K2655" s="10" t="n">
        <v>45768</v>
      </c>
      <c r="L2655" s="3" t="s">
        <v>16</v>
      </c>
      <c r="M2655" s="7" t="n">
        <v>1490</v>
      </c>
      <c r="N2655" s="8" t="n">
        <v>0.0673</v>
      </c>
      <c r="O2655" s="4" t="n">
        <f aca="false">M2655*N2655</f>
        <v>100.277</v>
      </c>
    </row>
    <row r="2656" customFormat="false" ht="15" hidden="false" customHeight="false" outlineLevel="0" collapsed="false">
      <c r="A2656" s="0" t="s">
        <v>3870</v>
      </c>
      <c r="C2656" s="0" t="s">
        <v>34</v>
      </c>
      <c r="D2656" s="7" t="n">
        <v>184</v>
      </c>
      <c r="E2656" s="8" t="n">
        <v>0.51</v>
      </c>
      <c r="F2656" s="4" t="n">
        <f aca="false">D2656*E2656</f>
        <v>93.84</v>
      </c>
      <c r="G2656" s="7" t="n">
        <v>4</v>
      </c>
      <c r="H2656" s="9" t="n">
        <f aca="false">IF(G2656&gt;0,D2656/G2656,"")</f>
        <v>46</v>
      </c>
      <c r="I2656" s="10" t="n">
        <v>46029</v>
      </c>
      <c r="K2656" s="10"/>
      <c r="M2656" s="7"/>
      <c r="N2656" s="8"/>
      <c r="O2656" s="4"/>
    </row>
    <row r="2657" customFormat="false" ht="15" hidden="false" customHeight="false" outlineLevel="0" collapsed="false">
      <c r="A2657" s="0" t="s">
        <v>3871</v>
      </c>
      <c r="C2657" s="0" t="s">
        <v>31</v>
      </c>
      <c r="D2657" s="7" t="n">
        <v>8525</v>
      </c>
      <c r="E2657" s="8" t="n">
        <v>0.0109994134897361</v>
      </c>
      <c r="F2657" s="4" t="n">
        <f aca="false">D2657*E2657</f>
        <v>93.77</v>
      </c>
      <c r="G2657" s="7" t="n">
        <v>365</v>
      </c>
      <c r="H2657" s="9" t="n">
        <f aca="false">IF(G2657&gt;0,D2657/G2657,"")</f>
        <v>23.3561643835616</v>
      </c>
      <c r="I2657" s="10" t="n">
        <v>46238</v>
      </c>
      <c r="J2657" s="3" t="s">
        <v>1751</v>
      </c>
      <c r="K2657" s="10" t="n">
        <v>45748</v>
      </c>
      <c r="L2657" s="3" t="s">
        <v>26</v>
      </c>
      <c r="M2657" s="7" t="n">
        <v>215</v>
      </c>
      <c r="N2657" s="8" t="n">
        <v>0.0233</v>
      </c>
      <c r="O2657" s="4" t="n">
        <f aca="false">M2657*N2657</f>
        <v>5.0095</v>
      </c>
    </row>
    <row r="2658" customFormat="false" ht="15" hidden="false" customHeight="false" outlineLevel="0" collapsed="false">
      <c r="A2658" s="0" t="s">
        <v>3872</v>
      </c>
      <c r="C2658" s="0" t="s">
        <v>36</v>
      </c>
      <c r="D2658" s="7" t="n">
        <v>4858</v>
      </c>
      <c r="E2658" s="8" t="n">
        <v>0.0193001235076163</v>
      </c>
      <c r="F2658" s="4" t="n">
        <f aca="false">D2658*E2658</f>
        <v>93.76</v>
      </c>
      <c r="G2658" s="7" t="n">
        <v>3317</v>
      </c>
      <c r="H2658" s="9" t="n">
        <f aca="false">IF(G2658&gt;0,D2658/G2658,"")</f>
        <v>1.46457642447995</v>
      </c>
      <c r="I2658" s="10" t="n">
        <v>46317</v>
      </c>
      <c r="J2658" s="3" t="s">
        <v>1028</v>
      </c>
      <c r="K2658" s="10" t="n">
        <v>45689</v>
      </c>
      <c r="L2658" s="3" t="s">
        <v>18</v>
      </c>
      <c r="M2658" s="7" t="n">
        <v>5200</v>
      </c>
      <c r="N2658" s="8" t="n">
        <v>0.0193</v>
      </c>
      <c r="O2658" s="4" t="n">
        <f aca="false">M2658*N2658</f>
        <v>100.36</v>
      </c>
    </row>
    <row r="2659" customFormat="false" ht="15" hidden="false" customHeight="false" outlineLevel="0" collapsed="false">
      <c r="A2659" s="0" t="s">
        <v>3873</v>
      </c>
      <c r="C2659" s="0" t="s">
        <v>34</v>
      </c>
      <c r="D2659" s="7" t="n">
        <v>996</v>
      </c>
      <c r="E2659" s="8" t="n">
        <v>0.0940562248995984</v>
      </c>
      <c r="F2659" s="4" t="n">
        <f aca="false">D2659*E2659</f>
        <v>93.68</v>
      </c>
      <c r="G2659" s="7" t="n">
        <v>5</v>
      </c>
      <c r="H2659" s="9" t="n">
        <f aca="false">IF(G2659&gt;0,D2659/G2659,"")</f>
        <v>199.2</v>
      </c>
      <c r="I2659" s="10" t="n">
        <v>45981</v>
      </c>
      <c r="J2659" s="3" t="s">
        <v>3535</v>
      </c>
      <c r="K2659" s="10" t="n">
        <v>45051</v>
      </c>
      <c r="L2659" s="3" t="s">
        <v>16</v>
      </c>
      <c r="M2659" s="7" t="n">
        <v>991</v>
      </c>
      <c r="N2659" s="8" t="n">
        <v>0.0834</v>
      </c>
      <c r="O2659" s="4" t="n">
        <f aca="false">M2659*N2659</f>
        <v>82.6494</v>
      </c>
    </row>
    <row r="2660" customFormat="false" ht="15" hidden="false" customHeight="false" outlineLevel="0" collapsed="false">
      <c r="A2660" s="0" t="s">
        <v>3874</v>
      </c>
      <c r="C2660" s="0" t="s">
        <v>1169</v>
      </c>
      <c r="D2660" s="7" t="n">
        <v>323</v>
      </c>
      <c r="E2660" s="8" t="n">
        <v>0.29</v>
      </c>
      <c r="F2660" s="4" t="n">
        <f aca="false">D2660*E2660</f>
        <v>93.67</v>
      </c>
      <c r="G2660" s="7" t="n">
        <v>20</v>
      </c>
      <c r="H2660" s="9" t="n">
        <f aca="false">IF(G2660&gt;0,D2660/G2660,"")</f>
        <v>16.15</v>
      </c>
      <c r="I2660" s="10" t="n">
        <v>46107</v>
      </c>
      <c r="J2660" s="3" t="s">
        <v>3875</v>
      </c>
      <c r="K2660" s="10" t="n">
        <v>45629</v>
      </c>
      <c r="L2660" s="3" t="s">
        <v>21</v>
      </c>
      <c r="M2660" s="7" t="n">
        <v>345</v>
      </c>
      <c r="N2660" s="8" t="n">
        <v>0.29</v>
      </c>
      <c r="O2660" s="4" t="n">
        <f aca="false">M2660*N2660</f>
        <v>100.05</v>
      </c>
    </row>
    <row r="2661" customFormat="false" ht="15" hidden="false" customHeight="false" outlineLevel="0" collapsed="false">
      <c r="A2661" s="0" t="s">
        <v>3876</v>
      </c>
      <c r="C2661" s="0" t="s">
        <v>37</v>
      </c>
      <c r="D2661" s="7" t="n">
        <v>4819</v>
      </c>
      <c r="E2661" s="8" t="n">
        <v>0.0194314173064951</v>
      </c>
      <c r="F2661" s="4" t="n">
        <f aca="false">D2661*E2661</f>
        <v>93.64</v>
      </c>
      <c r="G2661" s="7" t="n">
        <v>2625</v>
      </c>
      <c r="H2661" s="9" t="n">
        <f aca="false">IF(G2661&gt;0,D2661/G2661,"")</f>
        <v>1.83580952380952</v>
      </c>
      <c r="I2661" s="10" t="n">
        <v>46224</v>
      </c>
      <c r="J2661" s="3" t="s">
        <v>1936</v>
      </c>
      <c r="K2661" s="10" t="n">
        <v>45057</v>
      </c>
      <c r="L2661" s="3" t="s">
        <v>15</v>
      </c>
      <c r="M2661" s="7" t="n">
        <v>8530</v>
      </c>
      <c r="N2661" s="8" t="n">
        <v>0.01943</v>
      </c>
      <c r="O2661" s="4" t="n">
        <f aca="false">M2661*N2661</f>
        <v>165.7379</v>
      </c>
    </row>
    <row r="2662" customFormat="false" ht="15" hidden="false" customHeight="false" outlineLevel="0" collapsed="false">
      <c r="A2662" s="0" t="s">
        <v>3877</v>
      </c>
      <c r="C2662" s="0" t="s">
        <v>40</v>
      </c>
      <c r="D2662" s="7" t="n">
        <v>1142</v>
      </c>
      <c r="E2662" s="8" t="n">
        <v>0.0819001751313485</v>
      </c>
      <c r="F2662" s="4" t="n">
        <f aca="false">D2662*E2662</f>
        <v>93.53</v>
      </c>
      <c r="G2662" s="7" t="n">
        <v>665</v>
      </c>
      <c r="H2662" s="9" t="n">
        <f aca="false">IF(G2662&gt;0,D2662/G2662,"")</f>
        <v>1.71729323308271</v>
      </c>
      <c r="I2662" s="10" t="n">
        <v>46302</v>
      </c>
      <c r="J2662" s="3" t="s">
        <v>3878</v>
      </c>
      <c r="K2662" s="10" t="n">
        <v>46295</v>
      </c>
      <c r="L2662" s="3" t="s">
        <v>18</v>
      </c>
      <c r="M2662" s="7" t="n">
        <v>1480</v>
      </c>
      <c r="N2662" s="8" t="n">
        <v>0.0819</v>
      </c>
      <c r="O2662" s="4" t="n">
        <f aca="false">M2662*N2662</f>
        <v>121.212</v>
      </c>
    </row>
    <row r="2663" customFormat="false" ht="15" hidden="false" customHeight="false" outlineLevel="0" collapsed="false">
      <c r="A2663" s="0" t="s">
        <v>3879</v>
      </c>
      <c r="C2663" s="0" t="s">
        <v>39</v>
      </c>
      <c r="D2663" s="7" t="n">
        <v>239</v>
      </c>
      <c r="E2663" s="8" t="n">
        <v>0.391297071129707</v>
      </c>
      <c r="F2663" s="4" t="n">
        <f aca="false">D2663*E2663</f>
        <v>93.52</v>
      </c>
      <c r="G2663" s="7" t="n">
        <v>15</v>
      </c>
      <c r="H2663" s="9" t="n">
        <f aca="false">IF(G2663&gt;0,D2663/G2663,"")</f>
        <v>15.9333333333333</v>
      </c>
      <c r="I2663" s="10" t="n">
        <v>46071</v>
      </c>
      <c r="K2663" s="10"/>
      <c r="M2663" s="7"/>
      <c r="N2663" s="8"/>
      <c r="O2663" s="4"/>
    </row>
    <row r="2664" customFormat="false" ht="15" hidden="false" customHeight="false" outlineLevel="0" collapsed="false">
      <c r="A2664" s="0" t="s">
        <v>3880</v>
      </c>
      <c r="C2664" s="0" t="s">
        <v>370</v>
      </c>
      <c r="D2664" s="7" t="n">
        <v>144</v>
      </c>
      <c r="E2664" s="8" t="n">
        <v>0.649097222222222</v>
      </c>
      <c r="F2664" s="4" t="n">
        <f aca="false">D2664*E2664</f>
        <v>93.47</v>
      </c>
      <c r="G2664" s="7" t="n">
        <v>27</v>
      </c>
      <c r="H2664" s="9" t="n">
        <f aca="false">IF(G2664&gt;0,D2664/G2664,"")</f>
        <v>5.33333333333333</v>
      </c>
      <c r="I2664" s="10" t="n">
        <v>46268</v>
      </c>
      <c r="K2664" s="10"/>
      <c r="M2664" s="7"/>
      <c r="N2664" s="8"/>
      <c r="O2664" s="4"/>
    </row>
    <row r="2665" customFormat="false" ht="15" hidden="false" customHeight="false" outlineLevel="0" collapsed="false">
      <c r="A2665" s="0" t="s">
        <v>3881</v>
      </c>
      <c r="C2665" s="0" t="s">
        <v>31</v>
      </c>
      <c r="D2665" s="7" t="n">
        <v>1149</v>
      </c>
      <c r="E2665" s="8" t="n">
        <v>0.0813054830287206</v>
      </c>
      <c r="F2665" s="4" t="n">
        <f aca="false">D2665*E2665</f>
        <v>93.42</v>
      </c>
      <c r="G2665" s="7" t="n">
        <v>62</v>
      </c>
      <c r="H2665" s="9" t="n">
        <f aca="false">IF(G2665&gt;0,D2665/G2665,"")</f>
        <v>18.5322580645161</v>
      </c>
      <c r="I2665" s="10" t="n">
        <v>46211</v>
      </c>
      <c r="K2665" s="10"/>
      <c r="M2665" s="7"/>
      <c r="N2665" s="8"/>
      <c r="O2665" s="4"/>
    </row>
    <row r="2666" customFormat="false" ht="15" hidden="false" customHeight="false" outlineLevel="0" collapsed="false">
      <c r="A2666" s="0" t="s">
        <v>3882</v>
      </c>
      <c r="C2666" s="0" t="s">
        <v>934</v>
      </c>
      <c r="D2666" s="7" t="n">
        <v>103</v>
      </c>
      <c r="E2666" s="8" t="n">
        <v>0.906796116504854</v>
      </c>
      <c r="F2666" s="4" t="n">
        <f aca="false">D2666*E2666</f>
        <v>93.4</v>
      </c>
      <c r="G2666" s="7" t="n">
        <v>55</v>
      </c>
      <c r="H2666" s="9" t="n">
        <f aca="false">IF(G2666&gt;0,D2666/G2666,"")</f>
        <v>1.87272727272727</v>
      </c>
      <c r="I2666" s="10" t="n">
        <v>46314</v>
      </c>
      <c r="J2666" s="3" t="s">
        <v>2982</v>
      </c>
      <c r="K2666" s="10" t="n">
        <v>45689</v>
      </c>
      <c r="L2666" s="3" t="s">
        <v>936</v>
      </c>
      <c r="M2666" s="7" t="n">
        <v>359</v>
      </c>
      <c r="N2666" s="8" t="n">
        <v>0.9068</v>
      </c>
      <c r="O2666" s="4" t="n">
        <f aca="false">M2666*N2666</f>
        <v>325.5412</v>
      </c>
    </row>
    <row r="2667" customFormat="false" ht="15" hidden="false" customHeight="false" outlineLevel="0" collapsed="false">
      <c r="A2667" s="0" t="s">
        <v>3883</v>
      </c>
      <c r="C2667" s="0" t="s">
        <v>33</v>
      </c>
      <c r="D2667" s="7" t="n">
        <v>585</v>
      </c>
      <c r="E2667" s="8" t="n">
        <v>0.15965811965812</v>
      </c>
      <c r="F2667" s="4" t="n">
        <f aca="false">D2667*E2667</f>
        <v>93.4</v>
      </c>
      <c r="G2667" s="7" t="n">
        <v>96</v>
      </c>
      <c r="H2667" s="9" t="n">
        <f aca="false">IF(G2667&gt;0,D2667/G2667,"")</f>
        <v>6.09375</v>
      </c>
      <c r="I2667" s="10" t="n">
        <v>46253</v>
      </c>
      <c r="J2667" s="3" t="s">
        <v>2244</v>
      </c>
      <c r="K2667" s="10" t="n">
        <v>46098</v>
      </c>
      <c r="L2667" s="3" t="s">
        <v>18</v>
      </c>
      <c r="M2667" s="7" t="n">
        <v>600</v>
      </c>
      <c r="N2667" s="8" t="n">
        <v>0.159</v>
      </c>
      <c r="O2667" s="4" t="n">
        <f aca="false">M2667*N2667</f>
        <v>95.4</v>
      </c>
    </row>
    <row r="2668" customFormat="false" ht="15" hidden="false" customHeight="false" outlineLevel="0" collapsed="false">
      <c r="A2668" s="0" t="s">
        <v>3884</v>
      </c>
      <c r="C2668" s="0" t="s">
        <v>38</v>
      </c>
      <c r="D2668" s="7" t="n">
        <v>22230</v>
      </c>
      <c r="E2668" s="8" t="n">
        <v>0.00420062977957715</v>
      </c>
      <c r="F2668" s="4" t="n">
        <f aca="false">D2668*E2668</f>
        <v>93.38</v>
      </c>
      <c r="G2668" s="7" t="n">
        <v>7300</v>
      </c>
      <c r="H2668" s="9" t="n">
        <f aca="false">IF(G2668&gt;0,D2668/G2668,"")</f>
        <v>3.04520547945205</v>
      </c>
      <c r="I2668" s="10" t="n">
        <v>46314</v>
      </c>
      <c r="J2668" s="3" t="s">
        <v>3618</v>
      </c>
      <c r="K2668" s="10" t="n">
        <v>46155</v>
      </c>
      <c r="L2668" s="3" t="s">
        <v>18</v>
      </c>
      <c r="M2668" s="7" t="n">
        <v>24419</v>
      </c>
      <c r="N2668" s="8" t="n">
        <v>0.0042</v>
      </c>
      <c r="O2668" s="4" t="n">
        <f aca="false">M2668*N2668</f>
        <v>102.5598</v>
      </c>
    </row>
    <row r="2669" customFormat="false" ht="15" hidden="false" customHeight="false" outlineLevel="0" collapsed="false">
      <c r="A2669" s="0" t="s">
        <v>3885</v>
      </c>
      <c r="C2669" s="0" t="s">
        <v>34</v>
      </c>
      <c r="D2669" s="7" t="n">
        <v>5396</v>
      </c>
      <c r="E2669" s="8" t="n">
        <v>0.0172961452928095</v>
      </c>
      <c r="F2669" s="4" t="n">
        <f aca="false">D2669*E2669</f>
        <v>93.33</v>
      </c>
      <c r="G2669" s="7" t="n">
        <v>250</v>
      </c>
      <c r="H2669" s="9" t="n">
        <f aca="false">IF(G2669&gt;0,D2669/G2669,"")</f>
        <v>21.584</v>
      </c>
      <c r="I2669" s="10" t="n">
        <v>46281</v>
      </c>
      <c r="J2669" s="3" t="s">
        <v>531</v>
      </c>
      <c r="K2669" s="10" t="n">
        <v>45782</v>
      </c>
      <c r="L2669" s="3" t="s">
        <v>14</v>
      </c>
      <c r="M2669" s="7" t="n">
        <v>51</v>
      </c>
      <c r="N2669" s="8" t="n">
        <v>0.213529</v>
      </c>
      <c r="O2669" s="4" t="n">
        <f aca="false">M2669*N2669</f>
        <v>10.889979</v>
      </c>
    </row>
    <row r="2670" customFormat="false" ht="15" hidden="false" customHeight="false" outlineLevel="0" collapsed="false">
      <c r="A2670" s="0" t="s">
        <v>3886</v>
      </c>
      <c r="C2670" s="0" t="s">
        <v>36</v>
      </c>
      <c r="D2670" s="7" t="n">
        <v>953</v>
      </c>
      <c r="E2670" s="8" t="n">
        <v>0.0979013641133263</v>
      </c>
      <c r="F2670" s="4" t="n">
        <f aca="false">D2670*E2670</f>
        <v>93.3</v>
      </c>
      <c r="G2670" s="7" t="n">
        <v>181</v>
      </c>
      <c r="H2670" s="9" t="n">
        <f aca="false">IF(G2670&gt;0,D2670/G2670,"")</f>
        <v>5.26519337016575</v>
      </c>
      <c r="I2670" s="10" t="n">
        <v>46275</v>
      </c>
      <c r="J2670" s="3" t="s">
        <v>793</v>
      </c>
      <c r="K2670" s="10" t="n">
        <v>46196</v>
      </c>
      <c r="L2670" s="3" t="s">
        <v>14</v>
      </c>
      <c r="M2670" s="7" t="n">
        <v>1000</v>
      </c>
      <c r="N2670" s="8" t="n">
        <v>0.0979</v>
      </c>
      <c r="O2670" s="4" t="n">
        <f aca="false">M2670*N2670</f>
        <v>97.9</v>
      </c>
    </row>
    <row r="2671" customFormat="false" ht="15" hidden="false" customHeight="false" outlineLevel="0" collapsed="false">
      <c r="A2671" s="0" t="s">
        <v>3887</v>
      </c>
      <c r="C2671" s="0" t="s">
        <v>35</v>
      </c>
      <c r="D2671" s="7" t="n">
        <v>25</v>
      </c>
      <c r="E2671" s="8" t="n">
        <v>3.7312</v>
      </c>
      <c r="F2671" s="4" t="n">
        <f aca="false">D2671*E2671</f>
        <v>93.28</v>
      </c>
      <c r="G2671" s="7" t="n">
        <v>14</v>
      </c>
      <c r="H2671" s="9" t="n">
        <f aca="false">IF(G2671&gt;0,D2671/G2671,"")</f>
        <v>1.78571428571429</v>
      </c>
      <c r="I2671" s="10" t="n">
        <v>46225</v>
      </c>
      <c r="J2671" s="3" t="s">
        <v>2282</v>
      </c>
      <c r="K2671" s="10" t="n">
        <v>44361</v>
      </c>
      <c r="L2671" s="3" t="s">
        <v>16</v>
      </c>
      <c r="M2671" s="7" t="n">
        <v>86</v>
      </c>
      <c r="N2671" s="8" t="n">
        <v>3.7311</v>
      </c>
      <c r="O2671" s="4" t="n">
        <f aca="false">M2671*N2671</f>
        <v>320.8746</v>
      </c>
    </row>
    <row r="2672" customFormat="false" ht="15" hidden="false" customHeight="false" outlineLevel="0" collapsed="false">
      <c r="A2672" s="0" t="s">
        <v>3888</v>
      </c>
      <c r="C2672" s="0" t="s">
        <v>583</v>
      </c>
      <c r="D2672" s="7" t="n">
        <v>6261</v>
      </c>
      <c r="E2672" s="8" t="n">
        <v>0.0148889953681521</v>
      </c>
      <c r="F2672" s="4" t="n">
        <f aca="false">D2672*E2672</f>
        <v>93.22</v>
      </c>
      <c r="G2672" s="7" t="n">
        <v>1510</v>
      </c>
      <c r="H2672" s="9" t="n">
        <f aca="false">IF(G2672&gt;0,D2672/G2672,"")</f>
        <v>4.14635761589404</v>
      </c>
      <c r="I2672" s="10" t="n">
        <v>46308</v>
      </c>
      <c r="J2672" s="3" t="s">
        <v>536</v>
      </c>
      <c r="K2672" s="10" t="n">
        <v>45531</v>
      </c>
      <c r="L2672" s="3" t="s">
        <v>16</v>
      </c>
      <c r="M2672" s="7" t="n">
        <v>10000</v>
      </c>
      <c r="N2672" s="8" t="n">
        <v>0.0147</v>
      </c>
      <c r="O2672" s="4" t="n">
        <f aca="false">M2672*N2672</f>
        <v>147</v>
      </c>
    </row>
    <row r="2673" customFormat="false" ht="15" hidden="false" customHeight="false" outlineLevel="0" collapsed="false">
      <c r="A2673" s="0" t="s">
        <v>3889</v>
      </c>
      <c r="C2673" s="0" t="s">
        <v>438</v>
      </c>
      <c r="D2673" s="7" t="n">
        <v>167</v>
      </c>
      <c r="E2673" s="8" t="n">
        <v>0.557365269461078</v>
      </c>
      <c r="F2673" s="4" t="n">
        <f aca="false">D2673*E2673</f>
        <v>93.08</v>
      </c>
      <c r="G2673" s="7" t="n">
        <v>115</v>
      </c>
      <c r="H2673" s="9" t="n">
        <f aca="false">IF(G2673&gt;0,D2673/G2673,"")</f>
        <v>1.45217391304348</v>
      </c>
      <c r="I2673" s="10" t="n">
        <v>46276</v>
      </c>
      <c r="J2673" s="3" t="s">
        <v>3890</v>
      </c>
      <c r="K2673" s="10" t="n">
        <v>44308</v>
      </c>
      <c r="L2673" s="3" t="s">
        <v>14</v>
      </c>
      <c r="M2673" s="7" t="n">
        <v>585</v>
      </c>
      <c r="N2673" s="8" t="n">
        <v>0.5573</v>
      </c>
      <c r="O2673" s="4" t="n">
        <f aca="false">M2673*N2673</f>
        <v>326.0205</v>
      </c>
    </row>
    <row r="2674" customFormat="false" ht="15" hidden="false" customHeight="false" outlineLevel="0" collapsed="false">
      <c r="A2674" s="0" t="s">
        <v>3891</v>
      </c>
      <c r="C2674" s="0" t="s">
        <v>36</v>
      </c>
      <c r="D2674" s="7" t="n">
        <v>72</v>
      </c>
      <c r="E2674" s="8" t="n">
        <v>1.29236111111111</v>
      </c>
      <c r="F2674" s="4" t="n">
        <f aca="false">D2674*E2674</f>
        <v>93.05</v>
      </c>
      <c r="G2674" s="7" t="n">
        <v>61</v>
      </c>
      <c r="H2674" s="9" t="n">
        <f aca="false">IF(G2674&gt;0,D2674/G2674,"")</f>
        <v>1.18032786885246</v>
      </c>
      <c r="I2674" s="10" t="n">
        <v>46301</v>
      </c>
      <c r="J2674" s="3" t="s">
        <v>877</v>
      </c>
      <c r="K2674" s="10" t="n">
        <v>46289</v>
      </c>
      <c r="L2674" s="3" t="s">
        <v>18</v>
      </c>
      <c r="M2674" s="7" t="n">
        <v>80</v>
      </c>
      <c r="N2674" s="8" t="n">
        <v>1.2924</v>
      </c>
      <c r="O2674" s="4" t="n">
        <f aca="false">M2674*N2674</f>
        <v>103.392</v>
      </c>
    </row>
    <row r="2675" customFormat="false" ht="15" hidden="false" customHeight="false" outlineLevel="0" collapsed="false">
      <c r="A2675" s="0" t="s">
        <v>3892</v>
      </c>
      <c r="C2675" s="0" t="s">
        <v>38</v>
      </c>
      <c r="D2675" s="7" t="n">
        <v>1491</v>
      </c>
      <c r="E2675" s="8" t="n">
        <v>0.0623943661971831</v>
      </c>
      <c r="F2675" s="4" t="n">
        <f aca="false">D2675*E2675</f>
        <v>93.03</v>
      </c>
      <c r="G2675" s="7" t="n">
        <v>121</v>
      </c>
      <c r="H2675" s="9" t="n">
        <f aca="false">IF(G2675&gt;0,D2675/G2675,"")</f>
        <v>12.3223140495868</v>
      </c>
      <c r="I2675" s="10" t="n">
        <v>46295</v>
      </c>
      <c r="J2675" s="3" t="s">
        <v>3444</v>
      </c>
      <c r="K2675" s="10" t="n">
        <v>45925</v>
      </c>
      <c r="L2675" s="3" t="s">
        <v>18</v>
      </c>
      <c r="M2675" s="7" t="n">
        <v>1600</v>
      </c>
      <c r="N2675" s="8" t="n">
        <v>0.0624</v>
      </c>
      <c r="O2675" s="4" t="n">
        <f aca="false">M2675*N2675</f>
        <v>99.84</v>
      </c>
    </row>
    <row r="2676" customFormat="false" ht="15" hidden="false" customHeight="false" outlineLevel="0" collapsed="false">
      <c r="A2676" s="0" t="s">
        <v>3893</v>
      </c>
      <c r="C2676" s="0" t="s">
        <v>38</v>
      </c>
      <c r="D2676" s="7" t="n">
        <v>824</v>
      </c>
      <c r="E2676" s="8" t="n">
        <v>0.112803398058252</v>
      </c>
      <c r="F2676" s="4" t="n">
        <f aca="false">D2676*E2676</f>
        <v>92.95</v>
      </c>
      <c r="G2676" s="7" t="n">
        <v>368</v>
      </c>
      <c r="H2676" s="9" t="n">
        <f aca="false">IF(G2676&gt;0,D2676/G2676,"")</f>
        <v>2.23913043478261</v>
      </c>
      <c r="I2676" s="10" t="n">
        <v>46269</v>
      </c>
      <c r="J2676" s="3" t="s">
        <v>680</v>
      </c>
      <c r="K2676" s="10" t="n">
        <v>46240</v>
      </c>
      <c r="L2676" s="3" t="s">
        <v>14</v>
      </c>
      <c r="M2676" s="7" t="n">
        <v>1000</v>
      </c>
      <c r="N2676" s="8" t="n">
        <v>0.1128</v>
      </c>
      <c r="O2676" s="4" t="n">
        <f aca="false">M2676*N2676</f>
        <v>112.8</v>
      </c>
    </row>
    <row r="2677" customFormat="false" ht="15" hidden="false" customHeight="false" outlineLevel="0" collapsed="false">
      <c r="A2677" s="0" t="s">
        <v>3894</v>
      </c>
      <c r="C2677" s="0" t="s">
        <v>118</v>
      </c>
      <c r="D2677" s="7" t="n">
        <v>5878</v>
      </c>
      <c r="E2677" s="8" t="n">
        <v>0.0157995916978564</v>
      </c>
      <c r="F2677" s="4" t="n">
        <f aca="false">D2677*E2677</f>
        <v>92.87</v>
      </c>
      <c r="G2677" s="7" t="n">
        <v>2063</v>
      </c>
      <c r="H2677" s="9" t="n">
        <f aca="false">IF(G2677&gt;0,D2677/G2677,"")</f>
        <v>2.84924866698982</v>
      </c>
      <c r="I2677" s="10" t="n">
        <v>46308</v>
      </c>
      <c r="J2677" s="3" t="s">
        <v>1986</v>
      </c>
      <c r="K2677" s="10" t="n">
        <v>46052</v>
      </c>
      <c r="L2677" s="3" t="s">
        <v>16</v>
      </c>
      <c r="M2677" s="7" t="n">
        <v>7231</v>
      </c>
      <c r="N2677" s="8" t="n">
        <v>0.0158</v>
      </c>
      <c r="O2677" s="4" t="n">
        <f aca="false">M2677*N2677</f>
        <v>114.2498</v>
      </c>
    </row>
    <row r="2678" customFormat="false" ht="15" hidden="false" customHeight="false" outlineLevel="0" collapsed="false">
      <c r="A2678" s="0" t="s">
        <v>3895</v>
      </c>
      <c r="C2678" s="0" t="s">
        <v>39</v>
      </c>
      <c r="D2678" s="7" t="n">
        <v>13837</v>
      </c>
      <c r="E2678" s="8" t="n">
        <v>0.00670882416708824</v>
      </c>
      <c r="F2678" s="4" t="n">
        <f aca="false">D2678*E2678</f>
        <v>92.83</v>
      </c>
      <c r="G2678" s="7" t="n">
        <v>200</v>
      </c>
      <c r="H2678" s="9" t="n">
        <f aca="false">IF(G2678&gt;0,D2678/G2678,"")</f>
        <v>69.185</v>
      </c>
      <c r="I2678" s="10" t="n">
        <v>46205</v>
      </c>
      <c r="J2678" s="3" t="s">
        <v>3444</v>
      </c>
      <c r="K2678" s="10" t="n">
        <v>45925</v>
      </c>
      <c r="L2678" s="3" t="s">
        <v>18</v>
      </c>
      <c r="M2678" s="7" t="n">
        <v>14000</v>
      </c>
      <c r="N2678" s="8" t="n">
        <v>0.0067</v>
      </c>
      <c r="O2678" s="4" t="n">
        <f aca="false">M2678*N2678</f>
        <v>93.8</v>
      </c>
    </row>
    <row r="2679" customFormat="false" ht="15" hidden="false" customHeight="false" outlineLevel="0" collapsed="false">
      <c r="A2679" s="0" t="s">
        <v>3896</v>
      </c>
      <c r="C2679" s="0" t="s">
        <v>1802</v>
      </c>
      <c r="D2679" s="7" t="n">
        <v>84</v>
      </c>
      <c r="E2679" s="8" t="n">
        <v>1.10416666666667</v>
      </c>
      <c r="F2679" s="4" t="n">
        <f aca="false">D2679*E2679</f>
        <v>92.75</v>
      </c>
      <c r="G2679" s="7" t="n">
        <v>6</v>
      </c>
      <c r="H2679" s="9" t="n">
        <f aca="false">IF(G2679&gt;0,D2679/G2679,"")</f>
        <v>14</v>
      </c>
      <c r="I2679" s="10" t="n">
        <v>46129</v>
      </c>
      <c r="J2679" s="3" t="s">
        <v>3897</v>
      </c>
      <c r="K2679" s="10" t="n">
        <v>45852</v>
      </c>
      <c r="L2679" s="3" t="s">
        <v>14</v>
      </c>
      <c r="M2679" s="7" t="n">
        <v>102</v>
      </c>
      <c r="N2679" s="8" t="n">
        <v>1.10421569</v>
      </c>
      <c r="O2679" s="4" t="n">
        <f aca="false">M2679*N2679</f>
        <v>112.63000038</v>
      </c>
    </row>
    <row r="2680" customFormat="false" ht="15" hidden="false" customHeight="false" outlineLevel="0" collapsed="false">
      <c r="A2680" s="0" t="s">
        <v>3898</v>
      </c>
      <c r="C2680" s="0" t="s">
        <v>31</v>
      </c>
      <c r="D2680" s="7" t="n">
        <v>15895</v>
      </c>
      <c r="E2680" s="8" t="n">
        <v>0.00583202264863165</v>
      </c>
      <c r="F2680" s="4" t="n">
        <f aca="false">D2680*E2680</f>
        <v>92.7</v>
      </c>
      <c r="G2680" s="7" t="n">
        <v>891</v>
      </c>
      <c r="H2680" s="9" t="n">
        <f aca="false">IF(G2680&gt;0,D2680/G2680,"")</f>
        <v>17.8395061728395</v>
      </c>
      <c r="I2680" s="10" t="n">
        <v>46281</v>
      </c>
      <c r="K2680" s="10"/>
      <c r="M2680" s="7"/>
      <c r="N2680" s="8"/>
      <c r="O2680" s="4"/>
    </row>
    <row r="2681" customFormat="false" ht="15" hidden="false" customHeight="false" outlineLevel="0" collapsed="false">
      <c r="A2681" s="0" t="s">
        <v>3899</v>
      </c>
      <c r="C2681" s="0" t="s">
        <v>31</v>
      </c>
      <c r="D2681" s="7" t="n">
        <v>1325</v>
      </c>
      <c r="E2681" s="8" t="n">
        <v>0.0698867924528302</v>
      </c>
      <c r="F2681" s="4" t="n">
        <f aca="false">D2681*E2681</f>
        <v>92.6</v>
      </c>
      <c r="G2681" s="7" t="n">
        <v>53</v>
      </c>
      <c r="H2681" s="9" t="n">
        <f aca="false">IF(G2681&gt;0,D2681/G2681,"")</f>
        <v>25</v>
      </c>
      <c r="I2681" s="10" t="n">
        <v>46216</v>
      </c>
      <c r="J2681" s="3" t="s">
        <v>3900</v>
      </c>
      <c r="K2681" s="10" t="n">
        <v>44589</v>
      </c>
      <c r="L2681" s="3" t="s">
        <v>16</v>
      </c>
      <c r="M2681" s="7" t="n">
        <v>2496</v>
      </c>
      <c r="N2681" s="8" t="n">
        <v>0.0699</v>
      </c>
      <c r="O2681" s="4" t="n">
        <f aca="false">M2681*N2681</f>
        <v>174.4704</v>
      </c>
    </row>
    <row r="2682" customFormat="false" ht="15" hidden="false" customHeight="false" outlineLevel="0" collapsed="false">
      <c r="A2682" s="0" t="s">
        <v>3901</v>
      </c>
      <c r="C2682" s="0" t="s">
        <v>298</v>
      </c>
      <c r="D2682" s="7" t="n">
        <v>190</v>
      </c>
      <c r="E2682" s="8" t="n">
        <v>0.487105263157895</v>
      </c>
      <c r="F2682" s="4" t="n">
        <f aca="false">D2682*E2682</f>
        <v>92.55</v>
      </c>
      <c r="G2682" s="7" t="n">
        <v>10</v>
      </c>
      <c r="H2682" s="9" t="n">
        <f aca="false">IF(G2682&gt;0,D2682/G2682,"")</f>
        <v>19</v>
      </c>
      <c r="I2682" s="10" t="n">
        <v>46091</v>
      </c>
      <c r="J2682" s="3" t="s">
        <v>90</v>
      </c>
      <c r="K2682" s="10" t="n">
        <v>46055</v>
      </c>
      <c r="L2682" s="3" t="s">
        <v>16</v>
      </c>
      <c r="M2682" s="7" t="n">
        <v>200</v>
      </c>
      <c r="N2682" s="8" t="n">
        <v>0.4871</v>
      </c>
      <c r="O2682" s="4" t="n">
        <f aca="false">M2682*N2682</f>
        <v>97.42</v>
      </c>
    </row>
    <row r="2683" customFormat="false" ht="15" hidden="false" customHeight="false" outlineLevel="0" collapsed="false">
      <c r="A2683" s="0" t="s">
        <v>3902</v>
      </c>
      <c r="C2683" s="0" t="s">
        <v>1169</v>
      </c>
      <c r="D2683" s="7" t="n">
        <v>1281</v>
      </c>
      <c r="E2683" s="8" t="n">
        <v>0.0721623731459797</v>
      </c>
      <c r="F2683" s="4" t="n">
        <f aca="false">D2683*E2683</f>
        <v>92.44</v>
      </c>
      <c r="G2683" s="7" t="n">
        <v>100</v>
      </c>
      <c r="H2683" s="9" t="n">
        <f aca="false">IF(G2683&gt;0,D2683/G2683,"")</f>
        <v>12.81</v>
      </c>
      <c r="I2683" s="10" t="n">
        <v>46129</v>
      </c>
      <c r="J2683" s="3" t="s">
        <v>3875</v>
      </c>
      <c r="K2683" s="10" t="n">
        <v>45629</v>
      </c>
      <c r="L2683" s="3" t="s">
        <v>21</v>
      </c>
      <c r="M2683" s="7" t="n">
        <v>1400</v>
      </c>
      <c r="N2683" s="8" t="n">
        <v>0.072</v>
      </c>
      <c r="O2683" s="4" t="n">
        <f aca="false">M2683*N2683</f>
        <v>100.8</v>
      </c>
    </row>
    <row r="2684" customFormat="false" ht="15" hidden="false" customHeight="false" outlineLevel="0" collapsed="false">
      <c r="A2684" s="0" t="s">
        <v>3903</v>
      </c>
      <c r="C2684" s="0" t="s">
        <v>340</v>
      </c>
      <c r="D2684" s="7" t="n">
        <v>11656</v>
      </c>
      <c r="E2684" s="8" t="n">
        <v>0.0079289636238847</v>
      </c>
      <c r="F2684" s="4" t="n">
        <f aca="false">D2684*E2684</f>
        <v>92.42</v>
      </c>
      <c r="G2684" s="7" t="n">
        <v>3210</v>
      </c>
      <c r="H2684" s="9" t="n">
        <f aca="false">IF(G2684&gt;0,D2684/G2684,"")</f>
        <v>3.63115264797508</v>
      </c>
      <c r="I2684" s="10" t="n">
        <v>46178</v>
      </c>
      <c r="J2684" s="3" t="s">
        <v>940</v>
      </c>
      <c r="K2684" s="10" t="n">
        <v>46231</v>
      </c>
      <c r="L2684" s="3" t="s">
        <v>16</v>
      </c>
      <c r="M2684" s="7" t="n">
        <v>10500</v>
      </c>
      <c r="N2684" s="8" t="n">
        <v>0.0078</v>
      </c>
      <c r="O2684" s="4" t="n">
        <f aca="false">M2684*N2684</f>
        <v>81.9</v>
      </c>
    </row>
    <row r="2685" customFormat="false" ht="15" hidden="false" customHeight="false" outlineLevel="0" collapsed="false">
      <c r="A2685" s="0" t="s">
        <v>3904</v>
      </c>
      <c r="C2685" s="0" t="s">
        <v>38</v>
      </c>
      <c r="D2685" s="7" t="n">
        <v>2127</v>
      </c>
      <c r="E2685" s="8" t="n">
        <v>0.0433239304184297</v>
      </c>
      <c r="F2685" s="4" t="n">
        <f aca="false">D2685*E2685</f>
        <v>92.15</v>
      </c>
      <c r="G2685" s="7" t="n">
        <v>349</v>
      </c>
      <c r="H2685" s="9" t="n">
        <f aca="false">IF(G2685&gt;0,D2685/G2685,"")</f>
        <v>6.0945558739255</v>
      </c>
      <c r="I2685" s="10" t="n">
        <v>46253</v>
      </c>
      <c r="J2685" s="3" t="s">
        <v>3444</v>
      </c>
      <c r="K2685" s="10" t="n">
        <v>45925</v>
      </c>
      <c r="L2685" s="3" t="s">
        <v>18</v>
      </c>
      <c r="M2685" s="7" t="n">
        <v>2300</v>
      </c>
      <c r="N2685" s="8" t="n">
        <v>0.0434</v>
      </c>
      <c r="O2685" s="4" t="n">
        <f aca="false">M2685*N2685</f>
        <v>99.82</v>
      </c>
    </row>
    <row r="2686" customFormat="false" ht="15" hidden="false" customHeight="false" outlineLevel="0" collapsed="false">
      <c r="A2686" s="0" t="s">
        <v>3905</v>
      </c>
      <c r="C2686" s="0" t="s">
        <v>31</v>
      </c>
      <c r="D2686" s="7" t="n">
        <v>356</v>
      </c>
      <c r="E2686" s="8" t="n">
        <v>0.258707865168539</v>
      </c>
      <c r="F2686" s="4" t="n">
        <f aca="false">D2686*E2686</f>
        <v>92.1</v>
      </c>
      <c r="G2686" s="7" t="n">
        <v>4</v>
      </c>
      <c r="H2686" s="9" t="n">
        <f aca="false">IF(G2686&gt;0,D2686/G2686,"")</f>
        <v>89</v>
      </c>
      <c r="I2686" s="10" t="n">
        <v>46041</v>
      </c>
      <c r="K2686" s="10"/>
      <c r="M2686" s="7"/>
      <c r="N2686" s="8"/>
      <c r="O2686" s="4"/>
    </row>
    <row r="2687" customFormat="false" ht="15" hidden="false" customHeight="false" outlineLevel="0" collapsed="false">
      <c r="A2687" s="0" t="s">
        <v>3906</v>
      </c>
      <c r="C2687" s="0" t="s">
        <v>34</v>
      </c>
      <c r="D2687" s="7" t="n">
        <v>707</v>
      </c>
      <c r="E2687" s="8" t="n">
        <v>0.13022630834512</v>
      </c>
      <c r="F2687" s="4" t="n">
        <f aca="false">D2687*E2687</f>
        <v>92.07</v>
      </c>
      <c r="G2687" s="7" t="n">
        <v>222</v>
      </c>
      <c r="H2687" s="9" t="n">
        <f aca="false">IF(G2687&gt;0,D2687/G2687,"")</f>
        <v>3.18468468468469</v>
      </c>
      <c r="I2687" s="10" t="n">
        <v>46304</v>
      </c>
      <c r="J2687" s="3" t="s">
        <v>2914</v>
      </c>
      <c r="K2687" s="10" t="n">
        <v>45562</v>
      </c>
      <c r="L2687" s="3" t="s">
        <v>16</v>
      </c>
      <c r="M2687" s="7" t="n">
        <v>1104</v>
      </c>
      <c r="N2687" s="8" t="n">
        <v>0.1302</v>
      </c>
      <c r="O2687" s="4" t="n">
        <f aca="false">M2687*N2687</f>
        <v>143.7408</v>
      </c>
    </row>
    <row r="2688" customFormat="false" ht="15" hidden="false" customHeight="false" outlineLevel="0" collapsed="false">
      <c r="A2688" s="0" t="s">
        <v>3907</v>
      </c>
      <c r="C2688" s="0" t="s">
        <v>285</v>
      </c>
      <c r="D2688" s="7" t="n">
        <v>2915</v>
      </c>
      <c r="E2688" s="8" t="n">
        <v>0.0315814751286449</v>
      </c>
      <c r="F2688" s="4" t="n">
        <f aca="false">D2688*E2688</f>
        <v>92.06</v>
      </c>
      <c r="G2688" s="7" t="n">
        <v>58</v>
      </c>
      <c r="H2688" s="9" t="n">
        <f aca="false">IF(G2688&gt;0,D2688/G2688,"")</f>
        <v>50.2586206896552</v>
      </c>
      <c r="I2688" s="10" t="n">
        <v>46239</v>
      </c>
      <c r="K2688" s="10"/>
      <c r="M2688" s="7"/>
      <c r="N2688" s="8"/>
      <c r="O2688" s="4"/>
    </row>
    <row r="2689" customFormat="false" ht="15" hidden="false" customHeight="false" outlineLevel="0" collapsed="false">
      <c r="A2689" s="0" t="s">
        <v>3908</v>
      </c>
      <c r="C2689" s="0" t="s">
        <v>295</v>
      </c>
      <c r="D2689" s="7" t="n">
        <v>2180</v>
      </c>
      <c r="E2689" s="8" t="n">
        <v>0.0422110091743119</v>
      </c>
      <c r="F2689" s="4" t="n">
        <f aca="false">D2689*E2689</f>
        <v>92.02</v>
      </c>
      <c r="G2689" s="7" t="n">
        <v>400</v>
      </c>
      <c r="H2689" s="9" t="n">
        <f aca="false">IF(G2689&gt;0,D2689/G2689,"")</f>
        <v>5.45</v>
      </c>
      <c r="I2689" s="10" t="n">
        <v>46301</v>
      </c>
      <c r="J2689" s="3" t="s">
        <v>2631</v>
      </c>
      <c r="K2689" s="10" t="n">
        <v>46265</v>
      </c>
      <c r="L2689" s="3" t="s">
        <v>15</v>
      </c>
      <c r="M2689" s="7" t="n">
        <v>2580</v>
      </c>
      <c r="N2689" s="8" t="n">
        <v>0.04221</v>
      </c>
      <c r="O2689" s="4" t="n">
        <f aca="false">M2689*N2689</f>
        <v>108.9018</v>
      </c>
    </row>
    <row r="2690" customFormat="false" ht="15" hidden="false" customHeight="false" outlineLevel="0" collapsed="false">
      <c r="A2690" s="0" t="s">
        <v>3909</v>
      </c>
      <c r="C2690" s="0" t="s">
        <v>2569</v>
      </c>
      <c r="D2690" s="7" t="n">
        <v>100</v>
      </c>
      <c r="E2690" s="8" t="n">
        <v>0.92</v>
      </c>
      <c r="F2690" s="4" t="n">
        <f aca="false">D2690*E2690</f>
        <v>92</v>
      </c>
      <c r="G2690" s="7" t="n">
        <v>3</v>
      </c>
      <c r="H2690" s="9" t="n">
        <f aca="false">IF(G2690&gt;0,D2690/G2690,"")</f>
        <v>33.3333333333333</v>
      </c>
      <c r="I2690" s="10" t="n">
        <v>46254</v>
      </c>
      <c r="J2690" s="3" t="s">
        <v>336</v>
      </c>
      <c r="K2690" s="10" t="n">
        <v>46245</v>
      </c>
      <c r="L2690" s="3" t="s">
        <v>14</v>
      </c>
      <c r="M2690" s="7" t="n">
        <v>103</v>
      </c>
      <c r="N2690" s="8" t="n">
        <v>0.9188</v>
      </c>
      <c r="O2690" s="4" t="n">
        <f aca="false">M2690*N2690</f>
        <v>94.6364</v>
      </c>
    </row>
    <row r="2691" customFormat="false" ht="15" hidden="false" customHeight="false" outlineLevel="0" collapsed="false">
      <c r="A2691" s="0" t="s">
        <v>3910</v>
      </c>
      <c r="C2691" s="0" t="s">
        <v>979</v>
      </c>
      <c r="D2691" s="7" t="n">
        <v>140</v>
      </c>
      <c r="E2691" s="8" t="n">
        <v>0.656928571428571</v>
      </c>
      <c r="F2691" s="4" t="n">
        <f aca="false">D2691*E2691</f>
        <v>91.97</v>
      </c>
      <c r="G2691" s="7" t="n">
        <v>10</v>
      </c>
      <c r="H2691" s="9" t="n">
        <f aca="false">IF(G2691&gt;0,D2691/G2691,"")</f>
        <v>14</v>
      </c>
      <c r="I2691" s="10" t="n">
        <v>46288</v>
      </c>
      <c r="J2691" s="3" t="s">
        <v>373</v>
      </c>
      <c r="K2691" s="10" t="n">
        <v>46275</v>
      </c>
      <c r="L2691" s="3" t="s">
        <v>18</v>
      </c>
      <c r="M2691" s="7" t="n">
        <v>150</v>
      </c>
      <c r="N2691" s="8" t="n">
        <v>0.6569</v>
      </c>
      <c r="O2691" s="4" t="n">
        <f aca="false">M2691*N2691</f>
        <v>98.535</v>
      </c>
    </row>
    <row r="2692" customFormat="false" ht="15" hidden="false" customHeight="false" outlineLevel="0" collapsed="false">
      <c r="A2692" s="0" t="s">
        <v>3911</v>
      </c>
      <c r="C2692" s="0" t="s">
        <v>402</v>
      </c>
      <c r="D2692" s="7" t="n">
        <v>8</v>
      </c>
      <c r="E2692" s="8" t="n">
        <v>11.48</v>
      </c>
      <c r="F2692" s="4" t="n">
        <f aca="false">D2692*E2692</f>
        <v>91.84</v>
      </c>
      <c r="G2692" s="7" t="n">
        <v>2</v>
      </c>
      <c r="H2692" s="9" t="n">
        <f aca="false">IF(G2692&gt;0,D2692/G2692,"")</f>
        <v>4</v>
      </c>
      <c r="I2692" s="10" t="n">
        <v>46078</v>
      </c>
      <c r="J2692" s="3" t="s">
        <v>3348</v>
      </c>
      <c r="K2692" s="10" t="n">
        <v>46059</v>
      </c>
      <c r="L2692" s="3" t="s">
        <v>834</v>
      </c>
      <c r="M2692" s="7" t="n">
        <v>10</v>
      </c>
      <c r="N2692" s="8" t="n">
        <v>11.48</v>
      </c>
      <c r="O2692" s="4" t="n">
        <f aca="false">M2692*N2692</f>
        <v>114.8</v>
      </c>
    </row>
    <row r="2693" customFormat="false" ht="15" hidden="false" customHeight="false" outlineLevel="0" collapsed="false">
      <c r="A2693" s="0" t="s">
        <v>3912</v>
      </c>
      <c r="C2693" s="0" t="s">
        <v>36</v>
      </c>
      <c r="D2693" s="7" t="n">
        <v>1926</v>
      </c>
      <c r="E2693" s="8" t="n">
        <v>0.047601246105919</v>
      </c>
      <c r="F2693" s="4" t="n">
        <f aca="false">D2693*E2693</f>
        <v>91.68</v>
      </c>
      <c r="G2693" s="7" t="n">
        <v>320</v>
      </c>
      <c r="H2693" s="9" t="n">
        <f aca="false">IF(G2693&gt;0,D2693/G2693,"")</f>
        <v>6.01875</v>
      </c>
      <c r="I2693" s="10" t="n">
        <v>46230</v>
      </c>
      <c r="K2693" s="10"/>
      <c r="M2693" s="7"/>
      <c r="N2693" s="8"/>
      <c r="O2693" s="4"/>
    </row>
    <row r="2694" customFormat="false" ht="15" hidden="false" customHeight="false" outlineLevel="0" collapsed="false">
      <c r="A2694" s="0" t="s">
        <v>3913</v>
      </c>
      <c r="C2694" s="0" t="s">
        <v>43</v>
      </c>
      <c r="D2694" s="7" t="n">
        <v>308</v>
      </c>
      <c r="E2694" s="8" t="n">
        <v>0.29762987012987</v>
      </c>
      <c r="F2694" s="4" t="n">
        <f aca="false">D2694*E2694</f>
        <v>91.67</v>
      </c>
      <c r="G2694" s="7" t="n">
        <v>250</v>
      </c>
      <c r="H2694" s="9" t="n">
        <f aca="false">IF(G2694&gt;0,D2694/G2694,"")</f>
        <v>1.232</v>
      </c>
      <c r="I2694" s="10" t="n">
        <v>46122</v>
      </c>
      <c r="K2694" s="10"/>
      <c r="M2694" s="7"/>
      <c r="N2694" s="8"/>
      <c r="O2694" s="4"/>
    </row>
    <row r="2695" customFormat="false" ht="15" hidden="false" customHeight="false" outlineLevel="0" collapsed="false">
      <c r="A2695" s="0" t="s">
        <v>3914</v>
      </c>
      <c r="C2695" s="0" t="s">
        <v>31</v>
      </c>
      <c r="D2695" s="7" t="n">
        <v>1238</v>
      </c>
      <c r="E2695" s="8" t="n">
        <v>0.0739983844911147</v>
      </c>
      <c r="F2695" s="4" t="n">
        <f aca="false">D2695*E2695</f>
        <v>91.61</v>
      </c>
      <c r="G2695" s="7" t="n">
        <v>6</v>
      </c>
      <c r="H2695" s="9" t="n">
        <f aca="false">IF(G2695&gt;0,D2695/G2695,"")</f>
        <v>206.333333333333</v>
      </c>
      <c r="I2695" s="10" t="n">
        <v>46071</v>
      </c>
      <c r="J2695" s="3" t="s">
        <v>3915</v>
      </c>
      <c r="K2695" s="10" t="n">
        <v>44272</v>
      </c>
      <c r="L2695" s="3" t="s">
        <v>25</v>
      </c>
      <c r="M2695" s="7" t="n">
        <v>1345</v>
      </c>
      <c r="N2695" s="8" t="n">
        <v>0.074</v>
      </c>
      <c r="O2695" s="4" t="n">
        <f aca="false">M2695*N2695</f>
        <v>99.53</v>
      </c>
    </row>
    <row r="2696" customFormat="false" ht="15" hidden="false" customHeight="false" outlineLevel="0" collapsed="false">
      <c r="A2696" s="0" t="s">
        <v>3916</v>
      </c>
      <c r="C2696" s="0" t="s">
        <v>40</v>
      </c>
      <c r="D2696" s="7" t="n">
        <v>1190</v>
      </c>
      <c r="E2696" s="8" t="n">
        <v>0.0768991596638655</v>
      </c>
      <c r="F2696" s="4" t="n">
        <f aca="false">D2696*E2696</f>
        <v>91.51</v>
      </c>
      <c r="G2696" s="7" t="n">
        <v>68</v>
      </c>
      <c r="H2696" s="9" t="n">
        <f aca="false">IF(G2696&gt;0,D2696/G2696,"")</f>
        <v>17.5</v>
      </c>
      <c r="I2696" s="10" t="n">
        <v>46189</v>
      </c>
      <c r="J2696" s="3" t="s">
        <v>1028</v>
      </c>
      <c r="K2696" s="10" t="n">
        <v>45689</v>
      </c>
      <c r="L2696" s="3" t="s">
        <v>18</v>
      </c>
      <c r="M2696" s="7" t="n">
        <v>1300</v>
      </c>
      <c r="N2696" s="8" t="n">
        <v>0.0769</v>
      </c>
      <c r="O2696" s="4" t="n">
        <f aca="false">M2696*N2696</f>
        <v>99.97</v>
      </c>
    </row>
    <row r="2697" customFormat="false" ht="15" hidden="false" customHeight="false" outlineLevel="0" collapsed="false">
      <c r="A2697" s="0" t="s">
        <v>3917</v>
      </c>
      <c r="C2697" s="0" t="s">
        <v>34</v>
      </c>
      <c r="D2697" s="7" t="n">
        <v>488</v>
      </c>
      <c r="E2697" s="8" t="n">
        <v>0.1875</v>
      </c>
      <c r="F2697" s="4" t="n">
        <f aca="false">D2697*E2697</f>
        <v>91.5</v>
      </c>
      <c r="G2697" s="7" t="n">
        <v>76</v>
      </c>
      <c r="H2697" s="9" t="n">
        <f aca="false">IF(G2697&gt;0,D2697/G2697,"")</f>
        <v>6.42105263157895</v>
      </c>
      <c r="I2697" s="10" t="n">
        <v>46246</v>
      </c>
      <c r="J2697" s="3" t="s">
        <v>3918</v>
      </c>
      <c r="K2697" s="10" t="n">
        <v>45182</v>
      </c>
      <c r="L2697" s="3" t="s">
        <v>15</v>
      </c>
      <c r="M2697" s="7" t="n">
        <v>620</v>
      </c>
      <c r="N2697" s="8" t="n">
        <v>0.18748</v>
      </c>
      <c r="O2697" s="4" t="n">
        <f aca="false">M2697*N2697</f>
        <v>116.2376</v>
      </c>
    </row>
    <row r="2698" customFormat="false" ht="15" hidden="false" customHeight="false" outlineLevel="0" collapsed="false">
      <c r="A2698" s="0" t="s">
        <v>3919</v>
      </c>
      <c r="C2698" s="0" t="s">
        <v>765</v>
      </c>
      <c r="D2698" s="7" t="n">
        <v>811</v>
      </c>
      <c r="E2698" s="8" t="n">
        <v>0.112799013563502</v>
      </c>
      <c r="F2698" s="4" t="n">
        <f aca="false">D2698*E2698</f>
        <v>91.48</v>
      </c>
      <c r="G2698" s="7" t="n">
        <v>46</v>
      </c>
      <c r="H2698" s="9" t="n">
        <f aca="false">IF(G2698&gt;0,D2698/G2698,"")</f>
        <v>17.6304347826087</v>
      </c>
      <c r="I2698" s="10" t="n">
        <v>46297</v>
      </c>
      <c r="J2698" s="3" t="s">
        <v>2385</v>
      </c>
      <c r="K2698" s="10" t="n">
        <v>45629</v>
      </c>
      <c r="L2698" s="3" t="s">
        <v>16</v>
      </c>
      <c r="M2698" s="7" t="n">
        <v>900</v>
      </c>
      <c r="N2698" s="8" t="n">
        <v>0.1128</v>
      </c>
      <c r="O2698" s="4" t="n">
        <f aca="false">M2698*N2698</f>
        <v>101.52</v>
      </c>
    </row>
    <row r="2699" customFormat="false" ht="15" hidden="false" customHeight="false" outlineLevel="0" collapsed="false">
      <c r="A2699" s="0" t="s">
        <v>3920</v>
      </c>
      <c r="C2699" s="0" t="s">
        <v>31</v>
      </c>
      <c r="D2699" s="7" t="n">
        <v>5147</v>
      </c>
      <c r="E2699" s="8" t="n">
        <v>0.0177540314746454</v>
      </c>
      <c r="F2699" s="4" t="n">
        <f aca="false">D2699*E2699</f>
        <v>91.38</v>
      </c>
      <c r="G2699" s="7" t="n">
        <v>726</v>
      </c>
      <c r="H2699" s="9" t="n">
        <f aca="false">IF(G2699&gt;0,D2699/G2699,"")</f>
        <v>7.08953168044077</v>
      </c>
      <c r="I2699" s="10" t="n">
        <v>46317</v>
      </c>
      <c r="J2699" s="3" t="s">
        <v>3921</v>
      </c>
      <c r="K2699" s="10" t="n">
        <v>45203</v>
      </c>
      <c r="L2699" s="3" t="s">
        <v>19</v>
      </c>
      <c r="M2699" s="7" t="n">
        <v>500</v>
      </c>
      <c r="N2699" s="8" t="n">
        <v>0.0323</v>
      </c>
      <c r="O2699" s="4" t="n">
        <f aca="false">M2699*N2699</f>
        <v>16.15</v>
      </c>
    </row>
    <row r="2700" customFormat="false" ht="15" hidden="false" customHeight="false" outlineLevel="0" collapsed="false">
      <c r="A2700" s="0" t="s">
        <v>3922</v>
      </c>
      <c r="C2700" s="0" t="s">
        <v>765</v>
      </c>
      <c r="D2700" s="7" t="n">
        <v>3453</v>
      </c>
      <c r="E2700" s="8" t="n">
        <v>0.0264610483637417</v>
      </c>
      <c r="F2700" s="4" t="n">
        <f aca="false">D2700*E2700</f>
        <v>91.37</v>
      </c>
      <c r="G2700" s="7" t="n">
        <v>140</v>
      </c>
      <c r="H2700" s="9" t="n">
        <f aca="false">IF(G2700&gt;0,D2700/G2700,"")</f>
        <v>24.6642857142857</v>
      </c>
      <c r="I2700" s="10" t="n">
        <v>46218</v>
      </c>
      <c r="J2700" s="3" t="s">
        <v>3656</v>
      </c>
      <c r="K2700" s="10" t="n">
        <v>44320</v>
      </c>
      <c r="L2700" s="3" t="s">
        <v>16</v>
      </c>
      <c r="M2700" s="7" t="n">
        <v>3750</v>
      </c>
      <c r="N2700" s="8" t="n">
        <v>0.02646</v>
      </c>
      <c r="O2700" s="4" t="n">
        <f aca="false">M2700*N2700</f>
        <v>99.225</v>
      </c>
    </row>
    <row r="2701" customFormat="false" ht="15" hidden="false" customHeight="false" outlineLevel="0" collapsed="false">
      <c r="A2701" s="0" t="s">
        <v>3923</v>
      </c>
      <c r="C2701" s="0" t="s">
        <v>298</v>
      </c>
      <c r="D2701" s="7" t="n">
        <v>763</v>
      </c>
      <c r="E2701" s="8" t="n">
        <v>0.119737876802097</v>
      </c>
      <c r="F2701" s="4" t="n">
        <f aca="false">D2701*E2701</f>
        <v>91.36</v>
      </c>
      <c r="G2701" s="7" t="n">
        <v>331</v>
      </c>
      <c r="H2701" s="9" t="n">
        <f aca="false">IF(G2701&gt;0,D2701/G2701,"")</f>
        <v>2.30513595166163</v>
      </c>
      <c r="I2701" s="10" t="n">
        <v>46309</v>
      </c>
      <c r="J2701" s="3" t="s">
        <v>3924</v>
      </c>
      <c r="K2701" s="10" t="n">
        <v>44988</v>
      </c>
      <c r="L2701" s="3" t="s">
        <v>14</v>
      </c>
      <c r="M2701" s="7" t="n">
        <v>100</v>
      </c>
      <c r="N2701" s="8" t="n">
        <v>0.5202</v>
      </c>
      <c r="O2701" s="4" t="n">
        <f aca="false">M2701*N2701</f>
        <v>52.02</v>
      </c>
    </row>
    <row r="2702" customFormat="false" ht="15" hidden="false" customHeight="false" outlineLevel="0" collapsed="false">
      <c r="A2702" s="0" t="s">
        <v>3925</v>
      </c>
      <c r="C2702" s="0" t="s">
        <v>33</v>
      </c>
      <c r="D2702" s="7" t="n">
        <v>695</v>
      </c>
      <c r="E2702" s="8" t="n">
        <v>0.131395683453237</v>
      </c>
      <c r="F2702" s="4" t="n">
        <f aca="false">D2702*E2702</f>
        <v>91.32</v>
      </c>
      <c r="G2702" s="7" t="n">
        <v>541</v>
      </c>
      <c r="H2702" s="9" t="n">
        <f aca="false">IF(G2702&gt;0,D2702/G2702,"")</f>
        <v>1.28465804066543</v>
      </c>
      <c r="I2702" s="10" t="n">
        <v>46302</v>
      </c>
      <c r="J2702" s="3" t="s">
        <v>410</v>
      </c>
      <c r="K2702" s="10" t="n">
        <v>46303</v>
      </c>
      <c r="L2702" s="3" t="s">
        <v>16</v>
      </c>
      <c r="M2702" s="7" t="n">
        <v>1200</v>
      </c>
      <c r="N2702" s="8" t="n">
        <v>0.0961</v>
      </c>
      <c r="O2702" s="4" t="n">
        <f aca="false">M2702*N2702</f>
        <v>115.32</v>
      </c>
    </row>
    <row r="2703" customFormat="false" ht="15" hidden="false" customHeight="false" outlineLevel="0" collapsed="false">
      <c r="A2703" s="0" t="s">
        <v>3926</v>
      </c>
      <c r="C2703" s="0" t="s">
        <v>1169</v>
      </c>
      <c r="D2703" s="7" t="n">
        <v>409</v>
      </c>
      <c r="E2703" s="8" t="n">
        <v>0.222640586797066</v>
      </c>
      <c r="F2703" s="4" t="n">
        <f aca="false">D2703*E2703</f>
        <v>91.06</v>
      </c>
      <c r="G2703" s="7" t="n">
        <v>21</v>
      </c>
      <c r="H2703" s="9" t="n">
        <f aca="false">IF(G2703&gt;0,D2703/G2703,"")</f>
        <v>19.4761904761905</v>
      </c>
      <c r="I2703" s="10" t="n">
        <v>46066</v>
      </c>
      <c r="K2703" s="10"/>
      <c r="M2703" s="7"/>
      <c r="N2703" s="8"/>
      <c r="O2703" s="4"/>
    </row>
    <row r="2704" customFormat="false" ht="15" hidden="false" customHeight="false" outlineLevel="0" collapsed="false">
      <c r="A2704" s="0" t="s">
        <v>3927</v>
      </c>
      <c r="C2704" s="0" t="s">
        <v>979</v>
      </c>
      <c r="D2704" s="7" t="n">
        <v>402</v>
      </c>
      <c r="E2704" s="8" t="n">
        <v>0.226492537313433</v>
      </c>
      <c r="F2704" s="4" t="n">
        <f aca="false">D2704*E2704</f>
        <v>91.05</v>
      </c>
      <c r="G2704" s="7" t="n">
        <v>100</v>
      </c>
      <c r="H2704" s="9" t="n">
        <f aca="false">IF(G2704&gt;0,D2704/G2704,"")</f>
        <v>4.02</v>
      </c>
      <c r="I2704" s="10" t="n">
        <v>46309</v>
      </c>
      <c r="J2704" s="3" t="s">
        <v>3681</v>
      </c>
      <c r="K2704" s="10" t="n">
        <v>45796</v>
      </c>
      <c r="L2704" s="3" t="s">
        <v>18</v>
      </c>
      <c r="M2704" s="7" t="n">
        <v>508</v>
      </c>
      <c r="N2704" s="8" t="n">
        <v>0.2265</v>
      </c>
      <c r="O2704" s="4" t="n">
        <f aca="false">M2704*N2704</f>
        <v>115.062</v>
      </c>
    </row>
    <row r="2705" customFormat="false" ht="15" hidden="false" customHeight="false" outlineLevel="0" collapsed="false">
      <c r="A2705" s="0" t="s">
        <v>3928</v>
      </c>
      <c r="C2705" s="0" t="s">
        <v>979</v>
      </c>
      <c r="D2705" s="7" t="n">
        <v>512</v>
      </c>
      <c r="E2705" s="8" t="n">
        <v>0.1776953125</v>
      </c>
      <c r="F2705" s="4" t="n">
        <f aca="false">D2705*E2705</f>
        <v>90.98</v>
      </c>
      <c r="G2705" s="7" t="n">
        <v>254</v>
      </c>
      <c r="H2705" s="9" t="n">
        <f aca="false">IF(G2705&gt;0,D2705/G2705,"")</f>
        <v>2.01574803149606</v>
      </c>
      <c r="I2705" s="10" t="n">
        <v>46105</v>
      </c>
      <c r="J2705" s="3" t="s">
        <v>3929</v>
      </c>
      <c r="K2705" s="10" t="n">
        <v>44947</v>
      </c>
      <c r="L2705" s="3" t="s">
        <v>18</v>
      </c>
      <c r="M2705" s="7" t="n">
        <v>1100</v>
      </c>
      <c r="N2705" s="8" t="n">
        <v>0.1777</v>
      </c>
      <c r="O2705" s="4" t="n">
        <f aca="false">M2705*N2705</f>
        <v>195.47</v>
      </c>
    </row>
    <row r="2706" customFormat="false" ht="15" hidden="false" customHeight="false" outlineLevel="0" collapsed="false">
      <c r="A2706" s="0" t="s">
        <v>3930</v>
      </c>
      <c r="C2706" s="0" t="s">
        <v>799</v>
      </c>
      <c r="D2706" s="7" t="n">
        <v>44</v>
      </c>
      <c r="E2706" s="8" t="n">
        <v>2.0675</v>
      </c>
      <c r="F2706" s="4" t="n">
        <f aca="false">D2706*E2706</f>
        <v>90.97</v>
      </c>
      <c r="G2706" s="7" t="n">
        <v>15</v>
      </c>
      <c r="H2706" s="9" t="n">
        <f aca="false">IF(G2706&gt;0,D2706/G2706,"")</f>
        <v>2.93333333333333</v>
      </c>
      <c r="I2706" s="10" t="n">
        <v>46240</v>
      </c>
      <c r="J2706" s="3" t="s">
        <v>784</v>
      </c>
      <c r="K2706" s="10" t="n">
        <v>46119</v>
      </c>
      <c r="L2706" s="3" t="s">
        <v>14</v>
      </c>
      <c r="M2706" s="7" t="n">
        <v>50</v>
      </c>
      <c r="N2706" s="8" t="n">
        <v>2.0672</v>
      </c>
      <c r="O2706" s="4" t="n">
        <f aca="false">M2706*N2706</f>
        <v>103.36</v>
      </c>
    </row>
    <row r="2707" customFormat="false" ht="15" hidden="false" customHeight="false" outlineLevel="0" collapsed="false">
      <c r="A2707" s="0" t="s">
        <v>3931</v>
      </c>
      <c r="C2707" s="0" t="s">
        <v>34</v>
      </c>
      <c r="D2707" s="7" t="n">
        <v>571</v>
      </c>
      <c r="E2707" s="8" t="n">
        <v>0.159211908931699</v>
      </c>
      <c r="F2707" s="4" t="n">
        <f aca="false">D2707*E2707</f>
        <v>90.91</v>
      </c>
      <c r="G2707" s="7" t="n">
        <v>43</v>
      </c>
      <c r="H2707" s="9" t="n">
        <f aca="false">IF(G2707&gt;0,D2707/G2707,"")</f>
        <v>13.2790697674419</v>
      </c>
      <c r="I2707" s="10" t="n">
        <v>46129</v>
      </c>
      <c r="J2707" s="3" t="s">
        <v>296</v>
      </c>
      <c r="K2707" s="10" t="n">
        <v>45975</v>
      </c>
      <c r="L2707" s="3" t="s">
        <v>16</v>
      </c>
      <c r="M2707" s="7" t="n">
        <v>613</v>
      </c>
      <c r="N2707" s="8" t="n">
        <v>0.1592</v>
      </c>
      <c r="O2707" s="4" t="n">
        <f aca="false">M2707*N2707</f>
        <v>97.5896</v>
      </c>
    </row>
    <row r="2708" customFormat="false" ht="15" hidden="false" customHeight="false" outlineLevel="0" collapsed="false">
      <c r="A2708" s="0" t="s">
        <v>3932</v>
      </c>
      <c r="C2708" s="0" t="s">
        <v>36</v>
      </c>
      <c r="D2708" s="7" t="n">
        <v>517</v>
      </c>
      <c r="E2708" s="8" t="n">
        <v>0.175802707930368</v>
      </c>
      <c r="F2708" s="4" t="n">
        <f aca="false">D2708*E2708</f>
        <v>90.89</v>
      </c>
      <c r="G2708" s="7" t="n">
        <v>60</v>
      </c>
      <c r="H2708" s="9" t="n">
        <f aca="false">IF(G2708&gt;0,D2708/G2708,"")</f>
        <v>8.61666666666667</v>
      </c>
      <c r="I2708" s="10" t="n">
        <v>46120</v>
      </c>
      <c r="J2708" s="3" t="s">
        <v>3933</v>
      </c>
      <c r="K2708" s="10" t="n">
        <v>45580</v>
      </c>
      <c r="L2708" s="3" t="s">
        <v>18</v>
      </c>
      <c r="M2708" s="7" t="n">
        <v>570</v>
      </c>
      <c r="N2708" s="8" t="n">
        <v>0.1758</v>
      </c>
      <c r="O2708" s="4" t="n">
        <f aca="false">M2708*N2708</f>
        <v>100.206</v>
      </c>
    </row>
    <row r="2709" customFormat="false" ht="15" hidden="false" customHeight="false" outlineLevel="0" collapsed="false">
      <c r="A2709" s="0" t="s">
        <v>3934</v>
      </c>
      <c r="C2709" s="0" t="s">
        <v>34</v>
      </c>
      <c r="D2709" s="7" t="n">
        <v>4121</v>
      </c>
      <c r="E2709" s="8" t="n">
        <v>0.0220504731861199</v>
      </c>
      <c r="F2709" s="4" t="n">
        <f aca="false">D2709*E2709</f>
        <v>90.87</v>
      </c>
      <c r="G2709" s="7" t="n">
        <v>65</v>
      </c>
      <c r="H2709" s="9" t="n">
        <f aca="false">IF(G2709&gt;0,D2709/G2709,"")</f>
        <v>63.4</v>
      </c>
      <c r="I2709" s="10" t="n">
        <v>46286</v>
      </c>
      <c r="J2709" s="3" t="s">
        <v>2294</v>
      </c>
      <c r="K2709" s="10" t="n">
        <v>46220</v>
      </c>
      <c r="L2709" s="3" t="s">
        <v>15</v>
      </c>
      <c r="M2709" s="7" t="n">
        <v>2250</v>
      </c>
      <c r="N2709" s="8" t="n">
        <v>0.02657</v>
      </c>
      <c r="O2709" s="4" t="n">
        <f aca="false">M2709*N2709</f>
        <v>59.7825</v>
      </c>
    </row>
    <row r="2710" customFormat="false" ht="15" hidden="false" customHeight="false" outlineLevel="0" collapsed="false">
      <c r="A2710" s="0" t="s">
        <v>3935</v>
      </c>
      <c r="C2710" s="0" t="s">
        <v>679</v>
      </c>
      <c r="D2710" s="7" t="n">
        <v>8</v>
      </c>
      <c r="E2710" s="8" t="n">
        <v>11.3425</v>
      </c>
      <c r="F2710" s="4" t="n">
        <f aca="false">D2710*E2710</f>
        <v>90.74</v>
      </c>
      <c r="G2710" s="7" t="n">
        <v>3</v>
      </c>
      <c r="H2710" s="9" t="n">
        <f aca="false">IF(G2710&gt;0,D2710/G2710,"")</f>
        <v>2.66666666666667</v>
      </c>
      <c r="I2710" s="10" t="n">
        <v>46251</v>
      </c>
      <c r="J2710" s="3" t="s">
        <v>2539</v>
      </c>
      <c r="K2710" s="10" t="n">
        <v>46043</v>
      </c>
      <c r="L2710" s="3" t="s">
        <v>313</v>
      </c>
      <c r="M2710" s="7" t="n">
        <v>11</v>
      </c>
      <c r="N2710" s="8" t="n">
        <v>11.3421</v>
      </c>
      <c r="O2710" s="4" t="n">
        <f aca="false">M2710*N2710</f>
        <v>124.7631</v>
      </c>
    </row>
    <row r="2711" customFormat="false" ht="15" hidden="false" customHeight="false" outlineLevel="0" collapsed="false">
      <c r="A2711" s="0" t="s">
        <v>3936</v>
      </c>
      <c r="C2711" s="0" t="s">
        <v>855</v>
      </c>
      <c r="D2711" s="7" t="n">
        <v>15832</v>
      </c>
      <c r="E2711" s="8" t="n">
        <v>0.00573016675088429</v>
      </c>
      <c r="F2711" s="4" t="n">
        <f aca="false">D2711*E2711</f>
        <v>90.72</v>
      </c>
      <c r="G2711" s="7" t="n">
        <v>3547</v>
      </c>
      <c r="H2711" s="9" t="n">
        <f aca="false">IF(G2711&gt;0,D2711/G2711,"")</f>
        <v>4.46349027347054</v>
      </c>
      <c r="I2711" s="10" t="n">
        <v>46177</v>
      </c>
      <c r="K2711" s="10"/>
      <c r="M2711" s="7"/>
      <c r="N2711" s="8"/>
      <c r="O2711" s="4"/>
    </row>
    <row r="2712" customFormat="false" ht="15" hidden="false" customHeight="false" outlineLevel="0" collapsed="false">
      <c r="A2712" s="0" t="s">
        <v>3937</v>
      </c>
      <c r="C2712" s="0" t="s">
        <v>1169</v>
      </c>
      <c r="D2712" s="7" t="n">
        <v>2011</v>
      </c>
      <c r="E2712" s="8" t="n">
        <v>0.0449975136747887</v>
      </c>
      <c r="F2712" s="4" t="n">
        <f aca="false">D2712*E2712</f>
        <v>90.49</v>
      </c>
      <c r="G2712" s="7" t="n">
        <v>352</v>
      </c>
      <c r="H2712" s="9" t="n">
        <f aca="false">IF(G2712&gt;0,D2712/G2712,"")</f>
        <v>5.71306818181818</v>
      </c>
      <c r="I2712" s="10" t="n">
        <v>46216</v>
      </c>
      <c r="J2712" s="3" t="s">
        <v>2054</v>
      </c>
      <c r="K2712" s="10" t="n">
        <v>45176</v>
      </c>
      <c r="L2712" s="3" t="s">
        <v>21</v>
      </c>
      <c r="M2712" s="7" t="n">
        <v>3000</v>
      </c>
      <c r="N2712" s="8" t="n">
        <v>0.045</v>
      </c>
      <c r="O2712" s="4" t="n">
        <f aca="false">M2712*N2712</f>
        <v>135</v>
      </c>
    </row>
    <row r="2713" customFormat="false" ht="15" hidden="false" customHeight="false" outlineLevel="0" collapsed="false">
      <c r="A2713" s="0" t="s">
        <v>3938</v>
      </c>
      <c r="C2713" s="0" t="s">
        <v>100</v>
      </c>
      <c r="D2713" s="7" t="n">
        <v>98</v>
      </c>
      <c r="E2713" s="8" t="n">
        <v>0.923265306122449</v>
      </c>
      <c r="F2713" s="4" t="n">
        <f aca="false">D2713*E2713</f>
        <v>90.48</v>
      </c>
      <c r="G2713" s="7" t="n">
        <v>10</v>
      </c>
      <c r="H2713" s="9" t="n">
        <f aca="false">IF(G2713&gt;0,D2713/G2713,"")</f>
        <v>9.8</v>
      </c>
      <c r="I2713" s="10" t="n">
        <v>46216</v>
      </c>
      <c r="J2713" s="3" t="s">
        <v>1371</v>
      </c>
      <c r="K2713" s="10" t="n">
        <v>45509</v>
      </c>
      <c r="L2713" s="3" t="s">
        <v>16</v>
      </c>
      <c r="M2713" s="7" t="n">
        <v>100</v>
      </c>
      <c r="N2713" s="8" t="n">
        <v>0.9233</v>
      </c>
      <c r="O2713" s="4" t="n">
        <f aca="false">M2713*N2713</f>
        <v>92.33</v>
      </c>
    </row>
    <row r="2714" customFormat="false" ht="15" hidden="false" customHeight="false" outlineLevel="0" collapsed="false">
      <c r="A2714" s="0" t="s">
        <v>3939</v>
      </c>
      <c r="C2714" s="0" t="s">
        <v>38</v>
      </c>
      <c r="D2714" s="7" t="n">
        <v>320</v>
      </c>
      <c r="E2714" s="8" t="n">
        <v>0.28271875</v>
      </c>
      <c r="F2714" s="4" t="n">
        <f aca="false">D2714*E2714</f>
        <v>90.47</v>
      </c>
      <c r="G2714" s="7" t="n">
        <v>12</v>
      </c>
      <c r="H2714" s="9" t="n">
        <f aca="false">IF(G2714&gt;0,D2714/G2714,"")</f>
        <v>26.6666666666667</v>
      </c>
      <c r="I2714" s="10" t="n">
        <v>46224</v>
      </c>
      <c r="K2714" s="10"/>
      <c r="M2714" s="7"/>
      <c r="N2714" s="8"/>
      <c r="O2714" s="4"/>
    </row>
    <row r="2715" customFormat="false" ht="15" hidden="false" customHeight="false" outlineLevel="0" collapsed="false">
      <c r="A2715" s="0" t="s">
        <v>3940</v>
      </c>
      <c r="C2715" s="0" t="s">
        <v>41</v>
      </c>
      <c r="D2715" s="7" t="n">
        <v>469</v>
      </c>
      <c r="E2715" s="8" t="n">
        <v>0.192643923240938</v>
      </c>
      <c r="F2715" s="4" t="n">
        <f aca="false">D2715*E2715</f>
        <v>90.35</v>
      </c>
      <c r="G2715" s="7" t="n">
        <v>17</v>
      </c>
      <c r="H2715" s="9" t="n">
        <f aca="false">IF(G2715&gt;0,D2715/G2715,"")</f>
        <v>27.5882352941177</v>
      </c>
      <c r="I2715" s="10" t="n">
        <v>46174</v>
      </c>
      <c r="K2715" s="10"/>
      <c r="M2715" s="7"/>
      <c r="N2715" s="8"/>
      <c r="O2715" s="4"/>
    </row>
    <row r="2716" customFormat="false" ht="15" hidden="false" customHeight="false" outlineLevel="0" collapsed="false">
      <c r="A2716" s="0" t="s">
        <v>3941</v>
      </c>
      <c r="C2716" s="0" t="s">
        <v>31</v>
      </c>
      <c r="D2716" s="7" t="n">
        <v>33450</v>
      </c>
      <c r="E2716" s="8" t="n">
        <v>0.00269985052316891</v>
      </c>
      <c r="F2716" s="4" t="n">
        <f aca="false">D2716*E2716</f>
        <v>90.31</v>
      </c>
      <c r="G2716" s="7" t="n">
        <v>650</v>
      </c>
      <c r="H2716" s="9" t="n">
        <f aca="false">IF(G2716&gt;0,D2716/G2716,"")</f>
        <v>51.4615384615385</v>
      </c>
      <c r="I2716" s="10" t="n">
        <v>46175</v>
      </c>
      <c r="J2716" s="3" t="s">
        <v>2077</v>
      </c>
      <c r="K2716" s="10" t="n">
        <v>45457</v>
      </c>
      <c r="L2716" s="3" t="s">
        <v>16</v>
      </c>
      <c r="M2716" s="7" t="n">
        <v>57000</v>
      </c>
      <c r="N2716" s="8" t="n">
        <v>0.0027</v>
      </c>
      <c r="O2716" s="4" t="n">
        <f aca="false">M2716*N2716</f>
        <v>153.9</v>
      </c>
    </row>
    <row r="2717" customFormat="false" ht="15" hidden="false" customHeight="false" outlineLevel="0" collapsed="false">
      <c r="A2717" s="0" t="s">
        <v>3942</v>
      </c>
      <c r="C2717" s="0" t="s">
        <v>1169</v>
      </c>
      <c r="D2717" s="7" t="n">
        <v>806</v>
      </c>
      <c r="E2717" s="8" t="n">
        <v>0.111997518610422</v>
      </c>
      <c r="F2717" s="4" t="n">
        <f aca="false">D2717*E2717</f>
        <v>90.27</v>
      </c>
      <c r="G2717" s="7" t="n">
        <v>194</v>
      </c>
      <c r="H2717" s="9" t="n">
        <f aca="false">IF(G2717&gt;0,D2717/G2717,"")</f>
        <v>4.15463917525773</v>
      </c>
      <c r="I2717" s="10" t="n">
        <v>45958</v>
      </c>
      <c r="J2717" s="3" t="s">
        <v>3509</v>
      </c>
      <c r="K2717" s="10" t="n">
        <v>45917</v>
      </c>
      <c r="L2717" s="3" t="s">
        <v>21</v>
      </c>
      <c r="M2717" s="7" t="n">
        <v>1000</v>
      </c>
      <c r="N2717" s="8" t="n">
        <v>0.112</v>
      </c>
      <c r="O2717" s="4" t="n">
        <f aca="false">M2717*N2717</f>
        <v>112</v>
      </c>
    </row>
    <row r="2718" customFormat="false" ht="15" hidden="false" customHeight="false" outlineLevel="0" collapsed="false">
      <c r="A2718" s="0" t="s">
        <v>3943</v>
      </c>
      <c r="C2718" s="0" t="s">
        <v>31</v>
      </c>
      <c r="D2718" s="7" t="n">
        <v>14182</v>
      </c>
      <c r="E2718" s="8" t="n">
        <v>0.00636440558454379</v>
      </c>
      <c r="F2718" s="4" t="n">
        <f aca="false">D2718*E2718</f>
        <v>90.26</v>
      </c>
      <c r="G2718" s="7" t="n">
        <v>3223</v>
      </c>
      <c r="H2718" s="9" t="n">
        <f aca="false">IF(G2718&gt;0,D2718/G2718,"")</f>
        <v>4.40024821594788</v>
      </c>
      <c r="I2718" s="10" t="n">
        <v>46294</v>
      </c>
      <c r="K2718" s="10"/>
      <c r="M2718" s="7"/>
      <c r="N2718" s="8"/>
      <c r="O2718" s="4"/>
    </row>
    <row r="2719" customFormat="false" ht="15" hidden="false" customHeight="false" outlineLevel="0" collapsed="false">
      <c r="A2719" s="0" t="s">
        <v>3944</v>
      </c>
      <c r="C2719" s="0" t="s">
        <v>855</v>
      </c>
      <c r="D2719" s="7" t="n">
        <v>5340</v>
      </c>
      <c r="E2719" s="8" t="n">
        <v>0.0168988764044944</v>
      </c>
      <c r="F2719" s="4" t="n">
        <f aca="false">D2719*E2719</f>
        <v>90.24</v>
      </c>
      <c r="G2719" s="7" t="n">
        <v>3560</v>
      </c>
      <c r="H2719" s="9" t="n">
        <f aca="false">IF(G2719&gt;0,D2719/G2719,"")</f>
        <v>1.5</v>
      </c>
      <c r="I2719" s="10" t="n">
        <v>46217</v>
      </c>
      <c r="J2719" s="3" t="s">
        <v>1011</v>
      </c>
      <c r="K2719" s="10" t="n">
        <v>46003</v>
      </c>
      <c r="L2719" s="3" t="s">
        <v>16</v>
      </c>
      <c r="M2719" s="7" t="n">
        <v>8900</v>
      </c>
      <c r="N2719" s="8" t="n">
        <v>0.0169</v>
      </c>
      <c r="O2719" s="4" t="n">
        <f aca="false">M2719*N2719</f>
        <v>150.41</v>
      </c>
    </row>
    <row r="2720" customFormat="false" ht="15" hidden="false" customHeight="false" outlineLevel="0" collapsed="false">
      <c r="A2720" s="0" t="s">
        <v>3945</v>
      </c>
      <c r="C2720" s="0" t="s">
        <v>38</v>
      </c>
      <c r="D2720" s="7" t="n">
        <v>751</v>
      </c>
      <c r="E2720" s="8" t="n">
        <v>0.120079893475366</v>
      </c>
      <c r="F2720" s="4" t="n">
        <f aca="false">D2720*E2720</f>
        <v>90.18</v>
      </c>
      <c r="G2720" s="7" t="n">
        <v>3</v>
      </c>
      <c r="H2720" s="9" t="n">
        <f aca="false">IF(G2720&gt;0,D2720/G2720,"")</f>
        <v>250.333333333333</v>
      </c>
      <c r="I2720" s="10" t="n">
        <v>46059</v>
      </c>
      <c r="J2720" s="3" t="s">
        <v>3946</v>
      </c>
      <c r="K2720" s="10" t="n">
        <v>45933</v>
      </c>
      <c r="L2720" s="3" t="s">
        <v>18</v>
      </c>
      <c r="M2720" s="7" t="n">
        <v>800</v>
      </c>
      <c r="N2720" s="8" t="n">
        <v>0.12</v>
      </c>
      <c r="O2720" s="4" t="n">
        <f aca="false">M2720*N2720</f>
        <v>96</v>
      </c>
    </row>
    <row r="2721" customFormat="false" ht="15" hidden="false" customHeight="false" outlineLevel="0" collapsed="false">
      <c r="A2721" s="0" t="s">
        <v>3947</v>
      </c>
      <c r="C2721" s="0" t="s">
        <v>715</v>
      </c>
      <c r="D2721" s="7" t="n">
        <v>1220</v>
      </c>
      <c r="E2721" s="8" t="n">
        <v>0.0738934426229508</v>
      </c>
      <c r="F2721" s="4" t="n">
        <f aca="false">D2721*E2721</f>
        <v>90.15</v>
      </c>
      <c r="G2721" s="7" t="n">
        <v>180</v>
      </c>
      <c r="H2721" s="9" t="n">
        <f aca="false">IF(G2721&gt;0,D2721/G2721,"")</f>
        <v>6.77777777777778</v>
      </c>
      <c r="I2721" s="10" t="n">
        <v>46163</v>
      </c>
      <c r="J2721" s="3" t="s">
        <v>2385</v>
      </c>
      <c r="K2721" s="10" t="n">
        <v>45629</v>
      </c>
      <c r="L2721" s="3" t="s">
        <v>16</v>
      </c>
      <c r="M2721" s="7" t="n">
        <v>1450</v>
      </c>
      <c r="N2721" s="8" t="n">
        <v>0.0739</v>
      </c>
      <c r="O2721" s="4" t="n">
        <f aca="false">M2721*N2721</f>
        <v>107.155</v>
      </c>
    </row>
    <row r="2722" customFormat="false" ht="15" hidden="false" customHeight="false" outlineLevel="0" collapsed="false">
      <c r="A2722" s="0" t="s">
        <v>3948</v>
      </c>
      <c r="C2722" s="0" t="s">
        <v>340</v>
      </c>
      <c r="D2722" s="7" t="n">
        <v>823</v>
      </c>
      <c r="E2722" s="8" t="n">
        <v>0.10947752126367</v>
      </c>
      <c r="F2722" s="4" t="n">
        <f aca="false">D2722*E2722</f>
        <v>90.1</v>
      </c>
      <c r="G2722" s="7" t="n">
        <v>295</v>
      </c>
      <c r="H2722" s="9" t="n">
        <f aca="false">IF(G2722&gt;0,D2722/G2722,"")</f>
        <v>2.78983050847458</v>
      </c>
      <c r="I2722" s="10" t="n">
        <v>46287</v>
      </c>
      <c r="J2722" s="3" t="s">
        <v>1616</v>
      </c>
      <c r="K2722" s="10" t="n">
        <v>46266</v>
      </c>
      <c r="L2722" s="3" t="s">
        <v>16</v>
      </c>
      <c r="M2722" s="7" t="n">
        <v>800</v>
      </c>
      <c r="N2722" s="8" t="n">
        <v>0.1096</v>
      </c>
      <c r="O2722" s="4" t="n">
        <f aca="false">M2722*N2722</f>
        <v>87.68</v>
      </c>
    </row>
    <row r="2723" customFormat="false" ht="15" hidden="false" customHeight="false" outlineLevel="0" collapsed="false">
      <c r="A2723" s="0" t="s">
        <v>3949</v>
      </c>
      <c r="C2723" s="0" t="s">
        <v>41</v>
      </c>
      <c r="D2723" s="7" t="n">
        <v>691</v>
      </c>
      <c r="E2723" s="8" t="n">
        <v>0.130202604920405</v>
      </c>
      <c r="F2723" s="4" t="n">
        <f aca="false">D2723*E2723</f>
        <v>89.97</v>
      </c>
      <c r="G2723" s="7" t="n">
        <v>30</v>
      </c>
      <c r="H2723" s="9" t="n">
        <f aca="false">IF(G2723&gt;0,D2723/G2723,"")</f>
        <v>23.0333333333333</v>
      </c>
      <c r="I2723" s="10" t="n">
        <v>46072</v>
      </c>
      <c r="K2723" s="10"/>
      <c r="M2723" s="7"/>
      <c r="N2723" s="8"/>
      <c r="O2723" s="4"/>
    </row>
    <row r="2724" customFormat="false" ht="15" hidden="false" customHeight="false" outlineLevel="0" collapsed="false">
      <c r="A2724" s="0" t="s">
        <v>3950</v>
      </c>
      <c r="C2724" s="0" t="s">
        <v>1169</v>
      </c>
      <c r="D2724" s="7" t="n">
        <v>1797</v>
      </c>
      <c r="E2724" s="8" t="n">
        <v>0.05</v>
      </c>
      <c r="F2724" s="4" t="n">
        <f aca="false">D2724*E2724</f>
        <v>89.85</v>
      </c>
      <c r="G2724" s="7" t="n">
        <v>89</v>
      </c>
      <c r="H2724" s="9" t="n">
        <f aca="false">IF(G2724&gt;0,D2724/G2724,"")</f>
        <v>20.1910112359551</v>
      </c>
      <c r="I2724" s="10" t="n">
        <v>46202</v>
      </c>
      <c r="J2724" s="3" t="s">
        <v>2900</v>
      </c>
      <c r="K2724" s="10" t="n">
        <v>45468</v>
      </c>
      <c r="L2724" s="3" t="s">
        <v>21</v>
      </c>
      <c r="M2724" s="7" t="n">
        <v>2500</v>
      </c>
      <c r="N2724" s="8" t="n">
        <v>0.05</v>
      </c>
      <c r="O2724" s="4" t="n">
        <f aca="false">M2724*N2724</f>
        <v>125</v>
      </c>
    </row>
    <row r="2725" customFormat="false" ht="15" hidden="false" customHeight="false" outlineLevel="0" collapsed="false">
      <c r="A2725" s="0" t="s">
        <v>3951</v>
      </c>
      <c r="C2725" s="0" t="s">
        <v>31</v>
      </c>
      <c r="D2725" s="7" t="n">
        <v>20415</v>
      </c>
      <c r="E2725" s="8" t="n">
        <v>0.00439921626255205</v>
      </c>
      <c r="F2725" s="4" t="n">
        <f aca="false">D2725*E2725</f>
        <v>89.81</v>
      </c>
      <c r="G2725" s="7" t="n">
        <v>168</v>
      </c>
      <c r="H2725" s="9" t="n">
        <f aca="false">IF(G2725&gt;0,D2725/G2725,"")</f>
        <v>121.517857142857</v>
      </c>
      <c r="I2725" s="10" t="n">
        <v>46175</v>
      </c>
      <c r="J2725" s="3" t="s">
        <v>3952</v>
      </c>
      <c r="K2725" s="10" t="n">
        <v>45804</v>
      </c>
      <c r="L2725" s="3" t="s">
        <v>15</v>
      </c>
      <c r="M2725" s="7" t="n">
        <v>102830</v>
      </c>
      <c r="N2725" s="8" t="n">
        <v>0.0044</v>
      </c>
      <c r="O2725" s="4" t="n">
        <f aca="false">M2725*N2725</f>
        <v>452.452</v>
      </c>
    </row>
    <row r="2726" customFormat="false" ht="15" hidden="false" customHeight="false" outlineLevel="0" collapsed="false">
      <c r="A2726" s="0" t="s">
        <v>3953</v>
      </c>
      <c r="C2726" s="0" t="s">
        <v>36</v>
      </c>
      <c r="D2726" s="7" t="n">
        <v>1225</v>
      </c>
      <c r="E2726" s="8" t="n">
        <v>0.0732979591836735</v>
      </c>
      <c r="F2726" s="4" t="n">
        <f aca="false">D2726*E2726</f>
        <v>89.79</v>
      </c>
      <c r="G2726" s="7" t="n">
        <v>25</v>
      </c>
      <c r="H2726" s="9" t="n">
        <f aca="false">IF(G2726&gt;0,D2726/G2726,"")</f>
        <v>49</v>
      </c>
      <c r="I2726" s="10" t="n">
        <v>46069</v>
      </c>
      <c r="J2726" s="3" t="s">
        <v>3954</v>
      </c>
      <c r="K2726" s="10" t="n">
        <v>45762</v>
      </c>
      <c r="L2726" s="3" t="s">
        <v>18</v>
      </c>
      <c r="M2726" s="7" t="n">
        <v>1400</v>
      </c>
      <c r="N2726" s="8" t="n">
        <v>0.0733</v>
      </c>
      <c r="O2726" s="4" t="n">
        <f aca="false">M2726*N2726</f>
        <v>102.62</v>
      </c>
    </row>
    <row r="2727" customFormat="false" ht="15" hidden="false" customHeight="false" outlineLevel="0" collapsed="false">
      <c r="A2727" s="0" t="s">
        <v>3955</v>
      </c>
      <c r="C2727" s="0" t="s">
        <v>1169</v>
      </c>
      <c r="D2727" s="7" t="n">
        <v>2190</v>
      </c>
      <c r="E2727" s="8" t="n">
        <v>0.041</v>
      </c>
      <c r="F2727" s="4" t="n">
        <f aca="false">D2727*E2727</f>
        <v>89.79</v>
      </c>
      <c r="G2727" s="7" t="n">
        <v>173</v>
      </c>
      <c r="H2727" s="9" t="n">
        <f aca="false">IF(G2727&gt;0,D2727/G2727,"")</f>
        <v>12.6589595375723</v>
      </c>
      <c r="I2727" s="10" t="n">
        <v>46185</v>
      </c>
      <c r="J2727" s="3" t="s">
        <v>1170</v>
      </c>
      <c r="K2727" s="10" t="n">
        <v>45398</v>
      </c>
      <c r="L2727" s="3" t="s">
        <v>21</v>
      </c>
      <c r="M2727" s="7" t="n">
        <v>2500</v>
      </c>
      <c r="N2727" s="8" t="n">
        <v>0.041</v>
      </c>
      <c r="O2727" s="4" t="n">
        <f aca="false">M2727*N2727</f>
        <v>102.5</v>
      </c>
    </row>
    <row r="2728" customFormat="false" ht="15" hidden="false" customHeight="false" outlineLevel="0" collapsed="false">
      <c r="A2728" s="0" t="s">
        <v>3956</v>
      </c>
      <c r="C2728" s="0" t="s">
        <v>360</v>
      </c>
      <c r="D2728" s="7" t="n">
        <v>203</v>
      </c>
      <c r="E2728" s="8" t="n">
        <v>0.442118226600985</v>
      </c>
      <c r="F2728" s="4" t="n">
        <f aca="false">D2728*E2728</f>
        <v>89.75</v>
      </c>
      <c r="G2728" s="7" t="n">
        <v>30</v>
      </c>
      <c r="H2728" s="9" t="n">
        <f aca="false">IF(G2728&gt;0,D2728/G2728,"")</f>
        <v>6.76666666666667</v>
      </c>
      <c r="I2728" s="10" t="n">
        <v>46206</v>
      </c>
      <c r="J2728" s="3" t="s">
        <v>478</v>
      </c>
      <c r="K2728" s="10" t="n">
        <v>46185</v>
      </c>
      <c r="L2728" s="3" t="s">
        <v>16</v>
      </c>
      <c r="M2728" s="7" t="n">
        <v>215</v>
      </c>
      <c r="N2728" s="8" t="n">
        <v>0.4383</v>
      </c>
      <c r="O2728" s="4" t="n">
        <f aca="false">M2728*N2728</f>
        <v>94.2345</v>
      </c>
    </row>
    <row r="2729" customFormat="false" ht="15" hidden="false" customHeight="false" outlineLevel="0" collapsed="false">
      <c r="A2729" s="0" t="s">
        <v>3957</v>
      </c>
      <c r="C2729" s="0" t="s">
        <v>118</v>
      </c>
      <c r="D2729" s="7" t="n">
        <v>2444</v>
      </c>
      <c r="E2729" s="8" t="n">
        <v>0.0367103109656301</v>
      </c>
      <c r="F2729" s="4" t="n">
        <f aca="false">D2729*E2729</f>
        <v>89.72</v>
      </c>
      <c r="G2729" s="7" t="n">
        <v>1636</v>
      </c>
      <c r="H2729" s="9" t="n">
        <f aca="false">IF(G2729&gt;0,D2729/G2729,"")</f>
        <v>1.49388753056235</v>
      </c>
      <c r="I2729" s="10" t="n">
        <v>46316</v>
      </c>
      <c r="J2729" s="3" t="s">
        <v>457</v>
      </c>
      <c r="K2729" s="10" t="n">
        <v>45866</v>
      </c>
      <c r="L2729" s="3" t="s">
        <v>16</v>
      </c>
      <c r="M2729" s="7" t="n">
        <v>4100</v>
      </c>
      <c r="N2729" s="8" t="n">
        <v>0.0367</v>
      </c>
      <c r="O2729" s="4" t="n">
        <f aca="false">M2729*N2729</f>
        <v>150.47</v>
      </c>
    </row>
    <row r="2730" customFormat="false" ht="15" hidden="false" customHeight="false" outlineLevel="0" collapsed="false">
      <c r="A2730" s="0" t="s">
        <v>3958</v>
      </c>
      <c r="C2730" s="0" t="s">
        <v>40</v>
      </c>
      <c r="D2730" s="7" t="n">
        <v>2259</v>
      </c>
      <c r="E2730" s="8" t="n">
        <v>0.0397034085878707</v>
      </c>
      <c r="F2730" s="4" t="n">
        <f aca="false">D2730*E2730</f>
        <v>89.69</v>
      </c>
      <c r="G2730" s="7" t="n">
        <v>120</v>
      </c>
      <c r="H2730" s="9" t="n">
        <f aca="false">IF(G2730&gt;0,D2730/G2730,"")</f>
        <v>18.825</v>
      </c>
      <c r="I2730" s="10" t="n">
        <v>46127</v>
      </c>
      <c r="J2730" s="3" t="s">
        <v>3954</v>
      </c>
      <c r="K2730" s="10" t="n">
        <v>45762</v>
      </c>
      <c r="L2730" s="3" t="s">
        <v>18</v>
      </c>
      <c r="M2730" s="7" t="n">
        <v>2500</v>
      </c>
      <c r="N2730" s="8" t="n">
        <v>0.0397</v>
      </c>
      <c r="O2730" s="4" t="n">
        <f aca="false">M2730*N2730</f>
        <v>99.25</v>
      </c>
    </row>
    <row r="2731" customFormat="false" ht="15" hidden="false" customHeight="false" outlineLevel="0" collapsed="false">
      <c r="A2731" s="0" t="s">
        <v>3959</v>
      </c>
      <c r="C2731" s="0" t="s">
        <v>295</v>
      </c>
      <c r="D2731" s="7" t="n">
        <v>2281</v>
      </c>
      <c r="E2731" s="8" t="n">
        <v>0.0392985532661114</v>
      </c>
      <c r="F2731" s="4" t="n">
        <f aca="false">D2731*E2731</f>
        <v>89.64</v>
      </c>
      <c r="G2731" s="7" t="n">
        <v>1545</v>
      </c>
      <c r="H2731" s="9" t="n">
        <f aca="false">IF(G2731&gt;0,D2731/G2731,"")</f>
        <v>1.47637540453074</v>
      </c>
      <c r="I2731" s="10" t="n">
        <v>46295</v>
      </c>
      <c r="K2731" s="10"/>
      <c r="M2731" s="7"/>
      <c r="N2731" s="8"/>
      <c r="O2731" s="4"/>
    </row>
    <row r="2732" customFormat="false" ht="15" hidden="false" customHeight="false" outlineLevel="0" collapsed="false">
      <c r="A2732" s="0" t="s">
        <v>3960</v>
      </c>
      <c r="C2732" s="0" t="s">
        <v>765</v>
      </c>
      <c r="D2732" s="7" t="n">
        <v>945</v>
      </c>
      <c r="E2732" s="8" t="n">
        <v>0.0947936507936508</v>
      </c>
      <c r="F2732" s="4" t="n">
        <f aca="false">D2732*E2732</f>
        <v>89.58</v>
      </c>
      <c r="G2732" s="7" t="n">
        <v>38</v>
      </c>
      <c r="H2732" s="9" t="n">
        <f aca="false">IF(G2732&gt;0,D2732/G2732,"")</f>
        <v>24.8684210526316</v>
      </c>
      <c r="I2732" s="10" t="n">
        <v>46218</v>
      </c>
      <c r="J2732" s="3" t="s">
        <v>3961</v>
      </c>
      <c r="K2732" s="10" t="n">
        <v>45433</v>
      </c>
      <c r="L2732" s="3" t="s">
        <v>14</v>
      </c>
      <c r="M2732" s="7" t="n">
        <v>1000</v>
      </c>
      <c r="N2732" s="8" t="n">
        <v>0.093</v>
      </c>
      <c r="O2732" s="4" t="n">
        <f aca="false">M2732*N2732</f>
        <v>93</v>
      </c>
    </row>
    <row r="2733" customFormat="false" ht="15" hidden="false" customHeight="false" outlineLevel="0" collapsed="false">
      <c r="A2733" s="0" t="s">
        <v>3962</v>
      </c>
      <c r="C2733" s="0" t="s">
        <v>38</v>
      </c>
      <c r="D2733" s="7" t="n">
        <v>915</v>
      </c>
      <c r="E2733" s="8" t="n">
        <v>0.0978032786885246</v>
      </c>
      <c r="F2733" s="4" t="n">
        <f aca="false">D2733*E2733</f>
        <v>89.49</v>
      </c>
      <c r="G2733" s="7" t="n">
        <v>111</v>
      </c>
      <c r="H2733" s="9" t="n">
        <f aca="false">IF(G2733&gt;0,D2733/G2733,"")</f>
        <v>8.24324324324324</v>
      </c>
      <c r="I2733" s="10" t="n">
        <v>46261</v>
      </c>
      <c r="J2733" s="3" t="s">
        <v>273</v>
      </c>
      <c r="K2733" s="10" t="n">
        <v>46251</v>
      </c>
      <c r="L2733" s="3" t="s">
        <v>14</v>
      </c>
      <c r="M2733" s="7" t="n">
        <v>1000</v>
      </c>
      <c r="N2733" s="8" t="n">
        <v>0.0978</v>
      </c>
      <c r="O2733" s="4" t="n">
        <f aca="false">M2733*N2733</f>
        <v>97.8</v>
      </c>
    </row>
    <row r="2734" customFormat="false" ht="15" hidden="false" customHeight="false" outlineLevel="0" collapsed="false">
      <c r="A2734" s="0" t="s">
        <v>3963</v>
      </c>
      <c r="C2734" s="0" t="s">
        <v>39</v>
      </c>
      <c r="D2734" s="7" t="n">
        <v>166</v>
      </c>
      <c r="E2734" s="8" t="n">
        <v>0.538734939759036</v>
      </c>
      <c r="F2734" s="4" t="n">
        <f aca="false">D2734*E2734</f>
        <v>89.43</v>
      </c>
      <c r="G2734" s="7" t="n">
        <v>76</v>
      </c>
      <c r="H2734" s="9" t="n">
        <f aca="false">IF(G2734&gt;0,D2734/G2734,"")</f>
        <v>2.18421052631579</v>
      </c>
      <c r="I2734" s="10" t="n">
        <v>46316</v>
      </c>
      <c r="J2734" s="3" t="s">
        <v>3964</v>
      </c>
      <c r="K2734" s="10" t="n">
        <v>44735</v>
      </c>
      <c r="L2734" s="3" t="s">
        <v>18</v>
      </c>
      <c r="M2734" s="7" t="n">
        <v>500</v>
      </c>
      <c r="N2734" s="8" t="n">
        <v>0.5388</v>
      </c>
      <c r="O2734" s="4" t="n">
        <f aca="false">M2734*N2734</f>
        <v>269.4</v>
      </c>
    </row>
    <row r="2735" customFormat="false" ht="15" hidden="false" customHeight="false" outlineLevel="0" collapsed="false">
      <c r="A2735" s="0" t="s">
        <v>3965</v>
      </c>
      <c r="C2735" s="0" t="s">
        <v>31</v>
      </c>
      <c r="D2735" s="7" t="n">
        <v>3524</v>
      </c>
      <c r="E2735" s="8" t="n">
        <v>0.0253603859250851</v>
      </c>
      <c r="F2735" s="4" t="n">
        <f aca="false">D2735*E2735</f>
        <v>89.37</v>
      </c>
      <c r="G2735" s="7" t="n">
        <v>449</v>
      </c>
      <c r="H2735" s="9" t="n">
        <f aca="false">IF(G2735&gt;0,D2735/G2735,"")</f>
        <v>7.84855233853007</v>
      </c>
      <c r="I2735" s="10" t="n">
        <v>46317</v>
      </c>
      <c r="J2735" s="3" t="s">
        <v>3966</v>
      </c>
      <c r="K2735" s="10" t="n">
        <v>46315</v>
      </c>
      <c r="L2735" s="3" t="s">
        <v>19</v>
      </c>
      <c r="M2735" s="7" t="n">
        <v>3000</v>
      </c>
      <c r="N2735" s="8" t="n">
        <v>0.0282</v>
      </c>
      <c r="O2735" s="4" t="n">
        <f aca="false">M2735*N2735</f>
        <v>84.6</v>
      </c>
    </row>
    <row r="2736" customFormat="false" ht="15" hidden="false" customHeight="false" outlineLevel="0" collapsed="false">
      <c r="A2736" s="0" t="s">
        <v>3967</v>
      </c>
      <c r="C2736" s="0" t="s">
        <v>370</v>
      </c>
      <c r="D2736" s="7" t="n">
        <v>1986</v>
      </c>
      <c r="E2736" s="8" t="n">
        <v>0.045</v>
      </c>
      <c r="F2736" s="4" t="n">
        <f aca="false">D2736*E2736</f>
        <v>89.37</v>
      </c>
      <c r="G2736" s="7" t="n">
        <v>242</v>
      </c>
      <c r="H2736" s="9" t="n">
        <f aca="false">IF(G2736&gt;0,D2736/G2736,"")</f>
        <v>8.20661157024794</v>
      </c>
      <c r="I2736" s="10" t="n">
        <v>46142</v>
      </c>
      <c r="J2736" s="3" t="s">
        <v>2900</v>
      </c>
      <c r="K2736" s="10" t="n">
        <v>45468</v>
      </c>
      <c r="L2736" s="3" t="s">
        <v>21</v>
      </c>
      <c r="M2736" s="7" t="n">
        <v>2500</v>
      </c>
      <c r="N2736" s="8" t="n">
        <v>0.045</v>
      </c>
      <c r="O2736" s="4" t="n">
        <f aca="false">M2736*N2736</f>
        <v>112.5</v>
      </c>
    </row>
    <row r="2737" customFormat="false" ht="15" hidden="false" customHeight="false" outlineLevel="0" collapsed="false">
      <c r="A2737" s="0" t="s">
        <v>3968</v>
      </c>
      <c r="C2737" s="0" t="s">
        <v>298</v>
      </c>
      <c r="D2737" s="7" t="n">
        <v>5172</v>
      </c>
      <c r="E2737" s="8" t="n">
        <v>0.017277648878577</v>
      </c>
      <c r="F2737" s="4" t="n">
        <f aca="false">D2737*E2737</f>
        <v>89.36</v>
      </c>
      <c r="G2737" s="7" t="n">
        <v>1420</v>
      </c>
      <c r="H2737" s="9" t="n">
        <f aca="false">IF(G2737&gt;0,D2737/G2737,"")</f>
        <v>3.64225352112676</v>
      </c>
      <c r="I2737" s="10" t="n">
        <v>46304</v>
      </c>
      <c r="J2737" s="3" t="s">
        <v>2631</v>
      </c>
      <c r="K2737" s="10" t="n">
        <v>46265</v>
      </c>
      <c r="L2737" s="3" t="s">
        <v>15</v>
      </c>
      <c r="M2737" s="7" t="n">
        <v>5000</v>
      </c>
      <c r="N2737" s="8" t="n">
        <v>0.01684</v>
      </c>
      <c r="O2737" s="4" t="n">
        <f aca="false">M2737*N2737</f>
        <v>84.2</v>
      </c>
    </row>
    <row r="2738" customFormat="false" ht="15" hidden="false" customHeight="false" outlineLevel="0" collapsed="false">
      <c r="A2738" s="0" t="s">
        <v>3969</v>
      </c>
      <c r="C2738" s="0" t="s">
        <v>39</v>
      </c>
      <c r="D2738" s="7" t="n">
        <v>822</v>
      </c>
      <c r="E2738" s="8" t="n">
        <v>0.108613138686131</v>
      </c>
      <c r="F2738" s="4" t="n">
        <f aca="false">D2738*E2738</f>
        <v>89.28</v>
      </c>
      <c r="G2738" s="7" t="n">
        <v>100</v>
      </c>
      <c r="H2738" s="9" t="n">
        <f aca="false">IF(G2738&gt;0,D2738/G2738,"")</f>
        <v>8.22</v>
      </c>
      <c r="I2738" s="10" t="n">
        <v>46241</v>
      </c>
      <c r="J2738" s="3" t="s">
        <v>3583</v>
      </c>
      <c r="K2738" s="10" t="n">
        <v>46106</v>
      </c>
      <c r="L2738" s="3" t="s">
        <v>18</v>
      </c>
      <c r="M2738" s="7" t="n">
        <v>900</v>
      </c>
      <c r="N2738" s="8" t="n">
        <v>0.1079</v>
      </c>
      <c r="O2738" s="4" t="n">
        <f aca="false">M2738*N2738</f>
        <v>97.11</v>
      </c>
    </row>
    <row r="2739" customFormat="false" ht="15" hidden="false" customHeight="false" outlineLevel="0" collapsed="false">
      <c r="A2739" s="0" t="s">
        <v>3970</v>
      </c>
      <c r="C2739" s="0" t="s">
        <v>40</v>
      </c>
      <c r="D2739" s="7" t="n">
        <v>908</v>
      </c>
      <c r="E2739" s="8" t="n">
        <v>0.0983259911894273</v>
      </c>
      <c r="F2739" s="4" t="n">
        <f aca="false">D2739*E2739</f>
        <v>89.28</v>
      </c>
      <c r="G2739" s="7" t="n">
        <v>81</v>
      </c>
      <c r="H2739" s="9" t="n">
        <f aca="false">IF(G2739&gt;0,D2739/G2739,"")</f>
        <v>11.2098765432099</v>
      </c>
      <c r="I2739" s="10" t="n">
        <v>46254</v>
      </c>
      <c r="J2739" s="3" t="s">
        <v>3723</v>
      </c>
      <c r="K2739" s="10" t="n">
        <v>45391</v>
      </c>
      <c r="L2739" s="3" t="s">
        <v>18</v>
      </c>
      <c r="M2739" s="7" t="n">
        <v>1000</v>
      </c>
      <c r="N2739" s="8" t="n">
        <v>0.0983</v>
      </c>
      <c r="O2739" s="4" t="n">
        <f aca="false">M2739*N2739</f>
        <v>98.3</v>
      </c>
    </row>
    <row r="2740" customFormat="false" ht="15" hidden="false" customHeight="false" outlineLevel="0" collapsed="false">
      <c r="A2740" s="0" t="s">
        <v>3971</v>
      </c>
      <c r="C2740" s="0" t="s">
        <v>33</v>
      </c>
      <c r="D2740" s="7" t="n">
        <v>643</v>
      </c>
      <c r="E2740" s="8" t="n">
        <v>0.138740279937792</v>
      </c>
      <c r="F2740" s="4" t="n">
        <f aca="false">D2740*E2740</f>
        <v>89.21</v>
      </c>
      <c r="G2740" s="7" t="n">
        <v>525</v>
      </c>
      <c r="H2740" s="9" t="n">
        <f aca="false">IF(G2740&gt;0,D2740/G2740,"")</f>
        <v>1.2247619047619</v>
      </c>
      <c r="I2740" s="10" t="n">
        <v>46226</v>
      </c>
      <c r="J2740" s="3" t="s">
        <v>2244</v>
      </c>
      <c r="K2740" s="10" t="n">
        <v>46098</v>
      </c>
      <c r="L2740" s="3" t="s">
        <v>18</v>
      </c>
      <c r="M2740" s="7" t="n">
        <v>680</v>
      </c>
      <c r="N2740" s="8" t="n">
        <v>0.1395</v>
      </c>
      <c r="O2740" s="4" t="n">
        <f aca="false">M2740*N2740</f>
        <v>94.86</v>
      </c>
    </row>
    <row r="2741" customFormat="false" ht="15" hidden="false" customHeight="false" outlineLevel="0" collapsed="false">
      <c r="A2741" s="0" t="s">
        <v>3972</v>
      </c>
      <c r="C2741" s="0" t="s">
        <v>285</v>
      </c>
      <c r="D2741" s="7" t="n">
        <v>216</v>
      </c>
      <c r="E2741" s="8" t="n">
        <v>0.41287037037037</v>
      </c>
      <c r="F2741" s="4" t="n">
        <f aca="false">D2741*E2741</f>
        <v>89.18</v>
      </c>
      <c r="G2741" s="7" t="n">
        <v>2</v>
      </c>
      <c r="H2741" s="9" t="n">
        <f aca="false">IF(G2741&gt;0,D2741/G2741,"")</f>
        <v>108</v>
      </c>
      <c r="I2741" s="10" t="n">
        <v>46113</v>
      </c>
      <c r="K2741" s="10"/>
      <c r="M2741" s="7"/>
      <c r="N2741" s="8"/>
      <c r="O2741" s="4"/>
    </row>
    <row r="2742" customFormat="false" ht="15" hidden="false" customHeight="false" outlineLevel="0" collapsed="false">
      <c r="A2742" s="0" t="s">
        <v>3973</v>
      </c>
      <c r="C2742" s="0" t="s">
        <v>31</v>
      </c>
      <c r="D2742" s="7" t="n">
        <v>21502</v>
      </c>
      <c r="E2742" s="8" t="n">
        <v>0.004144265649707</v>
      </c>
      <c r="F2742" s="4" t="n">
        <f aca="false">D2742*E2742</f>
        <v>89.11</v>
      </c>
      <c r="G2742" s="7" t="n">
        <v>7500</v>
      </c>
      <c r="H2742" s="9" t="n">
        <f aca="false">IF(G2742&gt;0,D2742/G2742,"")</f>
        <v>2.86693333333333</v>
      </c>
      <c r="I2742" s="10" t="n">
        <v>46311</v>
      </c>
      <c r="J2742" s="3" t="s">
        <v>2228</v>
      </c>
      <c r="K2742" s="10" t="n">
        <v>44328</v>
      </c>
      <c r="L2742" s="3" t="s">
        <v>15</v>
      </c>
      <c r="M2742" s="7" t="n">
        <v>50000</v>
      </c>
      <c r="N2742" s="8" t="n">
        <v>0.00421</v>
      </c>
      <c r="O2742" s="4" t="n">
        <f aca="false">M2742*N2742</f>
        <v>210.5</v>
      </c>
    </row>
    <row r="2743" customFormat="false" ht="15" hidden="false" customHeight="false" outlineLevel="0" collapsed="false">
      <c r="A2743" s="0" t="s">
        <v>3974</v>
      </c>
      <c r="C2743" s="0" t="s">
        <v>34</v>
      </c>
      <c r="D2743" s="7" t="n">
        <v>2836</v>
      </c>
      <c r="E2743" s="8" t="n">
        <v>0.0313963328631876</v>
      </c>
      <c r="F2743" s="4" t="n">
        <f aca="false">D2743*E2743</f>
        <v>89.04</v>
      </c>
      <c r="G2743" s="7" t="n">
        <v>525</v>
      </c>
      <c r="H2743" s="9" t="n">
        <f aca="false">IF(G2743&gt;0,D2743/G2743,"")</f>
        <v>5.40190476190476</v>
      </c>
      <c r="I2743" s="10" t="n">
        <v>46281</v>
      </c>
      <c r="J2743" s="3" t="s">
        <v>1192</v>
      </c>
      <c r="K2743" s="10" t="n">
        <v>45736</v>
      </c>
      <c r="L2743" s="3" t="s">
        <v>26</v>
      </c>
      <c r="M2743" s="7" t="n">
        <v>200</v>
      </c>
      <c r="N2743" s="8" t="n">
        <v>0.0714</v>
      </c>
      <c r="O2743" s="4" t="n">
        <f aca="false">M2743*N2743</f>
        <v>14.28</v>
      </c>
    </row>
    <row r="2744" customFormat="false" ht="15" hidden="false" customHeight="false" outlineLevel="0" collapsed="false">
      <c r="A2744" s="0" t="s">
        <v>3975</v>
      </c>
      <c r="C2744" s="0" t="s">
        <v>39</v>
      </c>
      <c r="D2744" s="7" t="n">
        <v>451</v>
      </c>
      <c r="E2744" s="8" t="n">
        <v>0.197405764966741</v>
      </c>
      <c r="F2744" s="4" t="n">
        <f aca="false">D2744*E2744</f>
        <v>89.03</v>
      </c>
      <c r="G2744" s="7" t="n">
        <v>50</v>
      </c>
      <c r="H2744" s="9" t="n">
        <f aca="false">IF(G2744&gt;0,D2744/G2744,"")</f>
        <v>9.02</v>
      </c>
      <c r="I2744" s="10" t="n">
        <v>46217</v>
      </c>
      <c r="J2744" s="3" t="s">
        <v>403</v>
      </c>
      <c r="K2744" s="10" t="n">
        <v>46209</v>
      </c>
      <c r="L2744" s="3" t="s">
        <v>14</v>
      </c>
      <c r="M2744" s="7" t="n">
        <v>500</v>
      </c>
      <c r="N2744" s="8" t="n">
        <v>0.1974</v>
      </c>
      <c r="O2744" s="4" t="n">
        <f aca="false">M2744*N2744</f>
        <v>98.7</v>
      </c>
    </row>
    <row r="2745" customFormat="false" ht="15" hidden="false" customHeight="false" outlineLevel="0" collapsed="false">
      <c r="A2745" s="0" t="s">
        <v>3976</v>
      </c>
      <c r="C2745" s="0" t="s">
        <v>34</v>
      </c>
      <c r="D2745" s="7" t="n">
        <v>795</v>
      </c>
      <c r="E2745" s="8" t="n">
        <v>0.111899371069182</v>
      </c>
      <c r="F2745" s="4" t="n">
        <f aca="false">D2745*E2745</f>
        <v>88.96</v>
      </c>
      <c r="G2745" s="7" t="n">
        <v>25</v>
      </c>
      <c r="H2745" s="9" t="n">
        <f aca="false">IF(G2745&gt;0,D2745/G2745,"")</f>
        <v>31.8</v>
      </c>
      <c r="I2745" s="10" t="n">
        <v>46091</v>
      </c>
      <c r="J2745" s="3" t="s">
        <v>90</v>
      </c>
      <c r="K2745" s="10" t="n">
        <v>46055</v>
      </c>
      <c r="L2745" s="3" t="s">
        <v>16</v>
      </c>
      <c r="M2745" s="7" t="n">
        <v>820</v>
      </c>
      <c r="N2745" s="8" t="n">
        <v>0.1119</v>
      </c>
      <c r="O2745" s="4" t="n">
        <f aca="false">M2745*N2745</f>
        <v>91.758</v>
      </c>
    </row>
    <row r="2746" customFormat="false" ht="15" hidden="false" customHeight="false" outlineLevel="0" collapsed="false">
      <c r="A2746" s="0" t="s">
        <v>3977</v>
      </c>
      <c r="C2746" s="0" t="s">
        <v>31</v>
      </c>
      <c r="D2746" s="7" t="n">
        <v>4053</v>
      </c>
      <c r="E2746" s="8" t="n">
        <v>0.0219343696027634</v>
      </c>
      <c r="F2746" s="4" t="n">
        <f aca="false">D2746*E2746</f>
        <v>88.9</v>
      </c>
      <c r="G2746" s="7" t="n">
        <v>303</v>
      </c>
      <c r="H2746" s="9" t="n">
        <f aca="false">IF(G2746&gt;0,D2746/G2746,"")</f>
        <v>13.3762376237624</v>
      </c>
      <c r="I2746" s="10" t="n">
        <v>46268</v>
      </c>
      <c r="J2746" s="3" t="s">
        <v>2043</v>
      </c>
      <c r="K2746" s="10" t="n">
        <v>46104</v>
      </c>
      <c r="L2746" s="3" t="s">
        <v>16</v>
      </c>
      <c r="M2746" s="7" t="n">
        <v>4337</v>
      </c>
      <c r="N2746" s="8" t="n">
        <v>0.0219</v>
      </c>
      <c r="O2746" s="4" t="n">
        <f aca="false">M2746*N2746</f>
        <v>94.9803</v>
      </c>
    </row>
    <row r="2747" customFormat="false" ht="15" hidden="false" customHeight="false" outlineLevel="0" collapsed="false">
      <c r="A2747" s="0" t="s">
        <v>3978</v>
      </c>
      <c r="C2747" s="0" t="s">
        <v>765</v>
      </c>
      <c r="D2747" s="7" t="n">
        <v>3575</v>
      </c>
      <c r="E2747" s="8" t="n">
        <v>0.0248195804195804</v>
      </c>
      <c r="F2747" s="4" t="n">
        <f aca="false">D2747*E2747</f>
        <v>88.73</v>
      </c>
      <c r="G2747" s="7" t="n">
        <v>63</v>
      </c>
      <c r="H2747" s="9" t="n">
        <f aca="false">IF(G2747&gt;0,D2747/G2747,"")</f>
        <v>56.7460317460318</v>
      </c>
      <c r="I2747" s="10" t="n">
        <v>46139</v>
      </c>
      <c r="J2747" s="3" t="s">
        <v>3979</v>
      </c>
      <c r="K2747" s="10" t="n">
        <v>44286</v>
      </c>
      <c r="L2747" s="3" t="s">
        <v>19</v>
      </c>
      <c r="M2747" s="7" t="n">
        <v>7500</v>
      </c>
      <c r="N2747" s="8" t="n">
        <v>0.0248</v>
      </c>
      <c r="O2747" s="4" t="n">
        <f aca="false">M2747*N2747</f>
        <v>186</v>
      </c>
    </row>
    <row r="2748" customFormat="false" ht="15" hidden="false" customHeight="false" outlineLevel="0" collapsed="false">
      <c r="A2748" s="0" t="s">
        <v>3980</v>
      </c>
      <c r="C2748" s="0" t="s">
        <v>285</v>
      </c>
      <c r="D2748" s="7" t="n">
        <v>266</v>
      </c>
      <c r="E2748" s="8" t="n">
        <v>0.333533834586466</v>
      </c>
      <c r="F2748" s="4" t="n">
        <f aca="false">D2748*E2748</f>
        <v>88.72</v>
      </c>
      <c r="G2748" s="7" t="n">
        <v>3</v>
      </c>
      <c r="H2748" s="9" t="n">
        <f aca="false">IF(G2748&gt;0,D2748/G2748,"")</f>
        <v>88.6666666666667</v>
      </c>
      <c r="I2748" s="10" t="n">
        <v>46008</v>
      </c>
      <c r="K2748" s="10"/>
      <c r="M2748" s="7"/>
      <c r="N2748" s="8"/>
      <c r="O2748" s="4"/>
    </row>
    <row r="2749" customFormat="false" ht="15" hidden="false" customHeight="false" outlineLevel="0" collapsed="false">
      <c r="A2749" s="0" t="s">
        <v>3981</v>
      </c>
      <c r="C2749" s="0" t="s">
        <v>32</v>
      </c>
      <c r="D2749" s="7" t="n">
        <v>208</v>
      </c>
      <c r="E2749" s="8" t="n">
        <v>0.426490384615385</v>
      </c>
      <c r="F2749" s="4" t="n">
        <f aca="false">D2749*E2749</f>
        <v>88.71</v>
      </c>
      <c r="G2749" s="7" t="n">
        <v>17</v>
      </c>
      <c r="H2749" s="9" t="n">
        <f aca="false">IF(G2749&gt;0,D2749/G2749,"")</f>
        <v>12.2352941176471</v>
      </c>
      <c r="I2749" s="10" t="n">
        <v>46309</v>
      </c>
      <c r="J2749" s="3" t="s">
        <v>2506</v>
      </c>
      <c r="K2749" s="10" t="n">
        <v>45911</v>
      </c>
      <c r="L2749" s="3" t="s">
        <v>18</v>
      </c>
      <c r="M2749" s="7" t="n">
        <v>210</v>
      </c>
      <c r="N2749" s="8" t="n">
        <v>0.4267</v>
      </c>
      <c r="O2749" s="4" t="n">
        <f aca="false">M2749*N2749</f>
        <v>89.607</v>
      </c>
    </row>
    <row r="2750" customFormat="false" ht="15" hidden="false" customHeight="false" outlineLevel="0" collapsed="false">
      <c r="A2750" s="0" t="s">
        <v>3982</v>
      </c>
      <c r="C2750" s="0" t="s">
        <v>1169</v>
      </c>
      <c r="D2750" s="7" t="n">
        <v>985</v>
      </c>
      <c r="E2750" s="8" t="n">
        <v>0.09</v>
      </c>
      <c r="F2750" s="4" t="n">
        <f aca="false">D2750*E2750</f>
        <v>88.65</v>
      </c>
      <c r="G2750" s="7" t="n">
        <v>100</v>
      </c>
      <c r="H2750" s="9" t="n">
        <f aca="false">IF(G2750&gt;0,D2750/G2750,"")</f>
        <v>9.85</v>
      </c>
      <c r="I2750" s="10" t="n">
        <v>45968</v>
      </c>
      <c r="J2750" s="3" t="s">
        <v>3875</v>
      </c>
      <c r="K2750" s="10" t="n">
        <v>45629</v>
      </c>
      <c r="L2750" s="3" t="s">
        <v>21</v>
      </c>
      <c r="M2750" s="7" t="n">
        <v>1125</v>
      </c>
      <c r="N2750" s="8" t="n">
        <v>0.09</v>
      </c>
      <c r="O2750" s="4" t="n">
        <f aca="false">M2750*N2750</f>
        <v>101.25</v>
      </c>
    </row>
    <row r="2751" customFormat="false" ht="15" hidden="false" customHeight="false" outlineLevel="0" collapsed="false">
      <c r="A2751" s="0" t="s">
        <v>3983</v>
      </c>
      <c r="C2751" s="0" t="s">
        <v>40</v>
      </c>
      <c r="D2751" s="7" t="n">
        <v>12658</v>
      </c>
      <c r="E2751" s="8" t="n">
        <v>0.0070003160056881</v>
      </c>
      <c r="F2751" s="4" t="n">
        <f aca="false">D2751*E2751</f>
        <v>88.61</v>
      </c>
      <c r="G2751" s="7" t="n">
        <v>215</v>
      </c>
      <c r="H2751" s="9" t="n">
        <f aca="false">IF(G2751&gt;0,D2751/G2751,"")</f>
        <v>58.8744186046512</v>
      </c>
      <c r="I2751" s="10" t="n">
        <v>46281</v>
      </c>
      <c r="K2751" s="10"/>
      <c r="M2751" s="7"/>
      <c r="N2751" s="8"/>
      <c r="O2751" s="4"/>
    </row>
    <row r="2752" customFormat="false" ht="15" hidden="false" customHeight="false" outlineLevel="0" collapsed="false">
      <c r="A2752" s="0" t="s">
        <v>3984</v>
      </c>
      <c r="D2752" s="7" t="n">
        <v>26</v>
      </c>
      <c r="E2752" s="8" t="n">
        <v>3.40423076923077</v>
      </c>
      <c r="F2752" s="4" t="n">
        <f aca="false">D2752*E2752</f>
        <v>88.51</v>
      </c>
      <c r="G2752" s="7" t="n">
        <v>1</v>
      </c>
      <c r="H2752" s="9" t="n">
        <f aca="false">IF(G2752&gt;0,D2752/G2752,"")</f>
        <v>26</v>
      </c>
      <c r="I2752" s="10" t="n">
        <v>46000</v>
      </c>
      <c r="J2752" s="3" t="s">
        <v>3985</v>
      </c>
      <c r="K2752" s="10" t="n">
        <v>45551</v>
      </c>
      <c r="L2752" s="3" t="s">
        <v>313</v>
      </c>
      <c r="M2752" s="7" t="n">
        <v>30</v>
      </c>
      <c r="N2752" s="8" t="n">
        <v>3.404</v>
      </c>
      <c r="O2752" s="4" t="n">
        <f aca="false">M2752*N2752</f>
        <v>102.12</v>
      </c>
    </row>
    <row r="2753" customFormat="false" ht="15" hidden="false" customHeight="false" outlineLevel="0" collapsed="false">
      <c r="A2753" s="0" t="s">
        <v>3986</v>
      </c>
      <c r="C2753" s="0" t="s">
        <v>298</v>
      </c>
      <c r="D2753" s="7" t="n">
        <v>250</v>
      </c>
      <c r="E2753" s="8" t="n">
        <v>0.35348</v>
      </c>
      <c r="F2753" s="4" t="n">
        <f aca="false">D2753*E2753</f>
        <v>88.37</v>
      </c>
      <c r="G2753" s="7" t="n">
        <v>10</v>
      </c>
      <c r="H2753" s="9" t="n">
        <f aca="false">IF(G2753&gt;0,D2753/G2753,"")</f>
        <v>25</v>
      </c>
      <c r="I2753" s="10" t="n">
        <v>46282</v>
      </c>
      <c r="J2753" s="3" t="s">
        <v>2267</v>
      </c>
      <c r="K2753" s="10" t="n">
        <v>45946</v>
      </c>
      <c r="L2753" s="3" t="s">
        <v>16</v>
      </c>
      <c r="M2753" s="7" t="n">
        <v>250</v>
      </c>
      <c r="N2753" s="8" t="n">
        <v>0.3555</v>
      </c>
      <c r="O2753" s="4" t="n">
        <f aca="false">M2753*N2753</f>
        <v>88.875</v>
      </c>
    </row>
    <row r="2754" customFormat="false" ht="15" hidden="false" customHeight="false" outlineLevel="0" collapsed="false">
      <c r="A2754" s="0" t="s">
        <v>3987</v>
      </c>
      <c r="C2754" s="0" t="s">
        <v>1169</v>
      </c>
      <c r="D2754" s="7" t="n">
        <v>3047</v>
      </c>
      <c r="E2754" s="8" t="n">
        <v>0.0289990154250082</v>
      </c>
      <c r="F2754" s="4" t="n">
        <f aca="false">D2754*E2754</f>
        <v>88.36</v>
      </c>
      <c r="G2754" s="7" t="n">
        <v>1451</v>
      </c>
      <c r="H2754" s="9" t="n">
        <f aca="false">IF(G2754&gt;0,D2754/G2754,"")</f>
        <v>2.09993108201241</v>
      </c>
      <c r="I2754" s="10" t="n">
        <v>46269</v>
      </c>
      <c r="J2754" s="3" t="s">
        <v>926</v>
      </c>
      <c r="K2754" s="10" t="n">
        <v>46009</v>
      </c>
      <c r="L2754" s="3" t="s">
        <v>21</v>
      </c>
      <c r="M2754" s="7" t="n">
        <v>3700</v>
      </c>
      <c r="N2754" s="8" t="n">
        <v>0.029</v>
      </c>
      <c r="O2754" s="4" t="n">
        <f aca="false">M2754*N2754</f>
        <v>107.3</v>
      </c>
    </row>
    <row r="2755" customFormat="false" ht="15" hidden="false" customHeight="false" outlineLevel="0" collapsed="false">
      <c r="A2755" s="0" t="s">
        <v>3988</v>
      </c>
      <c r="C2755" s="0" t="s">
        <v>32</v>
      </c>
      <c r="D2755" s="7" t="n">
        <v>1020</v>
      </c>
      <c r="E2755" s="8" t="n">
        <v>0.0865980392156863</v>
      </c>
      <c r="F2755" s="4" t="n">
        <f aca="false">D2755*E2755</f>
        <v>88.33</v>
      </c>
      <c r="G2755" s="7" t="n">
        <v>1015</v>
      </c>
      <c r="H2755" s="9" t="n">
        <f aca="false">IF(G2755&gt;0,D2755/G2755,"")</f>
        <v>1.00492610837438</v>
      </c>
      <c r="I2755" s="10" t="n">
        <v>46314</v>
      </c>
      <c r="J2755" s="3" t="s">
        <v>1026</v>
      </c>
      <c r="K2755" s="10" t="n">
        <v>46090</v>
      </c>
      <c r="L2755" s="3" t="s">
        <v>18</v>
      </c>
      <c r="M2755" s="7" t="n">
        <v>1300</v>
      </c>
      <c r="N2755" s="8" t="n">
        <v>0.0866</v>
      </c>
      <c r="O2755" s="4" t="n">
        <f aca="false">M2755*N2755</f>
        <v>112.58</v>
      </c>
    </row>
    <row r="2756" customFormat="false" ht="15" hidden="false" customHeight="false" outlineLevel="0" collapsed="false">
      <c r="A2756" s="0" t="s">
        <v>3989</v>
      </c>
      <c r="C2756" s="0" t="s">
        <v>44</v>
      </c>
      <c r="D2756" s="7" t="n">
        <v>22</v>
      </c>
      <c r="E2756" s="8" t="n">
        <v>4.01090909090909</v>
      </c>
      <c r="F2756" s="4" t="n">
        <f aca="false">D2756*E2756</f>
        <v>88.24</v>
      </c>
      <c r="G2756" s="7" t="n">
        <v>13</v>
      </c>
      <c r="H2756" s="9" t="n">
        <f aca="false">IF(G2756&gt;0,D2756/G2756,"")</f>
        <v>1.69230769230769</v>
      </c>
      <c r="I2756" s="10" t="n">
        <v>46057</v>
      </c>
      <c r="J2756" s="3" t="s">
        <v>3990</v>
      </c>
      <c r="K2756" s="10" t="n">
        <v>45486</v>
      </c>
      <c r="L2756" s="3" t="s">
        <v>14</v>
      </c>
      <c r="M2756" s="7" t="n">
        <v>36</v>
      </c>
      <c r="N2756" s="8" t="n">
        <v>4.0108</v>
      </c>
      <c r="O2756" s="4" t="n">
        <f aca="false">M2756*N2756</f>
        <v>144.3888</v>
      </c>
    </row>
    <row r="2757" customFormat="false" ht="15" hidden="false" customHeight="false" outlineLevel="0" collapsed="false">
      <c r="A2757" s="0" t="s">
        <v>3991</v>
      </c>
      <c r="C2757" s="0" t="s">
        <v>32</v>
      </c>
      <c r="D2757" s="7" t="n">
        <v>808</v>
      </c>
      <c r="E2757" s="8" t="n">
        <v>0.109195544554455</v>
      </c>
      <c r="F2757" s="4" t="n">
        <f aca="false">D2757*E2757</f>
        <v>88.23</v>
      </c>
      <c r="G2757" s="7" t="n">
        <v>669</v>
      </c>
      <c r="H2757" s="9" t="n">
        <f aca="false">IF(G2757&gt;0,D2757/G2757,"")</f>
        <v>1.20777279521674</v>
      </c>
      <c r="I2757" s="10" t="n">
        <v>46304</v>
      </c>
      <c r="J2757" s="3" t="s">
        <v>3618</v>
      </c>
      <c r="K2757" s="10" t="n">
        <v>46155</v>
      </c>
      <c r="L2757" s="3" t="s">
        <v>18</v>
      </c>
      <c r="M2757" s="7" t="n">
        <v>850</v>
      </c>
      <c r="N2757" s="8" t="n">
        <v>0.1092</v>
      </c>
      <c r="O2757" s="4" t="n">
        <f aca="false">M2757*N2757</f>
        <v>92.82</v>
      </c>
    </row>
    <row r="2758" customFormat="false" ht="15" hidden="false" customHeight="false" outlineLevel="0" collapsed="false">
      <c r="A2758" s="0" t="s">
        <v>3992</v>
      </c>
      <c r="C2758" s="0" t="s">
        <v>33</v>
      </c>
      <c r="D2758" s="7" t="n">
        <v>394</v>
      </c>
      <c r="E2758" s="8" t="n">
        <v>0.223807106598985</v>
      </c>
      <c r="F2758" s="4" t="n">
        <f aca="false">D2758*E2758</f>
        <v>88.18</v>
      </c>
      <c r="G2758" s="7" t="n">
        <v>32</v>
      </c>
      <c r="H2758" s="9" t="n">
        <f aca="false">IF(G2758&gt;0,D2758/G2758,"")</f>
        <v>12.3125</v>
      </c>
      <c r="I2758" s="10" t="n">
        <v>46255</v>
      </c>
      <c r="J2758" s="3" t="s">
        <v>2977</v>
      </c>
      <c r="K2758" s="10" t="n">
        <v>45876</v>
      </c>
      <c r="L2758" s="3" t="s">
        <v>18</v>
      </c>
      <c r="M2758" s="7" t="n">
        <v>420</v>
      </c>
      <c r="N2758" s="8" t="n">
        <v>0.2238</v>
      </c>
      <c r="O2758" s="4" t="n">
        <f aca="false">M2758*N2758</f>
        <v>93.996</v>
      </c>
    </row>
    <row r="2759" customFormat="false" ht="15" hidden="false" customHeight="false" outlineLevel="0" collapsed="false">
      <c r="A2759" s="0" t="s">
        <v>3993</v>
      </c>
      <c r="C2759" s="0" t="s">
        <v>38</v>
      </c>
      <c r="D2759" s="7" t="n">
        <v>9903</v>
      </c>
      <c r="E2759" s="8" t="n">
        <v>0.00890033323235383</v>
      </c>
      <c r="F2759" s="4" t="n">
        <f aca="false">D2759*E2759</f>
        <v>88.14</v>
      </c>
      <c r="G2759" s="7" t="n">
        <v>100</v>
      </c>
      <c r="H2759" s="9" t="n">
        <f aca="false">IF(G2759&gt;0,D2759/G2759,"")</f>
        <v>99.03</v>
      </c>
      <c r="I2759" s="10" t="n">
        <v>46274</v>
      </c>
      <c r="J2759" s="3" t="s">
        <v>336</v>
      </c>
      <c r="K2759" s="10" t="n">
        <v>46245</v>
      </c>
      <c r="L2759" s="3" t="s">
        <v>14</v>
      </c>
      <c r="M2759" s="7" t="n">
        <v>10000</v>
      </c>
      <c r="N2759" s="8" t="n">
        <v>0.0089</v>
      </c>
      <c r="O2759" s="4" t="n">
        <f aca="false">M2759*N2759</f>
        <v>89</v>
      </c>
    </row>
    <row r="2760" customFormat="false" ht="15" hidden="false" customHeight="false" outlineLevel="0" collapsed="false">
      <c r="A2760" s="0" t="s">
        <v>3994</v>
      </c>
      <c r="C2760" s="0" t="s">
        <v>38</v>
      </c>
      <c r="D2760" s="7" t="n">
        <v>2540</v>
      </c>
      <c r="E2760" s="8" t="n">
        <v>0.0346968503937008</v>
      </c>
      <c r="F2760" s="4" t="n">
        <f aca="false">D2760*E2760</f>
        <v>88.13</v>
      </c>
      <c r="G2760" s="7" t="n">
        <v>58</v>
      </c>
      <c r="H2760" s="9" t="n">
        <f aca="false">IF(G2760&gt;0,D2760/G2760,"")</f>
        <v>43.7931034482759</v>
      </c>
      <c r="I2760" s="10" t="n">
        <v>46185</v>
      </c>
      <c r="J2760" s="3" t="s">
        <v>2883</v>
      </c>
      <c r="K2760" s="10" t="n">
        <v>45594</v>
      </c>
      <c r="L2760" s="3" t="s">
        <v>18</v>
      </c>
      <c r="M2760" s="7" t="n">
        <v>2900</v>
      </c>
      <c r="N2760" s="8" t="n">
        <v>0.0347</v>
      </c>
      <c r="O2760" s="4" t="n">
        <f aca="false">M2760*N2760</f>
        <v>100.63</v>
      </c>
    </row>
    <row r="2761" customFormat="false" ht="15" hidden="false" customHeight="false" outlineLevel="0" collapsed="false">
      <c r="A2761" s="0" t="s">
        <v>3995</v>
      </c>
      <c r="C2761" s="0" t="s">
        <v>39</v>
      </c>
      <c r="D2761" s="7" t="n">
        <v>410</v>
      </c>
      <c r="E2761" s="8" t="n">
        <v>0.214682926829268</v>
      </c>
      <c r="F2761" s="4" t="n">
        <f aca="false">D2761*E2761</f>
        <v>88.02</v>
      </c>
      <c r="G2761" s="7" t="n">
        <v>294</v>
      </c>
      <c r="H2761" s="9" t="n">
        <f aca="false">IF(G2761&gt;0,D2761/G2761,"")</f>
        <v>1.39455782312925</v>
      </c>
      <c r="I2761" s="10" t="n">
        <v>46315</v>
      </c>
      <c r="J2761" s="3" t="s">
        <v>3583</v>
      </c>
      <c r="K2761" s="10" t="n">
        <v>46106</v>
      </c>
      <c r="L2761" s="3" t="s">
        <v>18</v>
      </c>
      <c r="M2761" s="7" t="n">
        <v>430</v>
      </c>
      <c r="N2761" s="8" t="n">
        <v>0.2147</v>
      </c>
      <c r="O2761" s="4" t="n">
        <f aca="false">M2761*N2761</f>
        <v>92.321</v>
      </c>
    </row>
    <row r="2762" customFormat="false" ht="15" hidden="false" customHeight="false" outlineLevel="0" collapsed="false">
      <c r="A2762" s="0" t="s">
        <v>3996</v>
      </c>
      <c r="C2762" s="0" t="s">
        <v>39</v>
      </c>
      <c r="D2762" s="7" t="n">
        <v>26</v>
      </c>
      <c r="E2762" s="8" t="n">
        <v>3.38384615384615</v>
      </c>
      <c r="F2762" s="4" t="n">
        <f aca="false">D2762*E2762</f>
        <v>87.98</v>
      </c>
      <c r="G2762" s="7" t="n">
        <v>6</v>
      </c>
      <c r="H2762" s="9" t="n">
        <f aca="false">IF(G2762&gt;0,D2762/G2762,"")</f>
        <v>4.33333333333333</v>
      </c>
      <c r="I2762" s="10" t="n">
        <v>46258</v>
      </c>
      <c r="J2762" s="3" t="s">
        <v>149</v>
      </c>
      <c r="K2762" s="10" t="n">
        <v>46259</v>
      </c>
      <c r="L2762" s="3" t="s">
        <v>14</v>
      </c>
      <c r="M2762" s="7" t="n">
        <v>25</v>
      </c>
      <c r="N2762" s="8" t="n">
        <v>3.3744</v>
      </c>
      <c r="O2762" s="4" t="n">
        <f aca="false">M2762*N2762</f>
        <v>84.36</v>
      </c>
    </row>
    <row r="2763" customFormat="false" ht="15" hidden="false" customHeight="false" outlineLevel="0" collapsed="false">
      <c r="A2763" s="0" t="s">
        <v>3997</v>
      </c>
      <c r="C2763" s="0" t="s">
        <v>340</v>
      </c>
      <c r="D2763" s="7" t="n">
        <v>2468</v>
      </c>
      <c r="E2763" s="8" t="n">
        <v>0.0355996758508914</v>
      </c>
      <c r="F2763" s="4" t="n">
        <f aca="false">D2763*E2763</f>
        <v>87.86</v>
      </c>
      <c r="G2763" s="7" t="n">
        <v>42</v>
      </c>
      <c r="H2763" s="9" t="n">
        <f aca="false">IF(G2763&gt;0,D2763/G2763,"")</f>
        <v>58.7619047619048</v>
      </c>
      <c r="I2763" s="10" t="n">
        <v>46308</v>
      </c>
      <c r="J2763" s="3" t="s">
        <v>1054</v>
      </c>
      <c r="K2763" s="10" t="n">
        <v>46224</v>
      </c>
      <c r="L2763" s="3" t="s">
        <v>16</v>
      </c>
      <c r="M2763" s="7" t="n">
        <v>2510</v>
      </c>
      <c r="N2763" s="8" t="n">
        <v>0.0356</v>
      </c>
      <c r="O2763" s="4" t="n">
        <f aca="false">M2763*N2763</f>
        <v>89.356</v>
      </c>
    </row>
    <row r="2764" customFormat="false" ht="15" hidden="false" customHeight="false" outlineLevel="0" collapsed="false">
      <c r="A2764" s="0" t="s">
        <v>3998</v>
      </c>
      <c r="C2764" s="0" t="s">
        <v>34</v>
      </c>
      <c r="D2764" s="7" t="n">
        <v>152</v>
      </c>
      <c r="E2764" s="8" t="n">
        <v>0.577960526315789</v>
      </c>
      <c r="F2764" s="4" t="n">
        <f aca="false">D2764*E2764</f>
        <v>87.85</v>
      </c>
      <c r="G2764" s="7" t="n">
        <v>26</v>
      </c>
      <c r="H2764" s="9" t="n">
        <f aca="false">IF(G2764&gt;0,D2764/G2764,"")</f>
        <v>5.84615384615385</v>
      </c>
      <c r="I2764" s="10" t="n">
        <v>46044</v>
      </c>
      <c r="J2764" s="3" t="s">
        <v>3999</v>
      </c>
      <c r="K2764" s="10" t="n">
        <v>44243</v>
      </c>
      <c r="L2764" s="3" t="s">
        <v>2203</v>
      </c>
      <c r="M2764" s="7" t="n">
        <v>150</v>
      </c>
      <c r="N2764" s="8" t="n">
        <v>0.60772</v>
      </c>
      <c r="O2764" s="4" t="n">
        <f aca="false">M2764*N2764</f>
        <v>91.158</v>
      </c>
    </row>
    <row r="2765" customFormat="false" ht="15" hidden="false" customHeight="false" outlineLevel="0" collapsed="false">
      <c r="A2765" s="0" t="s">
        <v>4000</v>
      </c>
      <c r="C2765" s="0" t="s">
        <v>370</v>
      </c>
      <c r="D2765" s="7" t="n">
        <v>1725</v>
      </c>
      <c r="E2765" s="8" t="n">
        <v>0.0509101449275362</v>
      </c>
      <c r="F2765" s="4" t="n">
        <f aca="false">D2765*E2765</f>
        <v>87.82</v>
      </c>
      <c r="G2765" s="7" t="n">
        <v>1297</v>
      </c>
      <c r="H2765" s="9" t="n">
        <f aca="false">IF(G2765&gt;0,D2765/G2765,"")</f>
        <v>1.32999228989977</v>
      </c>
      <c r="I2765" s="10" t="n">
        <v>46293</v>
      </c>
      <c r="J2765" s="3" t="s">
        <v>895</v>
      </c>
      <c r="K2765" s="10" t="n">
        <v>45516</v>
      </c>
      <c r="L2765" s="3" t="s">
        <v>21</v>
      </c>
      <c r="M2765" s="7" t="n">
        <v>2000</v>
      </c>
      <c r="N2765" s="8" t="n">
        <v>0.051</v>
      </c>
      <c r="O2765" s="4" t="n">
        <f aca="false">M2765*N2765</f>
        <v>102</v>
      </c>
    </row>
    <row r="2766" customFormat="false" ht="15" hidden="false" customHeight="false" outlineLevel="0" collapsed="false">
      <c r="A2766" s="0" t="s">
        <v>4001</v>
      </c>
      <c r="D2766" s="7" t="n">
        <v>577</v>
      </c>
      <c r="E2766" s="8" t="n">
        <v>0.152166377816291</v>
      </c>
      <c r="F2766" s="4" t="n">
        <f aca="false">D2766*E2766</f>
        <v>87.8</v>
      </c>
      <c r="G2766" s="7" t="n">
        <v>38</v>
      </c>
      <c r="H2766" s="9" t="n">
        <f aca="false">IF(G2766&gt;0,D2766/G2766,"")</f>
        <v>15.1842105263158</v>
      </c>
      <c r="I2766" s="10" t="n">
        <v>46161</v>
      </c>
      <c r="J2766" s="3" t="s">
        <v>903</v>
      </c>
      <c r="K2766" s="10" t="n">
        <v>45098</v>
      </c>
      <c r="L2766" s="3" t="s">
        <v>15</v>
      </c>
      <c r="M2766" s="7" t="n">
        <v>2000</v>
      </c>
      <c r="N2766" s="8" t="n">
        <v>0.15215</v>
      </c>
      <c r="O2766" s="4" t="n">
        <f aca="false">M2766*N2766</f>
        <v>304.3</v>
      </c>
    </row>
    <row r="2767" customFormat="false" ht="15" hidden="false" customHeight="false" outlineLevel="0" collapsed="false">
      <c r="A2767" s="0" t="s">
        <v>4002</v>
      </c>
      <c r="C2767" s="0" t="s">
        <v>741</v>
      </c>
      <c r="D2767" s="7" t="n">
        <v>478</v>
      </c>
      <c r="E2767" s="8" t="n">
        <v>0.183661087866109</v>
      </c>
      <c r="F2767" s="4" t="n">
        <f aca="false">D2767*E2767</f>
        <v>87.79</v>
      </c>
      <c r="G2767" s="7" t="n">
        <v>21</v>
      </c>
      <c r="H2767" s="9" t="n">
        <f aca="false">IF(G2767&gt;0,D2767/G2767,"")</f>
        <v>22.7619047619048</v>
      </c>
      <c r="I2767" s="10" t="n">
        <v>46234</v>
      </c>
      <c r="J2767" s="3" t="s">
        <v>3849</v>
      </c>
      <c r="K2767" s="10" t="n">
        <v>45015</v>
      </c>
      <c r="L2767" s="3" t="s">
        <v>27</v>
      </c>
      <c r="M2767" s="7" t="n">
        <v>300</v>
      </c>
      <c r="N2767" s="8" t="n">
        <v>0.1572</v>
      </c>
      <c r="O2767" s="4" t="n">
        <f aca="false">M2767*N2767</f>
        <v>47.16</v>
      </c>
    </row>
    <row r="2768" customFormat="false" ht="15" hidden="false" customHeight="false" outlineLevel="0" collapsed="false">
      <c r="A2768" s="0" t="s">
        <v>4003</v>
      </c>
      <c r="C2768" s="0" t="s">
        <v>583</v>
      </c>
      <c r="D2768" s="7" t="n">
        <v>3511</v>
      </c>
      <c r="E2768" s="8" t="n">
        <v>0.0249928795215039</v>
      </c>
      <c r="F2768" s="4" t="n">
        <f aca="false">D2768*E2768</f>
        <v>87.75</v>
      </c>
      <c r="G2768" s="7" t="n">
        <v>139</v>
      </c>
      <c r="H2768" s="9" t="n">
        <f aca="false">IF(G2768&gt;0,D2768/G2768,"")</f>
        <v>25.2589928057554</v>
      </c>
      <c r="I2768" s="10" t="n">
        <v>46310</v>
      </c>
      <c r="J2768" s="3" t="s">
        <v>3821</v>
      </c>
      <c r="K2768" s="10" t="n">
        <v>45980</v>
      </c>
      <c r="L2768" s="3" t="s">
        <v>19</v>
      </c>
      <c r="M2768" s="7" t="n">
        <v>250</v>
      </c>
      <c r="N2768" s="8" t="n">
        <v>0.0631</v>
      </c>
      <c r="O2768" s="4" t="n">
        <f aca="false">M2768*N2768</f>
        <v>15.775</v>
      </c>
    </row>
    <row r="2769" customFormat="false" ht="15" hidden="false" customHeight="false" outlineLevel="0" collapsed="false">
      <c r="A2769" s="0" t="s">
        <v>4004</v>
      </c>
      <c r="C2769" s="0" t="s">
        <v>285</v>
      </c>
      <c r="D2769" s="7" t="n">
        <v>1574</v>
      </c>
      <c r="E2769" s="8" t="n">
        <v>0.0556925031766201</v>
      </c>
      <c r="F2769" s="4" t="n">
        <f aca="false">D2769*E2769</f>
        <v>87.66</v>
      </c>
      <c r="G2769" s="7" t="n">
        <v>388</v>
      </c>
      <c r="H2769" s="9" t="n">
        <f aca="false">IF(G2769&gt;0,D2769/G2769,"")</f>
        <v>4.05670103092784</v>
      </c>
      <c r="I2769" s="10" t="n">
        <v>46190</v>
      </c>
      <c r="K2769" s="10"/>
      <c r="M2769" s="7"/>
      <c r="N2769" s="8"/>
      <c r="O2769" s="4"/>
    </row>
    <row r="2770" customFormat="false" ht="15" hidden="false" customHeight="false" outlineLevel="0" collapsed="false">
      <c r="A2770" s="0" t="s">
        <v>4005</v>
      </c>
      <c r="C2770" s="0" t="s">
        <v>285</v>
      </c>
      <c r="D2770" s="7" t="n">
        <v>1224</v>
      </c>
      <c r="E2770" s="8" t="n">
        <v>0.0716013071895425</v>
      </c>
      <c r="F2770" s="4" t="n">
        <f aca="false">D2770*E2770</f>
        <v>87.64</v>
      </c>
      <c r="G2770" s="7" t="n">
        <v>33</v>
      </c>
      <c r="H2770" s="9" t="n">
        <f aca="false">IF(G2770&gt;0,D2770/G2770,"")</f>
        <v>37.0909090909091</v>
      </c>
      <c r="I2770" s="10" t="n">
        <v>46209</v>
      </c>
      <c r="K2770" s="10"/>
      <c r="M2770" s="7"/>
      <c r="N2770" s="8"/>
      <c r="O2770" s="4"/>
    </row>
    <row r="2771" customFormat="false" ht="15" hidden="false" customHeight="false" outlineLevel="0" collapsed="false">
      <c r="A2771" s="0" t="s">
        <v>4006</v>
      </c>
      <c r="C2771" s="0" t="s">
        <v>39</v>
      </c>
      <c r="D2771" s="7" t="n">
        <v>630</v>
      </c>
      <c r="E2771" s="8" t="n">
        <v>0.139111111111111</v>
      </c>
      <c r="F2771" s="4" t="n">
        <f aca="false">D2771*E2771</f>
        <v>87.64</v>
      </c>
      <c r="G2771" s="7" t="n">
        <v>381</v>
      </c>
      <c r="H2771" s="9" t="n">
        <f aca="false">IF(G2771&gt;0,D2771/G2771,"")</f>
        <v>1.65354330708661</v>
      </c>
      <c r="I2771" s="10" t="n">
        <v>46210</v>
      </c>
      <c r="J2771" s="3" t="s">
        <v>3852</v>
      </c>
      <c r="K2771" s="10" t="n">
        <v>46126</v>
      </c>
      <c r="L2771" s="3" t="s">
        <v>18</v>
      </c>
      <c r="M2771" s="7" t="n">
        <v>838</v>
      </c>
      <c r="N2771" s="8" t="n">
        <v>0.1391</v>
      </c>
      <c r="O2771" s="4" t="n">
        <f aca="false">M2771*N2771</f>
        <v>116.5658</v>
      </c>
    </row>
    <row r="2772" customFormat="false" ht="15" hidden="false" customHeight="false" outlineLevel="0" collapsed="false">
      <c r="A2772" s="0" t="s">
        <v>4007</v>
      </c>
      <c r="C2772" s="0" t="s">
        <v>31</v>
      </c>
      <c r="D2772" s="7" t="n">
        <v>107</v>
      </c>
      <c r="E2772" s="8" t="n">
        <v>0.818224299065421</v>
      </c>
      <c r="F2772" s="4" t="n">
        <f aca="false">D2772*E2772</f>
        <v>87.55</v>
      </c>
      <c r="G2772" s="7" t="n">
        <v>32</v>
      </c>
      <c r="H2772" s="9" t="n">
        <f aca="false">IF(G2772&gt;0,D2772/G2772,"")</f>
        <v>3.34375</v>
      </c>
      <c r="I2772" s="10" t="n">
        <v>46309</v>
      </c>
      <c r="J2772" s="3" t="s">
        <v>4008</v>
      </c>
      <c r="K2772" s="10" t="n">
        <v>45607</v>
      </c>
      <c r="L2772" s="3" t="s">
        <v>19</v>
      </c>
      <c r="M2772" s="7" t="n">
        <v>23</v>
      </c>
      <c r="N2772" s="8" t="n">
        <v>1.5312</v>
      </c>
      <c r="O2772" s="4" t="n">
        <f aca="false">M2772*N2772</f>
        <v>35.2176</v>
      </c>
    </row>
    <row r="2773" customFormat="false" ht="15" hidden="false" customHeight="false" outlineLevel="0" collapsed="false">
      <c r="A2773" s="0" t="s">
        <v>4009</v>
      </c>
      <c r="C2773" s="0" t="s">
        <v>1169</v>
      </c>
      <c r="D2773" s="7" t="n">
        <v>1332</v>
      </c>
      <c r="E2773" s="8" t="n">
        <v>0.0657132132132132</v>
      </c>
      <c r="F2773" s="4" t="n">
        <f aca="false">D2773*E2773</f>
        <v>87.53</v>
      </c>
      <c r="G2773" s="7" t="n">
        <v>1166</v>
      </c>
      <c r="H2773" s="9" t="n">
        <f aca="false">IF(G2773&gt;0,D2773/G2773,"")</f>
        <v>1.14236706689537</v>
      </c>
      <c r="I2773" s="10" t="n">
        <v>46247</v>
      </c>
      <c r="J2773" s="3" t="s">
        <v>2900</v>
      </c>
      <c r="K2773" s="10" t="n">
        <v>45468</v>
      </c>
      <c r="L2773" s="3" t="s">
        <v>21</v>
      </c>
      <c r="M2773" s="7" t="n">
        <v>2500</v>
      </c>
      <c r="N2773" s="8" t="n">
        <v>0.05</v>
      </c>
      <c r="O2773" s="4" t="n">
        <f aca="false">M2773*N2773</f>
        <v>125</v>
      </c>
    </row>
    <row r="2774" customFormat="false" ht="15" hidden="false" customHeight="false" outlineLevel="0" collapsed="false">
      <c r="A2774" s="0" t="s">
        <v>4010</v>
      </c>
      <c r="C2774" s="0" t="s">
        <v>285</v>
      </c>
      <c r="D2774" s="7" t="n">
        <v>2187</v>
      </c>
      <c r="E2774" s="8" t="n">
        <v>0.04</v>
      </c>
      <c r="F2774" s="4" t="n">
        <f aca="false">D2774*E2774</f>
        <v>87.48</v>
      </c>
      <c r="G2774" s="7" t="n">
        <v>1585</v>
      </c>
      <c r="H2774" s="9" t="n">
        <f aca="false">IF(G2774&gt;0,D2774/G2774,"")</f>
        <v>1.37981072555205</v>
      </c>
      <c r="I2774" s="10" t="n">
        <v>46202</v>
      </c>
      <c r="J2774" s="3" t="s">
        <v>491</v>
      </c>
      <c r="K2774" s="10" t="n">
        <v>45411</v>
      </c>
      <c r="L2774" s="3" t="s">
        <v>15</v>
      </c>
      <c r="M2774" s="7" t="n">
        <v>6650</v>
      </c>
      <c r="N2774" s="8" t="n">
        <v>0.03827</v>
      </c>
      <c r="O2774" s="4" t="n">
        <f aca="false">M2774*N2774</f>
        <v>254.4955</v>
      </c>
    </row>
    <row r="2775" customFormat="false" ht="15" hidden="false" customHeight="false" outlineLevel="0" collapsed="false">
      <c r="A2775" s="0" t="s">
        <v>4011</v>
      </c>
      <c r="C2775" s="0" t="s">
        <v>38</v>
      </c>
      <c r="D2775" s="7" t="n">
        <v>4804</v>
      </c>
      <c r="E2775" s="8" t="n">
        <v>0.0182035803497086</v>
      </c>
      <c r="F2775" s="4" t="n">
        <f aca="false">D2775*E2775</f>
        <v>87.45</v>
      </c>
      <c r="G2775" s="7" t="n">
        <v>90</v>
      </c>
      <c r="H2775" s="9" t="n">
        <f aca="false">IF(G2775&gt;0,D2775/G2775,"")</f>
        <v>53.3777777777778</v>
      </c>
      <c r="I2775" s="10" t="n">
        <v>46274</v>
      </c>
      <c r="J2775" s="3" t="s">
        <v>4012</v>
      </c>
      <c r="K2775" s="10" t="n">
        <v>45733</v>
      </c>
      <c r="L2775" s="3" t="s">
        <v>18</v>
      </c>
      <c r="M2775" s="7" t="n">
        <v>5000</v>
      </c>
      <c r="N2775" s="8" t="n">
        <v>0.0182</v>
      </c>
      <c r="O2775" s="4" t="n">
        <f aca="false">M2775*N2775</f>
        <v>91</v>
      </c>
    </row>
    <row r="2776" customFormat="false" ht="15" hidden="false" customHeight="false" outlineLevel="0" collapsed="false">
      <c r="A2776" s="0" t="s">
        <v>4013</v>
      </c>
      <c r="C2776" s="0" t="s">
        <v>40</v>
      </c>
      <c r="D2776" s="7" t="n">
        <v>173</v>
      </c>
      <c r="E2776" s="8" t="n">
        <v>0.505317919075145</v>
      </c>
      <c r="F2776" s="4" t="n">
        <f aca="false">D2776*E2776</f>
        <v>87.42</v>
      </c>
      <c r="G2776" s="7" t="n">
        <v>50</v>
      </c>
      <c r="H2776" s="9" t="n">
        <f aca="false">IF(G2776&gt;0,D2776/G2776,"")</f>
        <v>3.46</v>
      </c>
      <c r="I2776" s="10" t="n">
        <v>46287</v>
      </c>
      <c r="J2776" s="3" t="s">
        <v>193</v>
      </c>
      <c r="K2776" s="10" t="n">
        <v>46265</v>
      </c>
      <c r="L2776" s="3" t="s">
        <v>18</v>
      </c>
      <c r="M2776" s="7" t="n">
        <v>223</v>
      </c>
      <c r="N2776" s="8" t="n">
        <v>0.5053</v>
      </c>
      <c r="O2776" s="4" t="n">
        <f aca="false">M2776*N2776</f>
        <v>112.6819</v>
      </c>
    </row>
    <row r="2777" customFormat="false" ht="15" hidden="false" customHeight="false" outlineLevel="0" collapsed="false">
      <c r="A2777" s="0" t="s">
        <v>4014</v>
      </c>
      <c r="C2777" s="0" t="s">
        <v>298</v>
      </c>
      <c r="D2777" s="7" t="n">
        <v>954</v>
      </c>
      <c r="E2777" s="8" t="n">
        <v>0.0916142557651992</v>
      </c>
      <c r="F2777" s="4" t="n">
        <f aca="false">D2777*E2777</f>
        <v>87.4</v>
      </c>
      <c r="G2777" s="7" t="n">
        <v>58</v>
      </c>
      <c r="H2777" s="9" t="n">
        <f aca="false">IF(G2777&gt;0,D2777/G2777,"")</f>
        <v>16.448275862069</v>
      </c>
      <c r="I2777" s="10" t="n">
        <v>46255</v>
      </c>
      <c r="J2777" s="3" t="s">
        <v>2267</v>
      </c>
      <c r="K2777" s="10" t="n">
        <v>45946</v>
      </c>
      <c r="L2777" s="3" t="s">
        <v>16</v>
      </c>
      <c r="M2777" s="7" t="n">
        <v>1000</v>
      </c>
      <c r="N2777" s="8" t="n">
        <v>0.0916</v>
      </c>
      <c r="O2777" s="4" t="n">
        <f aca="false">M2777*N2777</f>
        <v>91.6</v>
      </c>
    </row>
    <row r="2778" customFormat="false" ht="15" hidden="false" customHeight="false" outlineLevel="0" collapsed="false">
      <c r="A2778" s="0" t="s">
        <v>4015</v>
      </c>
      <c r="C2778" s="0" t="s">
        <v>370</v>
      </c>
      <c r="D2778" s="7" t="n">
        <v>1408</v>
      </c>
      <c r="E2778" s="8" t="n">
        <v>0.0620099431818182</v>
      </c>
      <c r="F2778" s="4" t="n">
        <f aca="false">D2778*E2778</f>
        <v>87.31</v>
      </c>
      <c r="G2778" s="7" t="n">
        <v>430</v>
      </c>
      <c r="H2778" s="9" t="n">
        <f aca="false">IF(G2778&gt;0,D2778/G2778,"")</f>
        <v>3.27441860465116</v>
      </c>
      <c r="I2778" s="10" t="n">
        <v>46259</v>
      </c>
      <c r="J2778" s="3" t="s">
        <v>4016</v>
      </c>
      <c r="K2778" s="10" t="n">
        <v>44294</v>
      </c>
      <c r="L2778" s="3" t="s">
        <v>21</v>
      </c>
      <c r="M2778" s="7" t="n">
        <v>5000</v>
      </c>
      <c r="N2778" s="8" t="n">
        <v>0.062</v>
      </c>
      <c r="O2778" s="4" t="n">
        <f aca="false">M2778*N2778</f>
        <v>310</v>
      </c>
    </row>
    <row r="2779" customFormat="false" ht="15" hidden="false" customHeight="false" outlineLevel="0" collapsed="false">
      <c r="A2779" s="0" t="s">
        <v>4017</v>
      </c>
      <c r="C2779" s="0" t="s">
        <v>34</v>
      </c>
      <c r="D2779" s="7" t="n">
        <v>1359</v>
      </c>
      <c r="E2779" s="8" t="n">
        <v>0.0642457689477557</v>
      </c>
      <c r="F2779" s="4" t="n">
        <f aca="false">D2779*E2779</f>
        <v>87.31</v>
      </c>
      <c r="G2779" s="7" t="n">
        <v>62</v>
      </c>
      <c r="H2779" s="9" t="n">
        <f aca="false">IF(G2779&gt;0,D2779/G2779,"")</f>
        <v>21.9193548387097</v>
      </c>
      <c r="I2779" s="10" t="n">
        <v>46154</v>
      </c>
      <c r="K2779" s="10"/>
      <c r="M2779" s="7"/>
      <c r="N2779" s="8"/>
      <c r="O2779" s="4"/>
    </row>
    <row r="2780" customFormat="false" ht="15" hidden="false" customHeight="false" outlineLevel="0" collapsed="false">
      <c r="A2780" s="0" t="s">
        <v>4018</v>
      </c>
      <c r="C2780" s="0" t="s">
        <v>765</v>
      </c>
      <c r="D2780" s="7" t="n">
        <v>771</v>
      </c>
      <c r="E2780" s="8" t="n">
        <v>0.113203631647211</v>
      </c>
      <c r="F2780" s="4" t="n">
        <f aca="false">D2780*E2780</f>
        <v>87.28</v>
      </c>
      <c r="G2780" s="7" t="n">
        <v>190</v>
      </c>
      <c r="H2780" s="9" t="n">
        <f aca="false">IF(G2780&gt;0,D2780/G2780,"")</f>
        <v>4.05789473684211</v>
      </c>
      <c r="I2780" s="10" t="n">
        <v>46265</v>
      </c>
      <c r="J2780" s="3" t="s">
        <v>2385</v>
      </c>
      <c r="K2780" s="10" t="n">
        <v>45629</v>
      </c>
      <c r="L2780" s="3" t="s">
        <v>16</v>
      </c>
      <c r="M2780" s="7" t="n">
        <v>1000</v>
      </c>
      <c r="N2780" s="8" t="n">
        <v>0.1132</v>
      </c>
      <c r="O2780" s="4" t="n">
        <f aca="false">M2780*N2780</f>
        <v>113.2</v>
      </c>
    </row>
    <row r="2781" customFormat="false" ht="15" hidden="false" customHeight="false" outlineLevel="0" collapsed="false">
      <c r="A2781" s="0" t="s">
        <v>4019</v>
      </c>
      <c r="C2781" s="0" t="s">
        <v>45</v>
      </c>
      <c r="D2781" s="7" t="n">
        <v>240</v>
      </c>
      <c r="E2781" s="8" t="n">
        <v>0.363541666666667</v>
      </c>
      <c r="F2781" s="4" t="n">
        <f aca="false">D2781*E2781</f>
        <v>87.25</v>
      </c>
      <c r="G2781" s="7" t="n">
        <v>62</v>
      </c>
      <c r="H2781" s="9" t="n">
        <f aca="false">IF(G2781&gt;0,D2781/G2781,"")</f>
        <v>3.87096774193548</v>
      </c>
      <c r="I2781" s="10" t="n">
        <v>46301</v>
      </c>
      <c r="K2781" s="10"/>
      <c r="M2781" s="7"/>
      <c r="N2781" s="8"/>
      <c r="O2781" s="4"/>
    </row>
    <row r="2782" customFormat="false" ht="15" hidden="false" customHeight="false" outlineLevel="0" collapsed="false">
      <c r="A2782" s="0" t="s">
        <v>4020</v>
      </c>
      <c r="C2782" s="0" t="s">
        <v>31</v>
      </c>
      <c r="D2782" s="7" t="n">
        <v>23674</v>
      </c>
      <c r="E2782" s="8" t="n">
        <v>0.00368378812199037</v>
      </c>
      <c r="F2782" s="4" t="n">
        <f aca="false">D2782*E2782</f>
        <v>87.21</v>
      </c>
      <c r="G2782" s="7" t="n">
        <v>10805</v>
      </c>
      <c r="H2782" s="9" t="n">
        <f aca="false">IF(G2782&gt;0,D2782/G2782,"")</f>
        <v>2.19102267468764</v>
      </c>
      <c r="I2782" s="10" t="n">
        <v>46266</v>
      </c>
      <c r="J2782" s="3" t="s">
        <v>2716</v>
      </c>
      <c r="K2782" s="10" t="n">
        <v>46160</v>
      </c>
      <c r="L2782" s="3" t="s">
        <v>16</v>
      </c>
      <c r="M2782" s="7" t="n">
        <v>22000</v>
      </c>
      <c r="N2782" s="8" t="n">
        <v>0.003</v>
      </c>
      <c r="O2782" s="4" t="n">
        <f aca="false">M2782*N2782</f>
        <v>66</v>
      </c>
    </row>
    <row r="2783" customFormat="false" ht="15" hidden="false" customHeight="false" outlineLevel="0" collapsed="false">
      <c r="A2783" s="0" t="s">
        <v>4021</v>
      </c>
      <c r="C2783" s="0" t="s">
        <v>38</v>
      </c>
      <c r="D2783" s="7" t="n">
        <v>1329</v>
      </c>
      <c r="E2783" s="8" t="n">
        <v>0.0655981941309255</v>
      </c>
      <c r="F2783" s="4" t="n">
        <f aca="false">D2783*E2783</f>
        <v>87.18</v>
      </c>
      <c r="G2783" s="7" t="n">
        <v>148</v>
      </c>
      <c r="H2783" s="9" t="n">
        <f aca="false">IF(G2783&gt;0,D2783/G2783,"")</f>
        <v>8.97972972972973</v>
      </c>
      <c r="I2783" s="10" t="n">
        <v>46142</v>
      </c>
      <c r="J2783" s="3" t="s">
        <v>3030</v>
      </c>
      <c r="K2783" s="10" t="n">
        <v>46126</v>
      </c>
      <c r="L2783" s="3" t="s">
        <v>14</v>
      </c>
      <c r="M2783" s="7" t="n">
        <v>1432</v>
      </c>
      <c r="N2783" s="8" t="n">
        <v>0.0656</v>
      </c>
      <c r="O2783" s="4" t="n">
        <f aca="false">M2783*N2783</f>
        <v>93.9392</v>
      </c>
    </row>
    <row r="2784" customFormat="false" ht="15" hidden="false" customHeight="false" outlineLevel="0" collapsed="false">
      <c r="A2784" s="0" t="s">
        <v>4022</v>
      </c>
      <c r="C2784" s="0" t="s">
        <v>40</v>
      </c>
      <c r="D2784" s="7" t="n">
        <v>492</v>
      </c>
      <c r="E2784" s="8" t="n">
        <v>0.176991869918699</v>
      </c>
      <c r="F2784" s="4" t="n">
        <f aca="false">D2784*E2784</f>
        <v>87.08</v>
      </c>
      <c r="G2784" s="7" t="n">
        <v>8</v>
      </c>
      <c r="H2784" s="9" t="n">
        <f aca="false">IF(G2784&gt;0,D2784/G2784,"")</f>
        <v>61.5</v>
      </c>
      <c r="I2784" s="10" t="n">
        <v>46168</v>
      </c>
      <c r="J2784" s="3" t="s">
        <v>4023</v>
      </c>
      <c r="K2784" s="10" t="n">
        <v>45128</v>
      </c>
      <c r="L2784" s="3" t="s">
        <v>18</v>
      </c>
      <c r="M2784" s="7" t="n">
        <v>560</v>
      </c>
      <c r="N2784" s="8" t="n">
        <v>0.177</v>
      </c>
      <c r="O2784" s="4" t="n">
        <f aca="false">M2784*N2784</f>
        <v>99.12</v>
      </c>
    </row>
    <row r="2785" customFormat="false" ht="15" hidden="false" customHeight="false" outlineLevel="0" collapsed="false">
      <c r="A2785" s="0" t="s">
        <v>4024</v>
      </c>
      <c r="C2785" s="0" t="s">
        <v>765</v>
      </c>
      <c r="D2785" s="7" t="n">
        <v>1431</v>
      </c>
      <c r="E2785" s="8" t="n">
        <v>0.0607966457023061</v>
      </c>
      <c r="F2785" s="4" t="n">
        <f aca="false">D2785*E2785</f>
        <v>87</v>
      </c>
      <c r="G2785" s="7" t="n">
        <v>373</v>
      </c>
      <c r="H2785" s="9" t="n">
        <f aca="false">IF(G2785&gt;0,D2785/G2785,"")</f>
        <v>3.83646112600536</v>
      </c>
      <c r="I2785" s="10" t="n">
        <v>46288</v>
      </c>
      <c r="J2785" s="3" t="s">
        <v>3371</v>
      </c>
      <c r="K2785" s="10" t="n">
        <v>45405</v>
      </c>
      <c r="L2785" s="3" t="s">
        <v>19</v>
      </c>
      <c r="M2785" s="7" t="n">
        <v>2500</v>
      </c>
      <c r="N2785" s="8" t="n">
        <v>0.0608</v>
      </c>
      <c r="O2785" s="4" t="n">
        <f aca="false">M2785*N2785</f>
        <v>152</v>
      </c>
    </row>
    <row r="2786" customFormat="false" ht="15" hidden="false" customHeight="false" outlineLevel="0" collapsed="false">
      <c r="A2786" s="0" t="s">
        <v>4025</v>
      </c>
      <c r="C2786" s="0" t="s">
        <v>36</v>
      </c>
      <c r="D2786" s="7" t="n">
        <v>1223</v>
      </c>
      <c r="E2786" s="8" t="n">
        <v>0.0711120196238757</v>
      </c>
      <c r="F2786" s="4" t="n">
        <f aca="false">D2786*E2786</f>
        <v>86.97</v>
      </c>
      <c r="G2786" s="7" t="n">
        <v>300</v>
      </c>
      <c r="H2786" s="9" t="n">
        <f aca="false">IF(G2786&gt;0,D2786/G2786,"")</f>
        <v>4.07666666666667</v>
      </c>
      <c r="I2786" s="10" t="n">
        <v>46090</v>
      </c>
      <c r="J2786" s="3" t="s">
        <v>4026</v>
      </c>
      <c r="K2786" s="10" t="n">
        <v>44744</v>
      </c>
      <c r="L2786" s="3" t="s">
        <v>465</v>
      </c>
      <c r="M2786" s="7" t="n">
        <v>1994</v>
      </c>
      <c r="N2786" s="8" t="n">
        <v>0.0711</v>
      </c>
      <c r="O2786" s="4" t="n">
        <f aca="false">M2786*N2786</f>
        <v>141.7734</v>
      </c>
    </row>
    <row r="2787" customFormat="false" ht="15" hidden="false" customHeight="false" outlineLevel="0" collapsed="false">
      <c r="A2787" s="0" t="s">
        <v>4027</v>
      </c>
      <c r="C2787" s="0" t="s">
        <v>741</v>
      </c>
      <c r="D2787" s="7" t="n">
        <v>291</v>
      </c>
      <c r="E2787" s="8" t="n">
        <v>0.29872852233677</v>
      </c>
      <c r="F2787" s="4" t="n">
        <f aca="false">D2787*E2787</f>
        <v>86.93</v>
      </c>
      <c r="G2787" s="7" t="n">
        <v>16</v>
      </c>
      <c r="H2787" s="9" t="n">
        <f aca="false">IF(G2787&gt;0,D2787/G2787,"")</f>
        <v>18.1875</v>
      </c>
      <c r="I2787" s="10" t="n">
        <v>46122</v>
      </c>
      <c r="J2787" s="3" t="s">
        <v>1206</v>
      </c>
      <c r="K2787" s="10" t="n">
        <v>46064</v>
      </c>
      <c r="L2787" s="3" t="s">
        <v>27</v>
      </c>
      <c r="M2787" s="7" t="n">
        <v>250</v>
      </c>
      <c r="N2787" s="8" t="n">
        <v>0.2812</v>
      </c>
      <c r="O2787" s="4" t="n">
        <f aca="false">M2787*N2787</f>
        <v>70.3</v>
      </c>
    </row>
    <row r="2788" customFormat="false" ht="15" hidden="false" customHeight="false" outlineLevel="0" collapsed="false">
      <c r="A2788" s="0" t="s">
        <v>4028</v>
      </c>
      <c r="C2788" s="0" t="s">
        <v>979</v>
      </c>
      <c r="D2788" s="7" t="n">
        <v>148</v>
      </c>
      <c r="E2788" s="8" t="n">
        <v>0.587364864864865</v>
      </c>
      <c r="F2788" s="4" t="n">
        <f aca="false">D2788*E2788</f>
        <v>86.93</v>
      </c>
      <c r="G2788" s="7" t="n">
        <v>25</v>
      </c>
      <c r="H2788" s="9" t="n">
        <f aca="false">IF(G2788&gt;0,D2788/G2788,"")</f>
        <v>5.92</v>
      </c>
      <c r="I2788" s="10" t="n">
        <v>45978</v>
      </c>
      <c r="J2788" s="3" t="s">
        <v>3719</v>
      </c>
      <c r="K2788" s="10" t="n">
        <v>45218</v>
      </c>
      <c r="L2788" s="3" t="s">
        <v>18</v>
      </c>
      <c r="M2788" s="7" t="n">
        <v>186</v>
      </c>
      <c r="N2788" s="8" t="n">
        <v>0.5873</v>
      </c>
      <c r="O2788" s="4" t="n">
        <f aca="false">M2788*N2788</f>
        <v>109.2378</v>
      </c>
    </row>
    <row r="2789" customFormat="false" ht="15" hidden="false" customHeight="false" outlineLevel="0" collapsed="false">
      <c r="A2789" s="0" t="s">
        <v>4029</v>
      </c>
      <c r="C2789" s="0" t="s">
        <v>61</v>
      </c>
      <c r="D2789" s="7" t="n">
        <v>454</v>
      </c>
      <c r="E2789" s="8" t="n">
        <v>0.191299559471366</v>
      </c>
      <c r="F2789" s="4" t="n">
        <f aca="false">D2789*E2789</f>
        <v>86.85</v>
      </c>
      <c r="G2789" s="7" t="n">
        <v>25</v>
      </c>
      <c r="H2789" s="9" t="n">
        <f aca="false">IF(G2789&gt;0,D2789/G2789,"")</f>
        <v>18.16</v>
      </c>
      <c r="I2789" s="10" t="n">
        <v>46304</v>
      </c>
      <c r="K2789" s="10"/>
      <c r="M2789" s="7"/>
      <c r="N2789" s="8"/>
      <c r="O2789" s="4"/>
    </row>
    <row r="2790" customFormat="false" ht="15" hidden="false" customHeight="false" outlineLevel="0" collapsed="false">
      <c r="A2790" s="0" t="s">
        <v>4030</v>
      </c>
      <c r="C2790" s="0" t="s">
        <v>38</v>
      </c>
      <c r="D2790" s="7" t="n">
        <v>15701</v>
      </c>
      <c r="E2790" s="8" t="n">
        <v>0.00552512578816636</v>
      </c>
      <c r="F2790" s="4" t="n">
        <f aca="false">D2790*E2790</f>
        <v>86.75</v>
      </c>
      <c r="G2790" s="7" t="n">
        <v>605</v>
      </c>
      <c r="H2790" s="9" t="n">
        <f aca="false">IF(G2790&gt;0,D2790/G2790,"")</f>
        <v>25.9520661157025</v>
      </c>
      <c r="I2790" s="10" t="n">
        <v>46280</v>
      </c>
      <c r="K2790" s="10"/>
      <c r="M2790" s="7"/>
      <c r="N2790" s="8"/>
      <c r="O2790" s="4"/>
    </row>
    <row r="2791" customFormat="false" ht="15" hidden="false" customHeight="false" outlineLevel="0" collapsed="false">
      <c r="A2791" s="0" t="s">
        <v>4031</v>
      </c>
      <c r="C2791" s="0" t="s">
        <v>36</v>
      </c>
      <c r="D2791" s="7" t="n">
        <v>990</v>
      </c>
      <c r="E2791" s="8" t="n">
        <v>0.0875959595959596</v>
      </c>
      <c r="F2791" s="4" t="n">
        <f aca="false">D2791*E2791</f>
        <v>86.72</v>
      </c>
      <c r="G2791" s="7" t="n">
        <v>93</v>
      </c>
      <c r="H2791" s="9" t="n">
        <f aca="false">IF(G2791&gt;0,D2791/G2791,"")</f>
        <v>10.6451612903226</v>
      </c>
      <c r="I2791" s="10" t="n">
        <v>46211</v>
      </c>
      <c r="J2791" s="3" t="s">
        <v>4032</v>
      </c>
      <c r="K2791" s="10" t="n">
        <v>46148</v>
      </c>
      <c r="L2791" s="3" t="s">
        <v>14</v>
      </c>
      <c r="M2791" s="7" t="n">
        <v>1000</v>
      </c>
      <c r="N2791" s="8" t="n">
        <v>0.0876</v>
      </c>
      <c r="O2791" s="4" t="n">
        <f aca="false">M2791*N2791</f>
        <v>87.6</v>
      </c>
    </row>
    <row r="2792" customFormat="false" ht="15" hidden="false" customHeight="false" outlineLevel="0" collapsed="false">
      <c r="A2792" s="0" t="s">
        <v>4033</v>
      </c>
      <c r="D2792" s="7" t="n">
        <v>369</v>
      </c>
      <c r="E2792" s="8" t="n">
        <v>0.234986449864499</v>
      </c>
      <c r="F2792" s="4" t="n">
        <f aca="false">D2792*E2792</f>
        <v>86.71</v>
      </c>
      <c r="G2792" s="7" t="n">
        <v>30</v>
      </c>
      <c r="H2792" s="9" t="n">
        <f aca="false">IF(G2792&gt;0,D2792/G2792,"")</f>
        <v>12.3</v>
      </c>
      <c r="I2792" s="10" t="n">
        <v>46237</v>
      </c>
      <c r="J2792" s="3" t="s">
        <v>4034</v>
      </c>
      <c r="K2792" s="10" t="n">
        <v>44344</v>
      </c>
      <c r="L2792" s="3" t="s">
        <v>936</v>
      </c>
      <c r="M2792" s="7" t="n">
        <v>650</v>
      </c>
      <c r="N2792" s="8" t="n">
        <v>0.235</v>
      </c>
      <c r="O2792" s="4" t="n">
        <f aca="false">M2792*N2792</f>
        <v>152.75</v>
      </c>
    </row>
    <row r="2793" customFormat="false" ht="15" hidden="false" customHeight="false" outlineLevel="0" collapsed="false">
      <c r="A2793" s="0" t="s">
        <v>4035</v>
      </c>
      <c r="C2793" s="0" t="s">
        <v>32</v>
      </c>
      <c r="D2793" s="7" t="n">
        <v>234</v>
      </c>
      <c r="E2793" s="8" t="n">
        <v>0.370512820512821</v>
      </c>
      <c r="F2793" s="4" t="n">
        <f aca="false">D2793*E2793</f>
        <v>86.7</v>
      </c>
      <c r="G2793" s="7" t="n">
        <v>16</v>
      </c>
      <c r="H2793" s="9" t="n">
        <f aca="false">IF(G2793&gt;0,D2793/G2793,"")</f>
        <v>14.625</v>
      </c>
      <c r="I2793" s="10" t="n">
        <v>46157</v>
      </c>
      <c r="J2793" s="3" t="s">
        <v>2506</v>
      </c>
      <c r="K2793" s="10" t="n">
        <v>45911</v>
      </c>
      <c r="L2793" s="3" t="s">
        <v>18</v>
      </c>
      <c r="M2793" s="7" t="n">
        <v>240</v>
      </c>
      <c r="N2793" s="8" t="n">
        <v>0.3705</v>
      </c>
      <c r="O2793" s="4" t="n">
        <f aca="false">M2793*N2793</f>
        <v>88.92</v>
      </c>
    </row>
    <row r="2794" customFormat="false" ht="15" hidden="false" customHeight="false" outlineLevel="0" collapsed="false">
      <c r="A2794" s="0" t="s">
        <v>4036</v>
      </c>
      <c r="C2794" s="0" t="s">
        <v>36</v>
      </c>
      <c r="D2794" s="7" t="n">
        <v>462</v>
      </c>
      <c r="E2794" s="8" t="n">
        <v>0.187597402597403</v>
      </c>
      <c r="F2794" s="4" t="n">
        <f aca="false">D2794*E2794</f>
        <v>86.67</v>
      </c>
      <c r="G2794" s="7" t="n">
        <v>18</v>
      </c>
      <c r="H2794" s="9" t="n">
        <f aca="false">IF(G2794&gt;0,D2794/G2794,"")</f>
        <v>25.6666666666667</v>
      </c>
      <c r="I2794" s="10" t="n">
        <v>46301</v>
      </c>
      <c r="K2794" s="10"/>
      <c r="M2794" s="7"/>
      <c r="N2794" s="8"/>
      <c r="O2794" s="4"/>
    </row>
    <row r="2795" customFormat="false" ht="15" hidden="false" customHeight="false" outlineLevel="0" collapsed="false">
      <c r="A2795" s="0" t="s">
        <v>4037</v>
      </c>
      <c r="C2795" s="0" t="s">
        <v>41</v>
      </c>
      <c r="D2795" s="7" t="n">
        <v>17654</v>
      </c>
      <c r="E2795" s="8" t="n">
        <v>0.00490880253766852</v>
      </c>
      <c r="F2795" s="4" t="n">
        <f aca="false">D2795*E2795</f>
        <v>86.66</v>
      </c>
      <c r="G2795" s="7" t="n">
        <v>190</v>
      </c>
      <c r="H2795" s="9" t="n">
        <f aca="false">IF(G2795&gt;0,D2795/G2795,"")</f>
        <v>92.9157894736842</v>
      </c>
      <c r="I2795" s="10" t="n">
        <v>46276</v>
      </c>
      <c r="K2795" s="10"/>
      <c r="M2795" s="7"/>
      <c r="N2795" s="8"/>
      <c r="O2795" s="4"/>
    </row>
    <row r="2796" customFormat="false" ht="15" hidden="false" customHeight="false" outlineLevel="0" collapsed="false">
      <c r="A2796" s="0" t="s">
        <v>4038</v>
      </c>
      <c r="C2796" s="0" t="s">
        <v>1010</v>
      </c>
      <c r="D2796" s="7" t="n">
        <v>20</v>
      </c>
      <c r="E2796" s="8" t="n">
        <v>4.3305</v>
      </c>
      <c r="F2796" s="4" t="n">
        <f aca="false">D2796*E2796</f>
        <v>86.61</v>
      </c>
      <c r="G2796" s="7" t="n">
        <v>3</v>
      </c>
      <c r="H2796" s="9" t="n">
        <f aca="false">IF(G2796&gt;0,D2796/G2796,"")</f>
        <v>6.66666666666667</v>
      </c>
      <c r="I2796" s="10" t="n">
        <v>45986</v>
      </c>
      <c r="J2796" s="3" t="s">
        <v>3590</v>
      </c>
      <c r="K2796" s="10" t="n">
        <v>45967</v>
      </c>
      <c r="L2796" s="3" t="s">
        <v>16</v>
      </c>
      <c r="M2796" s="7" t="n">
        <v>23</v>
      </c>
      <c r="N2796" s="8" t="n">
        <v>4.3303</v>
      </c>
      <c r="O2796" s="4" t="n">
        <f aca="false">M2796*N2796</f>
        <v>99.5969</v>
      </c>
    </row>
    <row r="2797" customFormat="false" ht="15" hidden="false" customHeight="false" outlineLevel="0" collapsed="false">
      <c r="A2797" s="0" t="s">
        <v>4039</v>
      </c>
      <c r="C2797" s="0" t="s">
        <v>118</v>
      </c>
      <c r="D2797" s="7" t="n">
        <v>2322</v>
      </c>
      <c r="E2797" s="8" t="n">
        <v>0.03729112833764</v>
      </c>
      <c r="F2797" s="4" t="n">
        <f aca="false">D2797*E2797</f>
        <v>86.59</v>
      </c>
      <c r="G2797" s="7" t="n">
        <v>246</v>
      </c>
      <c r="H2797" s="9" t="n">
        <f aca="false">IF(G2797&gt;0,D2797/G2797,"")</f>
        <v>9.4390243902439</v>
      </c>
      <c r="I2797" s="10" t="n">
        <v>46300</v>
      </c>
      <c r="J2797" s="3" t="s">
        <v>778</v>
      </c>
      <c r="K2797" s="10" t="n">
        <v>45967</v>
      </c>
      <c r="L2797" s="3" t="s">
        <v>15</v>
      </c>
      <c r="M2797" s="7" t="n">
        <v>2500</v>
      </c>
      <c r="N2797" s="8" t="n">
        <v>0.03729</v>
      </c>
      <c r="O2797" s="4" t="n">
        <f aca="false">M2797*N2797</f>
        <v>93.225</v>
      </c>
    </row>
    <row r="2798" customFormat="false" ht="15" hidden="false" customHeight="false" outlineLevel="0" collapsed="false">
      <c r="A2798" s="0" t="s">
        <v>4040</v>
      </c>
      <c r="C2798" s="0" t="s">
        <v>1010</v>
      </c>
      <c r="D2798" s="7" t="n">
        <v>110</v>
      </c>
      <c r="E2798" s="8" t="n">
        <v>0.786272727272727</v>
      </c>
      <c r="F2798" s="4" t="n">
        <f aca="false">D2798*E2798</f>
        <v>86.49</v>
      </c>
      <c r="G2798" s="7" t="n">
        <v>15</v>
      </c>
      <c r="H2798" s="9" t="n">
        <f aca="false">IF(G2798&gt;0,D2798/G2798,"")</f>
        <v>7.33333333333333</v>
      </c>
      <c r="I2798" s="10" t="n">
        <v>46091</v>
      </c>
      <c r="J2798" s="3" t="s">
        <v>1651</v>
      </c>
      <c r="K2798" s="10" t="n">
        <v>46069</v>
      </c>
      <c r="L2798" s="3" t="s">
        <v>16</v>
      </c>
      <c r="M2798" s="7" t="n">
        <v>125</v>
      </c>
      <c r="N2798" s="8" t="n">
        <v>0.7862</v>
      </c>
      <c r="O2798" s="4" t="n">
        <f aca="false">M2798*N2798</f>
        <v>98.275</v>
      </c>
    </row>
    <row r="2799" customFormat="false" ht="15" hidden="false" customHeight="false" outlineLevel="0" collapsed="false">
      <c r="A2799" s="0" t="s">
        <v>4041</v>
      </c>
      <c r="C2799" s="0" t="s">
        <v>402</v>
      </c>
      <c r="D2799" s="7" t="n">
        <v>6</v>
      </c>
      <c r="E2799" s="8" t="n">
        <v>14.4</v>
      </c>
      <c r="F2799" s="4" t="n">
        <f aca="false">D2799*E2799</f>
        <v>86.4</v>
      </c>
      <c r="G2799" s="7" t="n">
        <v>4</v>
      </c>
      <c r="H2799" s="9" t="n">
        <f aca="false">IF(G2799&gt;0,D2799/G2799,"")</f>
        <v>1.5</v>
      </c>
      <c r="I2799" s="10" t="n">
        <v>45987</v>
      </c>
      <c r="J2799" s="3" t="s">
        <v>1580</v>
      </c>
      <c r="K2799" s="10" t="n">
        <v>45967</v>
      </c>
      <c r="L2799" s="3" t="s">
        <v>834</v>
      </c>
      <c r="M2799" s="7" t="n">
        <v>10</v>
      </c>
      <c r="N2799" s="8" t="n">
        <v>14.4</v>
      </c>
      <c r="O2799" s="4" t="n">
        <f aca="false">M2799*N2799</f>
        <v>144</v>
      </c>
    </row>
    <row r="2800" customFormat="false" ht="15" hidden="false" customHeight="false" outlineLevel="0" collapsed="false">
      <c r="A2800" s="0" t="s">
        <v>4042</v>
      </c>
      <c r="C2800" s="0" t="s">
        <v>41</v>
      </c>
      <c r="D2800" s="7" t="n">
        <v>2158</v>
      </c>
      <c r="E2800" s="8" t="n">
        <v>0.04</v>
      </c>
      <c r="F2800" s="4" t="n">
        <f aca="false">D2800*E2800</f>
        <v>86.32</v>
      </c>
      <c r="G2800" s="7" t="n">
        <v>74</v>
      </c>
      <c r="H2800" s="9" t="n">
        <f aca="false">IF(G2800&gt;0,D2800/G2800,"")</f>
        <v>29.1621621621622</v>
      </c>
      <c r="I2800" s="10" t="n">
        <v>46308</v>
      </c>
      <c r="J2800" s="3" t="s">
        <v>1778</v>
      </c>
      <c r="K2800" s="10" t="n">
        <v>44699</v>
      </c>
      <c r="L2800" s="3" t="s">
        <v>15</v>
      </c>
      <c r="M2800" s="7" t="n">
        <v>2280</v>
      </c>
      <c r="N2800" s="8" t="n">
        <v>0.0442</v>
      </c>
      <c r="O2800" s="4" t="n">
        <f aca="false">M2800*N2800</f>
        <v>100.776</v>
      </c>
    </row>
    <row r="2801" customFormat="false" ht="15" hidden="false" customHeight="false" outlineLevel="0" collapsed="false">
      <c r="A2801" s="0" t="s">
        <v>4043</v>
      </c>
      <c r="C2801" s="0" t="s">
        <v>31</v>
      </c>
      <c r="D2801" s="7" t="n">
        <v>3479</v>
      </c>
      <c r="E2801" s="8" t="n">
        <v>0.0247973555619431</v>
      </c>
      <c r="F2801" s="4" t="n">
        <f aca="false">D2801*E2801</f>
        <v>86.27</v>
      </c>
      <c r="G2801" s="7" t="n">
        <v>322</v>
      </c>
      <c r="H2801" s="9" t="n">
        <f aca="false">IF(G2801&gt;0,D2801/G2801,"")</f>
        <v>10.804347826087</v>
      </c>
      <c r="I2801" s="10" t="n">
        <v>46294</v>
      </c>
      <c r="K2801" s="10"/>
      <c r="M2801" s="7"/>
      <c r="N2801" s="8"/>
      <c r="O2801" s="4"/>
    </row>
    <row r="2802" customFormat="false" ht="15" hidden="false" customHeight="false" outlineLevel="0" collapsed="false">
      <c r="A2802" s="0" t="s">
        <v>4044</v>
      </c>
      <c r="C2802" s="0" t="s">
        <v>31</v>
      </c>
      <c r="D2802" s="7" t="n">
        <v>11049</v>
      </c>
      <c r="E2802" s="8" t="n">
        <v>0.00780342112408363</v>
      </c>
      <c r="F2802" s="4" t="n">
        <f aca="false">D2802*E2802</f>
        <v>86.22</v>
      </c>
      <c r="G2802" s="7" t="n">
        <v>2844</v>
      </c>
      <c r="H2802" s="9" t="n">
        <f aca="false">IF(G2802&gt;0,D2802/G2802,"")</f>
        <v>3.88502109704641</v>
      </c>
      <c r="I2802" s="10" t="n">
        <v>46300</v>
      </c>
      <c r="J2802" s="3" t="s">
        <v>4045</v>
      </c>
      <c r="K2802" s="10" t="n">
        <v>45587</v>
      </c>
      <c r="L2802" s="3" t="s">
        <v>16</v>
      </c>
      <c r="M2802" s="7" t="n">
        <v>18988</v>
      </c>
      <c r="N2802" s="8" t="n">
        <v>0.0078</v>
      </c>
      <c r="O2802" s="4" t="n">
        <f aca="false">M2802*N2802</f>
        <v>148.1064</v>
      </c>
    </row>
    <row r="2803" customFormat="false" ht="15" hidden="false" customHeight="false" outlineLevel="0" collapsed="false">
      <c r="A2803" s="0" t="s">
        <v>4046</v>
      </c>
      <c r="C2803" s="0" t="s">
        <v>889</v>
      </c>
      <c r="D2803" s="7" t="n">
        <v>34461</v>
      </c>
      <c r="E2803" s="8" t="n">
        <v>0.00249992745422362</v>
      </c>
      <c r="F2803" s="4" t="n">
        <f aca="false">D2803*E2803</f>
        <v>86.15</v>
      </c>
      <c r="G2803" s="7" t="n">
        <v>1100</v>
      </c>
      <c r="H2803" s="9" t="n">
        <f aca="false">IF(G2803&gt;0,D2803/G2803,"")</f>
        <v>31.3281818181818</v>
      </c>
      <c r="I2803" s="10" t="n">
        <v>46304</v>
      </c>
      <c r="K2803" s="10"/>
      <c r="M2803" s="7"/>
      <c r="N2803" s="8"/>
      <c r="O2803" s="4"/>
    </row>
    <row r="2804" customFormat="false" ht="15" hidden="false" customHeight="false" outlineLevel="0" collapsed="false">
      <c r="A2804" s="0" t="s">
        <v>4047</v>
      </c>
      <c r="C2804" s="0" t="s">
        <v>1169</v>
      </c>
      <c r="D2804" s="7" t="n">
        <v>23</v>
      </c>
      <c r="E2804" s="8" t="n">
        <v>3.74565217391304</v>
      </c>
      <c r="F2804" s="4" t="n">
        <f aca="false">D2804*E2804</f>
        <v>86.15</v>
      </c>
      <c r="G2804" s="7" t="n">
        <v>3</v>
      </c>
      <c r="H2804" s="9" t="n">
        <f aca="false">IF(G2804&gt;0,D2804/G2804,"")</f>
        <v>7.66666666666667</v>
      </c>
      <c r="I2804" s="10" t="n">
        <v>46112</v>
      </c>
      <c r="J2804" s="3" t="s">
        <v>1405</v>
      </c>
      <c r="K2804" s="10" t="n">
        <v>44872</v>
      </c>
      <c r="L2804" s="3" t="s">
        <v>14</v>
      </c>
      <c r="M2804" s="7" t="n">
        <v>25</v>
      </c>
      <c r="N2804" s="8" t="n">
        <v>3.84</v>
      </c>
      <c r="O2804" s="4" t="n">
        <f aca="false">M2804*N2804</f>
        <v>96</v>
      </c>
    </row>
    <row r="2805" customFormat="false" ht="15" hidden="false" customHeight="false" outlineLevel="0" collapsed="false">
      <c r="A2805" s="0" t="s">
        <v>4048</v>
      </c>
      <c r="C2805" s="0" t="s">
        <v>2569</v>
      </c>
      <c r="D2805" s="7" t="n">
        <v>175</v>
      </c>
      <c r="E2805" s="8" t="n">
        <v>0.492</v>
      </c>
      <c r="F2805" s="4" t="n">
        <f aca="false">D2805*E2805</f>
        <v>86.1</v>
      </c>
      <c r="G2805" s="7" t="n">
        <v>13</v>
      </c>
      <c r="H2805" s="9" t="n">
        <f aca="false">IF(G2805&gt;0,D2805/G2805,"")</f>
        <v>13.4615384615385</v>
      </c>
      <c r="I2805" s="10" t="n">
        <v>46185</v>
      </c>
      <c r="J2805" s="3" t="s">
        <v>4049</v>
      </c>
      <c r="K2805" s="10" t="n">
        <v>45245</v>
      </c>
      <c r="L2805" s="3" t="s">
        <v>2571</v>
      </c>
      <c r="M2805" s="7" t="n">
        <v>250</v>
      </c>
      <c r="N2805" s="8" t="n">
        <v>0.492</v>
      </c>
      <c r="O2805" s="4" t="n">
        <f aca="false">M2805*N2805</f>
        <v>123</v>
      </c>
    </row>
    <row r="2806" customFormat="false" ht="15" hidden="false" customHeight="false" outlineLevel="0" collapsed="false">
      <c r="A2806" s="0" t="s">
        <v>4050</v>
      </c>
      <c r="C2806" s="0" t="s">
        <v>32</v>
      </c>
      <c r="D2806" s="7" t="n">
        <v>816</v>
      </c>
      <c r="E2806" s="8" t="n">
        <v>0.105502450980392</v>
      </c>
      <c r="F2806" s="4" t="n">
        <f aca="false">D2806*E2806</f>
        <v>86.09</v>
      </c>
      <c r="G2806" s="7" t="n">
        <v>618</v>
      </c>
      <c r="H2806" s="9" t="n">
        <f aca="false">IF(G2806&gt;0,D2806/G2806,"")</f>
        <v>1.32038834951456</v>
      </c>
      <c r="I2806" s="10" t="n">
        <v>46316</v>
      </c>
      <c r="J2806" s="3" t="s">
        <v>215</v>
      </c>
      <c r="K2806" s="10" t="n">
        <v>46259</v>
      </c>
      <c r="L2806" s="3" t="s">
        <v>18</v>
      </c>
      <c r="M2806" s="7" t="n">
        <v>1000</v>
      </c>
      <c r="N2806" s="8" t="n">
        <v>0.1055</v>
      </c>
      <c r="O2806" s="4" t="n">
        <f aca="false">M2806*N2806</f>
        <v>105.5</v>
      </c>
    </row>
    <row r="2807" customFormat="false" ht="15" hidden="false" customHeight="false" outlineLevel="0" collapsed="false">
      <c r="A2807" s="0" t="s">
        <v>4051</v>
      </c>
      <c r="C2807" s="0" t="s">
        <v>40</v>
      </c>
      <c r="D2807" s="7" t="n">
        <v>652</v>
      </c>
      <c r="E2807" s="8" t="n">
        <v>0.131993865030675</v>
      </c>
      <c r="F2807" s="4" t="n">
        <f aca="false">D2807*E2807</f>
        <v>86.06</v>
      </c>
      <c r="G2807" s="7" t="n">
        <v>528</v>
      </c>
      <c r="H2807" s="9" t="n">
        <f aca="false">IF(G2807&gt;0,D2807/G2807,"")</f>
        <v>1.23484848484848</v>
      </c>
      <c r="I2807" s="10" t="n">
        <v>46178</v>
      </c>
      <c r="J2807" s="3" t="s">
        <v>4052</v>
      </c>
      <c r="K2807" s="10" t="n">
        <v>46014</v>
      </c>
      <c r="L2807" s="3" t="s">
        <v>18</v>
      </c>
      <c r="M2807" s="7" t="n">
        <v>700</v>
      </c>
      <c r="N2807" s="8" t="n">
        <v>0.1365</v>
      </c>
      <c r="O2807" s="4" t="n">
        <f aca="false">M2807*N2807</f>
        <v>95.55</v>
      </c>
    </row>
    <row r="2808" customFormat="false" ht="15" hidden="false" customHeight="false" outlineLevel="0" collapsed="false">
      <c r="A2808" s="0" t="s">
        <v>4053</v>
      </c>
      <c r="C2808" s="0" t="s">
        <v>31</v>
      </c>
      <c r="D2808" s="7" t="n">
        <v>8443</v>
      </c>
      <c r="E2808" s="8" t="n">
        <v>0.0101906905128509</v>
      </c>
      <c r="F2808" s="4" t="n">
        <f aca="false">D2808*E2808</f>
        <v>86.04</v>
      </c>
      <c r="G2808" s="7" t="n">
        <v>118</v>
      </c>
      <c r="H2808" s="9" t="n">
        <f aca="false">IF(G2808&gt;0,D2808/G2808,"")</f>
        <v>71.5508474576271</v>
      </c>
      <c r="I2808" s="10" t="n">
        <v>46146</v>
      </c>
      <c r="K2808" s="10"/>
      <c r="M2808" s="7"/>
      <c r="N2808" s="8"/>
      <c r="O2808" s="4"/>
    </row>
    <row r="2809" customFormat="false" ht="15" hidden="false" customHeight="false" outlineLevel="0" collapsed="false">
      <c r="A2809" s="0" t="s">
        <v>4054</v>
      </c>
      <c r="C2809" s="0" t="s">
        <v>1010</v>
      </c>
      <c r="D2809" s="7" t="n">
        <v>481</v>
      </c>
      <c r="E2809" s="8" t="n">
        <v>0.178835758835759</v>
      </c>
      <c r="F2809" s="4" t="n">
        <f aca="false">D2809*E2809</f>
        <v>86.02</v>
      </c>
      <c r="G2809" s="7" t="n">
        <v>56</v>
      </c>
      <c r="H2809" s="9" t="n">
        <f aca="false">IF(G2809&gt;0,D2809/G2809,"")</f>
        <v>8.58928571428571</v>
      </c>
      <c r="I2809" s="10" t="n">
        <v>46141</v>
      </c>
      <c r="J2809" s="3" t="s">
        <v>628</v>
      </c>
      <c r="K2809" s="10" t="n">
        <v>46128</v>
      </c>
      <c r="L2809" s="3" t="s">
        <v>16</v>
      </c>
      <c r="M2809" s="7" t="n">
        <v>435</v>
      </c>
      <c r="N2809" s="8" t="n">
        <v>0.1424</v>
      </c>
      <c r="O2809" s="4" t="n">
        <f aca="false">M2809*N2809</f>
        <v>61.944</v>
      </c>
    </row>
    <row r="2810" customFormat="false" ht="15" hidden="false" customHeight="false" outlineLevel="0" collapsed="false">
      <c r="A2810" s="0" t="s">
        <v>4055</v>
      </c>
      <c r="C2810" s="0" t="s">
        <v>36</v>
      </c>
      <c r="D2810" s="7" t="n">
        <v>23721</v>
      </c>
      <c r="E2810" s="8" t="n">
        <v>0.00362126385902787</v>
      </c>
      <c r="F2810" s="4" t="n">
        <f aca="false">D2810*E2810</f>
        <v>85.9</v>
      </c>
      <c r="G2810" s="7" t="n">
        <v>1200</v>
      </c>
      <c r="H2810" s="9" t="n">
        <f aca="false">IF(G2810&gt;0,D2810/G2810,"")</f>
        <v>19.7675</v>
      </c>
      <c r="I2810" s="10" t="n">
        <v>46188</v>
      </c>
      <c r="J2810" s="3" t="s">
        <v>4056</v>
      </c>
      <c r="K2810" s="10" t="n">
        <v>45587</v>
      </c>
      <c r="L2810" s="3" t="s">
        <v>18</v>
      </c>
      <c r="M2810" s="7" t="n">
        <v>27000</v>
      </c>
      <c r="N2810" s="8" t="n">
        <v>0.0037</v>
      </c>
      <c r="O2810" s="4" t="n">
        <f aca="false">M2810*N2810</f>
        <v>99.9</v>
      </c>
    </row>
    <row r="2811" customFormat="false" ht="15" hidden="false" customHeight="false" outlineLevel="0" collapsed="false">
      <c r="A2811" s="0" t="s">
        <v>4057</v>
      </c>
      <c r="C2811" s="0" t="s">
        <v>33</v>
      </c>
      <c r="D2811" s="7" t="n">
        <v>78</v>
      </c>
      <c r="E2811" s="8" t="n">
        <v>1.10089743589744</v>
      </c>
      <c r="F2811" s="4" t="n">
        <f aca="false">D2811*E2811</f>
        <v>85.87</v>
      </c>
      <c r="G2811" s="7" t="n">
        <v>46</v>
      </c>
      <c r="H2811" s="9" t="n">
        <f aca="false">IF(G2811&gt;0,D2811/G2811,"")</f>
        <v>1.69565217391304</v>
      </c>
      <c r="I2811" s="10" t="n">
        <v>46260</v>
      </c>
      <c r="J2811" s="3" t="s">
        <v>170</v>
      </c>
      <c r="K2811" s="10" t="n">
        <v>46237</v>
      </c>
      <c r="L2811" s="3" t="s">
        <v>14</v>
      </c>
      <c r="M2811" s="7" t="n">
        <v>100</v>
      </c>
      <c r="N2811" s="8" t="n">
        <v>1.1617</v>
      </c>
      <c r="O2811" s="4" t="n">
        <f aca="false">M2811*N2811</f>
        <v>116.17</v>
      </c>
    </row>
    <row r="2812" customFormat="false" ht="15" hidden="false" customHeight="false" outlineLevel="0" collapsed="false">
      <c r="A2812" s="0" t="s">
        <v>4058</v>
      </c>
      <c r="C2812" s="0" t="s">
        <v>298</v>
      </c>
      <c r="D2812" s="7" t="n">
        <v>636</v>
      </c>
      <c r="E2812" s="8" t="n">
        <v>0.13496855345912</v>
      </c>
      <c r="F2812" s="4" t="n">
        <f aca="false">D2812*E2812</f>
        <v>85.84</v>
      </c>
      <c r="G2812" s="7" t="n">
        <v>75</v>
      </c>
      <c r="H2812" s="9" t="n">
        <f aca="false">IF(G2812&gt;0,D2812/G2812,"")</f>
        <v>8.48</v>
      </c>
      <c r="I2812" s="10" t="n">
        <v>46182</v>
      </c>
      <c r="J2812" s="3" t="s">
        <v>2379</v>
      </c>
      <c r="K2812" s="10" t="n">
        <v>45513</v>
      </c>
      <c r="L2812" s="3" t="s">
        <v>14</v>
      </c>
      <c r="M2812" s="7" t="n">
        <v>1000</v>
      </c>
      <c r="N2812" s="8" t="n">
        <v>0.1647</v>
      </c>
      <c r="O2812" s="4" t="n">
        <f aca="false">M2812*N2812</f>
        <v>164.7</v>
      </c>
    </row>
    <row r="2813" customFormat="false" ht="15" hidden="false" customHeight="false" outlineLevel="0" collapsed="false">
      <c r="A2813" s="0" t="s">
        <v>4059</v>
      </c>
      <c r="C2813" s="0" t="s">
        <v>765</v>
      </c>
      <c r="D2813" s="7" t="n">
        <v>8939</v>
      </c>
      <c r="E2813" s="8" t="n">
        <v>0.00960174516165119</v>
      </c>
      <c r="F2813" s="4" t="n">
        <f aca="false">D2813*E2813</f>
        <v>85.83</v>
      </c>
      <c r="G2813" s="7" t="n">
        <v>270</v>
      </c>
      <c r="H2813" s="9" t="n">
        <f aca="false">IF(G2813&gt;0,D2813/G2813,"")</f>
        <v>33.1074074074074</v>
      </c>
      <c r="I2813" s="10" t="n">
        <v>46301</v>
      </c>
      <c r="J2813" s="3" t="s">
        <v>2914</v>
      </c>
      <c r="K2813" s="10" t="n">
        <v>45562</v>
      </c>
      <c r="L2813" s="3" t="s">
        <v>16</v>
      </c>
      <c r="M2813" s="7" t="n">
        <v>10000</v>
      </c>
      <c r="N2813" s="8" t="n">
        <v>0.0096</v>
      </c>
      <c r="O2813" s="4" t="n">
        <f aca="false">M2813*N2813</f>
        <v>96</v>
      </c>
    </row>
    <row r="2814" customFormat="false" ht="15" hidden="false" customHeight="false" outlineLevel="0" collapsed="false">
      <c r="A2814" s="0" t="s">
        <v>4060</v>
      </c>
      <c r="C2814" s="0" t="s">
        <v>1169</v>
      </c>
      <c r="D2814" s="7" t="n">
        <v>1589</v>
      </c>
      <c r="E2814" s="8" t="n">
        <v>0.0540025173064821</v>
      </c>
      <c r="F2814" s="4" t="n">
        <f aca="false">D2814*E2814</f>
        <v>85.81</v>
      </c>
      <c r="G2814" s="7" t="n">
        <v>322</v>
      </c>
      <c r="H2814" s="9" t="n">
        <f aca="false">IF(G2814&gt;0,D2814/G2814,"")</f>
        <v>4.93478260869565</v>
      </c>
      <c r="I2814" s="10" t="n">
        <v>46267</v>
      </c>
      <c r="J2814" s="3" t="s">
        <v>4061</v>
      </c>
      <c r="K2814" s="10" t="n">
        <v>45574</v>
      </c>
      <c r="L2814" s="3" t="s">
        <v>21</v>
      </c>
      <c r="M2814" s="7" t="n">
        <v>1900</v>
      </c>
      <c r="N2814" s="8" t="n">
        <v>0.054</v>
      </c>
      <c r="O2814" s="4" t="n">
        <f aca="false">M2814*N2814</f>
        <v>102.6</v>
      </c>
    </row>
    <row r="2815" customFormat="false" ht="15" hidden="false" customHeight="false" outlineLevel="0" collapsed="false">
      <c r="A2815" s="0" t="s">
        <v>4062</v>
      </c>
      <c r="C2815" s="0" t="s">
        <v>95</v>
      </c>
      <c r="D2815" s="7" t="n">
        <v>13000</v>
      </c>
      <c r="E2815" s="8" t="n">
        <v>0.0066</v>
      </c>
      <c r="F2815" s="4" t="n">
        <f aca="false">D2815*E2815</f>
        <v>85.8</v>
      </c>
      <c r="G2815" s="7" t="n">
        <v>10000</v>
      </c>
      <c r="H2815" s="9" t="n">
        <f aca="false">IF(G2815&gt;0,D2815/G2815,"")</f>
        <v>1.3</v>
      </c>
      <c r="I2815" s="10" t="n">
        <v>46316</v>
      </c>
      <c r="J2815" s="3" t="s">
        <v>1616</v>
      </c>
      <c r="K2815" s="10" t="n">
        <v>46266</v>
      </c>
      <c r="L2815" s="3" t="s">
        <v>16</v>
      </c>
      <c r="M2815" s="7" t="n">
        <v>23000</v>
      </c>
      <c r="N2815" s="8" t="n">
        <v>0.0066</v>
      </c>
      <c r="O2815" s="4" t="n">
        <f aca="false">M2815*N2815</f>
        <v>151.8</v>
      </c>
    </row>
    <row r="2816" customFormat="false" ht="15" hidden="false" customHeight="false" outlineLevel="0" collapsed="false">
      <c r="A2816" s="0" t="s">
        <v>4063</v>
      </c>
      <c r="C2816" s="0" t="s">
        <v>36</v>
      </c>
      <c r="D2816" s="7" t="n">
        <v>332</v>
      </c>
      <c r="E2816" s="8" t="n">
        <v>0.258102409638554</v>
      </c>
      <c r="F2816" s="4" t="n">
        <f aca="false">D2816*E2816</f>
        <v>85.69</v>
      </c>
      <c r="G2816" s="7" t="n">
        <v>58</v>
      </c>
      <c r="H2816" s="9" t="n">
        <f aca="false">IF(G2816&gt;0,D2816/G2816,"")</f>
        <v>5.72413793103448</v>
      </c>
      <c r="I2816" s="10" t="n">
        <v>46114</v>
      </c>
      <c r="J2816" s="3" t="s">
        <v>3099</v>
      </c>
      <c r="K2816" s="10" t="n">
        <v>45946</v>
      </c>
      <c r="L2816" s="3" t="s">
        <v>18</v>
      </c>
      <c r="M2816" s="7" t="n">
        <v>390</v>
      </c>
      <c r="N2816" s="8" t="n">
        <v>0.2581</v>
      </c>
      <c r="O2816" s="4" t="n">
        <f aca="false">M2816*N2816</f>
        <v>100.659</v>
      </c>
    </row>
    <row r="2817" customFormat="false" ht="15" hidden="false" customHeight="false" outlineLevel="0" collapsed="false">
      <c r="A2817" s="0" t="s">
        <v>4064</v>
      </c>
      <c r="C2817" s="0" t="s">
        <v>38</v>
      </c>
      <c r="D2817" s="7" t="n">
        <v>820</v>
      </c>
      <c r="E2817" s="8" t="n">
        <v>0.1045</v>
      </c>
      <c r="F2817" s="4" t="n">
        <f aca="false">D2817*E2817</f>
        <v>85.69</v>
      </c>
      <c r="G2817" s="7" t="n">
        <v>90</v>
      </c>
      <c r="H2817" s="9" t="n">
        <f aca="false">IF(G2817&gt;0,D2817/G2817,"")</f>
        <v>9.11111111111111</v>
      </c>
      <c r="I2817" s="10" t="n">
        <v>46280</v>
      </c>
      <c r="J2817" s="3" t="s">
        <v>3616</v>
      </c>
      <c r="K2817" s="10" t="n">
        <v>45471</v>
      </c>
      <c r="L2817" s="3" t="s">
        <v>18</v>
      </c>
      <c r="M2817" s="7" t="n">
        <v>1000</v>
      </c>
      <c r="N2817" s="8" t="n">
        <v>0.1045</v>
      </c>
      <c r="O2817" s="4" t="n">
        <f aca="false">M2817*N2817</f>
        <v>104.5</v>
      </c>
    </row>
    <row r="2818" customFormat="false" ht="15" hidden="false" customHeight="false" outlineLevel="0" collapsed="false">
      <c r="A2818" s="0" t="s">
        <v>4065</v>
      </c>
      <c r="C2818" s="0" t="s">
        <v>370</v>
      </c>
      <c r="D2818" s="7" t="n">
        <v>136</v>
      </c>
      <c r="E2818" s="8" t="n">
        <v>0.63</v>
      </c>
      <c r="F2818" s="4" t="n">
        <f aca="false">D2818*E2818</f>
        <v>85.68</v>
      </c>
      <c r="G2818" s="7" t="n">
        <v>24</v>
      </c>
      <c r="H2818" s="9" t="n">
        <f aca="false">IF(G2818&gt;0,D2818/G2818,"")</f>
        <v>5.66666666666667</v>
      </c>
      <c r="I2818" s="10" t="n">
        <v>46146</v>
      </c>
      <c r="J2818" s="3" t="s">
        <v>1192</v>
      </c>
      <c r="K2818" s="10" t="n">
        <v>45736</v>
      </c>
      <c r="L2818" s="3" t="s">
        <v>26</v>
      </c>
      <c r="M2818" s="7" t="n">
        <v>2</v>
      </c>
      <c r="N2818" s="8" t="n">
        <v>2.5</v>
      </c>
      <c r="O2818" s="4" t="n">
        <f aca="false">M2818*N2818</f>
        <v>5</v>
      </c>
    </row>
    <row r="2819" customFormat="false" ht="15" hidden="false" customHeight="false" outlineLevel="0" collapsed="false">
      <c r="A2819" s="0" t="s">
        <v>4066</v>
      </c>
      <c r="C2819" s="0" t="s">
        <v>39</v>
      </c>
      <c r="D2819" s="7" t="n">
        <v>234</v>
      </c>
      <c r="E2819" s="8" t="n">
        <v>0.366068376068376</v>
      </c>
      <c r="F2819" s="4" t="n">
        <f aca="false">D2819*E2819</f>
        <v>85.66</v>
      </c>
      <c r="G2819" s="7" t="n">
        <v>180</v>
      </c>
      <c r="H2819" s="9" t="n">
        <f aca="false">IF(G2819&gt;0,D2819/G2819,"")</f>
        <v>1.3</v>
      </c>
      <c r="I2819" s="10" t="n">
        <v>46205</v>
      </c>
      <c r="J2819" s="3" t="s">
        <v>3583</v>
      </c>
      <c r="K2819" s="10" t="n">
        <v>46106</v>
      </c>
      <c r="L2819" s="3" t="s">
        <v>18</v>
      </c>
      <c r="M2819" s="7" t="n">
        <v>250</v>
      </c>
      <c r="N2819" s="8" t="n">
        <v>0.3665</v>
      </c>
      <c r="O2819" s="4" t="n">
        <f aca="false">M2819*N2819</f>
        <v>91.625</v>
      </c>
    </row>
    <row r="2820" customFormat="false" ht="15" hidden="false" customHeight="false" outlineLevel="0" collapsed="false">
      <c r="A2820" s="0" t="s">
        <v>4067</v>
      </c>
      <c r="C2820" s="0" t="s">
        <v>118</v>
      </c>
      <c r="D2820" s="7" t="n">
        <v>27</v>
      </c>
      <c r="E2820" s="8" t="n">
        <v>3.17074074074074</v>
      </c>
      <c r="F2820" s="4" t="n">
        <f aca="false">D2820*E2820</f>
        <v>85.61</v>
      </c>
      <c r="G2820" s="7" t="n">
        <v>2</v>
      </c>
      <c r="H2820" s="9" t="n">
        <f aca="false">IF(G2820&gt;0,D2820/G2820,"")</f>
        <v>13.5</v>
      </c>
      <c r="I2820" s="10" t="n">
        <v>46189</v>
      </c>
      <c r="J2820" s="3" t="s">
        <v>3385</v>
      </c>
      <c r="K2820" s="10" t="n">
        <v>45595</v>
      </c>
      <c r="L2820" s="3" t="s">
        <v>16</v>
      </c>
      <c r="M2820" s="7" t="n">
        <v>79</v>
      </c>
      <c r="N2820" s="8" t="n">
        <v>3.1708</v>
      </c>
      <c r="O2820" s="4" t="n">
        <f aca="false">M2820*N2820</f>
        <v>250.4932</v>
      </c>
    </row>
    <row r="2821" customFormat="false" ht="15" hidden="false" customHeight="false" outlineLevel="0" collapsed="false">
      <c r="A2821" s="0" t="s">
        <v>4068</v>
      </c>
      <c r="C2821" s="0" t="s">
        <v>285</v>
      </c>
      <c r="D2821" s="7" t="n">
        <v>1578</v>
      </c>
      <c r="E2821" s="8" t="n">
        <v>0.0542015209125475</v>
      </c>
      <c r="F2821" s="4" t="n">
        <f aca="false">D2821*E2821</f>
        <v>85.53</v>
      </c>
      <c r="G2821" s="7" t="n">
        <v>8</v>
      </c>
      <c r="H2821" s="9" t="n">
        <f aca="false">IF(G2821&gt;0,D2821/G2821,"")</f>
        <v>197.25</v>
      </c>
      <c r="I2821" s="10" t="n">
        <v>45993</v>
      </c>
      <c r="K2821" s="10"/>
      <c r="M2821" s="7"/>
      <c r="N2821" s="8"/>
      <c r="O2821" s="4"/>
    </row>
    <row r="2822" customFormat="false" ht="15" hidden="false" customHeight="false" outlineLevel="0" collapsed="false">
      <c r="A2822" s="0" t="s">
        <v>4069</v>
      </c>
      <c r="C2822" s="0" t="s">
        <v>33</v>
      </c>
      <c r="D2822" s="7" t="n">
        <v>52</v>
      </c>
      <c r="E2822" s="8" t="n">
        <v>1.64442307692308</v>
      </c>
      <c r="F2822" s="4" t="n">
        <f aca="false">D2822*E2822</f>
        <v>85.51</v>
      </c>
      <c r="G2822" s="7" t="n">
        <v>6</v>
      </c>
      <c r="H2822" s="9" t="n">
        <f aca="false">IF(G2822&gt;0,D2822/G2822,"")</f>
        <v>8.66666666666667</v>
      </c>
      <c r="I2822" s="10" t="n">
        <v>45968</v>
      </c>
      <c r="J2822" s="3" t="s">
        <v>3781</v>
      </c>
      <c r="K2822" s="10" t="n">
        <v>45958</v>
      </c>
      <c r="L2822" s="3" t="s">
        <v>18</v>
      </c>
      <c r="M2822" s="7" t="n">
        <v>58</v>
      </c>
      <c r="N2822" s="8" t="n">
        <v>1.6445</v>
      </c>
      <c r="O2822" s="4" t="n">
        <f aca="false">M2822*N2822</f>
        <v>95.381</v>
      </c>
    </row>
    <row r="2823" customFormat="false" ht="15" hidden="false" customHeight="false" outlineLevel="0" collapsed="false">
      <c r="A2823" s="0" t="s">
        <v>4070</v>
      </c>
      <c r="C2823" s="0" t="s">
        <v>41</v>
      </c>
      <c r="D2823" s="7" t="n">
        <v>5979</v>
      </c>
      <c r="E2823" s="8" t="n">
        <v>0.0143000501756147</v>
      </c>
      <c r="F2823" s="4" t="n">
        <f aca="false">D2823*E2823</f>
        <v>85.5</v>
      </c>
      <c r="G2823" s="7" t="n">
        <v>763</v>
      </c>
      <c r="H2823" s="9" t="n">
        <f aca="false">IF(G2823&gt;0,D2823/G2823,"")</f>
        <v>7.83617300131062</v>
      </c>
      <c r="I2823" s="10" t="n">
        <v>46266</v>
      </c>
      <c r="J2823" s="3" t="s">
        <v>4071</v>
      </c>
      <c r="K2823" s="10" t="n">
        <v>45716</v>
      </c>
      <c r="L2823" s="3" t="s">
        <v>19</v>
      </c>
      <c r="M2823" s="7" t="n">
        <v>30000</v>
      </c>
      <c r="N2823" s="8" t="n">
        <v>0.0143</v>
      </c>
      <c r="O2823" s="4" t="n">
        <f aca="false">M2823*N2823</f>
        <v>429</v>
      </c>
    </row>
    <row r="2824" customFormat="false" ht="15" hidden="false" customHeight="false" outlineLevel="0" collapsed="false">
      <c r="A2824" s="0" t="s">
        <v>4072</v>
      </c>
      <c r="C2824" s="0" t="s">
        <v>36</v>
      </c>
      <c r="D2824" s="7" t="n">
        <v>1068</v>
      </c>
      <c r="E2824" s="8" t="n">
        <v>0.08</v>
      </c>
      <c r="F2824" s="4" t="n">
        <f aca="false">D2824*E2824</f>
        <v>85.44</v>
      </c>
      <c r="G2824" s="7" t="n">
        <v>10</v>
      </c>
      <c r="H2824" s="9" t="n">
        <f aca="false">IF(G2824&gt;0,D2824/G2824,"")</f>
        <v>106.8</v>
      </c>
      <c r="I2824" s="10" t="n">
        <v>46086</v>
      </c>
      <c r="K2824" s="10"/>
      <c r="M2824" s="7"/>
      <c r="N2824" s="8"/>
      <c r="O2824" s="4"/>
    </row>
    <row r="2825" customFormat="false" ht="15" hidden="false" customHeight="false" outlineLevel="0" collapsed="false">
      <c r="A2825" s="0" t="s">
        <v>4073</v>
      </c>
      <c r="C2825" s="0" t="s">
        <v>38</v>
      </c>
      <c r="D2825" s="7" t="n">
        <v>23080</v>
      </c>
      <c r="E2825" s="8" t="n">
        <v>0.00369974003466205</v>
      </c>
      <c r="F2825" s="4" t="n">
        <f aca="false">D2825*E2825</f>
        <v>85.39</v>
      </c>
      <c r="G2825" s="7" t="n">
        <v>2118</v>
      </c>
      <c r="H2825" s="9" t="n">
        <f aca="false">IF(G2825&gt;0,D2825/G2825,"")</f>
        <v>10.8970727101039</v>
      </c>
      <c r="I2825" s="10" t="n">
        <v>46174</v>
      </c>
      <c r="J2825" s="3" t="s">
        <v>2342</v>
      </c>
      <c r="K2825" s="10" t="n">
        <v>46290</v>
      </c>
      <c r="L2825" s="3" t="s">
        <v>15</v>
      </c>
      <c r="M2825" s="7" t="n">
        <v>69000</v>
      </c>
      <c r="N2825" s="8" t="n">
        <v>0.0029</v>
      </c>
      <c r="O2825" s="4" t="n">
        <f aca="false">M2825*N2825</f>
        <v>200.1</v>
      </c>
    </row>
    <row r="2826" customFormat="false" ht="15" hidden="false" customHeight="false" outlineLevel="0" collapsed="false">
      <c r="A2826" s="0" t="s">
        <v>4074</v>
      </c>
      <c r="C2826" s="0" t="s">
        <v>777</v>
      </c>
      <c r="D2826" s="7" t="n">
        <v>95</v>
      </c>
      <c r="E2826" s="8" t="n">
        <v>0.898736842105263</v>
      </c>
      <c r="F2826" s="4" t="n">
        <f aca="false">D2826*E2826</f>
        <v>85.38</v>
      </c>
      <c r="G2826" s="7" t="n">
        <v>80</v>
      </c>
      <c r="H2826" s="9" t="n">
        <f aca="false">IF(G2826&gt;0,D2826/G2826,"")</f>
        <v>1.1875</v>
      </c>
      <c r="I2826" s="10" t="n">
        <v>46062</v>
      </c>
      <c r="J2826" s="3" t="s">
        <v>616</v>
      </c>
      <c r="K2826" s="10" t="n">
        <v>46038</v>
      </c>
      <c r="L2826" s="3" t="s">
        <v>15</v>
      </c>
      <c r="M2826" s="7" t="n">
        <v>175</v>
      </c>
      <c r="N2826" s="8" t="n">
        <v>0.89875</v>
      </c>
      <c r="O2826" s="4" t="n">
        <f aca="false">M2826*N2826</f>
        <v>157.28125</v>
      </c>
    </row>
    <row r="2827" customFormat="false" ht="15" hidden="false" customHeight="false" outlineLevel="0" collapsed="false">
      <c r="A2827" s="0" t="s">
        <v>4075</v>
      </c>
      <c r="C2827" s="0" t="s">
        <v>38</v>
      </c>
      <c r="D2827" s="7" t="n">
        <v>7173</v>
      </c>
      <c r="E2827" s="8" t="n">
        <v>0.0118973930015335</v>
      </c>
      <c r="F2827" s="4" t="n">
        <f aca="false">D2827*E2827</f>
        <v>85.34</v>
      </c>
      <c r="G2827" s="7" t="n">
        <v>1036</v>
      </c>
      <c r="H2827" s="9" t="n">
        <f aca="false">IF(G2827&gt;0,D2827/G2827,"")</f>
        <v>6.92374517374517</v>
      </c>
      <c r="I2827" s="10" t="n">
        <v>46304</v>
      </c>
      <c r="J2827" s="3" t="s">
        <v>1905</v>
      </c>
      <c r="K2827" s="10" t="n">
        <v>45672</v>
      </c>
      <c r="L2827" s="3" t="s">
        <v>18</v>
      </c>
      <c r="M2827" s="7" t="n">
        <v>8000</v>
      </c>
      <c r="N2827" s="8" t="n">
        <v>0.0118</v>
      </c>
      <c r="O2827" s="4" t="n">
        <f aca="false">M2827*N2827</f>
        <v>94.4</v>
      </c>
    </row>
    <row r="2828" customFormat="false" ht="15" hidden="false" customHeight="false" outlineLevel="0" collapsed="false">
      <c r="A2828" s="0" t="s">
        <v>4076</v>
      </c>
      <c r="C2828" s="0" t="s">
        <v>33</v>
      </c>
      <c r="D2828" s="7" t="n">
        <v>2102</v>
      </c>
      <c r="E2828" s="8" t="n">
        <v>0.0405946717411989</v>
      </c>
      <c r="F2828" s="4" t="n">
        <f aca="false">D2828*E2828</f>
        <v>85.33</v>
      </c>
      <c r="G2828" s="7" t="n">
        <v>100</v>
      </c>
      <c r="H2828" s="9" t="n">
        <f aca="false">IF(G2828&gt;0,D2828/G2828,"")</f>
        <v>21.02</v>
      </c>
      <c r="I2828" s="10" t="n">
        <v>46093</v>
      </c>
      <c r="J2828" s="3" t="s">
        <v>4077</v>
      </c>
      <c r="K2828" s="10" t="n">
        <v>44896</v>
      </c>
      <c r="L2828" s="3" t="s">
        <v>18</v>
      </c>
      <c r="M2828" s="7" t="n">
        <v>2500</v>
      </c>
      <c r="N2828" s="8" t="n">
        <v>0.0406</v>
      </c>
      <c r="O2828" s="4" t="n">
        <f aca="false">M2828*N2828</f>
        <v>101.5</v>
      </c>
    </row>
    <row r="2829" customFormat="false" ht="15" hidden="false" customHeight="false" outlineLevel="0" collapsed="false">
      <c r="A2829" s="0" t="s">
        <v>4078</v>
      </c>
      <c r="C2829" s="0" t="s">
        <v>889</v>
      </c>
      <c r="D2829" s="7" t="n">
        <v>14275</v>
      </c>
      <c r="E2829" s="8" t="n">
        <v>0.0059768826619965</v>
      </c>
      <c r="F2829" s="4" t="n">
        <f aca="false">D2829*E2829</f>
        <v>85.32</v>
      </c>
      <c r="G2829" s="7" t="n">
        <v>1366</v>
      </c>
      <c r="H2829" s="9" t="n">
        <f aca="false">IF(G2829&gt;0,D2829/G2829,"")</f>
        <v>10.4502196193265</v>
      </c>
      <c r="I2829" s="10" t="n">
        <v>46247</v>
      </c>
      <c r="J2829" s="3" t="s">
        <v>1369</v>
      </c>
      <c r="K2829" s="10" t="n">
        <v>44299</v>
      </c>
      <c r="L2829" s="3" t="s">
        <v>15</v>
      </c>
      <c r="M2829" s="7" t="n">
        <v>800</v>
      </c>
      <c r="N2829" s="8" t="n">
        <v>0.00628</v>
      </c>
      <c r="O2829" s="4" t="n">
        <f aca="false">M2829*N2829</f>
        <v>5.024</v>
      </c>
    </row>
    <row r="2830" customFormat="false" ht="15" hidden="false" customHeight="false" outlineLevel="0" collapsed="false">
      <c r="A2830" s="0" t="s">
        <v>4079</v>
      </c>
      <c r="C2830" s="0" t="s">
        <v>32</v>
      </c>
      <c r="D2830" s="7" t="n">
        <v>606</v>
      </c>
      <c r="E2830" s="8" t="n">
        <v>0.140792079207921</v>
      </c>
      <c r="F2830" s="4" t="n">
        <f aca="false">D2830*E2830</f>
        <v>85.32</v>
      </c>
      <c r="G2830" s="7" t="n">
        <v>10</v>
      </c>
      <c r="H2830" s="9" t="n">
        <f aca="false">IF(G2830&gt;0,D2830/G2830,"")</f>
        <v>60.6</v>
      </c>
      <c r="I2830" s="10" t="n">
        <v>46139</v>
      </c>
      <c r="J2830" s="3" t="s">
        <v>566</v>
      </c>
      <c r="K2830" s="10" t="n">
        <v>46204</v>
      </c>
      <c r="L2830" s="3" t="s">
        <v>14</v>
      </c>
      <c r="M2830" s="7" t="n">
        <v>601</v>
      </c>
      <c r="N2830" s="8" t="n">
        <v>0.1407</v>
      </c>
      <c r="O2830" s="4" t="n">
        <f aca="false">M2830*N2830</f>
        <v>84.5607</v>
      </c>
    </row>
    <row r="2831" customFormat="false" ht="15" hidden="false" customHeight="false" outlineLevel="0" collapsed="false">
      <c r="A2831" s="0" t="s">
        <v>4080</v>
      </c>
      <c r="C2831" s="0" t="s">
        <v>118</v>
      </c>
      <c r="D2831" s="7" t="n">
        <v>8525</v>
      </c>
      <c r="E2831" s="8" t="n">
        <v>0.01</v>
      </c>
      <c r="F2831" s="4" t="n">
        <f aca="false">D2831*E2831</f>
        <v>85.25</v>
      </c>
      <c r="G2831" s="7" t="n">
        <v>745</v>
      </c>
      <c r="H2831" s="9" t="n">
        <f aca="false">IF(G2831&gt;0,D2831/G2831,"")</f>
        <v>11.4429530201342</v>
      </c>
      <c r="I2831" s="10" t="n">
        <v>46163</v>
      </c>
      <c r="J2831" s="3" t="s">
        <v>3385</v>
      </c>
      <c r="K2831" s="10" t="n">
        <v>45595</v>
      </c>
      <c r="L2831" s="3" t="s">
        <v>16</v>
      </c>
      <c r="M2831" s="7" t="n">
        <v>10000</v>
      </c>
      <c r="N2831" s="8" t="n">
        <v>0.0113</v>
      </c>
      <c r="O2831" s="4" t="n">
        <f aca="false">M2831*N2831</f>
        <v>113</v>
      </c>
    </row>
    <row r="2832" customFormat="false" ht="15" hidden="false" customHeight="false" outlineLevel="0" collapsed="false">
      <c r="A2832" s="0" t="s">
        <v>4081</v>
      </c>
      <c r="C2832" s="0" t="s">
        <v>285</v>
      </c>
      <c r="D2832" s="7" t="n">
        <v>8870</v>
      </c>
      <c r="E2832" s="8" t="n">
        <v>0.00960992108229989</v>
      </c>
      <c r="F2832" s="4" t="n">
        <f aca="false">D2832*E2832</f>
        <v>85.24</v>
      </c>
      <c r="G2832" s="7" t="n">
        <v>1350</v>
      </c>
      <c r="H2832" s="9" t="n">
        <f aca="false">IF(G2832&gt;0,D2832/G2832,"")</f>
        <v>6.57037037037037</v>
      </c>
      <c r="I2832" s="10" t="n">
        <v>46261</v>
      </c>
      <c r="K2832" s="10"/>
      <c r="M2832" s="7"/>
      <c r="N2832" s="8"/>
      <c r="O2832" s="4"/>
    </row>
    <row r="2833" customFormat="false" ht="15" hidden="false" customHeight="false" outlineLevel="0" collapsed="false">
      <c r="A2833" s="0" t="s">
        <v>4082</v>
      </c>
      <c r="C2833" s="0" t="s">
        <v>765</v>
      </c>
      <c r="D2833" s="7" t="n">
        <v>9909</v>
      </c>
      <c r="E2833" s="8" t="n">
        <v>0.00860127157129882</v>
      </c>
      <c r="F2833" s="4" t="n">
        <f aca="false">D2833*E2833</f>
        <v>85.23</v>
      </c>
      <c r="G2833" s="7" t="n">
        <v>160</v>
      </c>
      <c r="H2833" s="9" t="n">
        <f aca="false">IF(G2833&gt;0,D2833/G2833,"")</f>
        <v>61.93125</v>
      </c>
      <c r="I2833" s="10" t="n">
        <v>46146</v>
      </c>
      <c r="K2833" s="10"/>
      <c r="M2833" s="7"/>
      <c r="N2833" s="8"/>
      <c r="O2833" s="4"/>
    </row>
    <row r="2834" customFormat="false" ht="15" hidden="false" customHeight="false" outlineLevel="0" collapsed="false">
      <c r="A2834" s="0" t="s">
        <v>4083</v>
      </c>
      <c r="C2834" s="0" t="s">
        <v>679</v>
      </c>
      <c r="D2834" s="7" t="n">
        <v>95</v>
      </c>
      <c r="E2834" s="8" t="n">
        <v>0.896947368421053</v>
      </c>
      <c r="F2834" s="4" t="n">
        <f aca="false">D2834*E2834</f>
        <v>85.21</v>
      </c>
      <c r="G2834" s="7" t="n">
        <v>6</v>
      </c>
      <c r="H2834" s="9" t="n">
        <f aca="false">IF(G2834&gt;0,D2834/G2834,"")</f>
        <v>15.8333333333333</v>
      </c>
      <c r="I2834" s="10" t="n">
        <v>46269</v>
      </c>
      <c r="J2834" s="3" t="s">
        <v>4084</v>
      </c>
      <c r="K2834" s="10" t="n">
        <v>45013</v>
      </c>
      <c r="L2834" s="3" t="s">
        <v>1878</v>
      </c>
      <c r="M2834" s="7" t="n">
        <v>100</v>
      </c>
      <c r="N2834" s="8" t="n">
        <v>0.88</v>
      </c>
      <c r="O2834" s="4" t="n">
        <f aca="false">M2834*N2834</f>
        <v>88</v>
      </c>
    </row>
    <row r="2835" customFormat="false" ht="15" hidden="false" customHeight="false" outlineLevel="0" collapsed="false">
      <c r="A2835" s="0" t="s">
        <v>4085</v>
      </c>
      <c r="C2835" s="0" t="s">
        <v>438</v>
      </c>
      <c r="D2835" s="7" t="n">
        <v>92</v>
      </c>
      <c r="E2835" s="8" t="n">
        <v>0.925760869565217</v>
      </c>
      <c r="F2835" s="4" t="n">
        <f aca="false">D2835*E2835</f>
        <v>85.17</v>
      </c>
      <c r="G2835" s="7" t="n">
        <v>2</v>
      </c>
      <c r="H2835" s="9" t="n">
        <f aca="false">IF(G2835&gt;0,D2835/G2835,"")</f>
        <v>46</v>
      </c>
      <c r="I2835" s="10" t="n">
        <v>45972</v>
      </c>
      <c r="J2835" s="3" t="s">
        <v>1877</v>
      </c>
      <c r="K2835" s="10" t="n">
        <v>45896</v>
      </c>
      <c r="L2835" s="3" t="s">
        <v>1878</v>
      </c>
      <c r="M2835" s="7" t="n">
        <v>50</v>
      </c>
      <c r="N2835" s="8" t="n">
        <v>1</v>
      </c>
      <c r="O2835" s="4" t="n">
        <f aca="false">M2835*N2835</f>
        <v>50</v>
      </c>
    </row>
    <row r="2836" customFormat="false" ht="15" hidden="false" customHeight="false" outlineLevel="0" collapsed="false">
      <c r="A2836" s="0" t="s">
        <v>4086</v>
      </c>
      <c r="C2836" s="0" t="s">
        <v>35</v>
      </c>
      <c r="D2836" s="7" t="n">
        <v>14</v>
      </c>
      <c r="E2836" s="8" t="n">
        <v>6.08214285714286</v>
      </c>
      <c r="F2836" s="4" t="n">
        <f aca="false">D2836*E2836</f>
        <v>85.15</v>
      </c>
      <c r="G2836" s="7" t="n">
        <v>11</v>
      </c>
      <c r="H2836" s="9" t="n">
        <f aca="false">IF(G2836&gt;0,D2836/G2836,"")</f>
        <v>1.27272727272727</v>
      </c>
      <c r="I2836" s="10" t="n">
        <v>46059</v>
      </c>
      <c r="J2836" s="3" t="s">
        <v>1366</v>
      </c>
      <c r="K2836" s="10" t="n">
        <v>45996</v>
      </c>
      <c r="L2836" s="3" t="s">
        <v>14</v>
      </c>
      <c r="M2836" s="7" t="n">
        <v>25</v>
      </c>
      <c r="N2836" s="8" t="n">
        <v>6.082</v>
      </c>
      <c r="O2836" s="4" t="n">
        <f aca="false">M2836*N2836</f>
        <v>152.05</v>
      </c>
    </row>
    <row r="2837" customFormat="false" ht="15" hidden="false" customHeight="false" outlineLevel="0" collapsed="false">
      <c r="A2837" s="0" t="s">
        <v>4087</v>
      </c>
      <c r="C2837" s="0" t="s">
        <v>31</v>
      </c>
      <c r="D2837" s="7" t="n">
        <v>6918</v>
      </c>
      <c r="E2837" s="8" t="n">
        <v>0.0122997976293727</v>
      </c>
      <c r="F2837" s="4" t="n">
        <f aca="false">D2837*E2837</f>
        <v>85.09</v>
      </c>
      <c r="G2837" s="7" t="n">
        <v>1082</v>
      </c>
      <c r="H2837" s="9" t="n">
        <f aca="false">IF(G2837&gt;0,D2837/G2837,"")</f>
        <v>6.39371534195934</v>
      </c>
      <c r="I2837" s="10" t="n">
        <v>46301</v>
      </c>
      <c r="J2837" s="3" t="s">
        <v>2888</v>
      </c>
      <c r="K2837" s="10" t="n">
        <v>45984</v>
      </c>
      <c r="L2837" s="3" t="s">
        <v>16</v>
      </c>
      <c r="M2837" s="7" t="n">
        <v>8000</v>
      </c>
      <c r="N2837" s="8" t="n">
        <v>0.0123</v>
      </c>
      <c r="O2837" s="4" t="n">
        <f aca="false">M2837*N2837</f>
        <v>98.4</v>
      </c>
    </row>
    <row r="2838" customFormat="false" ht="15" hidden="false" customHeight="false" outlineLevel="0" collapsed="false">
      <c r="A2838" s="0" t="s">
        <v>4088</v>
      </c>
      <c r="C2838" s="0" t="s">
        <v>36</v>
      </c>
      <c r="D2838" s="7" t="n">
        <v>1075</v>
      </c>
      <c r="E2838" s="8" t="n">
        <v>0.0790976744186047</v>
      </c>
      <c r="F2838" s="4" t="n">
        <f aca="false">D2838*E2838</f>
        <v>85.03</v>
      </c>
      <c r="G2838" s="7" t="n">
        <v>200</v>
      </c>
      <c r="H2838" s="9" t="n">
        <f aca="false">IF(G2838&gt;0,D2838/G2838,"")</f>
        <v>5.375</v>
      </c>
      <c r="I2838" s="10" t="n">
        <v>46059</v>
      </c>
      <c r="J2838" s="3" t="s">
        <v>4089</v>
      </c>
      <c r="K2838" s="10" t="n">
        <v>45552</v>
      </c>
      <c r="L2838" s="3" t="s">
        <v>18</v>
      </c>
      <c r="M2838" s="7" t="n">
        <v>1300</v>
      </c>
      <c r="N2838" s="8" t="n">
        <v>0.0791</v>
      </c>
      <c r="O2838" s="4" t="n">
        <f aca="false">M2838*N2838</f>
        <v>102.83</v>
      </c>
    </row>
    <row r="2839" customFormat="false" ht="15" hidden="false" customHeight="false" outlineLevel="0" collapsed="false">
      <c r="A2839" s="0" t="s">
        <v>4090</v>
      </c>
      <c r="C2839" s="0" t="s">
        <v>118</v>
      </c>
      <c r="D2839" s="7" t="n">
        <v>2376</v>
      </c>
      <c r="E2839" s="8" t="n">
        <v>0.0357828282828283</v>
      </c>
      <c r="F2839" s="4" t="n">
        <f aca="false">D2839*E2839</f>
        <v>85.02</v>
      </c>
      <c r="G2839" s="7" t="n">
        <v>1919</v>
      </c>
      <c r="H2839" s="9" t="n">
        <f aca="false">IF(G2839&gt;0,D2839/G2839,"")</f>
        <v>1.23814486711829</v>
      </c>
      <c r="I2839" s="10" t="n">
        <v>46314</v>
      </c>
      <c r="J2839" s="3" t="s">
        <v>2139</v>
      </c>
      <c r="K2839" s="10" t="n">
        <v>45435</v>
      </c>
      <c r="L2839" s="3" t="s">
        <v>15</v>
      </c>
      <c r="M2839" s="7" t="n">
        <v>6455</v>
      </c>
      <c r="N2839" s="8" t="n">
        <v>0.03579</v>
      </c>
      <c r="O2839" s="4" t="n">
        <f aca="false">M2839*N2839</f>
        <v>231.02445</v>
      </c>
    </row>
    <row r="2840" customFormat="false" ht="15" hidden="false" customHeight="false" outlineLevel="0" collapsed="false">
      <c r="A2840" s="0" t="s">
        <v>4091</v>
      </c>
      <c r="C2840" s="0" t="s">
        <v>38</v>
      </c>
      <c r="D2840" s="7" t="n">
        <v>2153</v>
      </c>
      <c r="E2840" s="8" t="n">
        <v>0.0394890849976777</v>
      </c>
      <c r="F2840" s="4" t="n">
        <f aca="false">D2840*E2840</f>
        <v>85.02</v>
      </c>
      <c r="G2840" s="7" t="n">
        <v>672</v>
      </c>
      <c r="H2840" s="9" t="n">
        <f aca="false">IF(G2840&gt;0,D2840/G2840,"")</f>
        <v>3.20386904761905</v>
      </c>
      <c r="I2840" s="10" t="n">
        <v>46238</v>
      </c>
      <c r="J2840" s="3" t="s">
        <v>917</v>
      </c>
      <c r="K2840" s="10" t="n">
        <v>46129</v>
      </c>
      <c r="L2840" s="3" t="s">
        <v>14</v>
      </c>
      <c r="M2840" s="7" t="n">
        <v>2725</v>
      </c>
      <c r="N2840" s="8" t="n">
        <v>0.0396</v>
      </c>
      <c r="O2840" s="4" t="n">
        <f aca="false">M2840*N2840</f>
        <v>107.91</v>
      </c>
    </row>
    <row r="2841" customFormat="false" ht="15" hidden="false" customHeight="false" outlineLevel="0" collapsed="false">
      <c r="A2841" s="0" t="s">
        <v>4092</v>
      </c>
      <c r="C2841" s="0" t="s">
        <v>715</v>
      </c>
      <c r="D2841" s="7" t="n">
        <v>3351</v>
      </c>
      <c r="E2841" s="8" t="n">
        <v>0.0253685467024769</v>
      </c>
      <c r="F2841" s="4" t="n">
        <f aca="false">D2841*E2841</f>
        <v>85.01</v>
      </c>
      <c r="G2841" s="7" t="n">
        <v>200</v>
      </c>
      <c r="H2841" s="9" t="n">
        <f aca="false">IF(G2841&gt;0,D2841/G2841,"")</f>
        <v>16.755</v>
      </c>
      <c r="I2841" s="10" t="n">
        <v>46171</v>
      </c>
      <c r="J2841" s="3" t="s">
        <v>110</v>
      </c>
      <c r="K2841" s="10" t="n">
        <v>46134</v>
      </c>
      <c r="L2841" s="3" t="s">
        <v>14</v>
      </c>
      <c r="M2841" s="7" t="n">
        <v>100</v>
      </c>
      <c r="N2841" s="8" t="n">
        <v>0.0714</v>
      </c>
      <c r="O2841" s="4" t="n">
        <f aca="false">M2841*N2841</f>
        <v>7.14</v>
      </c>
    </row>
    <row r="2842" customFormat="false" ht="15" hidden="false" customHeight="false" outlineLevel="0" collapsed="false">
      <c r="A2842" s="0" t="s">
        <v>4093</v>
      </c>
      <c r="C2842" s="0" t="s">
        <v>1169</v>
      </c>
      <c r="D2842" s="7" t="n">
        <v>3690</v>
      </c>
      <c r="E2842" s="8" t="n">
        <v>0.023</v>
      </c>
      <c r="F2842" s="4" t="n">
        <f aca="false">D2842*E2842</f>
        <v>84.87</v>
      </c>
      <c r="G2842" s="7" t="n">
        <v>150</v>
      </c>
      <c r="H2842" s="9" t="n">
        <f aca="false">IF(G2842&gt;0,D2842/G2842,"")</f>
        <v>24.6</v>
      </c>
      <c r="I2842" s="10" t="n">
        <v>46133</v>
      </c>
      <c r="J2842" s="3" t="s">
        <v>4016</v>
      </c>
      <c r="K2842" s="10" t="n">
        <v>44294</v>
      </c>
      <c r="L2842" s="3" t="s">
        <v>21</v>
      </c>
      <c r="M2842" s="7" t="n">
        <v>5000</v>
      </c>
      <c r="N2842" s="8" t="n">
        <v>0.023</v>
      </c>
      <c r="O2842" s="4" t="n">
        <f aca="false">M2842*N2842</f>
        <v>115</v>
      </c>
    </row>
    <row r="2843" customFormat="false" ht="15" hidden="false" customHeight="false" outlineLevel="0" collapsed="false">
      <c r="A2843" s="0" t="s">
        <v>4094</v>
      </c>
      <c r="C2843" s="0" t="s">
        <v>40</v>
      </c>
      <c r="D2843" s="7" t="n">
        <v>336</v>
      </c>
      <c r="E2843" s="8" t="n">
        <v>0.2525</v>
      </c>
      <c r="F2843" s="4" t="n">
        <f aca="false">D2843*E2843</f>
        <v>84.84</v>
      </c>
      <c r="G2843" s="7" t="n">
        <v>22</v>
      </c>
      <c r="H2843" s="9" t="n">
        <f aca="false">IF(G2843&gt;0,D2843/G2843,"")</f>
        <v>15.2727272727273</v>
      </c>
      <c r="I2843" s="10" t="n">
        <v>46302</v>
      </c>
      <c r="K2843" s="10"/>
      <c r="M2843" s="7"/>
      <c r="N2843" s="8"/>
      <c r="O2843" s="4"/>
    </row>
    <row r="2844" customFormat="false" ht="15" hidden="false" customHeight="false" outlineLevel="0" collapsed="false">
      <c r="A2844" s="0" t="s">
        <v>4095</v>
      </c>
      <c r="C2844" s="0" t="s">
        <v>31</v>
      </c>
      <c r="D2844" s="7" t="n">
        <v>2709</v>
      </c>
      <c r="E2844" s="8" t="n">
        <v>0.0312846068660022</v>
      </c>
      <c r="F2844" s="4" t="n">
        <f aca="false">D2844*E2844</f>
        <v>84.75</v>
      </c>
      <c r="G2844" s="7" t="n">
        <v>98</v>
      </c>
      <c r="H2844" s="9" t="n">
        <f aca="false">IF(G2844&gt;0,D2844/G2844,"")</f>
        <v>27.6428571428571</v>
      </c>
      <c r="I2844" s="10" t="n">
        <v>46147</v>
      </c>
      <c r="K2844" s="10"/>
      <c r="M2844" s="7"/>
      <c r="N2844" s="8"/>
      <c r="O2844" s="4"/>
    </row>
    <row r="2845" customFormat="false" ht="15" hidden="false" customHeight="false" outlineLevel="0" collapsed="false">
      <c r="A2845" s="0" t="s">
        <v>4096</v>
      </c>
      <c r="C2845" s="0" t="s">
        <v>38</v>
      </c>
      <c r="D2845" s="7" t="n">
        <v>1555</v>
      </c>
      <c r="E2845" s="8" t="n">
        <v>0.0543987138263666</v>
      </c>
      <c r="F2845" s="4" t="n">
        <f aca="false">D2845*E2845</f>
        <v>84.59</v>
      </c>
      <c r="G2845" s="7" t="n">
        <v>1015</v>
      </c>
      <c r="H2845" s="9" t="n">
        <f aca="false">IF(G2845&gt;0,D2845/G2845,"")</f>
        <v>1.5320197044335</v>
      </c>
      <c r="I2845" s="10" t="n">
        <v>46233</v>
      </c>
      <c r="J2845" s="3" t="s">
        <v>421</v>
      </c>
      <c r="K2845" s="10" t="n">
        <v>46240</v>
      </c>
      <c r="L2845" s="3" t="s">
        <v>18</v>
      </c>
      <c r="M2845" s="7" t="n">
        <v>1800</v>
      </c>
      <c r="N2845" s="8" t="n">
        <v>0.0544</v>
      </c>
      <c r="O2845" s="4" t="n">
        <f aca="false">M2845*N2845</f>
        <v>97.92</v>
      </c>
    </row>
    <row r="2846" customFormat="false" ht="15" hidden="false" customHeight="false" outlineLevel="0" collapsed="false">
      <c r="A2846" s="0" t="s">
        <v>4097</v>
      </c>
      <c r="C2846" s="0" t="s">
        <v>40</v>
      </c>
      <c r="D2846" s="7" t="n">
        <v>1034</v>
      </c>
      <c r="E2846" s="8" t="n">
        <v>0.0817988394584139</v>
      </c>
      <c r="F2846" s="4" t="n">
        <f aca="false">D2846*E2846</f>
        <v>84.58</v>
      </c>
      <c r="G2846" s="7" t="n">
        <v>906</v>
      </c>
      <c r="H2846" s="9" t="n">
        <f aca="false">IF(G2846&gt;0,D2846/G2846,"")</f>
        <v>1.14128035320088</v>
      </c>
      <c r="I2846" s="10" t="n">
        <v>46280</v>
      </c>
      <c r="J2846" s="3" t="s">
        <v>4098</v>
      </c>
      <c r="K2846" s="10" t="n">
        <v>45246</v>
      </c>
      <c r="L2846" s="3" t="s">
        <v>18</v>
      </c>
      <c r="M2846" s="7" t="n">
        <v>2400</v>
      </c>
      <c r="N2846" s="8" t="n">
        <v>0.0818</v>
      </c>
      <c r="O2846" s="4" t="n">
        <f aca="false">M2846*N2846</f>
        <v>196.32</v>
      </c>
    </row>
    <row r="2847" customFormat="false" ht="15" hidden="false" customHeight="false" outlineLevel="0" collapsed="false">
      <c r="A2847" s="0" t="s">
        <v>4099</v>
      </c>
      <c r="C2847" s="0" t="s">
        <v>34</v>
      </c>
      <c r="D2847" s="7" t="n">
        <v>686</v>
      </c>
      <c r="E2847" s="8" t="n">
        <v>0.123294460641399</v>
      </c>
      <c r="F2847" s="4" t="n">
        <f aca="false">D2847*E2847</f>
        <v>84.58</v>
      </c>
      <c r="G2847" s="7" t="n">
        <v>600</v>
      </c>
      <c r="H2847" s="9" t="n">
        <f aca="false">IF(G2847&gt;0,D2847/G2847,"")</f>
        <v>1.14333333333333</v>
      </c>
      <c r="I2847" s="10" t="n">
        <v>46156</v>
      </c>
      <c r="J2847" s="3" t="s">
        <v>93</v>
      </c>
      <c r="K2847" s="10" t="n">
        <v>44957</v>
      </c>
      <c r="L2847" s="3" t="s">
        <v>15</v>
      </c>
      <c r="M2847" s="7" t="n">
        <v>2500</v>
      </c>
      <c r="N2847" s="8" t="n">
        <v>0.1233</v>
      </c>
      <c r="O2847" s="4" t="n">
        <f aca="false">M2847*N2847</f>
        <v>308.25</v>
      </c>
    </row>
    <row r="2848" customFormat="false" ht="15" hidden="false" customHeight="false" outlineLevel="0" collapsed="false">
      <c r="A2848" s="0" t="s">
        <v>4100</v>
      </c>
      <c r="C2848" s="0" t="s">
        <v>61</v>
      </c>
      <c r="D2848" s="7" t="n">
        <v>164</v>
      </c>
      <c r="E2848" s="8" t="n">
        <v>0.515670731707317</v>
      </c>
      <c r="F2848" s="4" t="n">
        <f aca="false">D2848*E2848</f>
        <v>84.57</v>
      </c>
      <c r="G2848" s="7" t="n">
        <v>8</v>
      </c>
      <c r="H2848" s="9" t="n">
        <f aca="false">IF(G2848&gt;0,D2848/G2848,"")</f>
        <v>20.5</v>
      </c>
      <c r="I2848" s="10" t="n">
        <v>46003</v>
      </c>
      <c r="K2848" s="10"/>
      <c r="M2848" s="7"/>
      <c r="N2848" s="8"/>
      <c r="O2848" s="4"/>
    </row>
    <row r="2849" customFormat="false" ht="15" hidden="false" customHeight="false" outlineLevel="0" collapsed="false">
      <c r="A2849" s="0" t="s">
        <v>4101</v>
      </c>
      <c r="C2849" s="0" t="s">
        <v>889</v>
      </c>
      <c r="D2849" s="7" t="n">
        <v>4708</v>
      </c>
      <c r="E2849" s="8" t="n">
        <v>0.0179609175870858</v>
      </c>
      <c r="F2849" s="4" t="n">
        <f aca="false">D2849*E2849</f>
        <v>84.56</v>
      </c>
      <c r="G2849" s="7" t="n">
        <v>3010</v>
      </c>
      <c r="H2849" s="9" t="n">
        <f aca="false">IF(G2849&gt;0,D2849/G2849,"")</f>
        <v>1.5641196013289</v>
      </c>
      <c r="I2849" s="10" t="n">
        <v>46287</v>
      </c>
      <c r="J2849" s="3" t="s">
        <v>4102</v>
      </c>
      <c r="K2849" s="10" t="n">
        <v>45588</v>
      </c>
      <c r="L2849" s="3" t="s">
        <v>15</v>
      </c>
      <c r="M2849" s="7" t="n">
        <v>11120</v>
      </c>
      <c r="N2849" s="8" t="n">
        <v>0.01796</v>
      </c>
      <c r="O2849" s="4" t="n">
        <f aca="false">M2849*N2849</f>
        <v>199.7152</v>
      </c>
    </row>
    <row r="2850" customFormat="false" ht="15" hidden="false" customHeight="false" outlineLevel="0" collapsed="false">
      <c r="A2850" s="0" t="s">
        <v>4103</v>
      </c>
      <c r="C2850" s="0" t="s">
        <v>36</v>
      </c>
      <c r="D2850" s="7" t="n">
        <v>370</v>
      </c>
      <c r="E2850" s="8" t="n">
        <v>0.228486486486487</v>
      </c>
      <c r="F2850" s="4" t="n">
        <f aca="false">D2850*E2850</f>
        <v>84.54</v>
      </c>
      <c r="G2850" s="7" t="n">
        <v>62</v>
      </c>
      <c r="H2850" s="9" t="n">
        <f aca="false">IF(G2850&gt;0,D2850/G2850,"")</f>
        <v>5.96774193548387</v>
      </c>
      <c r="I2850" s="10" t="n">
        <v>46181</v>
      </c>
      <c r="J2850" s="3" t="s">
        <v>2533</v>
      </c>
      <c r="K2850" s="10" t="n">
        <v>45511</v>
      </c>
      <c r="L2850" s="3" t="s">
        <v>18</v>
      </c>
      <c r="M2850" s="7" t="n">
        <v>440</v>
      </c>
      <c r="N2850" s="8" t="n">
        <v>0.2285</v>
      </c>
      <c r="O2850" s="4" t="n">
        <f aca="false">M2850*N2850</f>
        <v>100.54</v>
      </c>
    </row>
    <row r="2851" customFormat="false" ht="15" hidden="false" customHeight="false" outlineLevel="0" collapsed="false">
      <c r="A2851" s="0" t="s">
        <v>4104</v>
      </c>
      <c r="C2851" s="0" t="s">
        <v>370</v>
      </c>
      <c r="D2851" s="7" t="n">
        <v>844</v>
      </c>
      <c r="E2851" s="8" t="n">
        <v>0.1</v>
      </c>
      <c r="F2851" s="4" t="n">
        <f aca="false">D2851*E2851</f>
        <v>84.4</v>
      </c>
      <c r="G2851" s="7" t="n">
        <v>156</v>
      </c>
      <c r="H2851" s="9" t="n">
        <f aca="false">IF(G2851&gt;0,D2851/G2851,"")</f>
        <v>5.41025641025641</v>
      </c>
      <c r="I2851" s="10" t="n">
        <v>46304</v>
      </c>
      <c r="J2851" s="3" t="s">
        <v>4105</v>
      </c>
      <c r="K2851" s="10" t="n">
        <v>45984</v>
      </c>
      <c r="L2851" s="3" t="s">
        <v>21</v>
      </c>
      <c r="M2851" s="7" t="n">
        <v>1000</v>
      </c>
      <c r="N2851" s="8" t="n">
        <v>0.1</v>
      </c>
      <c r="O2851" s="4" t="n">
        <f aca="false">M2851*N2851</f>
        <v>100</v>
      </c>
    </row>
    <row r="2852" customFormat="false" ht="15" hidden="false" customHeight="false" outlineLevel="0" collapsed="false">
      <c r="A2852" s="0" t="s">
        <v>4106</v>
      </c>
      <c r="C2852" s="0" t="s">
        <v>370</v>
      </c>
      <c r="D2852" s="7" t="n">
        <v>844</v>
      </c>
      <c r="E2852" s="8" t="n">
        <v>0.1</v>
      </c>
      <c r="F2852" s="4" t="n">
        <f aca="false">D2852*E2852</f>
        <v>84.4</v>
      </c>
      <c r="G2852" s="7" t="n">
        <v>156</v>
      </c>
      <c r="H2852" s="9" t="n">
        <f aca="false">IF(G2852&gt;0,D2852/G2852,"")</f>
        <v>5.41025641025641</v>
      </c>
      <c r="I2852" s="10" t="n">
        <v>46304</v>
      </c>
      <c r="J2852" s="3" t="s">
        <v>4105</v>
      </c>
      <c r="K2852" s="10" t="n">
        <v>45984</v>
      </c>
      <c r="L2852" s="3" t="s">
        <v>21</v>
      </c>
      <c r="M2852" s="7" t="n">
        <v>1000</v>
      </c>
      <c r="N2852" s="8" t="n">
        <v>0.1</v>
      </c>
      <c r="O2852" s="4" t="n">
        <f aca="false">M2852*N2852</f>
        <v>100</v>
      </c>
    </row>
    <row r="2853" customFormat="false" ht="15" hidden="false" customHeight="false" outlineLevel="0" collapsed="false">
      <c r="A2853" s="0" t="s">
        <v>4107</v>
      </c>
      <c r="C2853" s="0" t="s">
        <v>40</v>
      </c>
      <c r="D2853" s="7" t="n">
        <v>842</v>
      </c>
      <c r="E2853" s="8" t="n">
        <v>0.100225653206651</v>
      </c>
      <c r="F2853" s="4" t="n">
        <f aca="false">D2853*E2853</f>
        <v>84.39</v>
      </c>
      <c r="G2853" s="7" t="n">
        <v>43</v>
      </c>
      <c r="H2853" s="9" t="n">
        <f aca="false">IF(G2853&gt;0,D2853/G2853,"")</f>
        <v>19.5813953488372</v>
      </c>
      <c r="I2853" s="10" t="n">
        <v>46252</v>
      </c>
      <c r="J2853" s="3" t="s">
        <v>4108</v>
      </c>
      <c r="K2853" s="10" t="n">
        <v>45184</v>
      </c>
      <c r="L2853" s="3" t="s">
        <v>18</v>
      </c>
      <c r="M2853" s="7" t="n">
        <v>1000</v>
      </c>
      <c r="N2853" s="8" t="n">
        <v>0.1002</v>
      </c>
      <c r="O2853" s="4" t="n">
        <f aca="false">M2853*N2853</f>
        <v>100.2</v>
      </c>
    </row>
    <row r="2854" customFormat="false" ht="15" hidden="false" customHeight="false" outlineLevel="0" collapsed="false">
      <c r="A2854" s="0" t="s">
        <v>4109</v>
      </c>
      <c r="C2854" s="0" t="s">
        <v>875</v>
      </c>
      <c r="D2854" s="7" t="n">
        <v>39</v>
      </c>
      <c r="E2854" s="8" t="n">
        <v>2.1625641025641</v>
      </c>
      <c r="F2854" s="4" t="n">
        <f aca="false">D2854*E2854</f>
        <v>84.34</v>
      </c>
      <c r="G2854" s="7" t="n">
        <v>25</v>
      </c>
      <c r="H2854" s="9" t="n">
        <f aca="false">IF(G2854&gt;0,D2854/G2854,"")</f>
        <v>1.56</v>
      </c>
      <c r="I2854" s="10" t="n">
        <v>46300</v>
      </c>
      <c r="J2854" s="3" t="s">
        <v>680</v>
      </c>
      <c r="K2854" s="10" t="n">
        <v>46240</v>
      </c>
      <c r="L2854" s="3" t="s">
        <v>14</v>
      </c>
      <c r="M2854" s="7" t="n">
        <v>50</v>
      </c>
      <c r="N2854" s="8" t="n">
        <v>2.1626</v>
      </c>
      <c r="O2854" s="4" t="n">
        <f aca="false">M2854*N2854</f>
        <v>108.13</v>
      </c>
    </row>
    <row r="2855" customFormat="false" ht="15" hidden="false" customHeight="false" outlineLevel="0" collapsed="false">
      <c r="A2855" s="0" t="s">
        <v>4110</v>
      </c>
      <c r="C2855" s="0" t="s">
        <v>31</v>
      </c>
      <c r="D2855" s="7" t="n">
        <v>31568</v>
      </c>
      <c r="E2855" s="8" t="n">
        <v>0.00267010897110999</v>
      </c>
      <c r="F2855" s="4" t="n">
        <f aca="false">D2855*E2855</f>
        <v>84.29</v>
      </c>
      <c r="G2855" s="7" t="n">
        <v>6448</v>
      </c>
      <c r="H2855" s="9" t="n">
        <f aca="false">IF(G2855&gt;0,D2855/G2855,"")</f>
        <v>4.89578163771712</v>
      </c>
      <c r="I2855" s="10" t="n">
        <v>46308</v>
      </c>
      <c r="K2855" s="10"/>
      <c r="M2855" s="7"/>
      <c r="N2855" s="8"/>
      <c r="O2855" s="4"/>
    </row>
    <row r="2856" customFormat="false" ht="15" hidden="false" customHeight="false" outlineLevel="0" collapsed="false">
      <c r="A2856" s="0" t="s">
        <v>4111</v>
      </c>
      <c r="C2856" s="0" t="s">
        <v>979</v>
      </c>
      <c r="D2856" s="7" t="n">
        <v>119</v>
      </c>
      <c r="E2856" s="8" t="n">
        <v>0.708235294117647</v>
      </c>
      <c r="F2856" s="4" t="n">
        <f aca="false">D2856*E2856</f>
        <v>84.28</v>
      </c>
      <c r="G2856" s="7" t="n">
        <v>100</v>
      </c>
      <c r="H2856" s="9" t="n">
        <f aca="false">IF(G2856&gt;0,D2856/G2856,"")</f>
        <v>1.19</v>
      </c>
      <c r="I2856" s="10" t="n">
        <v>46008</v>
      </c>
      <c r="J2856" s="3" t="s">
        <v>3596</v>
      </c>
      <c r="K2856" s="10" t="n">
        <v>46000</v>
      </c>
      <c r="L2856" s="3" t="s">
        <v>18</v>
      </c>
      <c r="M2856" s="7" t="n">
        <v>140</v>
      </c>
      <c r="N2856" s="8" t="n">
        <v>0.7082</v>
      </c>
      <c r="O2856" s="4" t="n">
        <f aca="false">M2856*N2856</f>
        <v>99.148</v>
      </c>
    </row>
    <row r="2857" customFormat="false" ht="15" hidden="false" customHeight="false" outlineLevel="0" collapsed="false">
      <c r="A2857" s="0" t="s">
        <v>4112</v>
      </c>
      <c r="C2857" s="0" t="s">
        <v>39</v>
      </c>
      <c r="D2857" s="7" t="n">
        <v>465</v>
      </c>
      <c r="E2857" s="8" t="n">
        <v>0.181096774193548</v>
      </c>
      <c r="F2857" s="4" t="n">
        <f aca="false">D2857*E2857</f>
        <v>84.21</v>
      </c>
      <c r="G2857" s="7" t="n">
        <v>150</v>
      </c>
      <c r="H2857" s="9" t="n">
        <f aca="false">IF(G2857&gt;0,D2857/G2857,"")</f>
        <v>3.1</v>
      </c>
      <c r="I2857" s="10" t="n">
        <v>46302</v>
      </c>
      <c r="J2857" s="3" t="s">
        <v>3583</v>
      </c>
      <c r="K2857" s="10" t="n">
        <v>46106</v>
      </c>
      <c r="L2857" s="3" t="s">
        <v>18</v>
      </c>
      <c r="M2857" s="7" t="n">
        <v>510</v>
      </c>
      <c r="N2857" s="8" t="n">
        <v>0.1811</v>
      </c>
      <c r="O2857" s="4" t="n">
        <f aca="false">M2857*N2857</f>
        <v>92.361</v>
      </c>
    </row>
    <row r="2858" customFormat="false" ht="15" hidden="false" customHeight="false" outlineLevel="0" collapsed="false">
      <c r="A2858" s="0" t="s">
        <v>4113</v>
      </c>
      <c r="C2858" s="0" t="s">
        <v>38</v>
      </c>
      <c r="D2858" s="7" t="n">
        <v>3142</v>
      </c>
      <c r="E2858" s="8" t="n">
        <v>0.0267950350095481</v>
      </c>
      <c r="F2858" s="4" t="n">
        <f aca="false">D2858*E2858</f>
        <v>84.19</v>
      </c>
      <c r="G2858" s="7" t="n">
        <v>215</v>
      </c>
      <c r="H2858" s="9" t="n">
        <f aca="false">IF(G2858&gt;0,D2858/G2858,"")</f>
        <v>14.6139534883721</v>
      </c>
      <c r="I2858" s="10" t="n">
        <v>46244</v>
      </c>
      <c r="J2858" s="3" t="s">
        <v>1021</v>
      </c>
      <c r="K2858" s="10" t="n">
        <v>45779</v>
      </c>
      <c r="L2858" s="3" t="s">
        <v>18</v>
      </c>
      <c r="M2858" s="7" t="n">
        <v>3700</v>
      </c>
      <c r="N2858" s="8" t="n">
        <v>0.0268</v>
      </c>
      <c r="O2858" s="4" t="n">
        <f aca="false">M2858*N2858</f>
        <v>99.16</v>
      </c>
    </row>
    <row r="2859" customFormat="false" ht="15" hidden="false" customHeight="false" outlineLevel="0" collapsed="false">
      <c r="A2859" s="0" t="s">
        <v>4114</v>
      </c>
      <c r="C2859" s="0" t="s">
        <v>41</v>
      </c>
      <c r="D2859" s="7" t="n">
        <v>2067</v>
      </c>
      <c r="E2859" s="8" t="n">
        <v>0.0406531204644412</v>
      </c>
      <c r="F2859" s="4" t="n">
        <f aca="false">D2859*E2859</f>
        <v>84.03</v>
      </c>
      <c r="G2859" s="7" t="n">
        <v>38</v>
      </c>
      <c r="H2859" s="9" t="n">
        <f aca="false">IF(G2859&gt;0,D2859/G2859,"")</f>
        <v>54.3947368421053</v>
      </c>
      <c r="I2859" s="10" t="n">
        <v>46246</v>
      </c>
      <c r="J2859" s="3" t="s">
        <v>2125</v>
      </c>
      <c r="K2859" s="10" t="n">
        <v>44334</v>
      </c>
      <c r="L2859" s="3" t="s">
        <v>15</v>
      </c>
      <c r="M2859" s="7" t="n">
        <v>2130</v>
      </c>
      <c r="N2859" s="8" t="n">
        <v>0.04066</v>
      </c>
      <c r="O2859" s="4" t="n">
        <f aca="false">M2859*N2859</f>
        <v>86.6058</v>
      </c>
    </row>
    <row r="2860" customFormat="false" ht="15" hidden="false" customHeight="false" outlineLevel="0" collapsed="false">
      <c r="A2860" s="0" t="s">
        <v>4115</v>
      </c>
      <c r="C2860" s="0" t="s">
        <v>583</v>
      </c>
      <c r="D2860" s="7" t="n">
        <v>7966</v>
      </c>
      <c r="E2860" s="8" t="n">
        <v>0.0105385387898569</v>
      </c>
      <c r="F2860" s="4" t="n">
        <f aca="false">D2860*E2860</f>
        <v>83.95</v>
      </c>
      <c r="G2860" s="7" t="n">
        <v>2155</v>
      </c>
      <c r="H2860" s="9" t="n">
        <f aca="false">IF(G2860&gt;0,D2860/G2860,"")</f>
        <v>3.69651972157773</v>
      </c>
      <c r="I2860" s="10" t="n">
        <v>46308</v>
      </c>
      <c r="J2860" s="3" t="s">
        <v>4116</v>
      </c>
      <c r="K2860" s="10" t="n">
        <v>45895</v>
      </c>
      <c r="L2860" s="3" t="s">
        <v>16</v>
      </c>
      <c r="M2860" s="7" t="n">
        <v>10000</v>
      </c>
      <c r="N2860" s="8" t="n">
        <v>0.0105</v>
      </c>
      <c r="O2860" s="4" t="n">
        <f aca="false">M2860*N2860</f>
        <v>105</v>
      </c>
    </row>
    <row r="2861" customFormat="false" ht="15" hidden="false" customHeight="false" outlineLevel="0" collapsed="false">
      <c r="A2861" s="0" t="s">
        <v>4117</v>
      </c>
      <c r="C2861" s="0" t="s">
        <v>583</v>
      </c>
      <c r="D2861" s="7" t="n">
        <v>230</v>
      </c>
      <c r="E2861" s="8" t="n">
        <v>0.365</v>
      </c>
      <c r="F2861" s="4" t="n">
        <f aca="false">D2861*E2861</f>
        <v>83.95</v>
      </c>
      <c r="G2861" s="7" t="n">
        <v>20</v>
      </c>
      <c r="H2861" s="9" t="n">
        <f aca="false">IF(G2861&gt;0,D2861/G2861,"")</f>
        <v>11.5</v>
      </c>
      <c r="I2861" s="10" t="n">
        <v>46268</v>
      </c>
      <c r="J2861" s="3" t="s">
        <v>1035</v>
      </c>
      <c r="K2861" s="10" t="n">
        <v>46251</v>
      </c>
      <c r="L2861" s="3" t="s">
        <v>16</v>
      </c>
      <c r="M2861" s="7" t="n">
        <v>250</v>
      </c>
      <c r="N2861" s="8" t="n">
        <v>0.365</v>
      </c>
      <c r="O2861" s="4" t="n">
        <f aca="false">M2861*N2861</f>
        <v>91.25</v>
      </c>
    </row>
    <row r="2862" customFormat="false" ht="15" hidden="false" customHeight="false" outlineLevel="0" collapsed="false">
      <c r="A2862" s="0" t="s">
        <v>4118</v>
      </c>
      <c r="C2862" s="0" t="s">
        <v>31</v>
      </c>
      <c r="D2862" s="7" t="n">
        <v>2798</v>
      </c>
      <c r="E2862" s="8" t="n">
        <v>0.03</v>
      </c>
      <c r="F2862" s="4" t="n">
        <f aca="false">D2862*E2862</f>
        <v>83.94</v>
      </c>
      <c r="G2862" s="7" t="n">
        <v>299</v>
      </c>
      <c r="H2862" s="9" t="n">
        <f aca="false">IF(G2862&gt;0,D2862/G2862,"")</f>
        <v>9.35785953177258</v>
      </c>
      <c r="I2862" s="10" t="n">
        <v>46309</v>
      </c>
      <c r="K2862" s="10"/>
      <c r="M2862" s="7"/>
      <c r="N2862" s="8"/>
      <c r="O2862" s="4"/>
    </row>
    <row r="2863" customFormat="false" ht="15" hidden="false" customHeight="false" outlineLevel="0" collapsed="false">
      <c r="A2863" s="0" t="s">
        <v>4119</v>
      </c>
      <c r="C2863" s="0" t="s">
        <v>438</v>
      </c>
      <c r="D2863" s="7" t="n">
        <v>214</v>
      </c>
      <c r="E2863" s="8" t="n">
        <v>0.391495327102804</v>
      </c>
      <c r="F2863" s="4" t="n">
        <f aca="false">D2863*E2863</f>
        <v>83.78</v>
      </c>
      <c r="G2863" s="7" t="n">
        <v>140</v>
      </c>
      <c r="H2863" s="9" t="n">
        <f aca="false">IF(G2863&gt;0,D2863/G2863,"")</f>
        <v>1.52857142857143</v>
      </c>
      <c r="I2863" s="10" t="n">
        <v>46316</v>
      </c>
      <c r="J2863" s="3" t="s">
        <v>2142</v>
      </c>
      <c r="K2863" s="10" t="n">
        <v>45975</v>
      </c>
      <c r="L2863" s="3" t="s">
        <v>27</v>
      </c>
      <c r="M2863" s="7" t="n">
        <v>250</v>
      </c>
      <c r="N2863" s="8" t="n">
        <v>0.3916</v>
      </c>
      <c r="O2863" s="4" t="n">
        <f aca="false">M2863*N2863</f>
        <v>97.9</v>
      </c>
    </row>
    <row r="2864" customFormat="false" ht="15" hidden="false" customHeight="false" outlineLevel="0" collapsed="false">
      <c r="A2864" s="0" t="s">
        <v>4120</v>
      </c>
      <c r="C2864" s="0" t="s">
        <v>38</v>
      </c>
      <c r="D2864" s="7" t="n">
        <v>5859</v>
      </c>
      <c r="E2864" s="8" t="n">
        <v>0.0142993684929169</v>
      </c>
      <c r="F2864" s="4" t="n">
        <f aca="false">D2864*E2864</f>
        <v>83.78</v>
      </c>
      <c r="G2864" s="7" t="n">
        <v>1369</v>
      </c>
      <c r="H2864" s="9" t="n">
        <f aca="false">IF(G2864&gt;0,D2864/G2864,"")</f>
        <v>4.27976625273923</v>
      </c>
      <c r="I2864" s="10" t="n">
        <v>46304</v>
      </c>
      <c r="J2864" s="3" t="s">
        <v>4121</v>
      </c>
      <c r="K2864" s="10" t="n">
        <v>45453</v>
      </c>
      <c r="L2864" s="3" t="s">
        <v>18</v>
      </c>
      <c r="M2864" s="7" t="n">
        <v>10000</v>
      </c>
      <c r="N2864" s="8" t="n">
        <v>0.0143</v>
      </c>
      <c r="O2864" s="4" t="n">
        <f aca="false">M2864*N2864</f>
        <v>143</v>
      </c>
    </row>
    <row r="2865" customFormat="false" ht="15" hidden="false" customHeight="false" outlineLevel="0" collapsed="false">
      <c r="A2865" s="0" t="s">
        <v>4122</v>
      </c>
      <c r="C2865" s="0" t="s">
        <v>298</v>
      </c>
      <c r="D2865" s="7" t="n">
        <v>2251</v>
      </c>
      <c r="E2865" s="8" t="n">
        <v>0.0372101288316304</v>
      </c>
      <c r="F2865" s="4" t="n">
        <f aca="false">D2865*E2865</f>
        <v>83.76</v>
      </c>
      <c r="G2865" s="7" t="n">
        <v>160</v>
      </c>
      <c r="H2865" s="9" t="n">
        <f aca="false">IF(G2865&gt;0,D2865/G2865,"")</f>
        <v>14.06875</v>
      </c>
      <c r="I2865" s="10" t="n">
        <v>46314</v>
      </c>
      <c r="K2865" s="10"/>
      <c r="M2865" s="7"/>
      <c r="N2865" s="8"/>
      <c r="O2865" s="4"/>
    </row>
    <row r="2866" customFormat="false" ht="15" hidden="false" customHeight="false" outlineLevel="0" collapsed="false">
      <c r="A2866" s="0" t="s">
        <v>4123</v>
      </c>
      <c r="C2866" s="0" t="s">
        <v>438</v>
      </c>
      <c r="D2866" s="7" t="n">
        <v>47</v>
      </c>
      <c r="E2866" s="8" t="n">
        <v>1.78</v>
      </c>
      <c r="F2866" s="4" t="n">
        <f aca="false">D2866*E2866</f>
        <v>83.66</v>
      </c>
      <c r="G2866" s="7" t="n">
        <v>3</v>
      </c>
      <c r="H2866" s="9" t="n">
        <f aca="false">IF(G2866&gt;0,D2866/G2866,"")</f>
        <v>15.6666666666667</v>
      </c>
      <c r="I2866" s="10" t="n">
        <v>46210</v>
      </c>
      <c r="J2866" s="3" t="s">
        <v>4124</v>
      </c>
      <c r="K2866" s="10" t="n">
        <v>46196</v>
      </c>
      <c r="L2866" s="3" t="s">
        <v>1878</v>
      </c>
      <c r="M2866" s="7" t="n">
        <v>50</v>
      </c>
      <c r="N2866" s="8" t="n">
        <v>1.78</v>
      </c>
      <c r="O2866" s="4" t="n">
        <f aca="false">M2866*N2866</f>
        <v>89</v>
      </c>
    </row>
    <row r="2867" customFormat="false" ht="15" hidden="false" customHeight="false" outlineLevel="0" collapsed="false">
      <c r="A2867" s="0" t="s">
        <v>4125</v>
      </c>
      <c r="C2867" s="0" t="s">
        <v>1039</v>
      </c>
      <c r="D2867" s="7" t="n">
        <v>23900</v>
      </c>
      <c r="E2867" s="8" t="n">
        <v>0.0035</v>
      </c>
      <c r="F2867" s="4" t="n">
        <f aca="false">D2867*E2867</f>
        <v>83.65</v>
      </c>
      <c r="G2867" s="7" t="n">
        <v>125</v>
      </c>
      <c r="H2867" s="9" t="n">
        <f aca="false">IF(G2867&gt;0,D2867/G2867,"")</f>
        <v>191.2</v>
      </c>
      <c r="I2867" s="10" t="n">
        <v>46254</v>
      </c>
      <c r="J2867" s="3" t="s">
        <v>3149</v>
      </c>
      <c r="K2867" s="10" t="n">
        <v>46204</v>
      </c>
      <c r="L2867" s="3" t="s">
        <v>16</v>
      </c>
      <c r="M2867" s="7" t="n">
        <v>24000</v>
      </c>
      <c r="N2867" s="8" t="n">
        <v>0.0035</v>
      </c>
      <c r="O2867" s="4" t="n">
        <f aca="false">M2867*N2867</f>
        <v>84</v>
      </c>
    </row>
    <row r="2868" customFormat="false" ht="15" hidden="false" customHeight="false" outlineLevel="0" collapsed="false">
      <c r="A2868" s="0" t="s">
        <v>4126</v>
      </c>
      <c r="C2868" s="0" t="s">
        <v>32</v>
      </c>
      <c r="D2868" s="7" t="n">
        <v>5327</v>
      </c>
      <c r="E2868" s="8" t="n">
        <v>0.0156955134221889</v>
      </c>
      <c r="F2868" s="4" t="n">
        <f aca="false">D2868*E2868</f>
        <v>83.61</v>
      </c>
      <c r="G2868" s="7" t="n">
        <v>388</v>
      </c>
      <c r="H2868" s="9" t="n">
        <f aca="false">IF(G2868&gt;0,D2868/G2868,"")</f>
        <v>13.729381443299</v>
      </c>
      <c r="I2868" s="10" t="n">
        <v>46280</v>
      </c>
      <c r="J2868" s="3" t="s">
        <v>3444</v>
      </c>
      <c r="K2868" s="10" t="n">
        <v>45925</v>
      </c>
      <c r="L2868" s="3" t="s">
        <v>18</v>
      </c>
      <c r="M2868" s="7" t="n">
        <v>5700</v>
      </c>
      <c r="N2868" s="8" t="n">
        <v>0.0157</v>
      </c>
      <c r="O2868" s="4" t="n">
        <f aca="false">M2868*N2868</f>
        <v>89.49</v>
      </c>
    </row>
    <row r="2869" customFormat="false" ht="15" hidden="false" customHeight="false" outlineLevel="0" collapsed="false">
      <c r="A2869" s="0" t="s">
        <v>4127</v>
      </c>
      <c r="C2869" s="0" t="s">
        <v>765</v>
      </c>
      <c r="D2869" s="7" t="n">
        <v>4353</v>
      </c>
      <c r="E2869" s="8" t="n">
        <v>0.0192028486101539</v>
      </c>
      <c r="F2869" s="4" t="n">
        <f aca="false">D2869*E2869</f>
        <v>83.59</v>
      </c>
      <c r="G2869" s="7" t="n">
        <v>149</v>
      </c>
      <c r="H2869" s="9" t="n">
        <f aca="false">IF(G2869&gt;0,D2869/G2869,"")</f>
        <v>29.2147651006711</v>
      </c>
      <c r="I2869" s="10" t="n">
        <v>46255</v>
      </c>
      <c r="J2869" s="3" t="s">
        <v>2914</v>
      </c>
      <c r="K2869" s="10" t="n">
        <v>45562</v>
      </c>
      <c r="L2869" s="3" t="s">
        <v>16</v>
      </c>
      <c r="M2869" s="7" t="n">
        <v>5000</v>
      </c>
      <c r="N2869" s="8" t="n">
        <v>0.0192</v>
      </c>
      <c r="O2869" s="4" t="n">
        <f aca="false">M2869*N2869</f>
        <v>96</v>
      </c>
    </row>
    <row r="2870" customFormat="false" ht="15" hidden="false" customHeight="false" outlineLevel="0" collapsed="false">
      <c r="A2870" s="0" t="s">
        <v>4128</v>
      </c>
      <c r="C2870" s="0" t="s">
        <v>679</v>
      </c>
      <c r="D2870" s="7" t="n">
        <v>85</v>
      </c>
      <c r="E2870" s="8" t="n">
        <v>0.983176470588235</v>
      </c>
      <c r="F2870" s="4" t="n">
        <f aca="false">D2870*E2870</f>
        <v>83.57</v>
      </c>
      <c r="G2870" s="7" t="n">
        <v>1</v>
      </c>
      <c r="H2870" s="9" t="n">
        <f aca="false">IF(G2870&gt;0,D2870/G2870,"")</f>
        <v>85</v>
      </c>
      <c r="I2870" s="10" t="n">
        <v>46029</v>
      </c>
      <c r="J2870" s="3" t="s">
        <v>4084</v>
      </c>
      <c r="K2870" s="10" t="n">
        <v>45013</v>
      </c>
      <c r="L2870" s="3" t="s">
        <v>1878</v>
      </c>
      <c r="M2870" s="7" t="n">
        <v>100</v>
      </c>
      <c r="N2870" s="8" t="n">
        <v>0.83</v>
      </c>
      <c r="O2870" s="4" t="n">
        <f aca="false">M2870*N2870</f>
        <v>83</v>
      </c>
    </row>
    <row r="2871" customFormat="false" ht="15" hidden="false" customHeight="false" outlineLevel="0" collapsed="false">
      <c r="A2871" s="0" t="s">
        <v>4129</v>
      </c>
      <c r="C2871" s="0" t="s">
        <v>285</v>
      </c>
      <c r="D2871" s="7" t="n">
        <v>9303</v>
      </c>
      <c r="E2871" s="8" t="n">
        <v>0.00898097387939374</v>
      </c>
      <c r="F2871" s="4" t="n">
        <f aca="false">D2871*E2871</f>
        <v>83.55</v>
      </c>
      <c r="G2871" s="7" t="n">
        <v>35</v>
      </c>
      <c r="H2871" s="9" t="n">
        <f aca="false">IF(G2871&gt;0,D2871/G2871,"")</f>
        <v>265.8</v>
      </c>
      <c r="I2871" s="10" t="n">
        <v>45986</v>
      </c>
      <c r="K2871" s="10"/>
      <c r="M2871" s="7"/>
      <c r="N2871" s="8"/>
      <c r="O2871" s="4"/>
    </row>
    <row r="2872" customFormat="false" ht="15" hidden="false" customHeight="false" outlineLevel="0" collapsed="false">
      <c r="A2872" s="0" t="s">
        <v>4130</v>
      </c>
      <c r="C2872" s="0" t="s">
        <v>39</v>
      </c>
      <c r="D2872" s="7" t="n">
        <v>51</v>
      </c>
      <c r="E2872" s="8" t="n">
        <v>1.63705882352941</v>
      </c>
      <c r="F2872" s="4" t="n">
        <f aca="false">D2872*E2872</f>
        <v>83.49</v>
      </c>
      <c r="G2872" s="7" t="n">
        <v>20</v>
      </c>
      <c r="H2872" s="9" t="n">
        <f aca="false">IF(G2872&gt;0,D2872/G2872,"")</f>
        <v>2.55</v>
      </c>
      <c r="I2872" s="10" t="n">
        <v>46069</v>
      </c>
      <c r="J2872" s="3" t="s">
        <v>1854</v>
      </c>
      <c r="K2872" s="10" t="n">
        <v>44839</v>
      </c>
      <c r="L2872" s="3" t="s">
        <v>14</v>
      </c>
      <c r="M2872" s="7" t="n">
        <v>100</v>
      </c>
      <c r="N2872" s="8" t="n">
        <v>1.6371</v>
      </c>
      <c r="O2872" s="4" t="n">
        <f aca="false">M2872*N2872</f>
        <v>163.71</v>
      </c>
    </row>
    <row r="2873" customFormat="false" ht="15" hidden="false" customHeight="false" outlineLevel="0" collapsed="false">
      <c r="A2873" s="0" t="s">
        <v>4131</v>
      </c>
      <c r="C2873" s="0" t="s">
        <v>1101</v>
      </c>
      <c r="D2873" s="7" t="n">
        <v>39</v>
      </c>
      <c r="E2873" s="8" t="n">
        <v>2.14</v>
      </c>
      <c r="F2873" s="4" t="n">
        <f aca="false">D2873*E2873</f>
        <v>83.46</v>
      </c>
      <c r="G2873" s="7" t="n">
        <v>10</v>
      </c>
      <c r="H2873" s="9" t="n">
        <f aca="false">IF(G2873&gt;0,D2873/G2873,"")</f>
        <v>3.9</v>
      </c>
      <c r="I2873" s="10" t="n">
        <v>46304</v>
      </c>
      <c r="J2873" s="3" t="s">
        <v>4132</v>
      </c>
      <c r="K2873" s="10" t="n">
        <v>45642</v>
      </c>
      <c r="L2873" s="3" t="s">
        <v>834</v>
      </c>
      <c r="M2873" s="7" t="n">
        <v>50</v>
      </c>
      <c r="N2873" s="8" t="n">
        <v>2.14</v>
      </c>
      <c r="O2873" s="4" t="n">
        <f aca="false">M2873*N2873</f>
        <v>107</v>
      </c>
    </row>
    <row r="2874" customFormat="false" ht="15" hidden="false" customHeight="false" outlineLevel="0" collapsed="false">
      <c r="A2874" s="0" t="s">
        <v>4133</v>
      </c>
      <c r="C2874" s="0" t="s">
        <v>32</v>
      </c>
      <c r="D2874" s="7" t="n">
        <v>175</v>
      </c>
      <c r="E2874" s="8" t="n">
        <v>0.476514285714286</v>
      </c>
      <c r="F2874" s="4" t="n">
        <f aca="false">D2874*E2874</f>
        <v>83.39</v>
      </c>
      <c r="G2874" s="7" t="n">
        <v>16</v>
      </c>
      <c r="H2874" s="9" t="n">
        <f aca="false">IF(G2874&gt;0,D2874/G2874,"")</f>
        <v>10.9375</v>
      </c>
      <c r="I2874" s="10" t="n">
        <v>46310</v>
      </c>
      <c r="J2874" s="3" t="s">
        <v>3444</v>
      </c>
      <c r="K2874" s="10" t="n">
        <v>45925</v>
      </c>
      <c r="L2874" s="3" t="s">
        <v>18</v>
      </c>
      <c r="M2874" s="7" t="n">
        <v>190</v>
      </c>
      <c r="N2874" s="8" t="n">
        <v>0.4765</v>
      </c>
      <c r="O2874" s="4" t="n">
        <f aca="false">M2874*N2874</f>
        <v>90.535</v>
      </c>
    </row>
    <row r="2875" customFormat="false" ht="15" hidden="false" customHeight="false" outlineLevel="0" collapsed="false">
      <c r="A2875" s="0" t="s">
        <v>4134</v>
      </c>
      <c r="C2875" s="0" t="s">
        <v>765</v>
      </c>
      <c r="D2875" s="7" t="n">
        <v>10819</v>
      </c>
      <c r="E2875" s="8" t="n">
        <v>0.00770034199094186</v>
      </c>
      <c r="F2875" s="4" t="n">
        <f aca="false">D2875*E2875</f>
        <v>83.31</v>
      </c>
      <c r="G2875" s="7" t="n">
        <v>344</v>
      </c>
      <c r="H2875" s="9" t="n">
        <f aca="false">IF(G2875&gt;0,D2875/G2875,"")</f>
        <v>31.4505813953488</v>
      </c>
      <c r="I2875" s="10" t="n">
        <v>46300</v>
      </c>
      <c r="J2875" s="3" t="s">
        <v>2914</v>
      </c>
      <c r="K2875" s="10" t="n">
        <v>45562</v>
      </c>
      <c r="L2875" s="3" t="s">
        <v>16</v>
      </c>
      <c r="M2875" s="7" t="n">
        <v>12000</v>
      </c>
      <c r="N2875" s="8" t="n">
        <v>0.0077</v>
      </c>
      <c r="O2875" s="4" t="n">
        <f aca="false">M2875*N2875</f>
        <v>92.4</v>
      </c>
    </row>
    <row r="2876" customFormat="false" ht="15" hidden="false" customHeight="false" outlineLevel="0" collapsed="false">
      <c r="A2876" s="0" t="s">
        <v>4135</v>
      </c>
      <c r="C2876" s="0" t="s">
        <v>4136</v>
      </c>
      <c r="D2876" s="7" t="n">
        <v>4164</v>
      </c>
      <c r="E2876" s="8" t="n">
        <v>0.02</v>
      </c>
      <c r="F2876" s="4" t="n">
        <f aca="false">D2876*E2876</f>
        <v>83.28</v>
      </c>
      <c r="G2876" s="7" t="n">
        <v>140</v>
      </c>
      <c r="H2876" s="9" t="n">
        <f aca="false">IF(G2876&gt;0,D2876/G2876,"")</f>
        <v>29.7428571428571</v>
      </c>
      <c r="I2876" s="10" t="n">
        <v>46253</v>
      </c>
      <c r="K2876" s="10"/>
      <c r="M2876" s="7"/>
      <c r="N2876" s="8"/>
      <c r="O2876" s="4"/>
    </row>
    <row r="2877" customFormat="false" ht="15" hidden="false" customHeight="false" outlineLevel="0" collapsed="false">
      <c r="A2877" s="0" t="s">
        <v>4137</v>
      </c>
      <c r="C2877" s="0" t="s">
        <v>1169</v>
      </c>
      <c r="D2877" s="7" t="n">
        <v>2029</v>
      </c>
      <c r="E2877" s="8" t="n">
        <v>0.040990635781173</v>
      </c>
      <c r="F2877" s="4" t="n">
        <f aca="false">D2877*E2877</f>
        <v>83.17</v>
      </c>
      <c r="G2877" s="7" t="n">
        <v>645</v>
      </c>
      <c r="H2877" s="9" t="n">
        <f aca="false">IF(G2877&gt;0,D2877/G2877,"")</f>
        <v>3.14573643410853</v>
      </c>
      <c r="I2877" s="10" t="n">
        <v>46237</v>
      </c>
      <c r="J2877" s="3" t="s">
        <v>2054</v>
      </c>
      <c r="K2877" s="10" t="n">
        <v>45176</v>
      </c>
      <c r="L2877" s="3" t="s">
        <v>21</v>
      </c>
      <c r="M2877" s="7" t="n">
        <v>3000</v>
      </c>
      <c r="N2877" s="8" t="n">
        <v>0.041</v>
      </c>
      <c r="O2877" s="4" t="n">
        <f aca="false">M2877*N2877</f>
        <v>123</v>
      </c>
    </row>
    <row r="2878" customFormat="false" ht="15" hidden="false" customHeight="false" outlineLevel="0" collapsed="false">
      <c r="A2878" s="0" t="s">
        <v>4138</v>
      </c>
      <c r="C2878" s="0" t="s">
        <v>33</v>
      </c>
      <c r="D2878" s="7" t="n">
        <v>398</v>
      </c>
      <c r="E2878" s="8" t="n">
        <v>0.208894472361809</v>
      </c>
      <c r="F2878" s="4" t="n">
        <f aca="false">D2878*E2878</f>
        <v>83.14</v>
      </c>
      <c r="G2878" s="7" t="n">
        <v>20</v>
      </c>
      <c r="H2878" s="9" t="n">
        <f aca="false">IF(G2878&gt;0,D2878/G2878,"")</f>
        <v>19.9</v>
      </c>
      <c r="I2878" s="10" t="n">
        <v>46202</v>
      </c>
      <c r="J2878" s="3" t="s">
        <v>4139</v>
      </c>
      <c r="K2878" s="10" t="n">
        <v>44748</v>
      </c>
      <c r="L2878" s="3" t="s">
        <v>18</v>
      </c>
      <c r="M2878" s="7" t="n">
        <v>481</v>
      </c>
      <c r="N2878" s="8" t="n">
        <v>0.2094</v>
      </c>
      <c r="O2878" s="4" t="n">
        <v>100.512</v>
      </c>
    </row>
    <row r="2879" customFormat="false" ht="15" hidden="false" customHeight="false" outlineLevel="0" collapsed="false">
      <c r="A2879" s="0" t="s">
        <v>4140</v>
      </c>
      <c r="C2879" s="0" t="s">
        <v>32</v>
      </c>
      <c r="D2879" s="7" t="n">
        <v>4218</v>
      </c>
      <c r="E2879" s="8" t="n">
        <v>0.0197036510194405</v>
      </c>
      <c r="F2879" s="4" t="n">
        <f aca="false">D2879*E2879</f>
        <v>83.11</v>
      </c>
      <c r="G2879" s="7" t="n">
        <v>276</v>
      </c>
      <c r="H2879" s="9" t="n">
        <f aca="false">IF(G2879&gt;0,D2879/G2879,"")</f>
        <v>15.2826086956522</v>
      </c>
      <c r="I2879" s="10" t="n">
        <v>46274</v>
      </c>
      <c r="J2879" s="3" t="s">
        <v>1120</v>
      </c>
      <c r="K2879" s="10" t="n">
        <v>45960</v>
      </c>
      <c r="L2879" s="3" t="s">
        <v>18</v>
      </c>
      <c r="M2879" s="7" t="n">
        <v>4500</v>
      </c>
      <c r="N2879" s="8" t="n">
        <v>0.0197</v>
      </c>
      <c r="O2879" s="4" t="n">
        <f aca="false">M2879*N2879</f>
        <v>88.65</v>
      </c>
    </row>
    <row r="2880" customFormat="false" ht="15" hidden="false" customHeight="false" outlineLevel="0" collapsed="false">
      <c r="A2880" s="0" t="s">
        <v>4141</v>
      </c>
      <c r="C2880" s="0" t="s">
        <v>370</v>
      </c>
      <c r="D2880" s="7" t="n">
        <v>124</v>
      </c>
      <c r="E2880" s="8" t="n">
        <v>0.67</v>
      </c>
      <c r="F2880" s="4" t="n">
        <f aca="false">D2880*E2880</f>
        <v>83.08</v>
      </c>
      <c r="G2880" s="7" t="n">
        <v>10</v>
      </c>
      <c r="H2880" s="9" t="n">
        <f aca="false">IF(G2880&gt;0,D2880/G2880,"")</f>
        <v>12.4</v>
      </c>
      <c r="I2880" s="10" t="n">
        <v>46154</v>
      </c>
      <c r="J2880" s="3" t="s">
        <v>3875</v>
      </c>
      <c r="K2880" s="10" t="n">
        <v>45629</v>
      </c>
      <c r="L2880" s="3" t="s">
        <v>21</v>
      </c>
      <c r="M2880" s="7" t="n">
        <v>150</v>
      </c>
      <c r="N2880" s="8" t="n">
        <v>0.67</v>
      </c>
      <c r="O2880" s="4" t="n">
        <f aca="false">M2880*N2880</f>
        <v>100.5</v>
      </c>
    </row>
    <row r="2881" customFormat="false" ht="15" hidden="false" customHeight="false" outlineLevel="0" collapsed="false">
      <c r="A2881" s="0" t="s">
        <v>4142</v>
      </c>
      <c r="C2881" s="0" t="s">
        <v>889</v>
      </c>
      <c r="D2881" s="7" t="n">
        <v>4901</v>
      </c>
      <c r="E2881" s="8" t="n">
        <v>0.0169496021220159</v>
      </c>
      <c r="F2881" s="4" t="n">
        <f aca="false">D2881*E2881</f>
        <v>83.07</v>
      </c>
      <c r="G2881" s="7" t="n">
        <v>1000</v>
      </c>
      <c r="H2881" s="9" t="n">
        <f aca="false">IF(G2881&gt;0,D2881/G2881,"")</f>
        <v>4.901</v>
      </c>
      <c r="I2881" s="10" t="n">
        <v>46171</v>
      </c>
      <c r="J2881" s="3" t="s">
        <v>249</v>
      </c>
      <c r="K2881" s="10" t="n">
        <v>44314</v>
      </c>
      <c r="L2881" s="3" t="s">
        <v>15</v>
      </c>
      <c r="M2881" s="7" t="n">
        <v>2730</v>
      </c>
      <c r="N2881" s="8" t="n">
        <v>0.00807</v>
      </c>
      <c r="O2881" s="4" t="n">
        <f aca="false">M2881*N2881</f>
        <v>22.0311</v>
      </c>
    </row>
    <row r="2882" customFormat="false" ht="15" hidden="false" customHeight="false" outlineLevel="0" collapsed="false">
      <c r="A2882" s="0" t="s">
        <v>4143</v>
      </c>
      <c r="C2882" s="0" t="s">
        <v>979</v>
      </c>
      <c r="D2882" s="7" t="n">
        <v>3991</v>
      </c>
      <c r="E2882" s="8" t="n">
        <v>0.0207992984214483</v>
      </c>
      <c r="F2882" s="4" t="n">
        <f aca="false">D2882*E2882</f>
        <v>83.01</v>
      </c>
      <c r="G2882" s="7" t="n">
        <v>3703</v>
      </c>
      <c r="H2882" s="9" t="n">
        <f aca="false">IF(G2882&gt;0,D2882/G2882,"")</f>
        <v>1.07777477720767</v>
      </c>
      <c r="I2882" s="10" t="n">
        <v>46304</v>
      </c>
      <c r="J2882" s="3" t="s">
        <v>1068</v>
      </c>
      <c r="K2882" s="10" t="n">
        <v>45984</v>
      </c>
      <c r="L2882" s="3" t="s">
        <v>18</v>
      </c>
      <c r="M2882" s="7" t="n">
        <v>5600</v>
      </c>
      <c r="N2882" s="8" t="n">
        <v>0.0208</v>
      </c>
      <c r="O2882" s="4" t="n">
        <f aca="false">M2882*N2882</f>
        <v>116.48</v>
      </c>
    </row>
    <row r="2883" customFormat="false" ht="15" hidden="false" customHeight="false" outlineLevel="0" collapsed="false">
      <c r="A2883" s="0" t="s">
        <v>4144</v>
      </c>
      <c r="C2883" s="0" t="s">
        <v>31</v>
      </c>
      <c r="D2883" s="7" t="n">
        <v>3789</v>
      </c>
      <c r="E2883" s="8" t="n">
        <v>0.0218975983109</v>
      </c>
      <c r="F2883" s="4" t="n">
        <f aca="false">D2883*E2883</f>
        <v>82.97</v>
      </c>
      <c r="G2883" s="7" t="n">
        <v>2662</v>
      </c>
      <c r="H2883" s="9" t="n">
        <f aca="false">IF(G2883&gt;0,D2883/G2883,"")</f>
        <v>1.42336589030804</v>
      </c>
      <c r="I2883" s="10" t="n">
        <v>46311</v>
      </c>
      <c r="J2883" s="3" t="s">
        <v>2633</v>
      </c>
      <c r="K2883" s="10" t="n">
        <v>45813</v>
      </c>
      <c r="L2883" s="3" t="s">
        <v>16</v>
      </c>
      <c r="M2883" s="7" t="n">
        <v>6850</v>
      </c>
      <c r="N2883" s="8" t="n">
        <v>0.0219</v>
      </c>
      <c r="O2883" s="4" t="n">
        <f aca="false">M2883*N2883</f>
        <v>150.015</v>
      </c>
    </row>
    <row r="2884" customFormat="false" ht="15" hidden="false" customHeight="false" outlineLevel="0" collapsed="false">
      <c r="A2884" s="0" t="s">
        <v>4145</v>
      </c>
      <c r="C2884" s="0" t="s">
        <v>38</v>
      </c>
      <c r="D2884" s="7" t="n">
        <v>1877</v>
      </c>
      <c r="E2884" s="8" t="n">
        <v>0.0441981885988279</v>
      </c>
      <c r="F2884" s="4" t="n">
        <f aca="false">D2884*E2884</f>
        <v>82.96</v>
      </c>
      <c r="G2884" s="7" t="n">
        <v>522</v>
      </c>
      <c r="H2884" s="9" t="n">
        <f aca="false">IF(G2884&gt;0,D2884/G2884,"")</f>
        <v>3.59578544061303</v>
      </c>
      <c r="I2884" s="10" t="n">
        <v>46315</v>
      </c>
      <c r="J2884" s="3" t="s">
        <v>3444</v>
      </c>
      <c r="K2884" s="10" t="n">
        <v>45925</v>
      </c>
      <c r="L2884" s="3" t="s">
        <v>18</v>
      </c>
      <c r="M2884" s="7" t="n">
        <v>2300</v>
      </c>
      <c r="N2884" s="8" t="n">
        <v>0.0442</v>
      </c>
      <c r="O2884" s="4" t="n">
        <f aca="false">M2884*N2884</f>
        <v>101.66</v>
      </c>
    </row>
    <row r="2885" customFormat="false" ht="15" hidden="false" customHeight="false" outlineLevel="0" collapsed="false">
      <c r="A2885" s="0" t="s">
        <v>4146</v>
      </c>
      <c r="C2885" s="0" t="s">
        <v>1169</v>
      </c>
      <c r="D2885" s="7" t="n">
        <v>998</v>
      </c>
      <c r="E2885" s="8" t="n">
        <v>0.0830060120240481</v>
      </c>
      <c r="F2885" s="4" t="n">
        <f aca="false">D2885*E2885</f>
        <v>82.84</v>
      </c>
      <c r="G2885" s="7" t="n">
        <v>227</v>
      </c>
      <c r="H2885" s="9" t="n">
        <f aca="false">IF(G2885&gt;0,D2885/G2885,"")</f>
        <v>4.39647577092511</v>
      </c>
      <c r="I2885" s="10" t="n">
        <v>46154</v>
      </c>
      <c r="J2885" s="3" t="s">
        <v>3273</v>
      </c>
      <c r="K2885" s="10" t="n">
        <v>46043</v>
      </c>
      <c r="L2885" s="3" t="s">
        <v>21</v>
      </c>
      <c r="M2885" s="7" t="n">
        <v>1225</v>
      </c>
      <c r="N2885" s="8" t="n">
        <v>0.083</v>
      </c>
      <c r="O2885" s="4" t="n">
        <f aca="false">M2885*N2885</f>
        <v>101.675</v>
      </c>
    </row>
    <row r="2886" customFormat="false" ht="15" hidden="false" customHeight="false" outlineLevel="0" collapsed="false">
      <c r="A2886" s="0" t="s">
        <v>4147</v>
      </c>
      <c r="C2886" s="0" t="s">
        <v>979</v>
      </c>
      <c r="D2886" s="7" t="n">
        <v>260</v>
      </c>
      <c r="E2886" s="8" t="n">
        <v>0.318307692307692</v>
      </c>
      <c r="F2886" s="4" t="n">
        <f aca="false">D2886*E2886</f>
        <v>82.76</v>
      </c>
      <c r="G2886" s="7" t="n">
        <v>50</v>
      </c>
      <c r="H2886" s="9" t="n">
        <f aca="false">IF(G2886&gt;0,D2886/G2886,"")</f>
        <v>5.2</v>
      </c>
      <c r="I2886" s="10" t="n">
        <v>46212</v>
      </c>
      <c r="J2886" s="3" t="s">
        <v>4148</v>
      </c>
      <c r="K2886" s="10" t="n">
        <v>45814</v>
      </c>
      <c r="L2886" s="3" t="s">
        <v>18</v>
      </c>
      <c r="M2886" s="7" t="n">
        <v>310</v>
      </c>
      <c r="N2886" s="8" t="n">
        <v>0.3183</v>
      </c>
      <c r="O2886" s="4" t="n">
        <f aca="false">M2886*N2886</f>
        <v>98.673</v>
      </c>
    </row>
    <row r="2887" customFormat="false" ht="15" hidden="false" customHeight="false" outlineLevel="0" collapsed="false">
      <c r="A2887" s="0" t="s">
        <v>4149</v>
      </c>
      <c r="C2887" s="0" t="s">
        <v>40</v>
      </c>
      <c r="D2887" s="7" t="n">
        <v>282</v>
      </c>
      <c r="E2887" s="8" t="n">
        <v>0.293404255319149</v>
      </c>
      <c r="F2887" s="4" t="n">
        <f aca="false">D2887*E2887</f>
        <v>82.74</v>
      </c>
      <c r="G2887" s="7" t="n">
        <v>26</v>
      </c>
      <c r="H2887" s="9" t="n">
        <f aca="false">IF(G2887&gt;0,D2887/G2887,"")</f>
        <v>10.8461538461538</v>
      </c>
      <c r="I2887" s="10" t="n">
        <v>46297</v>
      </c>
      <c r="J2887" s="3" t="s">
        <v>3745</v>
      </c>
      <c r="K2887" s="10" t="n">
        <v>44228</v>
      </c>
      <c r="L2887" s="3" t="s">
        <v>18</v>
      </c>
      <c r="M2887" s="7" t="n">
        <v>340</v>
      </c>
      <c r="N2887" s="8" t="n">
        <v>0.2934</v>
      </c>
      <c r="O2887" s="4" t="n">
        <f aca="false">M2887*N2887</f>
        <v>99.756</v>
      </c>
    </row>
    <row r="2888" customFormat="false" ht="15" hidden="false" customHeight="false" outlineLevel="0" collapsed="false">
      <c r="A2888" s="0" t="s">
        <v>4150</v>
      </c>
      <c r="C2888" s="0" t="s">
        <v>41</v>
      </c>
      <c r="D2888" s="7" t="n">
        <v>2833</v>
      </c>
      <c r="E2888" s="8" t="n">
        <v>0.0291987292622662</v>
      </c>
      <c r="F2888" s="4" t="n">
        <f aca="false">D2888*E2888</f>
        <v>82.72</v>
      </c>
      <c r="G2888" s="7" t="n">
        <v>20</v>
      </c>
      <c r="H2888" s="9" t="n">
        <f aca="false">IF(G2888&gt;0,D2888/G2888,"")</f>
        <v>141.65</v>
      </c>
      <c r="I2888" s="10" t="n">
        <v>45981</v>
      </c>
      <c r="K2888" s="10"/>
      <c r="M2888" s="7"/>
      <c r="N2888" s="8"/>
      <c r="O2888" s="4"/>
    </row>
    <row r="2889" customFormat="false" ht="15" hidden="false" customHeight="false" outlineLevel="0" collapsed="false">
      <c r="A2889" s="0" t="s">
        <v>4151</v>
      </c>
      <c r="C2889" s="0" t="s">
        <v>33</v>
      </c>
      <c r="D2889" s="7" t="n">
        <v>511</v>
      </c>
      <c r="E2889" s="8" t="n">
        <v>0.16174168297456</v>
      </c>
      <c r="F2889" s="4" t="n">
        <f aca="false">D2889*E2889</f>
        <v>82.65</v>
      </c>
      <c r="G2889" s="7" t="n">
        <v>174</v>
      </c>
      <c r="H2889" s="9" t="n">
        <f aca="false">IF(G2889&gt;0,D2889/G2889,"")</f>
        <v>2.9367816091954</v>
      </c>
      <c r="I2889" s="10" t="n">
        <v>46168</v>
      </c>
      <c r="J2889" s="3" t="s">
        <v>308</v>
      </c>
      <c r="K2889" s="10" t="n">
        <v>44295</v>
      </c>
      <c r="L2889" s="3" t="s">
        <v>18</v>
      </c>
      <c r="M2889" s="7" t="n">
        <v>800</v>
      </c>
      <c r="N2889" s="8" t="n">
        <v>0.1618</v>
      </c>
      <c r="O2889" s="4" t="n">
        <f aca="false">M2889*N2889</f>
        <v>129.44</v>
      </c>
    </row>
    <row r="2890" customFormat="false" ht="15" hidden="false" customHeight="false" outlineLevel="0" collapsed="false">
      <c r="A2890" s="0" t="s">
        <v>4152</v>
      </c>
      <c r="C2890" s="0" t="s">
        <v>497</v>
      </c>
      <c r="D2890" s="7" t="n">
        <v>464</v>
      </c>
      <c r="E2890" s="8" t="n">
        <v>0.178038793103448</v>
      </c>
      <c r="F2890" s="4" t="n">
        <f aca="false">D2890*E2890</f>
        <v>82.61</v>
      </c>
      <c r="G2890" s="7" t="n">
        <v>420</v>
      </c>
      <c r="H2890" s="9" t="n">
        <f aca="false">IF(G2890&gt;0,D2890/G2890,"")</f>
        <v>1.1047619047619</v>
      </c>
      <c r="I2890" s="10" t="n">
        <v>46316</v>
      </c>
      <c r="J2890" s="3" t="s">
        <v>4153</v>
      </c>
      <c r="K2890" s="10" t="n">
        <v>44308</v>
      </c>
      <c r="L2890" s="3" t="s">
        <v>936</v>
      </c>
      <c r="M2890" s="7" t="n">
        <v>1906</v>
      </c>
      <c r="N2890" s="8" t="n">
        <v>0.178</v>
      </c>
      <c r="O2890" s="4" t="n">
        <f aca="false">M2890*N2890</f>
        <v>339.268</v>
      </c>
    </row>
    <row r="2891" customFormat="false" ht="15" hidden="false" customHeight="false" outlineLevel="0" collapsed="false">
      <c r="A2891" s="0" t="s">
        <v>4154</v>
      </c>
      <c r="C2891" s="0" t="s">
        <v>340</v>
      </c>
      <c r="D2891" s="7" t="n">
        <v>1847</v>
      </c>
      <c r="E2891" s="8" t="n">
        <v>0.0447265836491608</v>
      </c>
      <c r="F2891" s="4" t="n">
        <f aca="false">D2891*E2891</f>
        <v>82.61</v>
      </c>
      <c r="G2891" s="7" t="n">
        <v>220</v>
      </c>
      <c r="H2891" s="9" t="n">
        <f aca="false">IF(G2891&gt;0,D2891/G2891,"")</f>
        <v>8.39545454545455</v>
      </c>
      <c r="I2891" s="10" t="n">
        <v>46302</v>
      </c>
      <c r="J2891" s="3" t="s">
        <v>940</v>
      </c>
      <c r="K2891" s="10" t="n">
        <v>46231</v>
      </c>
      <c r="L2891" s="3" t="s">
        <v>16</v>
      </c>
      <c r="M2891" s="7" t="n">
        <v>2000</v>
      </c>
      <c r="N2891" s="8" t="n">
        <v>0.0442</v>
      </c>
      <c r="O2891" s="4" t="n">
        <f aca="false">M2891*N2891</f>
        <v>88.4</v>
      </c>
    </row>
    <row r="2892" customFormat="false" ht="15" hidden="false" customHeight="false" outlineLevel="0" collapsed="false">
      <c r="A2892" s="0" t="s">
        <v>4155</v>
      </c>
      <c r="C2892" s="0" t="s">
        <v>31</v>
      </c>
      <c r="D2892" s="7" t="n">
        <v>13738</v>
      </c>
      <c r="E2892" s="8" t="n">
        <v>0.0060103362934925</v>
      </c>
      <c r="F2892" s="4" t="n">
        <f aca="false">D2892*E2892</f>
        <v>82.57</v>
      </c>
      <c r="G2892" s="7" t="n">
        <v>4195</v>
      </c>
      <c r="H2892" s="9" t="n">
        <f aca="false">IF(G2892&gt;0,D2892/G2892,"")</f>
        <v>3.27485101311085</v>
      </c>
      <c r="I2892" s="10" t="n">
        <v>46304</v>
      </c>
      <c r="K2892" s="10"/>
      <c r="M2892" s="7"/>
      <c r="N2892" s="8"/>
      <c r="O2892" s="4"/>
    </row>
    <row r="2893" customFormat="false" ht="15" hidden="false" customHeight="false" outlineLevel="0" collapsed="false">
      <c r="A2893" s="0" t="s">
        <v>4156</v>
      </c>
      <c r="C2893" s="0" t="s">
        <v>38</v>
      </c>
      <c r="D2893" s="7" t="n">
        <v>343</v>
      </c>
      <c r="E2893" s="8" t="n">
        <v>0.240349854227405</v>
      </c>
      <c r="F2893" s="4" t="n">
        <f aca="false">D2893*E2893</f>
        <v>82.44</v>
      </c>
      <c r="G2893" s="7" t="n">
        <v>14</v>
      </c>
      <c r="H2893" s="9" t="n">
        <f aca="false">IF(G2893&gt;0,D2893/G2893,"")</f>
        <v>24.5</v>
      </c>
      <c r="I2893" s="10" t="n">
        <v>46223</v>
      </c>
      <c r="J2893" s="3" t="s">
        <v>1576</v>
      </c>
      <c r="K2893" s="10" t="n">
        <v>46196</v>
      </c>
      <c r="L2893" s="3" t="s">
        <v>16</v>
      </c>
      <c r="M2893" s="7" t="n">
        <v>355</v>
      </c>
      <c r="N2893" s="8" t="n">
        <v>0.2402</v>
      </c>
      <c r="O2893" s="4" t="n">
        <f aca="false">M2893*N2893</f>
        <v>85.271</v>
      </c>
    </row>
    <row r="2894" customFormat="false" ht="15" hidden="false" customHeight="false" outlineLevel="0" collapsed="false">
      <c r="A2894" s="0" t="s">
        <v>4157</v>
      </c>
      <c r="C2894" s="0" t="s">
        <v>31</v>
      </c>
      <c r="D2894" s="7" t="n">
        <v>183</v>
      </c>
      <c r="E2894" s="8" t="n">
        <v>0.45</v>
      </c>
      <c r="F2894" s="4" t="n">
        <f aca="false">D2894*E2894</f>
        <v>82.35</v>
      </c>
      <c r="G2894" s="7" t="n">
        <v>24</v>
      </c>
      <c r="H2894" s="9" t="n">
        <f aca="false">IF(G2894&gt;0,D2894/G2894,"")</f>
        <v>7.625</v>
      </c>
      <c r="I2894" s="10" t="n">
        <v>46171</v>
      </c>
      <c r="K2894" s="10"/>
      <c r="M2894" s="7"/>
      <c r="N2894" s="8"/>
      <c r="O2894" s="4"/>
    </row>
    <row r="2895" customFormat="false" ht="15" hidden="false" customHeight="false" outlineLevel="0" collapsed="false">
      <c r="A2895" s="0" t="s">
        <v>4158</v>
      </c>
      <c r="C2895" s="0" t="s">
        <v>285</v>
      </c>
      <c r="D2895" s="7" t="n">
        <v>784</v>
      </c>
      <c r="E2895" s="8" t="n">
        <v>0.105</v>
      </c>
      <c r="F2895" s="4" t="n">
        <f aca="false">D2895*E2895</f>
        <v>82.32</v>
      </c>
      <c r="G2895" s="7" t="n">
        <v>46</v>
      </c>
      <c r="H2895" s="9" t="n">
        <f aca="false">IF(G2895&gt;0,D2895/G2895,"")</f>
        <v>17.0434782608696</v>
      </c>
      <c r="I2895" s="10" t="n">
        <v>46276</v>
      </c>
      <c r="K2895" s="10"/>
      <c r="M2895" s="7"/>
      <c r="N2895" s="8"/>
      <c r="O2895" s="4"/>
    </row>
    <row r="2896" customFormat="false" ht="15" hidden="false" customHeight="false" outlineLevel="0" collapsed="false">
      <c r="A2896" s="0" t="s">
        <v>4159</v>
      </c>
      <c r="C2896" s="0" t="s">
        <v>33</v>
      </c>
      <c r="D2896" s="7" t="n">
        <v>29</v>
      </c>
      <c r="E2896" s="8" t="n">
        <v>2.83620689655172</v>
      </c>
      <c r="F2896" s="4" t="n">
        <f aca="false">D2896*E2896</f>
        <v>82.25</v>
      </c>
      <c r="G2896" s="7" t="n">
        <v>4</v>
      </c>
      <c r="H2896" s="9" t="n">
        <f aca="false">IF(G2896&gt;0,D2896/G2896,"")</f>
        <v>7.25</v>
      </c>
      <c r="I2896" s="10" t="n">
        <v>46196</v>
      </c>
      <c r="J2896" s="3" t="s">
        <v>4160</v>
      </c>
      <c r="K2896" s="10" t="n">
        <v>45469</v>
      </c>
      <c r="L2896" s="3" t="s">
        <v>18</v>
      </c>
      <c r="M2896" s="7" t="n">
        <v>33</v>
      </c>
      <c r="N2896" s="8" t="n">
        <v>2.836</v>
      </c>
      <c r="O2896" s="4" t="n">
        <f aca="false">M2896*N2896</f>
        <v>93.588</v>
      </c>
    </row>
    <row r="2897" customFormat="false" ht="15" hidden="false" customHeight="false" outlineLevel="0" collapsed="false">
      <c r="A2897" s="0" t="s">
        <v>4161</v>
      </c>
      <c r="C2897" s="0" t="s">
        <v>979</v>
      </c>
      <c r="D2897" s="7" t="n">
        <v>129</v>
      </c>
      <c r="E2897" s="8" t="n">
        <v>0.637441860465116</v>
      </c>
      <c r="F2897" s="4" t="n">
        <f aca="false">D2897*E2897</f>
        <v>82.23</v>
      </c>
      <c r="G2897" s="7" t="n">
        <v>10</v>
      </c>
      <c r="H2897" s="9" t="n">
        <f aca="false">IF(G2897&gt;0,D2897/G2897,"")</f>
        <v>12.9</v>
      </c>
      <c r="I2897" s="10" t="n">
        <v>46107</v>
      </c>
      <c r="J2897" s="3" t="s">
        <v>2977</v>
      </c>
      <c r="K2897" s="10" t="n">
        <v>45876</v>
      </c>
      <c r="L2897" s="3" t="s">
        <v>18</v>
      </c>
      <c r="M2897" s="7" t="n">
        <v>190</v>
      </c>
      <c r="N2897" s="8" t="n">
        <v>0.5301</v>
      </c>
      <c r="O2897" s="4" t="n">
        <f aca="false">M2897*N2897</f>
        <v>100.719</v>
      </c>
    </row>
    <row r="2898" customFormat="false" ht="15" hidden="false" customHeight="false" outlineLevel="0" collapsed="false">
      <c r="A2898" s="0" t="s">
        <v>4162</v>
      </c>
      <c r="C2898" s="0" t="s">
        <v>340</v>
      </c>
      <c r="D2898" s="7" t="n">
        <v>555</v>
      </c>
      <c r="E2898" s="8" t="n">
        <v>0.14809009009009</v>
      </c>
      <c r="F2898" s="4" t="n">
        <f aca="false">D2898*E2898</f>
        <v>82.19</v>
      </c>
      <c r="G2898" s="7" t="n">
        <v>7</v>
      </c>
      <c r="H2898" s="9" t="n">
        <f aca="false">IF(G2898&gt;0,D2898/G2898,"")</f>
        <v>79.2857142857143</v>
      </c>
      <c r="I2898" s="10" t="n">
        <v>46013</v>
      </c>
      <c r="J2898" s="3" t="s">
        <v>2787</v>
      </c>
      <c r="K2898" s="10" t="n">
        <v>45972</v>
      </c>
      <c r="L2898" s="3" t="s">
        <v>16</v>
      </c>
      <c r="M2898" s="7" t="n">
        <v>562</v>
      </c>
      <c r="N2898" s="8" t="n">
        <v>0.1481</v>
      </c>
      <c r="O2898" s="4" t="n">
        <f aca="false">M2898*N2898</f>
        <v>83.2322</v>
      </c>
    </row>
    <row r="2899" customFormat="false" ht="15" hidden="false" customHeight="false" outlineLevel="0" collapsed="false">
      <c r="A2899" s="0" t="s">
        <v>4163</v>
      </c>
      <c r="C2899" s="0" t="s">
        <v>609</v>
      </c>
      <c r="D2899" s="7" t="n">
        <v>261</v>
      </c>
      <c r="E2899" s="8" t="n">
        <v>0.314789272030651</v>
      </c>
      <c r="F2899" s="4" t="n">
        <f aca="false">D2899*E2899</f>
        <v>82.16</v>
      </c>
      <c r="G2899" s="7" t="n">
        <v>125</v>
      </c>
      <c r="H2899" s="9" t="n">
        <f aca="false">IF(G2899&gt;0,D2899/G2899,"")</f>
        <v>2.088</v>
      </c>
      <c r="I2899" s="10" t="n">
        <v>46265</v>
      </c>
      <c r="J2899" s="3" t="s">
        <v>4164</v>
      </c>
      <c r="K2899" s="10" t="n">
        <v>45321</v>
      </c>
      <c r="L2899" s="3" t="s">
        <v>16</v>
      </c>
      <c r="M2899" s="7" t="n">
        <v>1000</v>
      </c>
      <c r="N2899" s="8" t="n">
        <v>0.3148</v>
      </c>
      <c r="O2899" s="4" t="n">
        <f aca="false">M2899*N2899</f>
        <v>314.8</v>
      </c>
    </row>
    <row r="2900" customFormat="false" ht="15" hidden="false" customHeight="false" outlineLevel="0" collapsed="false">
      <c r="A2900" s="0" t="s">
        <v>4165</v>
      </c>
      <c r="C2900" s="0" t="s">
        <v>41</v>
      </c>
      <c r="D2900" s="7" t="n">
        <v>1008</v>
      </c>
      <c r="E2900" s="8" t="n">
        <v>0.0814980158730159</v>
      </c>
      <c r="F2900" s="4" t="n">
        <f aca="false">D2900*E2900</f>
        <v>82.15</v>
      </c>
      <c r="G2900" s="7" t="n">
        <v>28</v>
      </c>
      <c r="H2900" s="9" t="n">
        <f aca="false">IF(G2900&gt;0,D2900/G2900,"")</f>
        <v>36</v>
      </c>
      <c r="I2900" s="10" t="n">
        <v>46154</v>
      </c>
      <c r="K2900" s="10"/>
      <c r="M2900" s="7"/>
      <c r="N2900" s="8"/>
      <c r="O2900" s="4"/>
    </row>
    <row r="2901" customFormat="false" ht="15" hidden="false" customHeight="false" outlineLevel="0" collapsed="false">
      <c r="A2901" s="0" t="s">
        <v>4166</v>
      </c>
      <c r="C2901" s="0" t="s">
        <v>295</v>
      </c>
      <c r="D2901" s="7" t="n">
        <v>284</v>
      </c>
      <c r="E2901" s="8" t="n">
        <v>0.289260563380282</v>
      </c>
      <c r="F2901" s="4" t="n">
        <f aca="false">D2901*E2901</f>
        <v>82.15</v>
      </c>
      <c r="G2901" s="7" t="n">
        <v>12</v>
      </c>
      <c r="H2901" s="9" t="n">
        <f aca="false">IF(G2901&gt;0,D2901/G2901,"")</f>
        <v>23.6666666666667</v>
      </c>
      <c r="I2901" s="10" t="n">
        <v>46076</v>
      </c>
      <c r="K2901" s="10"/>
      <c r="M2901" s="7"/>
      <c r="N2901" s="8"/>
      <c r="O2901" s="4"/>
    </row>
    <row r="2902" customFormat="false" ht="15" hidden="false" customHeight="false" outlineLevel="0" collapsed="false">
      <c r="A2902" s="0" t="s">
        <v>4167</v>
      </c>
      <c r="C2902" s="0" t="s">
        <v>45</v>
      </c>
      <c r="D2902" s="7" t="n">
        <v>1307</v>
      </c>
      <c r="E2902" s="8" t="n">
        <v>0.0628003060443764</v>
      </c>
      <c r="F2902" s="4" t="n">
        <f aca="false">D2902*E2902</f>
        <v>82.08</v>
      </c>
      <c r="G2902" s="7" t="n">
        <v>952</v>
      </c>
      <c r="H2902" s="9" t="n">
        <f aca="false">IF(G2902&gt;0,D2902/G2902,"")</f>
        <v>1.37289915966387</v>
      </c>
      <c r="I2902" s="10" t="n">
        <v>46308</v>
      </c>
      <c r="J2902" s="3" t="s">
        <v>4168</v>
      </c>
      <c r="K2902" s="10" t="n">
        <v>45468</v>
      </c>
      <c r="L2902" s="3" t="s">
        <v>23</v>
      </c>
      <c r="M2902" s="7" t="n">
        <v>4000</v>
      </c>
      <c r="N2902" s="8" t="n">
        <v>0.0628</v>
      </c>
      <c r="O2902" s="4" t="n">
        <f aca="false">M2902*N2902</f>
        <v>251.2</v>
      </c>
    </row>
    <row r="2903" customFormat="false" ht="15" hidden="false" customHeight="false" outlineLevel="0" collapsed="false">
      <c r="A2903" s="0" t="s">
        <v>4169</v>
      </c>
      <c r="C2903" s="0" t="s">
        <v>383</v>
      </c>
      <c r="D2903" s="7" t="n">
        <v>766</v>
      </c>
      <c r="E2903" s="8" t="n">
        <v>0.10701044386423</v>
      </c>
      <c r="F2903" s="4" t="n">
        <f aca="false">D2903*E2903</f>
        <v>81.97</v>
      </c>
      <c r="G2903" s="7" t="n">
        <v>20</v>
      </c>
      <c r="H2903" s="9" t="n">
        <f aca="false">IF(G2903&gt;0,D2903/G2903,"")</f>
        <v>38.3</v>
      </c>
      <c r="I2903" s="10" t="n">
        <v>46048</v>
      </c>
      <c r="J2903" s="3" t="s">
        <v>2757</v>
      </c>
      <c r="K2903" s="10" t="n">
        <v>44210</v>
      </c>
      <c r="L2903" s="3" t="s">
        <v>15</v>
      </c>
      <c r="M2903" s="7" t="n">
        <v>1030</v>
      </c>
      <c r="N2903" s="8" t="n">
        <v>0.10699</v>
      </c>
      <c r="O2903" s="4" t="n">
        <f aca="false">M2903*N2903</f>
        <v>110.1997</v>
      </c>
    </row>
    <row r="2904" customFormat="false" ht="15" hidden="false" customHeight="false" outlineLevel="0" collapsed="false">
      <c r="A2904" s="0" t="s">
        <v>4170</v>
      </c>
      <c r="C2904" s="0" t="s">
        <v>37</v>
      </c>
      <c r="D2904" s="7" t="n">
        <v>846</v>
      </c>
      <c r="E2904" s="8" t="n">
        <v>0.0968794326241135</v>
      </c>
      <c r="F2904" s="4" t="n">
        <f aca="false">D2904*E2904</f>
        <v>81.96</v>
      </c>
      <c r="G2904" s="7" t="n">
        <v>446</v>
      </c>
      <c r="H2904" s="9" t="n">
        <f aca="false">IF(G2904&gt;0,D2904/G2904,"")</f>
        <v>1.89686098654709</v>
      </c>
      <c r="I2904" s="10" t="n">
        <v>46213</v>
      </c>
      <c r="J2904" s="3" t="s">
        <v>868</v>
      </c>
      <c r="K2904" s="10" t="n">
        <v>45463</v>
      </c>
      <c r="L2904" s="3" t="s">
        <v>15</v>
      </c>
      <c r="M2904" s="7" t="n">
        <v>2420</v>
      </c>
      <c r="N2904" s="8" t="n">
        <v>0.09686</v>
      </c>
      <c r="O2904" s="4" t="n">
        <f aca="false">M2904*N2904</f>
        <v>234.4012</v>
      </c>
    </row>
    <row r="2905" customFormat="false" ht="15" hidden="false" customHeight="false" outlineLevel="0" collapsed="false">
      <c r="A2905" s="0" t="s">
        <v>4171</v>
      </c>
      <c r="C2905" s="0" t="s">
        <v>35</v>
      </c>
      <c r="D2905" s="7" t="n">
        <v>25</v>
      </c>
      <c r="E2905" s="8" t="n">
        <v>3.2776</v>
      </c>
      <c r="F2905" s="4" t="n">
        <f aca="false">D2905*E2905</f>
        <v>81.94</v>
      </c>
      <c r="G2905" s="7" t="n">
        <v>9</v>
      </c>
      <c r="H2905" s="9" t="n">
        <f aca="false">IF(G2905&gt;0,D2905/G2905,"")</f>
        <v>2.77777777777778</v>
      </c>
      <c r="I2905" s="10" t="n">
        <v>46163</v>
      </c>
      <c r="J2905" s="3" t="s">
        <v>3207</v>
      </c>
      <c r="K2905" s="10" t="n">
        <v>45595</v>
      </c>
      <c r="L2905" s="3" t="s">
        <v>14</v>
      </c>
      <c r="M2905" s="7" t="n">
        <v>41</v>
      </c>
      <c r="N2905" s="8" t="n">
        <v>3.2776</v>
      </c>
      <c r="O2905" s="4" t="n">
        <f aca="false">M2905*N2905</f>
        <v>134.3816</v>
      </c>
    </row>
    <row r="2906" customFormat="false" ht="15" hidden="false" customHeight="false" outlineLevel="0" collapsed="false">
      <c r="A2906" s="0" t="s">
        <v>4172</v>
      </c>
      <c r="C2906" s="0" t="s">
        <v>40</v>
      </c>
      <c r="D2906" s="7" t="n">
        <v>1024</v>
      </c>
      <c r="E2906" s="8" t="n">
        <v>0.08</v>
      </c>
      <c r="F2906" s="4" t="n">
        <f aca="false">D2906*E2906</f>
        <v>81.92</v>
      </c>
      <c r="G2906" s="7" t="n">
        <v>14</v>
      </c>
      <c r="H2906" s="9" t="n">
        <f aca="false">IF(G2906&gt;0,D2906/G2906,"")</f>
        <v>73.1428571428571</v>
      </c>
      <c r="I2906" s="10" t="n">
        <v>46286</v>
      </c>
      <c r="J2906" s="3" t="s">
        <v>4173</v>
      </c>
      <c r="K2906" s="10" t="n">
        <v>44267</v>
      </c>
      <c r="L2906" s="3" t="s">
        <v>18</v>
      </c>
      <c r="M2906" s="7" t="n">
        <v>1200</v>
      </c>
      <c r="N2906" s="8" t="n">
        <v>0.08</v>
      </c>
      <c r="O2906" s="4" t="n">
        <f aca="false">M2906*N2906</f>
        <v>96</v>
      </c>
    </row>
    <row r="2907" customFormat="false" ht="15" hidden="false" customHeight="false" outlineLevel="0" collapsed="false">
      <c r="A2907" s="0" t="s">
        <v>4174</v>
      </c>
      <c r="C2907" s="0" t="s">
        <v>40</v>
      </c>
      <c r="D2907" s="7" t="n">
        <v>1282</v>
      </c>
      <c r="E2907" s="8" t="n">
        <v>0.0638923556942278</v>
      </c>
      <c r="F2907" s="4" t="n">
        <f aca="false">D2907*E2907</f>
        <v>81.91</v>
      </c>
      <c r="G2907" s="7" t="n">
        <v>301</v>
      </c>
      <c r="H2907" s="9" t="n">
        <f aca="false">IF(G2907&gt;0,D2907/G2907,"")</f>
        <v>4.25913621262458</v>
      </c>
      <c r="I2907" s="10" t="n">
        <v>46268</v>
      </c>
      <c r="J2907" s="3" t="s">
        <v>1602</v>
      </c>
      <c r="K2907" s="10" t="n">
        <v>46049</v>
      </c>
      <c r="L2907" s="3" t="s">
        <v>28</v>
      </c>
      <c r="M2907" s="7" t="n">
        <v>1400</v>
      </c>
      <c r="N2907" s="8" t="n">
        <v>0.0639</v>
      </c>
      <c r="O2907" s="4" t="n">
        <f aca="false">M2907*N2907</f>
        <v>89.46</v>
      </c>
    </row>
    <row r="2908" customFormat="false" ht="15" hidden="false" customHeight="false" outlineLevel="0" collapsed="false">
      <c r="A2908" s="0" t="s">
        <v>4175</v>
      </c>
      <c r="C2908" s="0" t="s">
        <v>40</v>
      </c>
      <c r="D2908" s="7" t="n">
        <v>1556</v>
      </c>
      <c r="E2908" s="8" t="n">
        <v>0.0525964010282776</v>
      </c>
      <c r="F2908" s="4" t="n">
        <f aca="false">D2908*E2908</f>
        <v>81.84</v>
      </c>
      <c r="G2908" s="7" t="n">
        <v>140</v>
      </c>
      <c r="H2908" s="9" t="n">
        <f aca="false">IF(G2908&gt;0,D2908/G2908,"")</f>
        <v>11.1142857142857</v>
      </c>
      <c r="I2908" s="10" t="n">
        <v>46202</v>
      </c>
      <c r="J2908" s="3" t="s">
        <v>3954</v>
      </c>
      <c r="K2908" s="10" t="n">
        <v>45762</v>
      </c>
      <c r="L2908" s="3" t="s">
        <v>18</v>
      </c>
      <c r="M2908" s="7" t="n">
        <v>1900</v>
      </c>
      <c r="N2908" s="8" t="n">
        <v>0.0526</v>
      </c>
      <c r="O2908" s="4" t="n">
        <f aca="false">M2908*N2908</f>
        <v>99.94</v>
      </c>
    </row>
    <row r="2909" customFormat="false" ht="15" hidden="false" customHeight="false" outlineLevel="0" collapsed="false">
      <c r="A2909" s="0" t="s">
        <v>4176</v>
      </c>
      <c r="C2909" s="0" t="s">
        <v>39</v>
      </c>
      <c r="D2909" s="7" t="n">
        <v>118</v>
      </c>
      <c r="E2909" s="8" t="n">
        <v>0.693220338983051</v>
      </c>
      <c r="F2909" s="4" t="n">
        <f aca="false">D2909*E2909</f>
        <v>81.8</v>
      </c>
      <c r="G2909" s="7" t="n">
        <v>30</v>
      </c>
      <c r="H2909" s="9" t="n">
        <f aca="false">IF(G2909&gt;0,D2909/G2909,"")</f>
        <v>3.93333333333333</v>
      </c>
      <c r="I2909" s="10" t="n">
        <v>46293</v>
      </c>
      <c r="J2909" s="3" t="s">
        <v>2672</v>
      </c>
      <c r="K2909" s="10" t="n">
        <v>44670</v>
      </c>
      <c r="L2909" s="3" t="s">
        <v>15</v>
      </c>
      <c r="M2909" s="7" t="n">
        <v>151</v>
      </c>
      <c r="N2909" s="8" t="n">
        <v>0.70516</v>
      </c>
      <c r="O2909" s="4" t="n">
        <v>105.06884</v>
      </c>
    </row>
    <row r="2910" customFormat="false" ht="15" hidden="false" customHeight="false" outlineLevel="0" collapsed="false">
      <c r="A2910" s="0" t="s">
        <v>4177</v>
      </c>
      <c r="C2910" s="0" t="s">
        <v>31</v>
      </c>
      <c r="D2910" s="7" t="n">
        <v>1273</v>
      </c>
      <c r="E2910" s="8" t="n">
        <v>0.0641948153967007</v>
      </c>
      <c r="F2910" s="4" t="n">
        <f aca="false">D2910*E2910</f>
        <v>81.72</v>
      </c>
      <c r="G2910" s="7" t="n">
        <v>40</v>
      </c>
      <c r="H2910" s="9" t="n">
        <f aca="false">IF(G2910&gt;0,D2910/G2910,"")</f>
        <v>31.825</v>
      </c>
      <c r="I2910" s="10" t="n">
        <v>46140</v>
      </c>
      <c r="J2910" s="3" t="s">
        <v>570</v>
      </c>
      <c r="K2910" s="10" t="n">
        <v>46106</v>
      </c>
      <c r="L2910" s="3" t="s">
        <v>16</v>
      </c>
      <c r="M2910" s="7" t="n">
        <v>1313</v>
      </c>
      <c r="N2910" s="8" t="n">
        <v>0.0642</v>
      </c>
      <c r="O2910" s="4" t="n">
        <f aca="false">M2910*N2910</f>
        <v>84.2946</v>
      </c>
    </row>
    <row r="2911" customFormat="false" ht="15" hidden="false" customHeight="false" outlineLevel="0" collapsed="false">
      <c r="A2911" s="0" t="s">
        <v>4178</v>
      </c>
      <c r="C2911" s="0" t="s">
        <v>32</v>
      </c>
      <c r="D2911" s="7" t="n">
        <v>64</v>
      </c>
      <c r="E2911" s="8" t="n">
        <v>1.27578125</v>
      </c>
      <c r="F2911" s="4" t="n">
        <f aca="false">D2911*E2911</f>
        <v>81.65</v>
      </c>
      <c r="G2911" s="7" t="n">
        <v>6</v>
      </c>
      <c r="H2911" s="9" t="n">
        <f aca="false">IF(G2911&gt;0,D2911/G2911,"")</f>
        <v>10.6666666666667</v>
      </c>
      <c r="I2911" s="10" t="n">
        <v>46141</v>
      </c>
      <c r="J2911" s="3" t="s">
        <v>3444</v>
      </c>
      <c r="K2911" s="10" t="n">
        <v>45925</v>
      </c>
      <c r="L2911" s="3" t="s">
        <v>18</v>
      </c>
      <c r="M2911" s="7" t="n">
        <v>70</v>
      </c>
      <c r="N2911" s="8" t="n">
        <v>1.2758</v>
      </c>
      <c r="O2911" s="4" t="n">
        <f aca="false">M2911*N2911</f>
        <v>89.306</v>
      </c>
    </row>
    <row r="2912" customFormat="false" ht="15" hidden="false" customHeight="false" outlineLevel="0" collapsed="false">
      <c r="A2912" s="0" t="s">
        <v>4179</v>
      </c>
      <c r="D2912" s="7" t="n">
        <v>60</v>
      </c>
      <c r="E2912" s="8" t="n">
        <v>1.36</v>
      </c>
      <c r="F2912" s="4" t="n">
        <f aca="false">D2912*E2912</f>
        <v>81.6</v>
      </c>
      <c r="G2912" s="7" t="n">
        <v>3</v>
      </c>
      <c r="H2912" s="9" t="n">
        <f aca="false">IF(G2912&gt;0,D2912/G2912,"")</f>
        <v>20</v>
      </c>
      <c r="I2912" s="10" t="n">
        <v>46119</v>
      </c>
      <c r="K2912" s="10"/>
      <c r="M2912" s="7"/>
      <c r="N2912" s="8"/>
      <c r="O2912" s="4"/>
    </row>
    <row r="2913" customFormat="false" ht="15" hidden="false" customHeight="false" outlineLevel="0" collapsed="false">
      <c r="A2913" s="0" t="s">
        <v>4180</v>
      </c>
      <c r="C2913" s="0" t="s">
        <v>79</v>
      </c>
      <c r="D2913" s="7" t="n">
        <v>500</v>
      </c>
      <c r="E2913" s="8" t="n">
        <v>0.1631</v>
      </c>
      <c r="F2913" s="4" t="n">
        <f aca="false">D2913*E2913</f>
        <v>81.55</v>
      </c>
      <c r="G2913" s="7" t="n">
        <v>355</v>
      </c>
      <c r="H2913" s="9" t="n">
        <f aca="false">IF(G2913&gt;0,D2913/G2913,"")</f>
        <v>1.40845070422535</v>
      </c>
      <c r="I2913" s="10" t="n">
        <v>46308</v>
      </c>
      <c r="J2913" s="3" t="s">
        <v>4181</v>
      </c>
      <c r="K2913" s="10" t="n">
        <v>45198</v>
      </c>
      <c r="L2913" s="3" t="s">
        <v>16</v>
      </c>
      <c r="M2913" s="7" t="n">
        <v>1000</v>
      </c>
      <c r="N2913" s="8" t="n">
        <v>0.1631</v>
      </c>
      <c r="O2913" s="4" t="n">
        <f aca="false">M2913*N2913</f>
        <v>163.1</v>
      </c>
    </row>
    <row r="2914" customFormat="false" ht="15" hidden="false" customHeight="false" outlineLevel="0" collapsed="false">
      <c r="A2914" s="0" t="s">
        <v>4182</v>
      </c>
      <c r="C2914" s="0" t="s">
        <v>36</v>
      </c>
      <c r="D2914" s="7" t="n">
        <v>28521</v>
      </c>
      <c r="E2914" s="8" t="n">
        <v>0.00285859542091792</v>
      </c>
      <c r="F2914" s="4" t="n">
        <f aca="false">D2914*E2914</f>
        <v>81.53</v>
      </c>
      <c r="G2914" s="7" t="n">
        <v>1068</v>
      </c>
      <c r="H2914" s="9" t="n">
        <f aca="false">IF(G2914&gt;0,D2914/G2914,"")</f>
        <v>26.7050561797753</v>
      </c>
      <c r="I2914" s="10" t="n">
        <v>46304</v>
      </c>
      <c r="J2914" s="3" t="s">
        <v>893</v>
      </c>
      <c r="K2914" s="10" t="n">
        <v>44376</v>
      </c>
      <c r="L2914" s="3" t="s">
        <v>15</v>
      </c>
      <c r="M2914" s="7" t="n">
        <v>38767</v>
      </c>
      <c r="N2914" s="8" t="n">
        <v>0.00286</v>
      </c>
      <c r="O2914" s="4" t="n">
        <f aca="false">M2914*N2914</f>
        <v>110.87362</v>
      </c>
    </row>
    <row r="2915" customFormat="false" ht="15" hidden="false" customHeight="false" outlineLevel="0" collapsed="false">
      <c r="A2915" s="0" t="s">
        <v>4183</v>
      </c>
      <c r="C2915" s="0" t="s">
        <v>285</v>
      </c>
      <c r="D2915" s="7" t="n">
        <v>355</v>
      </c>
      <c r="E2915" s="8" t="n">
        <v>0.229492957746479</v>
      </c>
      <c r="F2915" s="4" t="n">
        <f aca="false">D2915*E2915</f>
        <v>81.47</v>
      </c>
      <c r="G2915" s="7" t="n">
        <v>50</v>
      </c>
      <c r="H2915" s="9" t="n">
        <f aca="false">IF(G2915&gt;0,D2915/G2915,"")</f>
        <v>7.1</v>
      </c>
      <c r="I2915" s="10" t="n">
        <v>46073</v>
      </c>
      <c r="J2915" s="3" t="s">
        <v>4184</v>
      </c>
      <c r="K2915" s="10" t="n">
        <v>44713</v>
      </c>
      <c r="L2915" s="3" t="s">
        <v>15</v>
      </c>
      <c r="M2915" s="7" t="n">
        <v>454</v>
      </c>
      <c r="N2915" s="8" t="n">
        <v>0.22946</v>
      </c>
      <c r="O2915" s="4" t="n">
        <f aca="false">M2915*N2915</f>
        <v>104.17484</v>
      </c>
    </row>
    <row r="2916" customFormat="false" ht="15" hidden="false" customHeight="false" outlineLevel="0" collapsed="false">
      <c r="A2916" s="0" t="s">
        <v>4185</v>
      </c>
      <c r="C2916" s="0" t="s">
        <v>34</v>
      </c>
      <c r="D2916" s="7" t="n">
        <v>583</v>
      </c>
      <c r="E2916" s="8" t="n">
        <v>0.139691252144082</v>
      </c>
      <c r="F2916" s="4" t="n">
        <f aca="false">D2916*E2916</f>
        <v>81.44</v>
      </c>
      <c r="G2916" s="7" t="n">
        <v>25</v>
      </c>
      <c r="H2916" s="9" t="n">
        <f aca="false">IF(G2916&gt;0,D2916/G2916,"")</f>
        <v>23.32</v>
      </c>
      <c r="I2916" s="10" t="n">
        <v>46168</v>
      </c>
      <c r="J2916" s="3" t="s">
        <v>3860</v>
      </c>
      <c r="K2916" s="10" t="n">
        <v>44692</v>
      </c>
      <c r="L2916" s="3" t="s">
        <v>15</v>
      </c>
      <c r="M2916" s="7" t="n">
        <v>655</v>
      </c>
      <c r="N2916" s="8" t="n">
        <v>0.13968</v>
      </c>
      <c r="O2916" s="4" t="n">
        <f aca="false">M2916*N2916</f>
        <v>91.4904</v>
      </c>
    </row>
    <row r="2917" customFormat="false" ht="15" hidden="false" customHeight="false" outlineLevel="0" collapsed="false">
      <c r="A2917" s="0" t="s">
        <v>4186</v>
      </c>
      <c r="C2917" s="0" t="s">
        <v>34</v>
      </c>
      <c r="D2917" s="7" t="n">
        <v>552</v>
      </c>
      <c r="E2917" s="8" t="n">
        <v>0.147463768115942</v>
      </c>
      <c r="F2917" s="4" t="n">
        <f aca="false">D2917*E2917</f>
        <v>81.4</v>
      </c>
      <c r="G2917" s="7" t="n">
        <v>37</v>
      </c>
      <c r="H2917" s="9" t="n">
        <f aca="false">IF(G2917&gt;0,D2917/G2917,"")</f>
        <v>14.9189189189189</v>
      </c>
      <c r="I2917" s="10" t="n">
        <v>46168</v>
      </c>
      <c r="J2917" s="3" t="s">
        <v>3860</v>
      </c>
      <c r="K2917" s="10" t="n">
        <v>44692</v>
      </c>
      <c r="L2917" s="3" t="s">
        <v>15</v>
      </c>
      <c r="M2917" s="7" t="n">
        <v>725</v>
      </c>
      <c r="N2917" s="8" t="n">
        <v>0.14748</v>
      </c>
      <c r="O2917" s="4" t="n">
        <f aca="false">M2917*N2917</f>
        <v>106.923</v>
      </c>
    </row>
    <row r="2918" customFormat="false" ht="15" hidden="false" customHeight="false" outlineLevel="0" collapsed="false">
      <c r="A2918" s="0" t="s">
        <v>4187</v>
      </c>
      <c r="C2918" s="0" t="s">
        <v>32</v>
      </c>
      <c r="D2918" s="7" t="n">
        <v>409</v>
      </c>
      <c r="E2918" s="8" t="n">
        <v>0.198997555012225</v>
      </c>
      <c r="F2918" s="4" t="n">
        <f aca="false">D2918*E2918</f>
        <v>81.39</v>
      </c>
      <c r="G2918" s="7" t="n">
        <v>71</v>
      </c>
      <c r="H2918" s="9" t="n">
        <f aca="false">IF(G2918&gt;0,D2918/G2918,"")</f>
        <v>5.76056338028169</v>
      </c>
      <c r="I2918" s="10" t="n">
        <v>46288</v>
      </c>
      <c r="J2918" s="3" t="s">
        <v>915</v>
      </c>
      <c r="K2918" s="10" t="n">
        <v>44327</v>
      </c>
      <c r="L2918" s="3" t="s">
        <v>18</v>
      </c>
      <c r="M2918" s="7" t="n">
        <v>1554</v>
      </c>
      <c r="N2918" s="8" t="n">
        <v>0.199</v>
      </c>
      <c r="O2918" s="4" t="n">
        <f aca="false">M2918*N2918</f>
        <v>309.246</v>
      </c>
    </row>
    <row r="2919" customFormat="false" ht="15" hidden="false" customHeight="false" outlineLevel="0" collapsed="false">
      <c r="A2919" s="0" t="s">
        <v>4188</v>
      </c>
      <c r="C2919" s="0" t="s">
        <v>38</v>
      </c>
      <c r="D2919" s="7" t="n">
        <v>495</v>
      </c>
      <c r="E2919" s="8" t="n">
        <v>0.16440404040404</v>
      </c>
      <c r="F2919" s="4" t="n">
        <f aca="false">D2919*E2919</f>
        <v>81.38</v>
      </c>
      <c r="G2919" s="7" t="n">
        <v>92</v>
      </c>
      <c r="H2919" s="9" t="n">
        <f aca="false">IF(G2919&gt;0,D2919/G2919,"")</f>
        <v>5.3804347826087</v>
      </c>
      <c r="I2919" s="10" t="n">
        <v>46269</v>
      </c>
      <c r="J2919" s="3" t="s">
        <v>3616</v>
      </c>
      <c r="K2919" s="10" t="n">
        <v>45471</v>
      </c>
      <c r="L2919" s="3" t="s">
        <v>18</v>
      </c>
      <c r="M2919" s="7" t="n">
        <v>600</v>
      </c>
      <c r="N2919" s="8" t="n">
        <v>0.1644</v>
      </c>
      <c r="O2919" s="4" t="n">
        <f aca="false">M2919*N2919</f>
        <v>98.64</v>
      </c>
    </row>
    <row r="2920" customFormat="false" ht="15" hidden="false" customHeight="false" outlineLevel="0" collapsed="false">
      <c r="A2920" s="0" t="s">
        <v>4189</v>
      </c>
      <c r="C2920" s="0" t="s">
        <v>855</v>
      </c>
      <c r="D2920" s="7" t="n">
        <v>7865</v>
      </c>
      <c r="E2920" s="8" t="n">
        <v>0.0103445645263827</v>
      </c>
      <c r="F2920" s="4" t="n">
        <f aca="false">D2920*E2920</f>
        <v>81.36</v>
      </c>
      <c r="G2920" s="7" t="n">
        <v>2394</v>
      </c>
      <c r="H2920" s="9" t="n">
        <f aca="false">IF(G2920&gt;0,D2920/G2920,"")</f>
        <v>3.28529657477026</v>
      </c>
      <c r="I2920" s="10" t="n">
        <v>46282</v>
      </c>
      <c r="J2920" s="3" t="s">
        <v>3305</v>
      </c>
      <c r="K2920" s="10" t="n">
        <v>44292</v>
      </c>
      <c r="L2920" s="3" t="s">
        <v>19</v>
      </c>
      <c r="M2920" s="7" t="n">
        <v>2500</v>
      </c>
      <c r="N2920" s="8" t="n">
        <v>0.0114</v>
      </c>
      <c r="O2920" s="4" t="n">
        <f aca="false">M2920*N2920</f>
        <v>28.5</v>
      </c>
    </row>
    <row r="2921" customFormat="false" ht="15" hidden="false" customHeight="false" outlineLevel="0" collapsed="false">
      <c r="A2921" s="0" t="s">
        <v>4190</v>
      </c>
      <c r="C2921" s="0" t="s">
        <v>34</v>
      </c>
      <c r="D2921" s="7" t="n">
        <v>6808</v>
      </c>
      <c r="E2921" s="8" t="n">
        <v>0.0119477085781434</v>
      </c>
      <c r="F2921" s="4" t="n">
        <f aca="false">D2921*E2921</f>
        <v>81.34</v>
      </c>
      <c r="G2921" s="7" t="n">
        <v>1016</v>
      </c>
      <c r="H2921" s="9" t="n">
        <f aca="false">IF(G2921&gt;0,D2921/G2921,"")</f>
        <v>6.7007874015748</v>
      </c>
      <c r="I2921" s="10" t="n">
        <v>46276</v>
      </c>
      <c r="J2921" s="3" t="s">
        <v>2608</v>
      </c>
      <c r="K2921" s="10" t="n">
        <v>45051</v>
      </c>
      <c r="L2921" s="3" t="s">
        <v>15</v>
      </c>
      <c r="M2921" s="7" t="n">
        <v>9500</v>
      </c>
      <c r="N2921" s="8" t="n">
        <v>0.01195</v>
      </c>
      <c r="O2921" s="4" t="n">
        <f aca="false">M2921*N2921</f>
        <v>113.525</v>
      </c>
    </row>
    <row r="2922" customFormat="false" ht="15" hidden="false" customHeight="false" outlineLevel="0" collapsed="false">
      <c r="A2922" s="0" t="s">
        <v>4191</v>
      </c>
      <c r="C2922" s="0" t="s">
        <v>34</v>
      </c>
      <c r="D2922" s="7" t="n">
        <v>1161</v>
      </c>
      <c r="E2922" s="8" t="n">
        <v>0.07</v>
      </c>
      <c r="F2922" s="4" t="n">
        <f aca="false">D2922*E2922</f>
        <v>81.27</v>
      </c>
      <c r="G2922" s="7" t="n">
        <v>493</v>
      </c>
      <c r="H2922" s="9" t="n">
        <f aca="false">IF(G2922&gt;0,D2922/G2922,"")</f>
        <v>2.35496957403651</v>
      </c>
      <c r="I2922" s="10" t="n">
        <v>46314</v>
      </c>
      <c r="J2922" s="3" t="s">
        <v>4192</v>
      </c>
      <c r="K2922" s="10" t="n">
        <v>45387</v>
      </c>
      <c r="L2922" s="3" t="s">
        <v>19</v>
      </c>
      <c r="M2922" s="7" t="n">
        <v>2000</v>
      </c>
      <c r="N2922" s="8" t="n">
        <v>0.07</v>
      </c>
      <c r="O2922" s="4" t="n">
        <f aca="false">M2922*N2922</f>
        <v>140</v>
      </c>
    </row>
    <row r="2923" customFormat="false" ht="15" hidden="false" customHeight="false" outlineLevel="0" collapsed="false">
      <c r="A2923" s="0" t="s">
        <v>4193</v>
      </c>
      <c r="C2923" s="0" t="s">
        <v>40</v>
      </c>
      <c r="D2923" s="7" t="n">
        <v>1209</v>
      </c>
      <c r="E2923" s="8" t="n">
        <v>0.0672125723738627</v>
      </c>
      <c r="F2923" s="4" t="n">
        <f aca="false">D2923*E2923</f>
        <v>81.26</v>
      </c>
      <c r="G2923" s="7" t="n">
        <v>103</v>
      </c>
      <c r="H2923" s="9" t="n">
        <f aca="false">IF(G2923&gt;0,D2923/G2923,"")</f>
        <v>11.7378640776699</v>
      </c>
      <c r="I2923" s="10" t="n">
        <v>46288</v>
      </c>
      <c r="J2923" s="3" t="s">
        <v>4194</v>
      </c>
      <c r="K2923" s="10" t="n">
        <v>45539</v>
      </c>
      <c r="L2923" s="3" t="s">
        <v>18</v>
      </c>
      <c r="M2923" s="7" t="n">
        <v>1500</v>
      </c>
      <c r="N2923" s="8" t="n">
        <v>0.0672</v>
      </c>
      <c r="O2923" s="4" t="n">
        <f aca="false">M2923*N2923</f>
        <v>100.8</v>
      </c>
    </row>
    <row r="2924" customFormat="false" ht="15" hidden="false" customHeight="false" outlineLevel="0" collapsed="false">
      <c r="A2924" s="0" t="s">
        <v>4195</v>
      </c>
      <c r="C2924" s="0" t="s">
        <v>255</v>
      </c>
      <c r="D2924" s="7" t="n">
        <v>203</v>
      </c>
      <c r="E2924" s="8" t="n">
        <v>0.4</v>
      </c>
      <c r="F2924" s="4" t="n">
        <f aca="false">D2924*E2924</f>
        <v>81.2</v>
      </c>
      <c r="G2924" s="7" t="n">
        <v>65</v>
      </c>
      <c r="H2924" s="9" t="n">
        <f aca="false">IF(G2924&gt;0,D2924/G2924,"")</f>
        <v>3.12307692307692</v>
      </c>
      <c r="I2924" s="10" t="n">
        <v>46300</v>
      </c>
      <c r="J2924" s="3" t="s">
        <v>4196</v>
      </c>
      <c r="K2924" s="10" t="n">
        <v>44858</v>
      </c>
      <c r="L2924" s="3" t="s">
        <v>257</v>
      </c>
      <c r="M2924" s="7" t="n">
        <v>519</v>
      </c>
      <c r="N2924" s="8" t="n">
        <v>0.4</v>
      </c>
      <c r="O2924" s="4" t="n">
        <f aca="false">M2924*N2924</f>
        <v>207.6</v>
      </c>
    </row>
    <row r="2925" customFormat="false" ht="15" hidden="false" customHeight="false" outlineLevel="0" collapsed="false">
      <c r="A2925" s="0" t="s">
        <v>4197</v>
      </c>
      <c r="C2925" s="0" t="s">
        <v>298</v>
      </c>
      <c r="D2925" s="7" t="n">
        <v>981</v>
      </c>
      <c r="E2925" s="8" t="n">
        <v>0.0827013251783894</v>
      </c>
      <c r="F2925" s="4" t="n">
        <f aca="false">D2925*E2925</f>
        <v>81.13</v>
      </c>
      <c r="G2925" s="7" t="n">
        <v>319</v>
      </c>
      <c r="H2925" s="9" t="n">
        <f aca="false">IF(G2925&gt;0,D2925/G2925,"")</f>
        <v>3.07523510971787</v>
      </c>
      <c r="I2925" s="10" t="n">
        <v>46289</v>
      </c>
      <c r="J2925" s="3" t="s">
        <v>1018</v>
      </c>
      <c r="K2925" s="10" t="n">
        <v>45912</v>
      </c>
      <c r="L2925" s="3" t="s">
        <v>15</v>
      </c>
      <c r="M2925" s="7" t="n">
        <v>1300</v>
      </c>
      <c r="N2925" s="8" t="n">
        <v>0.0827</v>
      </c>
      <c r="O2925" s="4" t="n">
        <f aca="false">M2925*N2925</f>
        <v>107.51</v>
      </c>
    </row>
    <row r="2926" customFormat="false" ht="15" hidden="false" customHeight="false" outlineLevel="0" collapsed="false">
      <c r="A2926" s="0" t="s">
        <v>4198</v>
      </c>
      <c r="C2926" s="0" t="s">
        <v>438</v>
      </c>
      <c r="D2926" s="7" t="n">
        <v>186</v>
      </c>
      <c r="E2926" s="8" t="n">
        <v>0.435537634408602</v>
      </c>
      <c r="F2926" s="4" t="n">
        <f aca="false">D2926*E2926</f>
        <v>81.01</v>
      </c>
      <c r="G2926" s="7" t="n">
        <v>27</v>
      </c>
      <c r="H2926" s="9" t="n">
        <f aca="false">IF(G2926&gt;0,D2926/G2926,"")</f>
        <v>6.88888888888889</v>
      </c>
      <c r="I2926" s="10" t="n">
        <v>46254</v>
      </c>
      <c r="K2926" s="10"/>
      <c r="M2926" s="7"/>
      <c r="N2926" s="8"/>
      <c r="O2926" s="4"/>
    </row>
    <row r="2927" customFormat="false" ht="15" hidden="false" customHeight="false" outlineLevel="0" collapsed="false">
      <c r="A2927" s="0" t="s">
        <v>4199</v>
      </c>
      <c r="C2927" s="0" t="s">
        <v>61</v>
      </c>
      <c r="D2927" s="7" t="n">
        <v>671</v>
      </c>
      <c r="E2927" s="8" t="n">
        <v>0.120730253353204</v>
      </c>
      <c r="F2927" s="4" t="n">
        <f aca="false">D2927*E2927</f>
        <v>81.01</v>
      </c>
      <c r="G2927" s="7" t="n">
        <v>10</v>
      </c>
      <c r="H2927" s="9" t="n">
        <f aca="false">IF(G2927&gt;0,D2927/G2927,"")</f>
        <v>67.1</v>
      </c>
      <c r="I2927" s="10" t="n">
        <v>45957</v>
      </c>
      <c r="J2927" s="3" t="s">
        <v>4200</v>
      </c>
      <c r="K2927" s="10" t="n">
        <v>45917</v>
      </c>
      <c r="L2927" s="3" t="s">
        <v>23</v>
      </c>
      <c r="M2927" s="7" t="n">
        <v>600</v>
      </c>
      <c r="N2927" s="8" t="n">
        <v>0.123</v>
      </c>
      <c r="O2927" s="4" t="n">
        <f aca="false">M2927*N2927</f>
        <v>73.8</v>
      </c>
    </row>
    <row r="2928" customFormat="false" ht="15" hidden="false" customHeight="false" outlineLevel="0" collapsed="false">
      <c r="A2928" s="0" t="s">
        <v>4201</v>
      </c>
      <c r="C2928" s="0" t="s">
        <v>38</v>
      </c>
      <c r="D2928" s="7" t="n">
        <v>381</v>
      </c>
      <c r="E2928" s="8" t="n">
        <v>0.21249343832021</v>
      </c>
      <c r="F2928" s="4" t="n">
        <f aca="false">D2928*E2928</f>
        <v>80.96</v>
      </c>
      <c r="G2928" s="7" t="n">
        <v>64</v>
      </c>
      <c r="H2928" s="9" t="n">
        <f aca="false">IF(G2928&gt;0,D2928/G2928,"")</f>
        <v>5.953125</v>
      </c>
      <c r="I2928" s="10" t="n">
        <v>46269</v>
      </c>
      <c r="J2928" s="3" t="s">
        <v>3625</v>
      </c>
      <c r="K2928" s="10" t="n">
        <v>45896</v>
      </c>
      <c r="L2928" s="3" t="s">
        <v>18</v>
      </c>
      <c r="M2928" s="7" t="n">
        <v>470</v>
      </c>
      <c r="N2928" s="8" t="n">
        <v>0.2125</v>
      </c>
      <c r="O2928" s="4" t="n">
        <f aca="false">M2928*N2928</f>
        <v>99.875</v>
      </c>
    </row>
    <row r="2929" customFormat="false" ht="15" hidden="false" customHeight="false" outlineLevel="0" collapsed="false">
      <c r="A2929" s="0" t="s">
        <v>4202</v>
      </c>
      <c r="C2929" s="0" t="s">
        <v>36</v>
      </c>
      <c r="D2929" s="7" t="n">
        <v>557</v>
      </c>
      <c r="E2929" s="8" t="n">
        <v>0.145332136445242</v>
      </c>
      <c r="F2929" s="4" t="n">
        <f aca="false">D2929*E2929</f>
        <v>80.95</v>
      </c>
      <c r="G2929" s="7" t="n">
        <v>60</v>
      </c>
      <c r="H2929" s="9" t="n">
        <f aca="false">IF(G2929&gt;0,D2929/G2929,"")</f>
        <v>9.28333333333333</v>
      </c>
      <c r="I2929" s="10" t="n">
        <v>46086</v>
      </c>
      <c r="J2929" s="3" t="s">
        <v>1883</v>
      </c>
      <c r="K2929" s="10" t="n">
        <v>44845</v>
      </c>
      <c r="L2929" s="3" t="s">
        <v>14</v>
      </c>
      <c r="M2929" s="7" t="n">
        <v>1001</v>
      </c>
      <c r="N2929" s="8" t="n">
        <v>0.1456</v>
      </c>
      <c r="O2929" s="4" t="n">
        <v>145.6</v>
      </c>
    </row>
    <row r="2930" customFormat="false" ht="15" hidden="false" customHeight="false" outlineLevel="0" collapsed="false">
      <c r="A2930" s="0" t="s">
        <v>4203</v>
      </c>
      <c r="C2930" s="0" t="s">
        <v>100</v>
      </c>
      <c r="D2930" s="7" t="n">
        <v>5</v>
      </c>
      <c r="E2930" s="8" t="n">
        <v>16.186</v>
      </c>
      <c r="F2930" s="4" t="n">
        <f aca="false">D2930*E2930</f>
        <v>80.93</v>
      </c>
      <c r="G2930" s="7" t="n">
        <v>4</v>
      </c>
      <c r="H2930" s="9" t="n">
        <f aca="false">IF(G2930&gt;0,D2930/G2930,"")</f>
        <v>1.25</v>
      </c>
      <c r="I2930" s="10" t="n">
        <v>46090</v>
      </c>
      <c r="K2930" s="10"/>
      <c r="M2930" s="7"/>
      <c r="N2930" s="8"/>
      <c r="O2930" s="4"/>
    </row>
    <row r="2931" customFormat="false" ht="15" hidden="false" customHeight="false" outlineLevel="0" collapsed="false">
      <c r="A2931" s="0" t="s">
        <v>4204</v>
      </c>
      <c r="C2931" s="0" t="s">
        <v>39</v>
      </c>
      <c r="D2931" s="7" t="n">
        <v>145</v>
      </c>
      <c r="E2931" s="8" t="n">
        <v>0.557862068965517</v>
      </c>
      <c r="F2931" s="4" t="n">
        <f aca="false">D2931*E2931</f>
        <v>80.89</v>
      </c>
      <c r="G2931" s="7" t="n">
        <v>30</v>
      </c>
      <c r="H2931" s="9" t="n">
        <f aca="false">IF(G2931&gt;0,D2931/G2931,"")</f>
        <v>4.83333333333333</v>
      </c>
      <c r="I2931" s="10" t="n">
        <v>46314</v>
      </c>
      <c r="J2931" s="3" t="s">
        <v>3533</v>
      </c>
      <c r="K2931" s="10" t="n">
        <v>45903</v>
      </c>
      <c r="L2931" s="3" t="s">
        <v>18</v>
      </c>
      <c r="M2931" s="7" t="n">
        <v>170</v>
      </c>
      <c r="N2931" s="8" t="n">
        <v>0.5579</v>
      </c>
      <c r="O2931" s="4" t="n">
        <f aca="false">M2931*N2931</f>
        <v>94.843</v>
      </c>
    </row>
    <row r="2932" customFormat="false" ht="15" hidden="false" customHeight="false" outlineLevel="0" collapsed="false">
      <c r="A2932" s="0" t="s">
        <v>4205</v>
      </c>
      <c r="C2932" s="0" t="s">
        <v>298</v>
      </c>
      <c r="D2932" s="7" t="n">
        <v>3934</v>
      </c>
      <c r="E2932" s="8" t="n">
        <v>0.0205516014234875</v>
      </c>
      <c r="F2932" s="4" t="n">
        <f aca="false">D2932*E2932</f>
        <v>80.85</v>
      </c>
      <c r="G2932" s="7" t="n">
        <v>851</v>
      </c>
      <c r="H2932" s="9" t="n">
        <f aca="false">IF(G2932&gt;0,D2932/G2932,"")</f>
        <v>4.62279670975323</v>
      </c>
      <c r="I2932" s="10" t="n">
        <v>46308</v>
      </c>
      <c r="K2932" s="10"/>
      <c r="M2932" s="7"/>
      <c r="N2932" s="8"/>
      <c r="O2932" s="4"/>
    </row>
    <row r="2933" customFormat="false" ht="15" hidden="false" customHeight="false" outlineLevel="0" collapsed="false">
      <c r="A2933" s="0" t="s">
        <v>4206</v>
      </c>
      <c r="C2933" s="0" t="s">
        <v>438</v>
      </c>
      <c r="D2933" s="7" t="n">
        <v>94</v>
      </c>
      <c r="E2933" s="8" t="n">
        <v>0.86</v>
      </c>
      <c r="F2933" s="4" t="n">
        <f aca="false">D2933*E2933</f>
        <v>80.84</v>
      </c>
      <c r="G2933" s="7" t="n">
        <v>4</v>
      </c>
      <c r="H2933" s="9" t="n">
        <f aca="false">IF(G2933&gt;0,D2933/G2933,"")</f>
        <v>23.5</v>
      </c>
      <c r="I2933" s="10" t="n">
        <v>46147</v>
      </c>
      <c r="J2933" s="3" t="s">
        <v>4207</v>
      </c>
      <c r="K2933" s="10" t="n">
        <v>45840</v>
      </c>
      <c r="L2933" s="3" t="s">
        <v>1878</v>
      </c>
      <c r="M2933" s="7" t="n">
        <v>112</v>
      </c>
      <c r="N2933" s="8" t="n">
        <v>0.86</v>
      </c>
      <c r="O2933" s="4" t="n">
        <f aca="false">M2933*N2933</f>
        <v>96.32</v>
      </c>
    </row>
    <row r="2934" customFormat="false" ht="15" hidden="false" customHeight="false" outlineLevel="0" collapsed="false">
      <c r="A2934" s="0" t="s">
        <v>4208</v>
      </c>
      <c r="C2934" s="0" t="s">
        <v>1169</v>
      </c>
      <c r="D2934" s="7" t="n">
        <v>1969</v>
      </c>
      <c r="E2934" s="8" t="n">
        <v>0.0409954291518537</v>
      </c>
      <c r="F2934" s="4" t="n">
        <f aca="false">D2934*E2934</f>
        <v>80.72</v>
      </c>
      <c r="G2934" s="7" t="n">
        <v>6</v>
      </c>
      <c r="H2934" s="9" t="n">
        <f aca="false">IF(G2934&gt;0,D2934/G2934,"")</f>
        <v>328.166666666667</v>
      </c>
      <c r="I2934" s="10" t="n">
        <v>46135</v>
      </c>
      <c r="J2934" s="3" t="s">
        <v>1945</v>
      </c>
      <c r="K2934" s="10" t="n">
        <v>44328</v>
      </c>
      <c r="L2934" s="3" t="s">
        <v>21</v>
      </c>
      <c r="M2934" s="7" t="n">
        <v>2500</v>
      </c>
      <c r="N2934" s="8" t="n">
        <v>0.041</v>
      </c>
      <c r="O2934" s="4" t="n">
        <f aca="false">M2934*N2934</f>
        <v>102.5</v>
      </c>
    </row>
    <row r="2935" customFormat="false" ht="15" hidden="false" customHeight="false" outlineLevel="0" collapsed="false">
      <c r="A2935" s="0" t="s">
        <v>4209</v>
      </c>
      <c r="C2935" s="0" t="s">
        <v>40</v>
      </c>
      <c r="D2935" s="7" t="n">
        <v>472</v>
      </c>
      <c r="E2935" s="8" t="n">
        <v>0.170741525423729</v>
      </c>
      <c r="F2935" s="4" t="n">
        <f aca="false">D2935*E2935</f>
        <v>80.59</v>
      </c>
      <c r="G2935" s="7" t="n">
        <v>11</v>
      </c>
      <c r="H2935" s="9" t="n">
        <f aca="false">IF(G2935&gt;0,D2935/G2935,"")</f>
        <v>42.9090909090909</v>
      </c>
      <c r="I2935" s="10" t="n">
        <v>46156</v>
      </c>
      <c r="K2935" s="10"/>
      <c r="M2935" s="7"/>
      <c r="N2935" s="8"/>
      <c r="O2935" s="4"/>
    </row>
    <row r="2936" customFormat="false" ht="15" hidden="false" customHeight="false" outlineLevel="0" collapsed="false">
      <c r="A2936" s="0" t="s">
        <v>4210</v>
      </c>
      <c r="C2936" s="0" t="s">
        <v>33</v>
      </c>
      <c r="D2936" s="7" t="n">
        <v>92</v>
      </c>
      <c r="E2936" s="8" t="n">
        <v>0.875978260869565</v>
      </c>
      <c r="F2936" s="4" t="n">
        <f aca="false">D2936*E2936</f>
        <v>80.59</v>
      </c>
      <c r="G2936" s="7" t="n">
        <v>8</v>
      </c>
      <c r="H2936" s="9" t="n">
        <f aca="false">IF(G2936&gt;0,D2936/G2936,"")</f>
        <v>11.5</v>
      </c>
      <c r="I2936" s="10" t="n">
        <v>46247</v>
      </c>
      <c r="J2936" s="3" t="s">
        <v>1011</v>
      </c>
      <c r="K2936" s="10" t="n">
        <v>46003</v>
      </c>
      <c r="L2936" s="3" t="s">
        <v>16</v>
      </c>
      <c r="M2936" s="7" t="n">
        <v>100</v>
      </c>
      <c r="N2936" s="8" t="n">
        <v>0.876</v>
      </c>
      <c r="O2936" s="4" t="n">
        <f aca="false">M2936*N2936</f>
        <v>87.6</v>
      </c>
    </row>
    <row r="2937" customFormat="false" ht="15" hidden="false" customHeight="false" outlineLevel="0" collapsed="false">
      <c r="A2937" s="0" t="s">
        <v>4211</v>
      </c>
      <c r="C2937" s="0" t="s">
        <v>875</v>
      </c>
      <c r="D2937" s="7" t="n">
        <v>46</v>
      </c>
      <c r="E2937" s="8" t="n">
        <v>1.74913043478261</v>
      </c>
      <c r="F2937" s="4" t="n">
        <f aca="false">D2937*E2937</f>
        <v>80.46</v>
      </c>
      <c r="G2937" s="7" t="n">
        <v>4</v>
      </c>
      <c r="H2937" s="9" t="n">
        <f aca="false">IF(G2937&gt;0,D2937/G2937,"")</f>
        <v>11.5</v>
      </c>
      <c r="I2937" s="10" t="n">
        <v>46274</v>
      </c>
      <c r="J2937" s="3" t="s">
        <v>149</v>
      </c>
      <c r="K2937" s="10" t="n">
        <v>46259</v>
      </c>
      <c r="L2937" s="3" t="s">
        <v>14</v>
      </c>
      <c r="M2937" s="7" t="n">
        <v>50</v>
      </c>
      <c r="N2937" s="8" t="n">
        <v>1.7492</v>
      </c>
      <c r="O2937" s="4" t="n">
        <f aca="false">M2937*N2937</f>
        <v>87.46</v>
      </c>
    </row>
    <row r="2938" customFormat="false" ht="15" hidden="false" customHeight="false" outlineLevel="0" collapsed="false">
      <c r="A2938" s="0" t="s">
        <v>4212</v>
      </c>
      <c r="C2938" s="0" t="s">
        <v>31</v>
      </c>
      <c r="D2938" s="7" t="n">
        <v>28714</v>
      </c>
      <c r="E2938" s="8" t="n">
        <v>0.00279967959880198</v>
      </c>
      <c r="F2938" s="4" t="n">
        <f aca="false">D2938*E2938</f>
        <v>80.39</v>
      </c>
      <c r="G2938" s="7" t="n">
        <v>21151</v>
      </c>
      <c r="H2938" s="9" t="n">
        <f aca="false">IF(G2938&gt;0,D2938/G2938,"")</f>
        <v>1.35757174601674</v>
      </c>
      <c r="I2938" s="10" t="n">
        <v>46308</v>
      </c>
      <c r="J2938" s="3" t="s">
        <v>4213</v>
      </c>
      <c r="K2938" s="10" t="n">
        <v>45933</v>
      </c>
      <c r="L2938" s="3" t="s">
        <v>19</v>
      </c>
      <c r="M2938" s="7" t="n">
        <v>5000</v>
      </c>
      <c r="N2938" s="8" t="n">
        <v>0.0073</v>
      </c>
      <c r="O2938" s="4" t="n">
        <f aca="false">M2938*N2938</f>
        <v>36.5</v>
      </c>
    </row>
    <row r="2939" customFormat="false" ht="15" hidden="false" customHeight="false" outlineLevel="0" collapsed="false">
      <c r="A2939" s="0" t="s">
        <v>4214</v>
      </c>
      <c r="C2939" s="0" t="s">
        <v>39</v>
      </c>
      <c r="D2939" s="7" t="n">
        <v>782</v>
      </c>
      <c r="E2939" s="8" t="n">
        <v>0.10269820971867</v>
      </c>
      <c r="F2939" s="4" t="n">
        <f aca="false">D2939*E2939</f>
        <v>80.31</v>
      </c>
      <c r="G2939" s="7" t="n">
        <v>54</v>
      </c>
      <c r="H2939" s="9" t="n">
        <f aca="false">IF(G2939&gt;0,D2939/G2939,"")</f>
        <v>14.4814814814815</v>
      </c>
      <c r="I2939" s="10" t="n">
        <v>46274</v>
      </c>
      <c r="J2939" s="3" t="s">
        <v>4215</v>
      </c>
      <c r="K2939" s="10" t="n">
        <v>45468</v>
      </c>
      <c r="L2939" s="3" t="s">
        <v>18</v>
      </c>
      <c r="M2939" s="7" t="n">
        <v>900</v>
      </c>
      <c r="N2939" s="8" t="n">
        <v>0.1027</v>
      </c>
      <c r="O2939" s="4" t="n">
        <f aca="false">M2939*N2939</f>
        <v>92.43</v>
      </c>
    </row>
    <row r="2940" customFormat="false" ht="15" hidden="false" customHeight="false" outlineLevel="0" collapsed="false">
      <c r="A2940" s="0" t="s">
        <v>4216</v>
      </c>
      <c r="C2940" s="0" t="s">
        <v>298</v>
      </c>
      <c r="D2940" s="7" t="n">
        <v>58</v>
      </c>
      <c r="E2940" s="8" t="n">
        <v>1.38465517241379</v>
      </c>
      <c r="F2940" s="4" t="n">
        <f aca="false">D2940*E2940</f>
        <v>80.31</v>
      </c>
      <c r="G2940" s="7" t="n">
        <v>22</v>
      </c>
      <c r="H2940" s="9" t="n">
        <f aca="false">IF(G2940&gt;0,D2940/G2940,"")</f>
        <v>2.63636363636364</v>
      </c>
      <c r="I2940" s="10" t="n">
        <v>46309</v>
      </c>
      <c r="J2940" s="3" t="s">
        <v>293</v>
      </c>
      <c r="K2940" s="10" t="n">
        <v>46310</v>
      </c>
      <c r="L2940" s="3" t="s">
        <v>16</v>
      </c>
      <c r="M2940" s="7" t="n">
        <v>82</v>
      </c>
      <c r="N2940" s="8" t="n">
        <v>0.6122</v>
      </c>
      <c r="O2940" s="4" t="n">
        <f aca="false">M2940*N2940</f>
        <v>50.2004</v>
      </c>
    </row>
    <row r="2941" customFormat="false" ht="15" hidden="false" customHeight="false" outlineLevel="0" collapsed="false">
      <c r="A2941" s="0" t="s">
        <v>4217</v>
      </c>
      <c r="C2941" s="0" t="s">
        <v>31</v>
      </c>
      <c r="D2941" s="7" t="n">
        <v>15047</v>
      </c>
      <c r="E2941" s="8" t="n">
        <v>0.0053346181963182</v>
      </c>
      <c r="F2941" s="4" t="n">
        <f aca="false">D2941*E2941</f>
        <v>80.27</v>
      </c>
      <c r="G2941" s="7" t="n">
        <v>8167</v>
      </c>
      <c r="H2941" s="9" t="n">
        <f aca="false">IF(G2941&gt;0,D2941/G2941,"")</f>
        <v>1.84241459532264</v>
      </c>
      <c r="I2941" s="10" t="n">
        <v>46310</v>
      </c>
      <c r="J2941" s="3" t="s">
        <v>4218</v>
      </c>
      <c r="K2941" s="10" t="n">
        <v>44833</v>
      </c>
      <c r="L2941" s="3" t="s">
        <v>19</v>
      </c>
      <c r="M2941" s="7" t="n">
        <v>48442</v>
      </c>
      <c r="N2941" s="8" t="n">
        <v>0</v>
      </c>
      <c r="O2941" s="4" t="n">
        <v>270.636</v>
      </c>
    </row>
    <row r="2942" customFormat="false" ht="15" hidden="false" customHeight="false" outlineLevel="0" collapsed="false">
      <c r="A2942" s="0" t="s">
        <v>4219</v>
      </c>
      <c r="C2942" s="0" t="s">
        <v>34</v>
      </c>
      <c r="D2942" s="7" t="n">
        <v>842</v>
      </c>
      <c r="E2942" s="8" t="n">
        <v>0.0952850356294537</v>
      </c>
      <c r="F2942" s="4" t="n">
        <f aca="false">D2942*E2942</f>
        <v>80.23</v>
      </c>
      <c r="G2942" s="7" t="n">
        <v>739</v>
      </c>
      <c r="H2942" s="9" t="n">
        <f aca="false">IF(G2942&gt;0,D2942/G2942,"")</f>
        <v>1.13937753721245</v>
      </c>
      <c r="I2942" s="10" t="n">
        <v>46279</v>
      </c>
      <c r="J2942" s="3" t="s">
        <v>893</v>
      </c>
      <c r="K2942" s="10" t="n">
        <v>44376</v>
      </c>
      <c r="L2942" s="3" t="s">
        <v>15</v>
      </c>
      <c r="M2942" s="7" t="n">
        <v>2170</v>
      </c>
      <c r="N2942" s="8" t="n">
        <v>0.09529</v>
      </c>
      <c r="O2942" s="4" t="n">
        <f aca="false">M2942*N2942</f>
        <v>206.7793</v>
      </c>
    </row>
    <row r="2943" customFormat="false" ht="15" hidden="false" customHeight="false" outlineLevel="0" collapsed="false">
      <c r="A2943" s="0" t="s">
        <v>4220</v>
      </c>
      <c r="C2943" s="0" t="s">
        <v>31</v>
      </c>
      <c r="D2943" s="7" t="n">
        <v>1610</v>
      </c>
      <c r="E2943" s="8" t="n">
        <v>0.0498136645962733</v>
      </c>
      <c r="F2943" s="4" t="n">
        <f aca="false">D2943*E2943</f>
        <v>80.2</v>
      </c>
      <c r="G2943" s="7" t="n">
        <v>152</v>
      </c>
      <c r="H2943" s="9" t="n">
        <f aca="false">IF(G2943&gt;0,D2943/G2943,"")</f>
        <v>10.5921052631579</v>
      </c>
      <c r="I2943" s="10" t="n">
        <v>46316</v>
      </c>
      <c r="J2943" s="3" t="s">
        <v>4221</v>
      </c>
      <c r="K2943" s="10" t="n">
        <v>44698</v>
      </c>
      <c r="L2943" s="3" t="s">
        <v>19</v>
      </c>
      <c r="M2943" s="7" t="n">
        <v>1920</v>
      </c>
      <c r="N2943" s="8" t="n">
        <v>0</v>
      </c>
      <c r="O2943" s="4" t="n">
        <v>95.7</v>
      </c>
    </row>
    <row r="2944" customFormat="false" ht="15" hidden="false" customHeight="false" outlineLevel="0" collapsed="false">
      <c r="A2944" s="0" t="s">
        <v>4222</v>
      </c>
      <c r="C2944" s="0" t="s">
        <v>295</v>
      </c>
      <c r="D2944" s="7" t="n">
        <v>436</v>
      </c>
      <c r="E2944" s="8" t="n">
        <v>0.183692660550459</v>
      </c>
      <c r="F2944" s="4" t="n">
        <f aca="false">D2944*E2944</f>
        <v>80.09</v>
      </c>
      <c r="G2944" s="7" t="n">
        <v>30</v>
      </c>
      <c r="H2944" s="9" t="n">
        <f aca="false">IF(G2944&gt;0,D2944/G2944,"")</f>
        <v>14.5333333333333</v>
      </c>
      <c r="I2944" s="10" t="n">
        <v>46168</v>
      </c>
      <c r="K2944" s="10"/>
      <c r="M2944" s="7"/>
      <c r="N2944" s="8"/>
      <c r="O2944" s="4"/>
    </row>
    <row r="2945" customFormat="false" ht="15" hidden="false" customHeight="false" outlineLevel="0" collapsed="false">
      <c r="A2945" s="0" t="s">
        <v>4223</v>
      </c>
      <c r="C2945" s="0" t="s">
        <v>855</v>
      </c>
      <c r="D2945" s="7" t="n">
        <v>416</v>
      </c>
      <c r="E2945" s="8" t="n">
        <v>0.1925</v>
      </c>
      <c r="F2945" s="4" t="n">
        <f aca="false">D2945*E2945</f>
        <v>80.08</v>
      </c>
      <c r="G2945" s="7" t="n">
        <v>60</v>
      </c>
      <c r="H2945" s="9" t="n">
        <f aca="false">IF(G2945&gt;0,D2945/G2945,"")</f>
        <v>6.93333333333333</v>
      </c>
      <c r="I2945" s="10" t="n">
        <v>46288</v>
      </c>
      <c r="K2945" s="10"/>
      <c r="M2945" s="7"/>
      <c r="N2945" s="8"/>
      <c r="O2945" s="4"/>
    </row>
    <row r="2946" customFormat="false" ht="15" hidden="false" customHeight="false" outlineLevel="0" collapsed="false">
      <c r="A2946" s="0" t="s">
        <v>4224</v>
      </c>
      <c r="C2946" s="0" t="s">
        <v>39</v>
      </c>
      <c r="D2946" s="7" t="n">
        <v>270</v>
      </c>
      <c r="E2946" s="8" t="n">
        <v>0.296555555555556</v>
      </c>
      <c r="F2946" s="4" t="n">
        <f aca="false">D2946*E2946</f>
        <v>80.07</v>
      </c>
      <c r="G2946" s="7" t="n">
        <v>106</v>
      </c>
      <c r="H2946" s="9" t="n">
        <f aca="false">IF(G2946&gt;0,D2946/G2946,"")</f>
        <v>2.54716981132076</v>
      </c>
      <c r="I2946" s="10" t="n">
        <v>46315</v>
      </c>
      <c r="J2946" s="3" t="s">
        <v>4225</v>
      </c>
      <c r="K2946" s="10" t="n">
        <v>45398</v>
      </c>
      <c r="L2946" s="3" t="s">
        <v>18</v>
      </c>
      <c r="M2946" s="7" t="n">
        <v>500</v>
      </c>
      <c r="N2946" s="8" t="n">
        <v>0.2966</v>
      </c>
      <c r="O2946" s="4" t="n">
        <f aca="false">M2946*N2946</f>
        <v>148.3</v>
      </c>
    </row>
    <row r="2947" customFormat="false" ht="15" hidden="false" customHeight="false" outlineLevel="0" collapsed="false">
      <c r="A2947" s="0" t="s">
        <v>4226</v>
      </c>
      <c r="C2947" s="0" t="s">
        <v>39</v>
      </c>
      <c r="D2947" s="7" t="n">
        <v>156</v>
      </c>
      <c r="E2947" s="8" t="n">
        <v>0.512692307692308</v>
      </c>
      <c r="F2947" s="4" t="n">
        <f aca="false">D2947*E2947</f>
        <v>79.98</v>
      </c>
      <c r="G2947" s="7" t="n">
        <v>24</v>
      </c>
      <c r="H2947" s="9" t="n">
        <f aca="false">IF(G2947&gt;0,D2947/G2947,"")</f>
        <v>6.5</v>
      </c>
      <c r="I2947" s="10" t="n">
        <v>46198</v>
      </c>
      <c r="J2947" s="3" t="s">
        <v>1028</v>
      </c>
      <c r="K2947" s="10" t="n">
        <v>45689</v>
      </c>
      <c r="L2947" s="3" t="s">
        <v>18</v>
      </c>
      <c r="M2947" s="7" t="n">
        <v>280</v>
      </c>
      <c r="N2947" s="8" t="n">
        <v>0.5128</v>
      </c>
      <c r="O2947" s="4" t="n">
        <f aca="false">M2947*N2947</f>
        <v>143.584</v>
      </c>
    </row>
    <row r="2948" customFormat="false" ht="15" hidden="false" customHeight="false" outlineLevel="0" collapsed="false">
      <c r="A2948" s="0" t="s">
        <v>4227</v>
      </c>
      <c r="C2948" s="0" t="s">
        <v>765</v>
      </c>
      <c r="D2948" s="7" t="n">
        <v>233</v>
      </c>
      <c r="E2948" s="8" t="n">
        <v>0.343175965665236</v>
      </c>
      <c r="F2948" s="4" t="n">
        <f aca="false">D2948*E2948</f>
        <v>79.96</v>
      </c>
      <c r="G2948" s="7" t="n">
        <v>3</v>
      </c>
      <c r="H2948" s="9" t="n">
        <f aca="false">IF(G2948&gt;0,D2948/G2948,"")</f>
        <v>77.6666666666667</v>
      </c>
      <c r="I2948" s="10" t="n">
        <v>45981</v>
      </c>
      <c r="J2948" s="3" t="s">
        <v>2099</v>
      </c>
      <c r="K2948" s="10" t="n">
        <v>45958</v>
      </c>
      <c r="L2948" s="3" t="s">
        <v>16</v>
      </c>
      <c r="M2948" s="7" t="n">
        <v>160</v>
      </c>
      <c r="N2948" s="8" t="n">
        <v>0.1758</v>
      </c>
      <c r="O2948" s="4" t="n">
        <f aca="false">M2948*N2948</f>
        <v>28.128</v>
      </c>
    </row>
    <row r="2949" customFormat="false" ht="15" hidden="false" customHeight="false" outlineLevel="0" collapsed="false">
      <c r="A2949" s="0" t="s">
        <v>4228</v>
      </c>
      <c r="C2949" s="0" t="s">
        <v>855</v>
      </c>
      <c r="D2949" s="7" t="n">
        <v>4162</v>
      </c>
      <c r="E2949" s="8" t="n">
        <v>0.0192023065833734</v>
      </c>
      <c r="F2949" s="4" t="n">
        <f aca="false">D2949*E2949</f>
        <v>79.92</v>
      </c>
      <c r="G2949" s="7" t="n">
        <v>200</v>
      </c>
      <c r="H2949" s="9" t="n">
        <f aca="false">IF(G2949&gt;0,D2949/G2949,"")</f>
        <v>20.81</v>
      </c>
      <c r="I2949" s="10" t="n">
        <v>46184</v>
      </c>
      <c r="J2949" s="3" t="s">
        <v>3388</v>
      </c>
      <c r="K2949" s="10" t="n">
        <v>44198</v>
      </c>
      <c r="L2949" s="3" t="s">
        <v>25</v>
      </c>
      <c r="M2949" s="7" t="n">
        <v>4640</v>
      </c>
      <c r="N2949" s="8" t="n">
        <v>0.0192</v>
      </c>
      <c r="O2949" s="4" t="n">
        <f aca="false">M2949*N2949</f>
        <v>89.088</v>
      </c>
    </row>
    <row r="2950" customFormat="false" ht="15" hidden="false" customHeight="false" outlineLevel="0" collapsed="false">
      <c r="A2950" s="0" t="s">
        <v>4229</v>
      </c>
      <c r="C2950" s="0" t="s">
        <v>298</v>
      </c>
      <c r="D2950" s="7" t="n">
        <v>1024</v>
      </c>
      <c r="E2950" s="8" t="n">
        <v>0.077763671875</v>
      </c>
      <c r="F2950" s="4" t="n">
        <f aca="false">D2950*E2950</f>
        <v>79.63</v>
      </c>
      <c r="G2950" s="7" t="n">
        <v>528</v>
      </c>
      <c r="H2950" s="9" t="n">
        <f aca="false">IF(G2950&gt;0,D2950/G2950,"")</f>
        <v>1.93939393939394</v>
      </c>
      <c r="I2950" s="10" t="n">
        <v>46309</v>
      </c>
      <c r="J2950" s="3" t="s">
        <v>4230</v>
      </c>
      <c r="K2950" s="10" t="n">
        <v>44312</v>
      </c>
      <c r="L2950" s="3" t="s">
        <v>15</v>
      </c>
      <c r="M2950" s="7" t="n">
        <v>494</v>
      </c>
      <c r="N2950" s="8" t="n">
        <v>0.04137</v>
      </c>
      <c r="O2950" s="4" t="n">
        <f aca="false">M2950*N2950</f>
        <v>20.43678</v>
      </c>
    </row>
    <row r="2951" customFormat="false" ht="15" hidden="false" customHeight="false" outlineLevel="0" collapsed="false">
      <c r="A2951" s="0" t="s">
        <v>4231</v>
      </c>
      <c r="C2951" s="0" t="s">
        <v>36</v>
      </c>
      <c r="D2951" s="7" t="n">
        <v>334</v>
      </c>
      <c r="E2951" s="8" t="n">
        <v>0.23814371257485</v>
      </c>
      <c r="F2951" s="4" t="n">
        <f aca="false">D2951*E2951</f>
        <v>79.54</v>
      </c>
      <c r="G2951" s="7" t="n">
        <v>34</v>
      </c>
      <c r="H2951" s="9" t="n">
        <f aca="false">IF(G2951&gt;0,D2951/G2951,"")</f>
        <v>9.82352941176471</v>
      </c>
      <c r="I2951" s="10" t="n">
        <v>46078</v>
      </c>
      <c r="J2951" s="3" t="s">
        <v>4232</v>
      </c>
      <c r="K2951" s="10" t="n">
        <v>45419</v>
      </c>
      <c r="L2951" s="3" t="s">
        <v>18</v>
      </c>
      <c r="M2951" s="7" t="n">
        <v>420</v>
      </c>
      <c r="N2951" s="8" t="n">
        <v>0.2382</v>
      </c>
      <c r="O2951" s="4" t="n">
        <f aca="false">M2951*N2951</f>
        <v>100.044</v>
      </c>
    </row>
    <row r="2952" customFormat="false" ht="15" hidden="false" customHeight="false" outlineLevel="0" collapsed="false">
      <c r="A2952" s="0" t="s">
        <v>4233</v>
      </c>
      <c r="C2952" s="0" t="s">
        <v>34</v>
      </c>
      <c r="D2952" s="7" t="n">
        <v>5788</v>
      </c>
      <c r="E2952" s="8" t="n">
        <v>0.0137301313061507</v>
      </c>
      <c r="F2952" s="4" t="n">
        <f aca="false">D2952*E2952</f>
        <v>79.47</v>
      </c>
      <c r="G2952" s="7" t="n">
        <v>583</v>
      </c>
      <c r="H2952" s="9" t="n">
        <f aca="false">IF(G2952&gt;0,D2952/G2952,"")</f>
        <v>9.92795883361921</v>
      </c>
      <c r="I2952" s="10" t="n">
        <v>46188</v>
      </c>
      <c r="J2952" s="3" t="s">
        <v>2294</v>
      </c>
      <c r="K2952" s="10" t="n">
        <v>46220</v>
      </c>
      <c r="L2952" s="3" t="s">
        <v>15</v>
      </c>
      <c r="M2952" s="7" t="n">
        <v>6000</v>
      </c>
      <c r="N2952" s="8" t="n">
        <v>0.01356</v>
      </c>
      <c r="O2952" s="4" t="n">
        <f aca="false">M2952*N2952</f>
        <v>81.36</v>
      </c>
    </row>
    <row r="2953" customFormat="false" ht="15" hidden="false" customHeight="false" outlineLevel="0" collapsed="false">
      <c r="A2953" s="0" t="s">
        <v>4234</v>
      </c>
      <c r="C2953" s="0" t="s">
        <v>32</v>
      </c>
      <c r="D2953" s="7" t="n">
        <v>121</v>
      </c>
      <c r="E2953" s="8" t="n">
        <v>0.655950413223141</v>
      </c>
      <c r="F2953" s="4" t="n">
        <f aca="false">D2953*E2953</f>
        <v>79.37</v>
      </c>
      <c r="G2953" s="7" t="n">
        <v>31</v>
      </c>
      <c r="H2953" s="9" t="n">
        <f aca="false">IF(G2953&gt;0,D2953/G2953,"")</f>
        <v>3.90322580645161</v>
      </c>
      <c r="I2953" s="10" t="n">
        <v>46141</v>
      </c>
      <c r="J2953" s="3" t="s">
        <v>3444</v>
      </c>
      <c r="K2953" s="10" t="n">
        <v>45925</v>
      </c>
      <c r="L2953" s="3" t="s">
        <v>18</v>
      </c>
      <c r="M2953" s="7" t="n">
        <v>130</v>
      </c>
      <c r="N2953" s="8" t="n">
        <v>0.6564</v>
      </c>
      <c r="O2953" s="4" t="n">
        <f aca="false">M2953*N2953</f>
        <v>85.332</v>
      </c>
    </row>
    <row r="2954" customFormat="false" ht="15" hidden="false" customHeight="false" outlineLevel="0" collapsed="false">
      <c r="A2954" s="0" t="s">
        <v>4235</v>
      </c>
      <c r="C2954" s="0" t="s">
        <v>31</v>
      </c>
      <c r="D2954" s="7" t="n">
        <v>4532</v>
      </c>
      <c r="E2954" s="8" t="n">
        <v>0.0175</v>
      </c>
      <c r="F2954" s="4" t="n">
        <f aca="false">D2954*E2954</f>
        <v>79.31</v>
      </c>
      <c r="G2954" s="7" t="n">
        <v>290</v>
      </c>
      <c r="H2954" s="9" t="n">
        <f aca="false">IF(G2954&gt;0,D2954/G2954,"")</f>
        <v>15.6275862068966</v>
      </c>
      <c r="I2954" s="10" t="n">
        <v>46150</v>
      </c>
      <c r="K2954" s="10"/>
      <c r="M2954" s="7"/>
      <c r="N2954" s="8"/>
      <c r="O2954" s="4"/>
    </row>
    <row r="2955" customFormat="false" ht="15" hidden="false" customHeight="false" outlineLevel="0" collapsed="false">
      <c r="A2955" s="0" t="s">
        <v>4236</v>
      </c>
      <c r="C2955" s="0" t="s">
        <v>438</v>
      </c>
      <c r="D2955" s="7" t="n">
        <v>107</v>
      </c>
      <c r="E2955" s="8" t="n">
        <v>0.740560747663551</v>
      </c>
      <c r="F2955" s="4" t="n">
        <f aca="false">D2955*E2955</f>
        <v>79.24</v>
      </c>
      <c r="G2955" s="7" t="n">
        <v>2</v>
      </c>
      <c r="H2955" s="9" t="n">
        <f aca="false">IF(G2955&gt;0,D2955/G2955,"")</f>
        <v>53.5</v>
      </c>
      <c r="I2955" s="10" t="n">
        <v>46114</v>
      </c>
      <c r="J2955" s="3" t="s">
        <v>4237</v>
      </c>
      <c r="K2955" s="10" t="n">
        <v>44951</v>
      </c>
      <c r="L2955" s="3" t="s">
        <v>14</v>
      </c>
      <c r="M2955" s="7" t="n">
        <v>226</v>
      </c>
      <c r="N2955" s="8" t="n">
        <v>0.6603</v>
      </c>
      <c r="O2955" s="4" t="n">
        <f aca="false">M2955*N2955</f>
        <v>149.2278</v>
      </c>
    </row>
    <row r="2956" customFormat="false" ht="15" hidden="false" customHeight="false" outlineLevel="0" collapsed="false">
      <c r="A2956" s="0" t="s">
        <v>4238</v>
      </c>
      <c r="C2956" s="0" t="s">
        <v>38</v>
      </c>
      <c r="D2956" s="7" t="n">
        <v>120</v>
      </c>
      <c r="E2956" s="8" t="n">
        <v>0.66</v>
      </c>
      <c r="F2956" s="4" t="n">
        <f aca="false">D2956*E2956</f>
        <v>79.2</v>
      </c>
      <c r="G2956" s="7" t="n">
        <v>64</v>
      </c>
      <c r="H2956" s="9" t="n">
        <f aca="false">IF(G2956&gt;0,D2956/G2956,"")</f>
        <v>1.875</v>
      </c>
      <c r="I2956" s="10" t="n">
        <v>46237</v>
      </c>
      <c r="J2956" s="3" t="s">
        <v>4032</v>
      </c>
      <c r="K2956" s="10" t="n">
        <v>46148</v>
      </c>
      <c r="L2956" s="3" t="s">
        <v>14</v>
      </c>
      <c r="M2956" s="7" t="n">
        <v>100</v>
      </c>
      <c r="N2956" s="8" t="n">
        <v>0.6649</v>
      </c>
      <c r="O2956" s="4" t="n">
        <f aca="false">M2956*N2956</f>
        <v>66.49</v>
      </c>
    </row>
    <row r="2957" customFormat="false" ht="15" hidden="false" customHeight="false" outlineLevel="0" collapsed="false">
      <c r="A2957" s="0" t="s">
        <v>4239</v>
      </c>
      <c r="C2957" s="0" t="s">
        <v>31</v>
      </c>
      <c r="D2957" s="7" t="n">
        <v>4082</v>
      </c>
      <c r="E2957" s="8" t="n">
        <v>0.0193924546790789</v>
      </c>
      <c r="F2957" s="4" t="n">
        <f aca="false">D2957*E2957</f>
        <v>79.16</v>
      </c>
      <c r="G2957" s="7" t="n">
        <v>704</v>
      </c>
      <c r="H2957" s="9" t="n">
        <f aca="false">IF(G2957&gt;0,D2957/G2957,"")</f>
        <v>5.79829545454545</v>
      </c>
      <c r="I2957" s="10" t="n">
        <v>46308</v>
      </c>
      <c r="K2957" s="10"/>
      <c r="M2957" s="7"/>
      <c r="N2957" s="8"/>
      <c r="O2957" s="4"/>
    </row>
    <row r="2958" customFormat="false" ht="15" hidden="false" customHeight="false" outlineLevel="0" collapsed="false">
      <c r="A2958" s="0" t="s">
        <v>4240</v>
      </c>
      <c r="C2958" s="0" t="s">
        <v>40</v>
      </c>
      <c r="D2958" s="7" t="n">
        <v>3487</v>
      </c>
      <c r="E2958" s="8" t="n">
        <v>0.0226985947806137</v>
      </c>
      <c r="F2958" s="4" t="n">
        <f aca="false">D2958*E2958</f>
        <v>79.15</v>
      </c>
      <c r="G2958" s="7" t="n">
        <v>650</v>
      </c>
      <c r="H2958" s="9" t="n">
        <f aca="false">IF(G2958&gt;0,D2958/G2958,"")</f>
        <v>5.36461538461539</v>
      </c>
      <c r="I2958" s="10" t="n">
        <v>46295</v>
      </c>
      <c r="J2958" s="3" t="s">
        <v>3703</v>
      </c>
      <c r="K2958" s="10" t="n">
        <v>45566</v>
      </c>
      <c r="L2958" s="3" t="s">
        <v>18</v>
      </c>
      <c r="M2958" s="7" t="n">
        <v>4400</v>
      </c>
      <c r="N2958" s="8" t="n">
        <v>0.0227</v>
      </c>
      <c r="O2958" s="4" t="n">
        <f aca="false">M2958*N2958</f>
        <v>99.88</v>
      </c>
    </row>
    <row r="2959" customFormat="false" ht="15" hidden="false" customHeight="false" outlineLevel="0" collapsed="false">
      <c r="A2959" s="0" t="s">
        <v>4241</v>
      </c>
      <c r="C2959" s="0" t="s">
        <v>285</v>
      </c>
      <c r="D2959" s="7" t="n">
        <v>1507</v>
      </c>
      <c r="E2959" s="8" t="n">
        <v>0.0524485733244857</v>
      </c>
      <c r="F2959" s="4" t="n">
        <f aca="false">D2959*E2959</f>
        <v>79.04</v>
      </c>
      <c r="G2959" s="7" t="n">
        <v>1032</v>
      </c>
      <c r="H2959" s="9" t="n">
        <f aca="false">IF(G2959&gt;0,D2959/G2959,"")</f>
        <v>1.46027131782946</v>
      </c>
      <c r="I2959" s="10" t="n">
        <v>46155</v>
      </c>
      <c r="K2959" s="10"/>
      <c r="M2959" s="7"/>
      <c r="N2959" s="8"/>
      <c r="O2959" s="4"/>
    </row>
    <row r="2960" customFormat="false" ht="15" hidden="false" customHeight="false" outlineLevel="0" collapsed="false">
      <c r="A2960" s="0" t="s">
        <v>4242</v>
      </c>
      <c r="C2960" s="0" t="s">
        <v>61</v>
      </c>
      <c r="D2960" s="7" t="n">
        <v>81</v>
      </c>
      <c r="E2960" s="8" t="n">
        <v>0.975802469135803</v>
      </c>
      <c r="F2960" s="4" t="n">
        <f aca="false">D2960*E2960</f>
        <v>79.04</v>
      </c>
      <c r="G2960" s="7" t="n">
        <v>3</v>
      </c>
      <c r="H2960" s="9" t="n">
        <f aca="false">IF(G2960&gt;0,D2960/G2960,"")</f>
        <v>27</v>
      </c>
      <c r="I2960" s="10" t="n">
        <v>46003</v>
      </c>
      <c r="K2960" s="10"/>
      <c r="M2960" s="7"/>
      <c r="N2960" s="8"/>
      <c r="O2960" s="4"/>
    </row>
    <row r="2961" customFormat="false" ht="15" hidden="false" customHeight="false" outlineLevel="0" collapsed="false">
      <c r="A2961" s="0" t="s">
        <v>4243</v>
      </c>
      <c r="C2961" s="0" t="s">
        <v>61</v>
      </c>
      <c r="D2961" s="7" t="n">
        <v>319</v>
      </c>
      <c r="E2961" s="8" t="n">
        <v>0.247586206896552</v>
      </c>
      <c r="F2961" s="4" t="n">
        <f aca="false">D2961*E2961</f>
        <v>78.98</v>
      </c>
      <c r="G2961" s="7" t="n">
        <v>54</v>
      </c>
      <c r="H2961" s="9" t="n">
        <f aca="false">IF(G2961&gt;0,D2961/G2961,"")</f>
        <v>5.90740740740741</v>
      </c>
      <c r="I2961" s="10" t="n">
        <v>46034</v>
      </c>
      <c r="K2961" s="10"/>
      <c r="M2961" s="7"/>
      <c r="N2961" s="8"/>
      <c r="O2961" s="4"/>
    </row>
    <row r="2962" customFormat="false" ht="15" hidden="false" customHeight="false" outlineLevel="0" collapsed="false">
      <c r="A2962" s="0" t="s">
        <v>4244</v>
      </c>
      <c r="C2962" s="0" t="s">
        <v>36</v>
      </c>
      <c r="D2962" s="7" t="n">
        <v>2561</v>
      </c>
      <c r="E2962" s="8" t="n">
        <v>0.0308356110894182</v>
      </c>
      <c r="F2962" s="4" t="n">
        <f aca="false">D2962*E2962</f>
        <v>78.97</v>
      </c>
      <c r="G2962" s="7" t="n">
        <v>661</v>
      </c>
      <c r="H2962" s="9" t="n">
        <f aca="false">IF(G2962&gt;0,D2962/G2962,"")</f>
        <v>3.87443267776097</v>
      </c>
      <c r="I2962" s="10" t="n">
        <v>46317</v>
      </c>
      <c r="J2962" s="3" t="s">
        <v>4245</v>
      </c>
      <c r="K2962" s="10" t="n">
        <v>44229</v>
      </c>
      <c r="L2962" s="3" t="s">
        <v>19</v>
      </c>
      <c r="M2962" s="7" t="n">
        <v>922</v>
      </c>
      <c r="N2962" s="8" t="n">
        <v>0.0271</v>
      </c>
      <c r="O2962" s="4" t="n">
        <f aca="false">M2962*N2962</f>
        <v>24.9862</v>
      </c>
    </row>
    <row r="2963" customFormat="false" ht="15" hidden="false" customHeight="false" outlineLevel="0" collapsed="false">
      <c r="A2963" s="0" t="s">
        <v>4246</v>
      </c>
      <c r="C2963" s="0" t="s">
        <v>35</v>
      </c>
      <c r="D2963" s="7" t="n">
        <v>5</v>
      </c>
      <c r="E2963" s="8" t="n">
        <v>15.792</v>
      </c>
      <c r="F2963" s="4" t="n">
        <f aca="false">D2963*E2963</f>
        <v>78.96</v>
      </c>
      <c r="G2963" s="7" t="n">
        <v>3</v>
      </c>
      <c r="H2963" s="9" t="n">
        <f aca="false">IF(G2963&gt;0,D2963/G2963,"")</f>
        <v>1.66666666666667</v>
      </c>
      <c r="I2963" s="10" t="n">
        <v>46111</v>
      </c>
      <c r="J2963" s="3" t="s">
        <v>1278</v>
      </c>
      <c r="K2963" s="10" t="n">
        <v>45322</v>
      </c>
      <c r="L2963" s="3" t="s">
        <v>20</v>
      </c>
      <c r="M2963" s="7" t="n">
        <v>20</v>
      </c>
      <c r="N2963" s="8" t="n">
        <v>15.792</v>
      </c>
      <c r="O2963" s="4" t="n">
        <f aca="false">M2963*N2963</f>
        <v>315.84</v>
      </c>
    </row>
    <row r="2964" customFormat="false" ht="15" hidden="false" customHeight="false" outlineLevel="0" collapsed="false">
      <c r="A2964" s="0" t="s">
        <v>4247</v>
      </c>
      <c r="C2964" s="0" t="s">
        <v>295</v>
      </c>
      <c r="D2964" s="7" t="n">
        <v>1358</v>
      </c>
      <c r="E2964" s="8" t="n">
        <v>0.0581443298969072</v>
      </c>
      <c r="F2964" s="4" t="n">
        <f aca="false">D2964*E2964</f>
        <v>78.96</v>
      </c>
      <c r="G2964" s="7" t="n">
        <v>274</v>
      </c>
      <c r="H2964" s="9" t="n">
        <f aca="false">IF(G2964&gt;0,D2964/G2964,"")</f>
        <v>4.95620437956204</v>
      </c>
      <c r="I2964" s="10" t="n">
        <v>46276</v>
      </c>
      <c r="J2964" s="3" t="s">
        <v>430</v>
      </c>
      <c r="K2964" s="10" t="n">
        <v>45370</v>
      </c>
      <c r="L2964" s="3" t="s">
        <v>20</v>
      </c>
      <c r="M2964" s="7" t="n">
        <v>1315</v>
      </c>
      <c r="N2964" s="8" t="n">
        <v>0.05919</v>
      </c>
      <c r="O2964" s="4" t="n">
        <f aca="false">M2964*N2964</f>
        <v>77.83485</v>
      </c>
    </row>
    <row r="2965" customFormat="false" ht="15" hidden="false" customHeight="false" outlineLevel="0" collapsed="false">
      <c r="A2965" s="0" t="s">
        <v>4248</v>
      </c>
      <c r="C2965" s="0" t="s">
        <v>33</v>
      </c>
      <c r="D2965" s="7" t="n">
        <v>454</v>
      </c>
      <c r="E2965" s="8" t="n">
        <v>0.173898678414097</v>
      </c>
      <c r="F2965" s="4" t="n">
        <f aca="false">D2965*E2965</f>
        <v>78.95</v>
      </c>
      <c r="G2965" s="7" t="n">
        <v>164</v>
      </c>
      <c r="H2965" s="9" t="n">
        <f aca="false">IF(G2965&gt;0,D2965/G2965,"")</f>
        <v>2.76829268292683</v>
      </c>
      <c r="I2965" s="10" t="n">
        <v>46283</v>
      </c>
      <c r="J2965" s="3" t="s">
        <v>1120</v>
      </c>
      <c r="K2965" s="10" t="n">
        <v>45960</v>
      </c>
      <c r="L2965" s="3" t="s">
        <v>18</v>
      </c>
      <c r="M2965" s="7" t="n">
        <v>550</v>
      </c>
      <c r="N2965" s="8" t="n">
        <v>0.1739</v>
      </c>
      <c r="O2965" s="4" t="n">
        <f aca="false">M2965*N2965</f>
        <v>95.645</v>
      </c>
    </row>
    <row r="2966" customFormat="false" ht="15" hidden="false" customHeight="false" outlineLevel="0" collapsed="false">
      <c r="A2966" s="0" t="s">
        <v>4249</v>
      </c>
      <c r="C2966" s="0" t="s">
        <v>40</v>
      </c>
      <c r="D2966" s="7" t="n">
        <v>2363</v>
      </c>
      <c r="E2966" s="8" t="n">
        <v>0.0334024545069827</v>
      </c>
      <c r="F2966" s="4" t="n">
        <f aca="false">D2966*E2966</f>
        <v>78.93</v>
      </c>
      <c r="G2966" s="7" t="n">
        <v>493</v>
      </c>
      <c r="H2966" s="9" t="n">
        <f aca="false">IF(G2966&gt;0,D2966/G2966,"")</f>
        <v>4.79310344827586</v>
      </c>
      <c r="I2966" s="10" t="n">
        <v>46268</v>
      </c>
      <c r="J2966" s="3" t="s">
        <v>4250</v>
      </c>
      <c r="K2966" s="10" t="n">
        <v>45659</v>
      </c>
      <c r="L2966" s="3" t="s">
        <v>18</v>
      </c>
      <c r="M2966" s="7" t="n">
        <v>3000</v>
      </c>
      <c r="N2966" s="8" t="n">
        <v>0.0334</v>
      </c>
      <c r="O2966" s="4" t="n">
        <f aca="false">M2966*N2966</f>
        <v>100.2</v>
      </c>
    </row>
    <row r="2967" customFormat="false" ht="15" hidden="false" customHeight="false" outlineLevel="0" collapsed="false">
      <c r="A2967" s="0" t="s">
        <v>4251</v>
      </c>
      <c r="C2967" s="0" t="s">
        <v>298</v>
      </c>
      <c r="D2967" s="7" t="n">
        <v>3824</v>
      </c>
      <c r="E2967" s="8" t="n">
        <v>0.0206328451882845</v>
      </c>
      <c r="F2967" s="4" t="n">
        <f aca="false">D2967*E2967</f>
        <v>78.9</v>
      </c>
      <c r="G2967" s="7" t="n">
        <v>87</v>
      </c>
      <c r="H2967" s="9" t="n">
        <f aca="false">IF(G2967&gt;0,D2967/G2967,"")</f>
        <v>43.9540229885058</v>
      </c>
      <c r="I2967" s="10" t="n">
        <v>46182</v>
      </c>
      <c r="J2967" s="3" t="s">
        <v>2789</v>
      </c>
      <c r="K2967" s="10" t="n">
        <v>44256</v>
      </c>
      <c r="L2967" s="3" t="s">
        <v>15</v>
      </c>
      <c r="M2967" s="7" t="n">
        <v>5800</v>
      </c>
      <c r="N2967" s="8" t="n">
        <v>0.02079</v>
      </c>
      <c r="O2967" s="4" t="n">
        <f aca="false">M2967*N2967</f>
        <v>120.582</v>
      </c>
    </row>
    <row r="2968" customFormat="false" ht="15" hidden="false" customHeight="false" outlineLevel="0" collapsed="false">
      <c r="A2968" s="0" t="s">
        <v>4252</v>
      </c>
      <c r="C2968" s="0" t="s">
        <v>31</v>
      </c>
      <c r="D2968" s="7" t="n">
        <v>1274</v>
      </c>
      <c r="E2968" s="8" t="n">
        <v>0.0619152276295133</v>
      </c>
      <c r="F2968" s="4" t="n">
        <f aca="false">D2968*E2968</f>
        <v>78.88</v>
      </c>
      <c r="G2968" s="7" t="n">
        <v>95</v>
      </c>
      <c r="H2968" s="9" t="n">
        <f aca="false">IF(G2968&gt;0,D2968/G2968,"")</f>
        <v>13.4105263157895</v>
      </c>
      <c r="I2968" s="10" t="n">
        <v>46276</v>
      </c>
      <c r="J2968" s="3" t="s">
        <v>4253</v>
      </c>
      <c r="K2968" s="10" t="n">
        <v>45705</v>
      </c>
      <c r="L2968" s="3" t="s">
        <v>26</v>
      </c>
      <c r="M2968" s="7" t="n">
        <v>211</v>
      </c>
      <c r="N2968" s="8" t="n">
        <v>0.165</v>
      </c>
      <c r="O2968" s="4" t="n">
        <f aca="false">M2968*N2968</f>
        <v>34.815</v>
      </c>
    </row>
    <row r="2969" customFormat="false" ht="15" hidden="false" customHeight="false" outlineLevel="0" collapsed="false">
      <c r="A2969" s="0" t="s">
        <v>4254</v>
      </c>
      <c r="C2969" s="0" t="s">
        <v>855</v>
      </c>
      <c r="D2969" s="7" t="n">
        <v>16782</v>
      </c>
      <c r="E2969" s="8" t="n">
        <v>0.00468954832558694</v>
      </c>
      <c r="F2969" s="4" t="n">
        <f aca="false">D2969*E2969</f>
        <v>78.7</v>
      </c>
      <c r="G2969" s="7" t="n">
        <v>3058</v>
      </c>
      <c r="H2969" s="9" t="n">
        <f aca="false">IF(G2969&gt;0,D2969/G2969,"")</f>
        <v>5.48790058862001</v>
      </c>
      <c r="I2969" s="10" t="n">
        <v>46269</v>
      </c>
      <c r="J2969" s="3" t="s">
        <v>2837</v>
      </c>
      <c r="K2969" s="10" t="n">
        <v>45877</v>
      </c>
      <c r="L2969" s="3" t="s">
        <v>16</v>
      </c>
      <c r="M2969" s="7" t="n">
        <v>20000</v>
      </c>
      <c r="N2969" s="8" t="n">
        <v>0.0044</v>
      </c>
      <c r="O2969" s="4" t="n">
        <f aca="false">M2969*N2969</f>
        <v>88</v>
      </c>
    </row>
    <row r="2970" customFormat="false" ht="15" hidden="false" customHeight="false" outlineLevel="0" collapsed="false">
      <c r="A2970" s="0" t="s">
        <v>4255</v>
      </c>
      <c r="C2970" s="0" t="s">
        <v>285</v>
      </c>
      <c r="D2970" s="7" t="n">
        <v>3931</v>
      </c>
      <c r="E2970" s="8" t="n">
        <v>0.02</v>
      </c>
      <c r="F2970" s="4" t="n">
        <f aca="false">D2970*E2970</f>
        <v>78.62</v>
      </c>
      <c r="G2970" s="7" t="n">
        <v>3550</v>
      </c>
      <c r="H2970" s="9" t="n">
        <f aca="false">IF(G2970&gt;0,D2970/G2970,"")</f>
        <v>1.10732394366197</v>
      </c>
      <c r="I2970" s="10" t="n">
        <v>46304</v>
      </c>
      <c r="K2970" s="10"/>
      <c r="M2970" s="7"/>
      <c r="N2970" s="8"/>
      <c r="O2970" s="4"/>
    </row>
    <row r="2971" customFormat="false" ht="15" hidden="false" customHeight="false" outlineLevel="0" collapsed="false">
      <c r="A2971" s="0" t="s">
        <v>4256</v>
      </c>
      <c r="C2971" s="0" t="s">
        <v>32</v>
      </c>
      <c r="D2971" s="7" t="n">
        <v>203</v>
      </c>
      <c r="E2971" s="8" t="n">
        <v>0.38679802955665</v>
      </c>
      <c r="F2971" s="4" t="n">
        <f aca="false">D2971*E2971</f>
        <v>78.52</v>
      </c>
      <c r="G2971" s="7" t="n">
        <v>67</v>
      </c>
      <c r="H2971" s="9" t="n">
        <f aca="false">IF(G2971&gt;0,D2971/G2971,"")</f>
        <v>3.02985074626866</v>
      </c>
      <c r="I2971" s="10" t="n">
        <v>46273</v>
      </c>
      <c r="J2971" s="3" t="s">
        <v>3666</v>
      </c>
      <c r="K2971" s="10" t="n">
        <v>46009</v>
      </c>
      <c r="L2971" s="3" t="s">
        <v>18</v>
      </c>
      <c r="M2971" s="7" t="n">
        <v>230</v>
      </c>
      <c r="N2971" s="8" t="n">
        <v>0.3868</v>
      </c>
      <c r="O2971" s="4" t="n">
        <f aca="false">M2971*N2971</f>
        <v>88.964</v>
      </c>
    </row>
    <row r="2972" customFormat="false" ht="15" hidden="false" customHeight="false" outlineLevel="0" collapsed="false">
      <c r="A2972" s="0" t="s">
        <v>4257</v>
      </c>
      <c r="C2972" s="0" t="s">
        <v>765</v>
      </c>
      <c r="D2972" s="7" t="n">
        <v>1690</v>
      </c>
      <c r="E2972" s="8" t="n">
        <v>0.0463905325443787</v>
      </c>
      <c r="F2972" s="4" t="n">
        <f aca="false">D2972*E2972</f>
        <v>78.4</v>
      </c>
      <c r="G2972" s="7" t="n">
        <v>52</v>
      </c>
      <c r="H2972" s="9" t="n">
        <f aca="false">IF(G2972&gt;0,D2972/G2972,"")</f>
        <v>32.5</v>
      </c>
      <c r="I2972" s="10" t="n">
        <v>46309</v>
      </c>
      <c r="J2972" s="3" t="s">
        <v>3048</v>
      </c>
      <c r="K2972" s="10" t="n">
        <v>44333</v>
      </c>
      <c r="L2972" s="3" t="s">
        <v>16</v>
      </c>
      <c r="M2972" s="7" t="n">
        <v>2500</v>
      </c>
      <c r="N2972" s="8" t="n">
        <v>0.0464</v>
      </c>
      <c r="O2972" s="4" t="n">
        <f aca="false">M2972*N2972</f>
        <v>116</v>
      </c>
    </row>
    <row r="2973" customFormat="false" ht="15" hidden="false" customHeight="false" outlineLevel="0" collapsed="false">
      <c r="A2973" s="0" t="s">
        <v>4258</v>
      </c>
      <c r="C2973" s="0" t="s">
        <v>855</v>
      </c>
      <c r="D2973" s="7" t="n">
        <v>7060</v>
      </c>
      <c r="E2973" s="8" t="n">
        <v>0.011100566572238</v>
      </c>
      <c r="F2973" s="4" t="n">
        <f aca="false">D2973*E2973</f>
        <v>78.37</v>
      </c>
      <c r="G2973" s="7" t="n">
        <v>100</v>
      </c>
      <c r="H2973" s="9" t="n">
        <f aca="false">IF(G2973&gt;0,D2973/G2973,"")</f>
        <v>70.6</v>
      </c>
      <c r="I2973" s="10" t="n">
        <v>46177</v>
      </c>
      <c r="K2973" s="10"/>
      <c r="M2973" s="7"/>
      <c r="N2973" s="8"/>
      <c r="O2973" s="4"/>
    </row>
    <row r="2974" customFormat="false" ht="15" hidden="false" customHeight="false" outlineLevel="0" collapsed="false">
      <c r="A2974" s="0" t="s">
        <v>4259</v>
      </c>
      <c r="C2974" s="0" t="s">
        <v>31</v>
      </c>
      <c r="D2974" s="7" t="n">
        <v>2561</v>
      </c>
      <c r="E2974" s="8" t="n">
        <v>0.0305974228816868</v>
      </c>
      <c r="F2974" s="4" t="n">
        <f aca="false">D2974*E2974</f>
        <v>78.36</v>
      </c>
      <c r="G2974" s="7" t="n">
        <v>103</v>
      </c>
      <c r="H2974" s="9" t="n">
        <f aca="false">IF(G2974&gt;0,D2974/G2974,"")</f>
        <v>24.8640776699029</v>
      </c>
      <c r="I2974" s="10" t="n">
        <v>46290</v>
      </c>
      <c r="J2974" s="3" t="s">
        <v>4260</v>
      </c>
      <c r="K2974" s="10" t="n">
        <v>45659</v>
      </c>
      <c r="L2974" s="3" t="s">
        <v>16</v>
      </c>
      <c r="M2974" s="7" t="n">
        <v>2664</v>
      </c>
      <c r="N2974" s="8" t="n">
        <v>0.0306</v>
      </c>
      <c r="O2974" s="4" t="n">
        <f aca="false">M2974*N2974</f>
        <v>81.5184</v>
      </c>
    </row>
    <row r="2975" customFormat="false" ht="15" hidden="false" customHeight="false" outlineLevel="0" collapsed="false">
      <c r="A2975" s="0" t="s">
        <v>4261</v>
      </c>
      <c r="C2975" s="0" t="s">
        <v>1169</v>
      </c>
      <c r="D2975" s="7" t="n">
        <v>1566</v>
      </c>
      <c r="E2975" s="8" t="n">
        <v>0.05</v>
      </c>
      <c r="F2975" s="4" t="n">
        <f aca="false">D2975*E2975</f>
        <v>78.3</v>
      </c>
      <c r="G2975" s="7" t="n">
        <v>165</v>
      </c>
      <c r="H2975" s="9" t="n">
        <f aca="false">IF(G2975&gt;0,D2975/G2975,"")</f>
        <v>9.49090909090909</v>
      </c>
      <c r="I2975" s="10" t="n">
        <v>46287</v>
      </c>
      <c r="J2975" s="3" t="s">
        <v>4262</v>
      </c>
      <c r="K2975" s="10" t="n">
        <v>45325</v>
      </c>
      <c r="L2975" s="3" t="s">
        <v>21</v>
      </c>
      <c r="M2975" s="7" t="n">
        <v>2000</v>
      </c>
      <c r="N2975" s="8" t="n">
        <v>0.05</v>
      </c>
      <c r="O2975" s="4" t="n">
        <f aca="false">M2975*N2975</f>
        <v>100</v>
      </c>
    </row>
    <row r="2976" customFormat="false" ht="15" hidden="false" customHeight="false" outlineLevel="0" collapsed="false">
      <c r="A2976" s="0" t="s">
        <v>4263</v>
      </c>
      <c r="C2976" s="0" t="s">
        <v>31</v>
      </c>
      <c r="D2976" s="7" t="n">
        <v>860</v>
      </c>
      <c r="E2976" s="8" t="n">
        <v>0.091</v>
      </c>
      <c r="F2976" s="4" t="n">
        <f aca="false">D2976*E2976</f>
        <v>78.26</v>
      </c>
      <c r="G2976" s="7" t="n">
        <v>40</v>
      </c>
      <c r="H2976" s="9" t="n">
        <f aca="false">IF(G2976&gt;0,D2976/G2976,"")</f>
        <v>21.5</v>
      </c>
      <c r="I2976" s="10" t="n">
        <v>46122</v>
      </c>
      <c r="J2976" s="3" t="s">
        <v>4264</v>
      </c>
      <c r="K2976" s="10" t="n">
        <v>45870</v>
      </c>
      <c r="L2976" s="3" t="s">
        <v>25</v>
      </c>
      <c r="M2976" s="7" t="n">
        <v>1000</v>
      </c>
      <c r="N2976" s="8" t="n">
        <v>0.091</v>
      </c>
      <c r="O2976" s="4" t="n">
        <f aca="false">M2976*N2976</f>
        <v>91</v>
      </c>
    </row>
    <row r="2977" customFormat="false" ht="15" hidden="false" customHeight="false" outlineLevel="0" collapsed="false">
      <c r="A2977" s="0" t="s">
        <v>4265</v>
      </c>
      <c r="C2977" s="0" t="s">
        <v>33</v>
      </c>
      <c r="D2977" s="7" t="n">
        <v>40</v>
      </c>
      <c r="E2977" s="8" t="n">
        <v>1.95575</v>
      </c>
      <c r="F2977" s="4" t="n">
        <f aca="false">D2977*E2977</f>
        <v>78.23</v>
      </c>
      <c r="G2977" s="7" t="n">
        <v>9</v>
      </c>
      <c r="H2977" s="9" t="n">
        <f aca="false">IF(G2977&gt;0,D2977/G2977,"")</f>
        <v>4.44444444444445</v>
      </c>
      <c r="I2977" s="10" t="n">
        <v>45974</v>
      </c>
      <c r="J2977" s="3" t="s">
        <v>3781</v>
      </c>
      <c r="K2977" s="10" t="n">
        <v>45958</v>
      </c>
      <c r="L2977" s="3" t="s">
        <v>18</v>
      </c>
      <c r="M2977" s="7" t="n">
        <v>49</v>
      </c>
      <c r="N2977" s="8" t="n">
        <v>1.9558</v>
      </c>
      <c r="O2977" s="4" t="n">
        <f aca="false">M2977*N2977</f>
        <v>95.8342</v>
      </c>
    </row>
    <row r="2978" customFormat="false" ht="15" hidden="false" customHeight="false" outlineLevel="0" collapsed="false">
      <c r="A2978" s="0" t="s">
        <v>4266</v>
      </c>
      <c r="C2978" s="0" t="s">
        <v>36</v>
      </c>
      <c r="D2978" s="7" t="n">
        <v>802</v>
      </c>
      <c r="E2978" s="8" t="n">
        <v>0.0974937655860349</v>
      </c>
      <c r="F2978" s="4" t="n">
        <f aca="false">D2978*E2978</f>
        <v>78.19</v>
      </c>
      <c r="G2978" s="7" t="n">
        <v>200</v>
      </c>
      <c r="H2978" s="9" t="n">
        <f aca="false">IF(G2978&gt;0,D2978/G2978,"")</f>
        <v>4.01</v>
      </c>
      <c r="I2978" s="10" t="n">
        <v>46178</v>
      </c>
      <c r="J2978" s="3" t="s">
        <v>3533</v>
      </c>
      <c r="K2978" s="10" t="n">
        <v>45903</v>
      </c>
      <c r="L2978" s="3" t="s">
        <v>18</v>
      </c>
      <c r="M2978" s="7" t="n">
        <v>1000</v>
      </c>
      <c r="N2978" s="8" t="n">
        <v>0.0975</v>
      </c>
      <c r="O2978" s="4" t="n">
        <f aca="false">M2978*N2978</f>
        <v>97.5</v>
      </c>
    </row>
    <row r="2979" customFormat="false" ht="15" hidden="false" customHeight="false" outlineLevel="0" collapsed="false">
      <c r="A2979" s="0" t="s">
        <v>4267</v>
      </c>
      <c r="C2979" s="0" t="s">
        <v>285</v>
      </c>
      <c r="D2979" s="7" t="n">
        <v>220</v>
      </c>
      <c r="E2979" s="8" t="n">
        <v>0.355</v>
      </c>
      <c r="F2979" s="4" t="n">
        <f aca="false">D2979*E2979</f>
        <v>78.1</v>
      </c>
      <c r="G2979" s="7" t="n">
        <v>1</v>
      </c>
      <c r="H2979" s="9" t="n">
        <f aca="false">IF(G2979&gt;0,D2979/G2979,"")</f>
        <v>220</v>
      </c>
      <c r="I2979" s="10" t="n">
        <v>45957</v>
      </c>
      <c r="K2979" s="10"/>
      <c r="M2979" s="7"/>
      <c r="N2979" s="8"/>
      <c r="O2979" s="4"/>
    </row>
    <row r="2980" customFormat="false" ht="15" hidden="false" customHeight="false" outlineLevel="0" collapsed="false">
      <c r="A2980" s="0" t="s">
        <v>4268</v>
      </c>
      <c r="C2980" s="0" t="s">
        <v>100</v>
      </c>
      <c r="D2980" s="7" t="n">
        <v>97</v>
      </c>
      <c r="E2980" s="8" t="n">
        <v>0.804845360824742</v>
      </c>
      <c r="F2980" s="4" t="n">
        <f aca="false">D2980*E2980</f>
        <v>78.07</v>
      </c>
      <c r="G2980" s="7" t="n">
        <v>8</v>
      </c>
      <c r="H2980" s="9" t="n">
        <f aca="false">IF(G2980&gt;0,D2980/G2980,"")</f>
        <v>12.125</v>
      </c>
      <c r="I2980" s="10" t="n">
        <v>46268</v>
      </c>
      <c r="J2980" s="3" t="s">
        <v>1371</v>
      </c>
      <c r="K2980" s="10" t="n">
        <v>45509</v>
      </c>
      <c r="L2980" s="3" t="s">
        <v>16</v>
      </c>
      <c r="M2980" s="7" t="n">
        <v>100</v>
      </c>
      <c r="N2980" s="8" t="n">
        <v>0.8048</v>
      </c>
      <c r="O2980" s="4" t="n">
        <f aca="false">M2980*N2980</f>
        <v>80.48</v>
      </c>
    </row>
    <row r="2981" customFormat="false" ht="15" hidden="false" customHeight="false" outlineLevel="0" collapsed="false">
      <c r="A2981" s="0" t="s">
        <v>4269</v>
      </c>
      <c r="C2981" s="0" t="s">
        <v>36</v>
      </c>
      <c r="D2981" s="7" t="n">
        <v>523</v>
      </c>
      <c r="E2981" s="8" t="n">
        <v>0.149082217973231</v>
      </c>
      <c r="F2981" s="4" t="n">
        <f aca="false">D2981*E2981</f>
        <v>77.97</v>
      </c>
      <c r="G2981" s="7" t="n">
        <v>355</v>
      </c>
      <c r="H2981" s="9" t="n">
        <f aca="false">IF(G2981&gt;0,D2981/G2981,"")</f>
        <v>1.47323943661972</v>
      </c>
      <c r="I2981" s="10" t="n">
        <v>46240</v>
      </c>
      <c r="J2981" s="3" t="s">
        <v>4270</v>
      </c>
      <c r="K2981" s="10" t="n">
        <v>46092</v>
      </c>
      <c r="L2981" s="3" t="s">
        <v>18</v>
      </c>
      <c r="M2981" s="7" t="n">
        <v>775</v>
      </c>
      <c r="N2981" s="8" t="n">
        <v>0.1491</v>
      </c>
      <c r="O2981" s="4" t="n">
        <f aca="false">M2981*N2981</f>
        <v>115.5525</v>
      </c>
    </row>
    <row r="2982" customFormat="false" ht="15" hidden="false" customHeight="false" outlineLevel="0" collapsed="false">
      <c r="A2982" s="0" t="s">
        <v>4271</v>
      </c>
      <c r="C2982" s="0" t="s">
        <v>37</v>
      </c>
      <c r="D2982" s="7" t="n">
        <v>2101</v>
      </c>
      <c r="E2982" s="8" t="n">
        <v>0.0370871013802951</v>
      </c>
      <c r="F2982" s="4" t="n">
        <f aca="false">D2982*E2982</f>
        <v>77.92</v>
      </c>
      <c r="G2982" s="7" t="n">
        <v>96</v>
      </c>
      <c r="H2982" s="9" t="n">
        <f aca="false">IF(G2982&gt;0,D2982/G2982,"")</f>
        <v>21.8854166666667</v>
      </c>
      <c r="I2982" s="10" t="n">
        <v>46289</v>
      </c>
      <c r="J2982" s="3" t="s">
        <v>903</v>
      </c>
      <c r="K2982" s="10" t="n">
        <v>45098</v>
      </c>
      <c r="L2982" s="3" t="s">
        <v>15</v>
      </c>
      <c r="M2982" s="7" t="n">
        <v>6000</v>
      </c>
      <c r="N2982" s="8" t="n">
        <v>0.03708</v>
      </c>
      <c r="O2982" s="4" t="n">
        <f aca="false">M2982*N2982</f>
        <v>222.48</v>
      </c>
    </row>
    <row r="2983" customFormat="false" ht="15" hidden="false" customHeight="false" outlineLevel="0" collapsed="false">
      <c r="A2983" s="0" t="s">
        <v>4272</v>
      </c>
      <c r="C2983" s="0" t="s">
        <v>32</v>
      </c>
      <c r="D2983" s="7" t="n">
        <v>135</v>
      </c>
      <c r="E2983" s="8" t="n">
        <v>0.576148148148148</v>
      </c>
      <c r="F2983" s="4" t="n">
        <f aca="false">D2983*E2983</f>
        <v>77.78</v>
      </c>
      <c r="G2983" s="7" t="n">
        <v>2</v>
      </c>
      <c r="H2983" s="9" t="n">
        <f aca="false">IF(G2983&gt;0,D2983/G2983,"")</f>
        <v>67.5</v>
      </c>
      <c r="I2983" s="10" t="n">
        <v>46252</v>
      </c>
      <c r="J2983" s="3" t="s">
        <v>4273</v>
      </c>
      <c r="K2983" s="10" t="n">
        <v>45531</v>
      </c>
      <c r="L2983" s="3" t="s">
        <v>18</v>
      </c>
      <c r="M2983" s="7" t="n">
        <v>150</v>
      </c>
      <c r="N2983" s="8" t="n">
        <v>0.5762</v>
      </c>
      <c r="O2983" s="4" t="n">
        <f aca="false">M2983*N2983</f>
        <v>86.43</v>
      </c>
    </row>
    <row r="2984" customFormat="false" ht="15" hidden="false" customHeight="false" outlineLevel="0" collapsed="false">
      <c r="A2984" s="0" t="s">
        <v>4274</v>
      </c>
      <c r="C2984" s="0" t="s">
        <v>39</v>
      </c>
      <c r="D2984" s="7" t="n">
        <v>392</v>
      </c>
      <c r="E2984" s="8" t="n">
        <v>0.198418367346939</v>
      </c>
      <c r="F2984" s="4" t="n">
        <f aca="false">D2984*E2984</f>
        <v>77.78</v>
      </c>
      <c r="G2984" s="7" t="n">
        <v>304</v>
      </c>
      <c r="H2984" s="9" t="n">
        <f aca="false">IF(G2984&gt;0,D2984/G2984,"")</f>
        <v>1.28947368421053</v>
      </c>
      <c r="I2984" s="10" t="n">
        <v>46171</v>
      </c>
      <c r="J2984" s="3" t="s">
        <v>3781</v>
      </c>
      <c r="K2984" s="10" t="n">
        <v>45958</v>
      </c>
      <c r="L2984" s="3" t="s">
        <v>18</v>
      </c>
      <c r="M2984" s="7" t="n">
        <v>430</v>
      </c>
      <c r="N2984" s="8" t="n">
        <v>0.2142</v>
      </c>
      <c r="O2984" s="4" t="n">
        <f aca="false">M2984*N2984</f>
        <v>92.106</v>
      </c>
    </row>
    <row r="2985" customFormat="false" ht="15" hidden="false" customHeight="false" outlineLevel="0" collapsed="false">
      <c r="A2985" s="0" t="s">
        <v>4275</v>
      </c>
      <c r="C2985" s="0" t="s">
        <v>41</v>
      </c>
      <c r="D2985" s="7" t="n">
        <v>14393</v>
      </c>
      <c r="E2985" s="8" t="n">
        <v>0.00539984714791913</v>
      </c>
      <c r="F2985" s="4" t="n">
        <f aca="false">D2985*E2985</f>
        <v>77.72</v>
      </c>
      <c r="G2985" s="7" t="n">
        <v>9240</v>
      </c>
      <c r="H2985" s="9" t="n">
        <f aca="false">IF(G2985&gt;0,D2985/G2985,"")</f>
        <v>1.55768398268398</v>
      </c>
      <c r="I2985" s="10" t="n">
        <v>46282</v>
      </c>
      <c r="J2985" s="3" t="s">
        <v>1343</v>
      </c>
      <c r="K2985" s="10" t="n">
        <v>45583</v>
      </c>
      <c r="L2985" s="3" t="s">
        <v>16</v>
      </c>
      <c r="M2985" s="7" t="n">
        <v>31238</v>
      </c>
      <c r="N2985" s="8" t="n">
        <v>0.0054</v>
      </c>
      <c r="O2985" s="4" t="n">
        <f aca="false">M2985*N2985</f>
        <v>168.6852</v>
      </c>
    </row>
    <row r="2986" customFormat="false" ht="15" hidden="false" customHeight="false" outlineLevel="0" collapsed="false">
      <c r="A2986" s="0" t="s">
        <v>4276</v>
      </c>
      <c r="C2986" s="0" t="s">
        <v>285</v>
      </c>
      <c r="D2986" s="7" t="n">
        <v>21556</v>
      </c>
      <c r="E2986" s="8" t="n">
        <v>0.0036022453145296</v>
      </c>
      <c r="F2986" s="4" t="n">
        <f aca="false">D2986*E2986</f>
        <v>77.65</v>
      </c>
      <c r="G2986" s="7" t="n">
        <v>1280</v>
      </c>
      <c r="H2986" s="9" t="n">
        <f aca="false">IF(G2986&gt;0,D2986/G2986,"")</f>
        <v>16.840625</v>
      </c>
      <c r="I2986" s="10" t="n">
        <v>46240</v>
      </c>
      <c r="K2986" s="10"/>
      <c r="M2986" s="7"/>
      <c r="N2986" s="8"/>
      <c r="O2986" s="4"/>
    </row>
    <row r="2987" customFormat="false" ht="15" hidden="false" customHeight="false" outlineLevel="0" collapsed="false">
      <c r="A2987" s="0" t="s">
        <v>4277</v>
      </c>
      <c r="C2987" s="0" t="s">
        <v>34</v>
      </c>
      <c r="D2987" s="7" t="n">
        <v>4685</v>
      </c>
      <c r="E2987" s="8" t="n">
        <v>0.0165635005336179</v>
      </c>
      <c r="F2987" s="4" t="n">
        <f aca="false">D2987*E2987</f>
        <v>77.6</v>
      </c>
      <c r="G2987" s="7" t="n">
        <v>4395</v>
      </c>
      <c r="H2987" s="9" t="n">
        <f aca="false">IF(G2987&gt;0,D2987/G2987,"")</f>
        <v>1.06598407281001</v>
      </c>
      <c r="I2987" s="10" t="n">
        <v>46309</v>
      </c>
      <c r="J2987" s="3" t="s">
        <v>1810</v>
      </c>
      <c r="K2987" s="10" t="n">
        <v>44942</v>
      </c>
      <c r="L2987" s="3" t="s">
        <v>14</v>
      </c>
      <c r="M2987" s="7" t="n">
        <v>2500</v>
      </c>
      <c r="N2987" s="8" t="n">
        <v>0.056</v>
      </c>
      <c r="O2987" s="4" t="n">
        <f aca="false">M2987*N2987</f>
        <v>140</v>
      </c>
    </row>
    <row r="2988" customFormat="false" ht="15" hidden="false" customHeight="false" outlineLevel="0" collapsed="false">
      <c r="A2988" s="0" t="s">
        <v>4278</v>
      </c>
      <c r="C2988" s="0" t="s">
        <v>1039</v>
      </c>
      <c r="D2988" s="7" t="n">
        <v>442</v>
      </c>
      <c r="E2988" s="8" t="n">
        <v>0.175475113122172</v>
      </c>
      <c r="F2988" s="4" t="n">
        <f aca="false">D2988*E2988</f>
        <v>77.56</v>
      </c>
      <c r="G2988" s="7" t="n">
        <v>8</v>
      </c>
      <c r="H2988" s="9" t="n">
        <f aca="false">IF(G2988&gt;0,D2988/G2988,"")</f>
        <v>55.25</v>
      </c>
      <c r="I2988" s="10" t="n">
        <v>46241</v>
      </c>
      <c r="K2988" s="10"/>
      <c r="M2988" s="7"/>
      <c r="N2988" s="8"/>
      <c r="O2988" s="4"/>
    </row>
    <row r="2989" customFormat="false" ht="15" hidden="false" customHeight="false" outlineLevel="0" collapsed="false">
      <c r="A2989" s="0" t="s">
        <v>4279</v>
      </c>
      <c r="C2989" s="0" t="s">
        <v>31</v>
      </c>
      <c r="D2989" s="7" t="n">
        <v>12918</v>
      </c>
      <c r="E2989" s="8" t="n">
        <v>0.00600092893636786</v>
      </c>
      <c r="F2989" s="4" t="n">
        <f aca="false">D2989*E2989</f>
        <v>77.52</v>
      </c>
      <c r="G2989" s="7" t="n">
        <v>11176</v>
      </c>
      <c r="H2989" s="9" t="n">
        <f aca="false">IF(G2989&gt;0,D2989/G2989,"")</f>
        <v>1.15586972083035</v>
      </c>
      <c r="I2989" s="10" t="n">
        <v>46286</v>
      </c>
      <c r="J2989" s="3" t="s">
        <v>1140</v>
      </c>
      <c r="K2989" s="10" t="n">
        <v>45614</v>
      </c>
      <c r="L2989" s="3" t="s">
        <v>15</v>
      </c>
      <c r="M2989" s="7" t="n">
        <v>33400</v>
      </c>
      <c r="N2989" s="8" t="n">
        <v>0.006</v>
      </c>
      <c r="O2989" s="4" t="n">
        <f aca="false">M2989*N2989</f>
        <v>200.4</v>
      </c>
    </row>
    <row r="2990" customFormat="false" ht="15" hidden="false" customHeight="false" outlineLevel="0" collapsed="false">
      <c r="A2990" s="0" t="s">
        <v>4280</v>
      </c>
      <c r="C2990" s="0" t="s">
        <v>36</v>
      </c>
      <c r="D2990" s="7" t="n">
        <v>5000</v>
      </c>
      <c r="E2990" s="8" t="n">
        <v>0.0155</v>
      </c>
      <c r="F2990" s="4" t="n">
        <f aca="false">D2990*E2990</f>
        <v>77.5</v>
      </c>
      <c r="G2990" s="7" t="n">
        <v>287</v>
      </c>
      <c r="H2990" s="9" t="n">
        <f aca="false">IF(G2990&gt;0,D2990/G2990,"")</f>
        <v>17.4216027874564</v>
      </c>
      <c r="I2990" s="10" t="n">
        <v>46275</v>
      </c>
      <c r="J2990" s="3" t="s">
        <v>568</v>
      </c>
      <c r="K2990" s="10" t="n">
        <v>46268</v>
      </c>
      <c r="L2990" s="3" t="s">
        <v>14</v>
      </c>
      <c r="M2990" s="7" t="n">
        <v>5000</v>
      </c>
      <c r="N2990" s="8" t="n">
        <v>0.0155</v>
      </c>
      <c r="O2990" s="4" t="n">
        <f aca="false">M2990*N2990</f>
        <v>77.5</v>
      </c>
    </row>
    <row r="2991" customFormat="false" ht="15" hidden="false" customHeight="false" outlineLevel="0" collapsed="false">
      <c r="A2991" s="0" t="s">
        <v>4281</v>
      </c>
      <c r="C2991" s="0" t="s">
        <v>1169</v>
      </c>
      <c r="D2991" s="7" t="n">
        <v>50</v>
      </c>
      <c r="E2991" s="8" t="n">
        <v>1.55</v>
      </c>
      <c r="F2991" s="4" t="n">
        <f aca="false">D2991*E2991</f>
        <v>77.5</v>
      </c>
      <c r="G2991" s="7" t="n">
        <v>15</v>
      </c>
      <c r="H2991" s="9" t="n">
        <f aca="false">IF(G2991&gt;0,D2991/G2991,"")</f>
        <v>3.33333333333333</v>
      </c>
      <c r="I2991" s="10" t="n">
        <v>46265</v>
      </c>
      <c r="J2991" s="3" t="s">
        <v>3673</v>
      </c>
      <c r="K2991" s="10" t="n">
        <v>46210</v>
      </c>
      <c r="L2991" s="3" t="s">
        <v>21</v>
      </c>
      <c r="M2991" s="7" t="n">
        <v>65</v>
      </c>
      <c r="N2991" s="8" t="n">
        <v>1.55</v>
      </c>
      <c r="O2991" s="4" t="n">
        <f aca="false">M2991*N2991</f>
        <v>100.75</v>
      </c>
    </row>
    <row r="2992" customFormat="false" ht="15" hidden="false" customHeight="false" outlineLevel="0" collapsed="false">
      <c r="A2992" s="0" t="s">
        <v>4282</v>
      </c>
      <c r="C2992" s="0" t="s">
        <v>31</v>
      </c>
      <c r="D2992" s="7" t="n">
        <v>1912</v>
      </c>
      <c r="E2992" s="8" t="n">
        <v>0.0405230125523013</v>
      </c>
      <c r="F2992" s="4" t="n">
        <f aca="false">D2992*E2992</f>
        <v>77.48</v>
      </c>
      <c r="G2992" s="7" t="n">
        <v>1020</v>
      </c>
      <c r="H2992" s="9" t="n">
        <f aca="false">IF(G2992&gt;0,D2992/G2992,"")</f>
        <v>1.87450980392157</v>
      </c>
      <c r="I2992" s="10" t="n">
        <v>46304</v>
      </c>
      <c r="J2992" s="3" t="s">
        <v>4283</v>
      </c>
      <c r="K2992" s="10" t="n">
        <v>46276</v>
      </c>
      <c r="L2992" s="3" t="s">
        <v>16</v>
      </c>
      <c r="M2992" s="7" t="n">
        <v>2909</v>
      </c>
      <c r="N2992" s="8" t="n">
        <v>0.0404</v>
      </c>
      <c r="O2992" s="4" t="n">
        <f aca="false">M2992*N2992</f>
        <v>117.5236</v>
      </c>
    </row>
    <row r="2993" customFormat="false" ht="15" hidden="false" customHeight="false" outlineLevel="0" collapsed="false">
      <c r="A2993" s="0" t="s">
        <v>4284</v>
      </c>
      <c r="C2993" s="0" t="s">
        <v>370</v>
      </c>
      <c r="D2993" s="7" t="n">
        <v>149</v>
      </c>
      <c r="E2993" s="8" t="n">
        <v>0.52</v>
      </c>
      <c r="F2993" s="4" t="n">
        <f aca="false">D2993*E2993</f>
        <v>77.48</v>
      </c>
      <c r="G2993" s="7" t="n">
        <v>10</v>
      </c>
      <c r="H2993" s="9" t="n">
        <f aca="false">IF(G2993&gt;0,D2993/G2993,"")</f>
        <v>14.9</v>
      </c>
      <c r="I2993" s="10" t="n">
        <v>46212</v>
      </c>
      <c r="K2993" s="10"/>
      <c r="M2993" s="7"/>
      <c r="N2993" s="8"/>
      <c r="O2993" s="4"/>
    </row>
    <row r="2994" customFormat="false" ht="15" hidden="false" customHeight="false" outlineLevel="0" collapsed="false">
      <c r="A2994" s="0" t="s">
        <v>4285</v>
      </c>
      <c r="C2994" s="0" t="s">
        <v>1169</v>
      </c>
      <c r="D2994" s="7" t="n">
        <v>524</v>
      </c>
      <c r="E2994" s="8" t="n">
        <v>0.147862595419847</v>
      </c>
      <c r="F2994" s="4" t="n">
        <f aca="false">D2994*E2994</f>
        <v>77.48</v>
      </c>
      <c r="G2994" s="7" t="n">
        <v>64</v>
      </c>
      <c r="H2994" s="9" t="n">
        <f aca="false">IF(G2994&gt;0,D2994/G2994,"")</f>
        <v>8.1875</v>
      </c>
      <c r="I2994" s="10" t="n">
        <v>46294</v>
      </c>
      <c r="J2994" s="3" t="s">
        <v>2221</v>
      </c>
      <c r="K2994" s="10" t="n">
        <v>45770</v>
      </c>
      <c r="L2994" s="3" t="s">
        <v>2203</v>
      </c>
      <c r="M2994" s="7" t="n">
        <v>100</v>
      </c>
      <c r="N2994" s="8" t="n">
        <v>0.5925</v>
      </c>
      <c r="O2994" s="4" t="n">
        <f aca="false">M2994*N2994</f>
        <v>59.25</v>
      </c>
    </row>
    <row r="2995" customFormat="false" ht="15" hidden="false" customHeight="false" outlineLevel="0" collapsed="false">
      <c r="A2995" s="0" t="s">
        <v>4286</v>
      </c>
      <c r="C2995" s="0" t="s">
        <v>4136</v>
      </c>
      <c r="D2995" s="7" t="n">
        <v>1992</v>
      </c>
      <c r="E2995" s="8" t="n">
        <v>0.038890562248996</v>
      </c>
      <c r="F2995" s="4" t="n">
        <f aca="false">D2995*E2995</f>
        <v>77.47</v>
      </c>
      <c r="G2995" s="7" t="n">
        <v>16</v>
      </c>
      <c r="H2995" s="9" t="n">
        <f aca="false">IF(G2995&gt;0,D2995/G2995,"")</f>
        <v>124.5</v>
      </c>
      <c r="I2995" s="10" t="n">
        <v>46233</v>
      </c>
      <c r="K2995" s="10"/>
      <c r="M2995" s="7"/>
      <c r="N2995" s="8"/>
      <c r="O2995" s="4"/>
    </row>
    <row r="2996" customFormat="false" ht="15" hidden="false" customHeight="false" outlineLevel="0" collapsed="false">
      <c r="A2996" s="0" t="s">
        <v>4287</v>
      </c>
      <c r="C2996" s="0" t="s">
        <v>34</v>
      </c>
      <c r="D2996" s="7" t="n">
        <v>34</v>
      </c>
      <c r="E2996" s="8" t="n">
        <v>2.27823529411765</v>
      </c>
      <c r="F2996" s="4" t="n">
        <f aca="false">D2996*E2996</f>
        <v>77.46</v>
      </c>
      <c r="G2996" s="7" t="n">
        <v>30</v>
      </c>
      <c r="H2996" s="9" t="n">
        <f aca="false">IF(G2996&gt;0,D2996/G2996,"")</f>
        <v>1.13333333333333</v>
      </c>
      <c r="I2996" s="10" t="n">
        <v>46050</v>
      </c>
      <c r="J2996" s="3" t="s">
        <v>1373</v>
      </c>
      <c r="K2996" s="10" t="n">
        <v>44839</v>
      </c>
      <c r="L2996" s="3" t="s">
        <v>25</v>
      </c>
      <c r="M2996" s="7" t="n">
        <v>100</v>
      </c>
      <c r="N2996" s="8" t="n">
        <v>2.278</v>
      </c>
      <c r="O2996" s="4" t="n">
        <f aca="false">M2996*N2996</f>
        <v>227.8</v>
      </c>
    </row>
    <row r="2997" customFormat="false" ht="15" hidden="false" customHeight="false" outlineLevel="0" collapsed="false">
      <c r="A2997" s="0" t="s">
        <v>4288</v>
      </c>
      <c r="C2997" s="0" t="s">
        <v>31</v>
      </c>
      <c r="D2997" s="7" t="n">
        <v>6092</v>
      </c>
      <c r="E2997" s="8" t="n">
        <v>0.0127002626395273</v>
      </c>
      <c r="F2997" s="4" t="n">
        <f aca="false">D2997*E2997</f>
        <v>77.37</v>
      </c>
      <c r="G2997" s="7" t="n">
        <v>11</v>
      </c>
      <c r="H2997" s="9" t="n">
        <f aca="false">IF(G2997&gt;0,D2997/G2997,"")</f>
        <v>553.818181818182</v>
      </c>
      <c r="I2997" s="10" t="n">
        <v>46092</v>
      </c>
      <c r="J2997" s="3" t="s">
        <v>2914</v>
      </c>
      <c r="K2997" s="10" t="n">
        <v>45562</v>
      </c>
      <c r="L2997" s="3" t="s">
        <v>16</v>
      </c>
      <c r="M2997" s="7" t="n">
        <v>6181</v>
      </c>
      <c r="N2997" s="8" t="n">
        <v>0.0127</v>
      </c>
      <c r="O2997" s="4" t="n">
        <f aca="false">M2997*N2997</f>
        <v>78.4987</v>
      </c>
    </row>
    <row r="2998" customFormat="false" ht="15" hidden="false" customHeight="false" outlineLevel="0" collapsed="false">
      <c r="A2998" s="0" t="s">
        <v>4289</v>
      </c>
      <c r="C2998" s="0" t="s">
        <v>38</v>
      </c>
      <c r="D2998" s="7" t="n">
        <v>3138</v>
      </c>
      <c r="E2998" s="8" t="n">
        <v>0.0246367112810708</v>
      </c>
      <c r="F2998" s="4" t="n">
        <f aca="false">D2998*E2998</f>
        <v>77.31</v>
      </c>
      <c r="G2998" s="7" t="n">
        <v>654</v>
      </c>
      <c r="H2998" s="9" t="n">
        <f aca="false">IF(G2998&gt;0,D2998/G2998,"")</f>
        <v>4.79816513761468</v>
      </c>
      <c r="I2998" s="10" t="n">
        <v>46265</v>
      </c>
      <c r="J2998" s="3" t="s">
        <v>1021</v>
      </c>
      <c r="K2998" s="10" t="n">
        <v>45779</v>
      </c>
      <c r="L2998" s="3" t="s">
        <v>18</v>
      </c>
      <c r="M2998" s="7" t="n">
        <v>4100</v>
      </c>
      <c r="N2998" s="8" t="n">
        <v>0.0246</v>
      </c>
      <c r="O2998" s="4" t="n">
        <f aca="false">M2998*N2998</f>
        <v>100.86</v>
      </c>
    </row>
    <row r="2999" customFormat="false" ht="15" hidden="false" customHeight="false" outlineLevel="0" collapsed="false">
      <c r="A2999" s="0" t="s">
        <v>4290</v>
      </c>
      <c r="C2999" s="0" t="s">
        <v>79</v>
      </c>
      <c r="D2999" s="7" t="n">
        <v>2259</v>
      </c>
      <c r="E2999" s="8" t="n">
        <v>0.0342009738822488</v>
      </c>
      <c r="F2999" s="4" t="n">
        <f aca="false">D2999*E2999</f>
        <v>77.26</v>
      </c>
      <c r="G2999" s="7" t="n">
        <v>1225</v>
      </c>
      <c r="H2999" s="9" t="n">
        <f aca="false">IF(G2999&gt;0,D2999/G2999,"")</f>
        <v>1.84408163265306</v>
      </c>
      <c r="I2999" s="10" t="n">
        <v>46281</v>
      </c>
      <c r="J2999" s="3" t="s">
        <v>536</v>
      </c>
      <c r="K2999" s="10" t="n">
        <v>45531</v>
      </c>
      <c r="L2999" s="3" t="s">
        <v>16</v>
      </c>
      <c r="M2999" s="7" t="n">
        <v>5000</v>
      </c>
      <c r="N2999" s="8" t="n">
        <v>0.0342</v>
      </c>
      <c r="O2999" s="4" t="n">
        <f aca="false">M2999*N2999</f>
        <v>171</v>
      </c>
    </row>
    <row r="3000" customFormat="false" ht="15" hidden="false" customHeight="false" outlineLevel="0" collapsed="false">
      <c r="A3000" s="0" t="s">
        <v>4291</v>
      </c>
      <c r="C3000" s="0" t="s">
        <v>33</v>
      </c>
      <c r="D3000" s="7" t="n">
        <v>108</v>
      </c>
      <c r="E3000" s="8" t="n">
        <v>0.715185185185185</v>
      </c>
      <c r="F3000" s="4" t="n">
        <f aca="false">D3000*E3000</f>
        <v>77.24</v>
      </c>
      <c r="G3000" s="7" t="n">
        <v>22</v>
      </c>
      <c r="H3000" s="9" t="n">
        <f aca="false">IF(G3000&gt;0,D3000/G3000,"")</f>
        <v>4.90909090909091</v>
      </c>
      <c r="I3000" s="10" t="n">
        <v>46253</v>
      </c>
      <c r="J3000" s="3" t="s">
        <v>4292</v>
      </c>
      <c r="K3000" s="10" t="n">
        <v>45917</v>
      </c>
      <c r="L3000" s="3" t="s">
        <v>18</v>
      </c>
      <c r="M3000" s="7" t="n">
        <v>130</v>
      </c>
      <c r="N3000" s="8" t="n">
        <v>0.7152</v>
      </c>
      <c r="O3000" s="4" t="n">
        <f aca="false">M3000*N3000</f>
        <v>92.976</v>
      </c>
    </row>
    <row r="3001" customFormat="false" ht="15" hidden="false" customHeight="false" outlineLevel="0" collapsed="false">
      <c r="A3001" s="0" t="s">
        <v>4293</v>
      </c>
      <c r="C3001" s="0" t="s">
        <v>61</v>
      </c>
      <c r="D3001" s="7" t="n">
        <v>30</v>
      </c>
      <c r="E3001" s="8" t="n">
        <v>2.57366666666667</v>
      </c>
      <c r="F3001" s="4" t="n">
        <f aca="false">D3001*E3001</f>
        <v>77.21</v>
      </c>
      <c r="G3001" s="7" t="n">
        <v>10</v>
      </c>
      <c r="H3001" s="9" t="n">
        <f aca="false">IF(G3001&gt;0,D3001/G3001,"")</f>
        <v>3</v>
      </c>
      <c r="I3001" s="10" t="n">
        <v>46114</v>
      </c>
      <c r="J3001" s="3" t="s">
        <v>1423</v>
      </c>
      <c r="K3001" s="10" t="n">
        <v>45786</v>
      </c>
      <c r="L3001" s="3" t="s">
        <v>23</v>
      </c>
      <c r="M3001" s="7" t="n">
        <v>150</v>
      </c>
      <c r="N3001" s="8" t="n">
        <v>2.5737</v>
      </c>
      <c r="O3001" s="4" t="n">
        <f aca="false">M3001*N3001</f>
        <v>386.055</v>
      </c>
    </row>
    <row r="3002" customFormat="false" ht="15" hidden="false" customHeight="false" outlineLevel="0" collapsed="false">
      <c r="A3002" s="0" t="s">
        <v>4294</v>
      </c>
      <c r="C3002" s="0" t="s">
        <v>32</v>
      </c>
      <c r="D3002" s="7" t="n">
        <v>3940</v>
      </c>
      <c r="E3002" s="8" t="n">
        <v>0.0195939086294416</v>
      </c>
      <c r="F3002" s="4" t="n">
        <f aca="false">D3002*E3002</f>
        <v>77.2</v>
      </c>
      <c r="G3002" s="7" t="n">
        <v>440</v>
      </c>
      <c r="H3002" s="9" t="n">
        <f aca="false">IF(G3002&gt;0,D3002/G3002,"")</f>
        <v>8.95454545454546</v>
      </c>
      <c r="I3002" s="10" t="n">
        <v>46280</v>
      </c>
      <c r="J3002" s="3" t="s">
        <v>4295</v>
      </c>
      <c r="K3002" s="10" t="n">
        <v>44315</v>
      </c>
      <c r="L3002" s="3" t="s">
        <v>19</v>
      </c>
      <c r="M3002" s="7" t="n">
        <v>5000</v>
      </c>
      <c r="N3002" s="8" t="n">
        <v>0.0196</v>
      </c>
      <c r="O3002" s="4" t="n">
        <f aca="false">M3002*N3002</f>
        <v>98</v>
      </c>
    </row>
    <row r="3003" customFormat="false" ht="15" hidden="false" customHeight="false" outlineLevel="0" collapsed="false">
      <c r="A3003" s="0" t="s">
        <v>4296</v>
      </c>
      <c r="C3003" s="0" t="s">
        <v>38</v>
      </c>
      <c r="D3003" s="7" t="n">
        <v>3605</v>
      </c>
      <c r="E3003" s="8" t="n">
        <v>0.0214008321775312</v>
      </c>
      <c r="F3003" s="4" t="n">
        <f aca="false">D3003*E3003</f>
        <v>77.15</v>
      </c>
      <c r="G3003" s="7" t="n">
        <v>1190</v>
      </c>
      <c r="H3003" s="9" t="n">
        <f aca="false">IF(G3003&gt;0,D3003/G3003,"")</f>
        <v>3.02941176470588</v>
      </c>
      <c r="I3003" s="10" t="n">
        <v>46265</v>
      </c>
      <c r="J3003" s="3" t="s">
        <v>3625</v>
      </c>
      <c r="K3003" s="10" t="n">
        <v>45896</v>
      </c>
      <c r="L3003" s="3" t="s">
        <v>18</v>
      </c>
      <c r="M3003" s="7" t="n">
        <v>4700</v>
      </c>
      <c r="N3003" s="8" t="n">
        <v>0.0214</v>
      </c>
      <c r="O3003" s="4" t="n">
        <f aca="false">M3003*N3003</f>
        <v>100.58</v>
      </c>
    </row>
    <row r="3004" customFormat="false" ht="15" hidden="false" customHeight="false" outlineLevel="0" collapsed="false">
      <c r="A3004" s="0" t="s">
        <v>4297</v>
      </c>
      <c r="D3004" s="7" t="n">
        <v>16</v>
      </c>
      <c r="E3004" s="8" t="n">
        <v>4.82</v>
      </c>
      <c r="F3004" s="4" t="n">
        <f aca="false">D3004*E3004</f>
        <v>77.12</v>
      </c>
      <c r="G3004" s="7" t="n">
        <v>4</v>
      </c>
      <c r="H3004" s="9" t="n">
        <f aca="false">IF(G3004&gt;0,D3004/G3004,"")</f>
        <v>4</v>
      </c>
      <c r="I3004" s="10" t="n">
        <v>46119</v>
      </c>
      <c r="J3004" s="3" t="s">
        <v>4298</v>
      </c>
      <c r="K3004" s="10" t="n">
        <v>44709</v>
      </c>
      <c r="L3004" s="3" t="s">
        <v>14</v>
      </c>
      <c r="M3004" s="7" t="n">
        <v>20</v>
      </c>
      <c r="N3004" s="8" t="n">
        <v>4.82</v>
      </c>
      <c r="O3004" s="4" t="n">
        <f aca="false">M3004*N3004</f>
        <v>96.4</v>
      </c>
    </row>
    <row r="3005" customFormat="false" ht="15" hidden="false" customHeight="false" outlineLevel="0" collapsed="false">
      <c r="A3005" s="0" t="s">
        <v>4299</v>
      </c>
      <c r="C3005" s="0" t="s">
        <v>979</v>
      </c>
      <c r="D3005" s="7" t="n">
        <v>550</v>
      </c>
      <c r="E3005" s="8" t="n">
        <v>0.140163636363636</v>
      </c>
      <c r="F3005" s="4" t="n">
        <f aca="false">D3005*E3005</f>
        <v>77.09</v>
      </c>
      <c r="G3005" s="7" t="n">
        <v>242</v>
      </c>
      <c r="H3005" s="9" t="n">
        <f aca="false">IF(G3005&gt;0,D3005/G3005,"")</f>
        <v>2.27272727272727</v>
      </c>
      <c r="I3005" s="10" t="n">
        <v>46219</v>
      </c>
      <c r="J3005" s="3" t="s">
        <v>4300</v>
      </c>
      <c r="K3005" s="10" t="n">
        <v>46169</v>
      </c>
      <c r="L3005" s="3" t="s">
        <v>18</v>
      </c>
      <c r="M3005" s="7" t="n">
        <v>330</v>
      </c>
      <c r="N3005" s="8" t="n">
        <v>0.1409</v>
      </c>
      <c r="O3005" s="4" t="n">
        <f aca="false">M3005*N3005</f>
        <v>46.497</v>
      </c>
    </row>
    <row r="3006" customFormat="false" ht="15" hidden="false" customHeight="false" outlineLevel="0" collapsed="false">
      <c r="A3006" s="0" t="s">
        <v>4301</v>
      </c>
      <c r="C3006" s="0" t="s">
        <v>31</v>
      </c>
      <c r="D3006" s="7" t="n">
        <v>11894</v>
      </c>
      <c r="E3006" s="8" t="n">
        <v>0.00647721540272406</v>
      </c>
      <c r="F3006" s="4" t="n">
        <f aca="false">D3006*E3006</f>
        <v>77.04</v>
      </c>
      <c r="G3006" s="7" t="n">
        <v>948</v>
      </c>
      <c r="H3006" s="9" t="n">
        <f aca="false">IF(G3006&gt;0,D3006/G3006,"")</f>
        <v>12.5464135021097</v>
      </c>
      <c r="I3006" s="10" t="n">
        <v>46276</v>
      </c>
      <c r="J3006" s="3" t="s">
        <v>4302</v>
      </c>
      <c r="K3006" s="10" t="n">
        <v>44513</v>
      </c>
      <c r="L3006" s="3" t="s">
        <v>16</v>
      </c>
      <c r="M3006" s="7" t="n">
        <v>23511</v>
      </c>
      <c r="N3006" s="8" t="n">
        <v>0.0064</v>
      </c>
      <c r="O3006" s="4" t="n">
        <v>150.4</v>
      </c>
    </row>
    <row r="3007" customFormat="false" ht="15" hidden="false" customHeight="false" outlineLevel="0" collapsed="false">
      <c r="A3007" s="0" t="s">
        <v>4303</v>
      </c>
      <c r="C3007" s="0" t="s">
        <v>875</v>
      </c>
      <c r="D3007" s="7" t="n">
        <v>43</v>
      </c>
      <c r="E3007" s="8" t="n">
        <v>1.79</v>
      </c>
      <c r="F3007" s="4" t="n">
        <f aca="false">D3007*E3007</f>
        <v>76.97</v>
      </c>
      <c r="G3007" s="7" t="n">
        <v>2</v>
      </c>
      <c r="H3007" s="9" t="n">
        <f aca="false">IF(G3007&gt;0,D3007/G3007,"")</f>
        <v>21.5</v>
      </c>
      <c r="I3007" s="10" t="n">
        <v>46065</v>
      </c>
      <c r="J3007" s="3" t="s">
        <v>4304</v>
      </c>
      <c r="K3007" s="10" t="n">
        <v>45632</v>
      </c>
      <c r="L3007" s="3" t="s">
        <v>1878</v>
      </c>
      <c r="M3007" s="7" t="n">
        <v>50</v>
      </c>
      <c r="N3007" s="8" t="n">
        <v>1.79</v>
      </c>
      <c r="O3007" s="4" t="n">
        <f aca="false">M3007*N3007</f>
        <v>89.5</v>
      </c>
    </row>
    <row r="3008" customFormat="false" ht="15" hidden="false" customHeight="false" outlineLevel="0" collapsed="false">
      <c r="A3008" s="0" t="s">
        <v>4305</v>
      </c>
      <c r="C3008" s="0" t="s">
        <v>69</v>
      </c>
      <c r="D3008" s="7" t="n">
        <v>323</v>
      </c>
      <c r="E3008" s="8" t="n">
        <v>0.238266253869969</v>
      </c>
      <c r="F3008" s="4" t="n">
        <f aca="false">D3008*E3008</f>
        <v>76.96</v>
      </c>
      <c r="G3008" s="7" t="n">
        <v>180</v>
      </c>
      <c r="H3008" s="9" t="n">
        <f aca="false">IF(G3008&gt;0,D3008/G3008,"")</f>
        <v>1.79444444444444</v>
      </c>
      <c r="I3008" s="10" t="n">
        <v>46295</v>
      </c>
      <c r="J3008" s="3" t="s">
        <v>4306</v>
      </c>
      <c r="K3008" s="10" t="n">
        <v>45450</v>
      </c>
      <c r="L3008" s="3" t="s">
        <v>223</v>
      </c>
      <c r="M3008" s="7" t="n">
        <v>1000</v>
      </c>
      <c r="N3008" s="8" t="n">
        <v>0.243</v>
      </c>
      <c r="O3008" s="4" t="n">
        <f aca="false">M3008*N3008</f>
        <v>243</v>
      </c>
    </row>
    <row r="3009" customFormat="false" ht="15" hidden="false" customHeight="false" outlineLevel="0" collapsed="false">
      <c r="A3009" s="0" t="s">
        <v>4307</v>
      </c>
      <c r="C3009" s="0" t="s">
        <v>370</v>
      </c>
      <c r="D3009" s="7" t="n">
        <v>570</v>
      </c>
      <c r="E3009" s="8" t="n">
        <v>0.135</v>
      </c>
      <c r="F3009" s="4" t="n">
        <f aca="false">D3009*E3009</f>
        <v>76.95</v>
      </c>
      <c r="G3009" s="7" t="n">
        <v>180</v>
      </c>
      <c r="H3009" s="9" t="n">
        <f aca="false">IF(G3009&gt;0,D3009/G3009,"")</f>
        <v>3.16666666666667</v>
      </c>
      <c r="I3009" s="10" t="n">
        <v>46247</v>
      </c>
      <c r="J3009" s="3" t="s">
        <v>1192</v>
      </c>
      <c r="K3009" s="10" t="n">
        <v>45736</v>
      </c>
      <c r="L3009" s="3" t="s">
        <v>26</v>
      </c>
      <c r="M3009" s="7" t="n">
        <v>58</v>
      </c>
      <c r="N3009" s="8" t="n">
        <v>0.42</v>
      </c>
      <c r="O3009" s="4" t="n">
        <f aca="false">M3009*N3009</f>
        <v>24.36</v>
      </c>
    </row>
    <row r="3010" customFormat="false" ht="15" hidden="false" customHeight="false" outlineLevel="0" collapsed="false">
      <c r="A3010" s="0" t="s">
        <v>4308</v>
      </c>
      <c r="C3010" s="0" t="s">
        <v>438</v>
      </c>
      <c r="D3010" s="7" t="n">
        <v>87</v>
      </c>
      <c r="E3010" s="8" t="n">
        <v>0.883563218390805</v>
      </c>
      <c r="F3010" s="4" t="n">
        <f aca="false">D3010*E3010</f>
        <v>76.87</v>
      </c>
      <c r="G3010" s="7" t="n">
        <v>7</v>
      </c>
      <c r="H3010" s="9" t="n">
        <f aca="false">IF(G3010&gt;0,D3010/G3010,"")</f>
        <v>12.4285714285714</v>
      </c>
      <c r="I3010" s="10" t="n">
        <v>46140</v>
      </c>
      <c r="J3010" s="3" t="s">
        <v>1041</v>
      </c>
      <c r="K3010" s="10" t="n">
        <v>46125</v>
      </c>
      <c r="L3010" s="3" t="s">
        <v>14</v>
      </c>
      <c r="M3010" s="7" t="n">
        <v>100</v>
      </c>
      <c r="N3010" s="8" t="n">
        <v>0.8835</v>
      </c>
      <c r="O3010" s="4" t="n">
        <f aca="false">M3010*N3010</f>
        <v>88.35</v>
      </c>
    </row>
    <row r="3011" customFormat="false" ht="15" hidden="false" customHeight="false" outlineLevel="0" collapsed="false">
      <c r="A3011" s="0" t="s">
        <v>4309</v>
      </c>
      <c r="C3011" s="0" t="s">
        <v>34</v>
      </c>
      <c r="D3011" s="7" t="n">
        <v>366</v>
      </c>
      <c r="E3011" s="8" t="n">
        <v>0.21</v>
      </c>
      <c r="F3011" s="4" t="n">
        <f aca="false">D3011*E3011</f>
        <v>76.86</v>
      </c>
      <c r="G3011" s="7" t="n">
        <v>323</v>
      </c>
      <c r="H3011" s="9" t="n">
        <f aca="false">IF(G3011&gt;0,D3011/G3011,"")</f>
        <v>1.13312693498452</v>
      </c>
      <c r="I3011" s="10" t="n">
        <v>46191</v>
      </c>
      <c r="J3011" s="3" t="s">
        <v>4310</v>
      </c>
      <c r="K3011" s="10" t="n">
        <v>45590</v>
      </c>
      <c r="L3011" s="3" t="s">
        <v>25</v>
      </c>
      <c r="M3011" s="7" t="n">
        <v>1000</v>
      </c>
      <c r="N3011" s="8" t="n">
        <v>0.21</v>
      </c>
      <c r="O3011" s="4" t="n">
        <f aca="false">M3011*N3011</f>
        <v>210</v>
      </c>
    </row>
    <row r="3012" customFormat="false" ht="15" hidden="false" customHeight="false" outlineLevel="0" collapsed="false">
      <c r="A3012" s="0" t="s">
        <v>4311</v>
      </c>
      <c r="C3012" s="0" t="s">
        <v>609</v>
      </c>
      <c r="D3012" s="7" t="n">
        <v>58</v>
      </c>
      <c r="E3012" s="8" t="n">
        <v>1.3248275862069</v>
      </c>
      <c r="F3012" s="4" t="n">
        <f aca="false">D3012*E3012</f>
        <v>76.84</v>
      </c>
      <c r="G3012" s="7" t="n">
        <v>42</v>
      </c>
      <c r="H3012" s="9" t="n">
        <f aca="false">IF(G3012&gt;0,D3012/G3012,"")</f>
        <v>1.38095238095238</v>
      </c>
      <c r="I3012" s="10" t="n">
        <v>46308</v>
      </c>
      <c r="J3012" s="3" t="s">
        <v>240</v>
      </c>
      <c r="K3012" s="10" t="n">
        <v>46265</v>
      </c>
      <c r="L3012" s="3" t="s">
        <v>14</v>
      </c>
      <c r="M3012" s="7" t="n">
        <v>100</v>
      </c>
      <c r="N3012" s="8" t="n">
        <v>1.3248</v>
      </c>
      <c r="O3012" s="4" t="n">
        <f aca="false">M3012*N3012</f>
        <v>132.48</v>
      </c>
    </row>
    <row r="3013" customFormat="false" ht="15" hidden="false" customHeight="false" outlineLevel="0" collapsed="false">
      <c r="A3013" s="0" t="s">
        <v>4312</v>
      </c>
      <c r="C3013" s="0" t="s">
        <v>45</v>
      </c>
      <c r="D3013" s="7" t="n">
        <v>1224</v>
      </c>
      <c r="E3013" s="8" t="n">
        <v>0.0627042483660131</v>
      </c>
      <c r="F3013" s="4" t="n">
        <f aca="false">D3013*E3013</f>
        <v>76.75</v>
      </c>
      <c r="G3013" s="7" t="n">
        <v>1224</v>
      </c>
      <c r="H3013" s="9" t="n">
        <f aca="false">IF(G3013&gt;0,D3013/G3013,"")</f>
        <v>1</v>
      </c>
      <c r="I3013" s="10" t="n">
        <v>46141</v>
      </c>
      <c r="J3013" s="3" t="s">
        <v>1252</v>
      </c>
      <c r="K3013" s="10" t="n">
        <v>45754</v>
      </c>
      <c r="L3013" s="3" t="s">
        <v>23</v>
      </c>
      <c r="M3013" s="7" t="n">
        <v>4000</v>
      </c>
      <c r="N3013" s="8" t="n">
        <v>0.0627</v>
      </c>
      <c r="O3013" s="4" t="n">
        <f aca="false">M3013*N3013</f>
        <v>250.8</v>
      </c>
    </row>
    <row r="3014" customFormat="false" ht="15" hidden="false" customHeight="false" outlineLevel="0" collapsed="false">
      <c r="A3014" s="0" t="s">
        <v>4313</v>
      </c>
      <c r="C3014" s="0" t="s">
        <v>609</v>
      </c>
      <c r="D3014" s="7" t="n">
        <v>25</v>
      </c>
      <c r="E3014" s="8" t="n">
        <v>3.0688</v>
      </c>
      <c r="F3014" s="4" t="n">
        <f aca="false">D3014*E3014</f>
        <v>76.72</v>
      </c>
      <c r="G3014" s="7" t="n">
        <v>18</v>
      </c>
      <c r="H3014" s="9" t="n">
        <f aca="false">IF(G3014&gt;0,D3014/G3014,"")</f>
        <v>1.38888888888889</v>
      </c>
      <c r="I3014" s="10" t="n">
        <v>46274</v>
      </c>
      <c r="J3014" s="3" t="s">
        <v>4314</v>
      </c>
      <c r="K3014" s="10" t="n">
        <v>45175</v>
      </c>
      <c r="L3014" s="3" t="s">
        <v>14</v>
      </c>
      <c r="M3014" s="7" t="n">
        <v>131</v>
      </c>
      <c r="N3014" s="8" t="n">
        <v>3.069</v>
      </c>
      <c r="O3014" s="4" t="n">
        <f aca="false">M3014*N3014</f>
        <v>402.039</v>
      </c>
    </row>
    <row r="3015" customFormat="false" ht="15" hidden="false" customHeight="false" outlineLevel="0" collapsed="false">
      <c r="A3015" s="0" t="s">
        <v>4315</v>
      </c>
      <c r="C3015" s="0" t="s">
        <v>34</v>
      </c>
      <c r="D3015" s="7" t="n">
        <v>122</v>
      </c>
      <c r="E3015" s="8" t="n">
        <v>0.628524590163935</v>
      </c>
      <c r="F3015" s="4" t="n">
        <f aca="false">D3015*E3015</f>
        <v>76.68</v>
      </c>
      <c r="G3015" s="7" t="n">
        <v>50</v>
      </c>
      <c r="H3015" s="9" t="n">
        <f aca="false">IF(G3015&gt;0,D3015/G3015,"")</f>
        <v>2.44</v>
      </c>
      <c r="I3015" s="10" t="n">
        <v>46314</v>
      </c>
      <c r="J3015" s="3" t="s">
        <v>1846</v>
      </c>
      <c r="K3015" s="10" t="n">
        <v>46288</v>
      </c>
      <c r="L3015" s="3" t="s">
        <v>16</v>
      </c>
      <c r="M3015" s="7" t="n">
        <v>171</v>
      </c>
      <c r="N3015" s="8" t="n">
        <v>0.5862</v>
      </c>
      <c r="O3015" s="4" t="n">
        <f aca="false">M3015*N3015</f>
        <v>100.2402</v>
      </c>
    </row>
    <row r="3016" customFormat="false" ht="15" hidden="false" customHeight="false" outlineLevel="0" collapsed="false">
      <c r="A3016" s="0" t="s">
        <v>4316</v>
      </c>
      <c r="C3016" s="0" t="s">
        <v>1039</v>
      </c>
      <c r="D3016" s="7" t="n">
        <v>10218</v>
      </c>
      <c r="E3016" s="8" t="n">
        <v>0.0075004893325504</v>
      </c>
      <c r="F3016" s="4" t="n">
        <f aca="false">D3016*E3016</f>
        <v>76.64</v>
      </c>
      <c r="G3016" s="7" t="n">
        <v>27</v>
      </c>
      <c r="H3016" s="9" t="n">
        <f aca="false">IF(G3016&gt;0,D3016/G3016,"")</f>
        <v>378.444444444444</v>
      </c>
      <c r="I3016" s="10" t="n">
        <v>46111</v>
      </c>
      <c r="K3016" s="10"/>
      <c r="M3016" s="7"/>
      <c r="N3016" s="8"/>
      <c r="O3016" s="4"/>
    </row>
    <row r="3017" customFormat="false" ht="15" hidden="false" customHeight="false" outlineLevel="0" collapsed="false">
      <c r="A3017" s="0" t="s">
        <v>4317</v>
      </c>
      <c r="C3017" s="0" t="s">
        <v>45</v>
      </c>
      <c r="D3017" s="7" t="n">
        <v>1960</v>
      </c>
      <c r="E3017" s="8" t="n">
        <v>0.0391020408163265</v>
      </c>
      <c r="F3017" s="4" t="n">
        <f aca="false">D3017*E3017</f>
        <v>76.64</v>
      </c>
      <c r="G3017" s="7" t="n">
        <v>511</v>
      </c>
      <c r="H3017" s="9" t="n">
        <f aca="false">IF(G3017&gt;0,D3017/G3017,"")</f>
        <v>3.83561643835616</v>
      </c>
      <c r="I3017" s="10" t="n">
        <v>46293</v>
      </c>
      <c r="J3017" s="3" t="s">
        <v>4318</v>
      </c>
      <c r="K3017" s="10" t="n">
        <v>45189</v>
      </c>
      <c r="L3017" s="3" t="s">
        <v>23</v>
      </c>
      <c r="M3017" s="7" t="n">
        <v>6000</v>
      </c>
      <c r="N3017" s="8" t="n">
        <v>0.0391</v>
      </c>
      <c r="O3017" s="4" t="n">
        <f aca="false">M3017*N3017</f>
        <v>234.6</v>
      </c>
    </row>
    <row r="3018" customFormat="false" ht="15" hidden="false" customHeight="false" outlineLevel="0" collapsed="false">
      <c r="A3018" s="0" t="s">
        <v>4319</v>
      </c>
      <c r="C3018" s="0" t="s">
        <v>31</v>
      </c>
      <c r="D3018" s="7" t="n">
        <v>2454</v>
      </c>
      <c r="E3018" s="8" t="n">
        <v>0.03119804400978</v>
      </c>
      <c r="F3018" s="4" t="n">
        <f aca="false">D3018*E3018</f>
        <v>76.56</v>
      </c>
      <c r="G3018" s="7" t="n">
        <v>46</v>
      </c>
      <c r="H3018" s="9" t="n">
        <f aca="false">IF(G3018&gt;0,D3018/G3018,"")</f>
        <v>53.3478260869565</v>
      </c>
      <c r="I3018" s="10" t="n">
        <v>46174</v>
      </c>
      <c r="J3018" s="3" t="s">
        <v>1192</v>
      </c>
      <c r="K3018" s="10" t="n">
        <v>45736</v>
      </c>
      <c r="L3018" s="3" t="s">
        <v>26</v>
      </c>
      <c r="M3018" s="7" t="n">
        <v>100</v>
      </c>
      <c r="N3018" s="8" t="n">
        <v>0.0715</v>
      </c>
      <c r="O3018" s="4" t="n">
        <f aca="false">M3018*N3018</f>
        <v>7.15</v>
      </c>
    </row>
    <row r="3019" customFormat="false" ht="15" hidden="false" customHeight="false" outlineLevel="0" collapsed="false">
      <c r="A3019" s="0" t="s">
        <v>4320</v>
      </c>
      <c r="C3019" s="0" t="s">
        <v>497</v>
      </c>
      <c r="D3019" s="7" t="n">
        <v>162</v>
      </c>
      <c r="E3019" s="8" t="n">
        <v>0.472530864197531</v>
      </c>
      <c r="F3019" s="4" t="n">
        <f aca="false">D3019*E3019</f>
        <v>76.55</v>
      </c>
      <c r="G3019" s="7" t="n">
        <v>17</v>
      </c>
      <c r="H3019" s="9" t="n">
        <f aca="false">IF(G3019&gt;0,D3019/G3019,"")</f>
        <v>9.52941176470588</v>
      </c>
      <c r="I3019" s="10" t="n">
        <v>46217</v>
      </c>
      <c r="J3019" s="3" t="s">
        <v>4321</v>
      </c>
      <c r="K3019" s="10" t="n">
        <v>44574</v>
      </c>
      <c r="L3019" s="3" t="s">
        <v>936</v>
      </c>
      <c r="M3019" s="7" t="n">
        <v>317</v>
      </c>
      <c r="N3019" s="8" t="n">
        <v>0.4724</v>
      </c>
      <c r="O3019" s="4" t="n">
        <f aca="false">M3019*N3019</f>
        <v>149.7508</v>
      </c>
    </row>
    <row r="3020" customFormat="false" ht="15" hidden="false" customHeight="false" outlineLevel="0" collapsed="false">
      <c r="A3020" s="0" t="s">
        <v>4322</v>
      </c>
      <c r="C3020" s="0" t="s">
        <v>40</v>
      </c>
      <c r="D3020" s="7" t="n">
        <v>448</v>
      </c>
      <c r="E3020" s="8" t="n">
        <v>0.170714285714286</v>
      </c>
      <c r="F3020" s="4" t="n">
        <f aca="false">D3020*E3020</f>
        <v>76.48</v>
      </c>
      <c r="G3020" s="7" t="n">
        <v>54</v>
      </c>
      <c r="H3020" s="9" t="n">
        <f aca="false">IF(G3020&gt;0,D3020/G3020,"")</f>
        <v>8.2962962962963</v>
      </c>
      <c r="I3020" s="10" t="n">
        <v>46258</v>
      </c>
      <c r="K3020" s="10"/>
      <c r="M3020" s="7"/>
      <c r="N3020" s="8"/>
      <c r="O3020" s="4"/>
    </row>
    <row r="3021" customFormat="false" ht="15" hidden="false" customHeight="false" outlineLevel="0" collapsed="false">
      <c r="A3021" s="0" t="s">
        <v>4323</v>
      </c>
      <c r="C3021" s="0" t="s">
        <v>1169</v>
      </c>
      <c r="D3021" s="7" t="n">
        <v>713</v>
      </c>
      <c r="E3021" s="8" t="n">
        <v>0.107180925666199</v>
      </c>
      <c r="F3021" s="4" t="n">
        <f aca="false">D3021*E3021</f>
        <v>76.42</v>
      </c>
      <c r="G3021" s="7" t="n">
        <v>10</v>
      </c>
      <c r="H3021" s="9" t="n">
        <f aca="false">IF(G3021&gt;0,D3021/G3021,"")</f>
        <v>71.3</v>
      </c>
      <c r="I3021" s="10" t="n">
        <v>46302</v>
      </c>
      <c r="J3021" s="3" t="s">
        <v>2903</v>
      </c>
      <c r="K3021" s="10" t="n">
        <v>44301</v>
      </c>
      <c r="L3021" s="3" t="s">
        <v>21</v>
      </c>
      <c r="M3021" s="7" t="n">
        <v>1000</v>
      </c>
      <c r="N3021" s="8" t="n">
        <v>0.1</v>
      </c>
      <c r="O3021" s="4" t="n">
        <f aca="false">M3021*N3021</f>
        <v>100</v>
      </c>
    </row>
    <row r="3022" customFormat="false" ht="15" hidden="false" customHeight="false" outlineLevel="0" collapsed="false">
      <c r="A3022" s="0" t="s">
        <v>4324</v>
      </c>
      <c r="C3022" s="0" t="s">
        <v>497</v>
      </c>
      <c r="D3022" s="7" t="n">
        <v>78</v>
      </c>
      <c r="E3022" s="8" t="n">
        <v>0.979487179487179</v>
      </c>
      <c r="F3022" s="4" t="n">
        <f aca="false">D3022*E3022</f>
        <v>76.4</v>
      </c>
      <c r="G3022" s="7" t="n">
        <v>27</v>
      </c>
      <c r="H3022" s="9" t="n">
        <f aca="false">IF(G3022&gt;0,D3022/G3022,"")</f>
        <v>2.88888888888889</v>
      </c>
      <c r="I3022" s="10" t="n">
        <v>46268</v>
      </c>
      <c r="J3022" s="3" t="s">
        <v>3740</v>
      </c>
      <c r="K3022" s="10" t="n">
        <v>45909</v>
      </c>
      <c r="L3022" s="3" t="s">
        <v>936</v>
      </c>
      <c r="M3022" s="7" t="n">
        <v>158</v>
      </c>
      <c r="N3022" s="8" t="n">
        <v>0.9796</v>
      </c>
      <c r="O3022" s="4" t="n">
        <f aca="false">M3022*N3022</f>
        <v>154.7768</v>
      </c>
    </row>
    <row r="3023" customFormat="false" ht="15" hidden="false" customHeight="false" outlineLevel="0" collapsed="false">
      <c r="A3023" s="0" t="s">
        <v>4325</v>
      </c>
      <c r="C3023" s="0" t="s">
        <v>36</v>
      </c>
      <c r="D3023" s="7" t="n">
        <v>1093</v>
      </c>
      <c r="E3023" s="8" t="n">
        <v>0.0698902104300092</v>
      </c>
      <c r="F3023" s="4" t="n">
        <f aca="false">D3023*E3023</f>
        <v>76.39</v>
      </c>
      <c r="G3023" s="7" t="n">
        <v>213</v>
      </c>
      <c r="H3023" s="9" t="n">
        <f aca="false">IF(G3023&gt;0,D3023/G3023,"")</f>
        <v>5.13145539906103</v>
      </c>
      <c r="I3023" s="10" t="n">
        <v>46230</v>
      </c>
      <c r="K3023" s="10"/>
      <c r="M3023" s="7"/>
      <c r="N3023" s="8"/>
      <c r="O3023" s="4"/>
    </row>
    <row r="3024" customFormat="false" ht="15" hidden="false" customHeight="false" outlineLevel="0" collapsed="false">
      <c r="A3024" s="0" t="s">
        <v>4326</v>
      </c>
      <c r="C3024" s="0" t="s">
        <v>40</v>
      </c>
      <c r="D3024" s="7" t="n">
        <v>7007</v>
      </c>
      <c r="E3024" s="8" t="n">
        <v>0.0109005280433852</v>
      </c>
      <c r="F3024" s="4" t="n">
        <f aca="false">D3024*E3024</f>
        <v>76.38</v>
      </c>
      <c r="G3024" s="7" t="n">
        <v>175</v>
      </c>
      <c r="H3024" s="9" t="n">
        <f aca="false">IF(G3024&gt;0,D3024/G3024,"")</f>
        <v>40.04</v>
      </c>
      <c r="I3024" s="10" t="n">
        <v>46239</v>
      </c>
      <c r="J3024" s="3" t="s">
        <v>4327</v>
      </c>
      <c r="K3024" s="10" t="n">
        <v>44658</v>
      </c>
      <c r="L3024" s="3" t="s">
        <v>18</v>
      </c>
      <c r="M3024" s="7" t="n">
        <v>8973</v>
      </c>
      <c r="N3024" s="8" t="n">
        <v>0.0109</v>
      </c>
      <c r="O3024" s="4" t="n">
        <f aca="false">M3024*N3024</f>
        <v>97.8057</v>
      </c>
    </row>
    <row r="3025" customFormat="false" ht="15" hidden="false" customHeight="false" outlineLevel="0" collapsed="false">
      <c r="A3025" s="0" t="s">
        <v>4328</v>
      </c>
      <c r="C3025" s="0" t="s">
        <v>100</v>
      </c>
      <c r="D3025" s="7" t="n">
        <v>101</v>
      </c>
      <c r="E3025" s="8" t="n">
        <v>0.755841584158416</v>
      </c>
      <c r="F3025" s="4" t="n">
        <f aca="false">D3025*E3025</f>
        <v>76.34</v>
      </c>
      <c r="G3025" s="7" t="n">
        <v>20</v>
      </c>
      <c r="H3025" s="9" t="n">
        <f aca="false">IF(G3025&gt;0,D3025/G3025,"")</f>
        <v>5.05</v>
      </c>
      <c r="I3025" s="10" t="n">
        <v>46281</v>
      </c>
      <c r="J3025" s="3" t="s">
        <v>1371</v>
      </c>
      <c r="K3025" s="10" t="n">
        <v>45509</v>
      </c>
      <c r="L3025" s="3" t="s">
        <v>16</v>
      </c>
      <c r="M3025" s="7" t="n">
        <v>100</v>
      </c>
      <c r="N3025" s="8" t="n">
        <v>0.7543</v>
      </c>
      <c r="O3025" s="4" t="n">
        <f aca="false">M3025*N3025</f>
        <v>75.43</v>
      </c>
    </row>
    <row r="3026" customFormat="false" ht="15" hidden="false" customHeight="false" outlineLevel="0" collapsed="false">
      <c r="A3026" s="0" t="s">
        <v>4329</v>
      </c>
      <c r="C3026" s="0" t="s">
        <v>31</v>
      </c>
      <c r="D3026" s="7" t="n">
        <v>235</v>
      </c>
      <c r="E3026" s="8" t="n">
        <v>0.324765957446809</v>
      </c>
      <c r="F3026" s="4" t="n">
        <f aca="false">D3026*E3026</f>
        <v>76.32</v>
      </c>
      <c r="G3026" s="7" t="n">
        <v>5</v>
      </c>
      <c r="H3026" s="9" t="n">
        <f aca="false">IF(G3026&gt;0,D3026/G3026,"")</f>
        <v>47</v>
      </c>
      <c r="I3026" s="10" t="n">
        <v>46308</v>
      </c>
      <c r="J3026" s="3" t="s">
        <v>3412</v>
      </c>
      <c r="K3026" s="10" t="n">
        <v>46303</v>
      </c>
      <c r="L3026" s="3" t="s">
        <v>19</v>
      </c>
      <c r="M3026" s="7" t="n">
        <v>25</v>
      </c>
      <c r="N3026" s="8" t="n">
        <v>1.0233</v>
      </c>
      <c r="O3026" s="4" t="n">
        <f aca="false">M3026*N3026</f>
        <v>25.5825</v>
      </c>
    </row>
    <row r="3027" customFormat="false" ht="15" hidden="false" customHeight="false" outlineLevel="0" collapsed="false">
      <c r="A3027" s="0" t="s">
        <v>4330</v>
      </c>
      <c r="C3027" s="0" t="s">
        <v>285</v>
      </c>
      <c r="D3027" s="7" t="n">
        <v>191</v>
      </c>
      <c r="E3027" s="8" t="n">
        <v>0.399162303664921</v>
      </c>
      <c r="F3027" s="4" t="n">
        <f aca="false">D3027*E3027</f>
        <v>76.24</v>
      </c>
      <c r="G3027" s="7" t="n">
        <v>52</v>
      </c>
      <c r="H3027" s="9" t="n">
        <f aca="false">IF(G3027&gt;0,D3027/G3027,"")</f>
        <v>3.67307692307692</v>
      </c>
      <c r="I3027" s="10" t="n">
        <v>46308</v>
      </c>
      <c r="K3027" s="10"/>
      <c r="M3027" s="7"/>
      <c r="N3027" s="8"/>
      <c r="O3027" s="4"/>
    </row>
    <row r="3028" customFormat="false" ht="15" hidden="false" customHeight="false" outlineLevel="0" collapsed="false">
      <c r="A3028" s="0" t="s">
        <v>4331</v>
      </c>
      <c r="C3028" s="0" t="s">
        <v>31</v>
      </c>
      <c r="D3028" s="7" t="n">
        <v>915</v>
      </c>
      <c r="E3028" s="8" t="n">
        <v>0.0833114754098361</v>
      </c>
      <c r="F3028" s="4" t="n">
        <f aca="false">D3028*E3028</f>
        <v>76.23</v>
      </c>
      <c r="G3028" s="7" t="n">
        <v>26</v>
      </c>
      <c r="H3028" s="9" t="n">
        <f aca="false">IF(G3028&gt;0,D3028/G3028,"")</f>
        <v>35.1923076923077</v>
      </c>
      <c r="I3028" s="10" t="n">
        <v>46133</v>
      </c>
      <c r="J3028" s="3" t="s">
        <v>1329</v>
      </c>
      <c r="K3028" s="10" t="n">
        <v>44727</v>
      </c>
      <c r="L3028" s="3" t="s">
        <v>19</v>
      </c>
      <c r="M3028" s="7" t="n">
        <v>994</v>
      </c>
      <c r="N3028" s="8" t="n">
        <v>0.0833</v>
      </c>
      <c r="O3028" s="4" t="n">
        <f aca="false">M3028*N3028</f>
        <v>82.8002</v>
      </c>
    </row>
    <row r="3029" customFormat="false" ht="15" hidden="false" customHeight="false" outlineLevel="0" collapsed="false">
      <c r="A3029" s="0" t="s">
        <v>4332</v>
      </c>
      <c r="C3029" s="0" t="s">
        <v>777</v>
      </c>
      <c r="D3029" s="7" t="n">
        <v>410</v>
      </c>
      <c r="E3029" s="8" t="n">
        <v>0.185926829268293</v>
      </c>
      <c r="F3029" s="4" t="n">
        <f aca="false">D3029*E3029</f>
        <v>76.23</v>
      </c>
      <c r="G3029" s="7" t="n">
        <v>20</v>
      </c>
      <c r="H3029" s="9" t="n">
        <f aca="false">IF(G3029&gt;0,D3029/G3029,"")</f>
        <v>20.5</v>
      </c>
      <c r="I3029" s="10" t="n">
        <v>46195</v>
      </c>
      <c r="J3029" s="3" t="s">
        <v>341</v>
      </c>
      <c r="K3029" s="10" t="n">
        <v>46078</v>
      </c>
      <c r="L3029" s="3" t="s">
        <v>15</v>
      </c>
      <c r="M3029" s="7" t="n">
        <v>430</v>
      </c>
      <c r="N3029" s="8" t="n">
        <v>0.18594</v>
      </c>
      <c r="O3029" s="4" t="n">
        <f aca="false">M3029*N3029</f>
        <v>79.9542</v>
      </c>
    </row>
    <row r="3030" customFormat="false" ht="15" hidden="false" customHeight="false" outlineLevel="0" collapsed="false">
      <c r="A3030" s="0" t="s">
        <v>4333</v>
      </c>
      <c r="C3030" s="0" t="s">
        <v>32</v>
      </c>
      <c r="D3030" s="7" t="n">
        <v>209</v>
      </c>
      <c r="E3030" s="8" t="n">
        <v>0.364306220095694</v>
      </c>
      <c r="F3030" s="4" t="n">
        <f aca="false">D3030*E3030</f>
        <v>76.14</v>
      </c>
      <c r="G3030" s="7" t="n">
        <v>61</v>
      </c>
      <c r="H3030" s="9" t="n">
        <f aca="false">IF(G3030&gt;0,D3030/G3030,"")</f>
        <v>3.42622950819672</v>
      </c>
      <c r="I3030" s="10" t="n">
        <v>46188</v>
      </c>
      <c r="J3030" s="3" t="s">
        <v>2506</v>
      </c>
      <c r="K3030" s="10" t="n">
        <v>45911</v>
      </c>
      <c r="L3030" s="3" t="s">
        <v>18</v>
      </c>
      <c r="M3030" s="7" t="n">
        <v>240</v>
      </c>
      <c r="N3030" s="8" t="n">
        <v>0.3643</v>
      </c>
      <c r="O3030" s="4" t="n">
        <f aca="false">M3030*N3030</f>
        <v>87.432</v>
      </c>
    </row>
    <row r="3031" customFormat="false" ht="15" hidden="false" customHeight="false" outlineLevel="0" collapsed="false">
      <c r="A3031" s="0" t="s">
        <v>4334</v>
      </c>
      <c r="C3031" s="0" t="s">
        <v>31</v>
      </c>
      <c r="D3031" s="7" t="n">
        <v>6190</v>
      </c>
      <c r="E3031" s="8" t="n">
        <v>0.0122988691437803</v>
      </c>
      <c r="F3031" s="4" t="n">
        <f aca="false">D3031*E3031</f>
        <v>76.13</v>
      </c>
      <c r="G3031" s="7" t="n">
        <v>445</v>
      </c>
      <c r="H3031" s="9" t="n">
        <f aca="false">IF(G3031&gt;0,D3031/G3031,"")</f>
        <v>13.9101123595506</v>
      </c>
      <c r="I3031" s="10" t="n">
        <v>46195</v>
      </c>
      <c r="J3031" s="3" t="s">
        <v>1198</v>
      </c>
      <c r="K3031" s="10" t="n">
        <v>45689</v>
      </c>
      <c r="L3031" s="3" t="s">
        <v>16</v>
      </c>
      <c r="M3031" s="7" t="n">
        <v>6680</v>
      </c>
      <c r="N3031" s="8" t="n">
        <v>0.0123</v>
      </c>
      <c r="O3031" s="4" t="n">
        <f aca="false">M3031*N3031</f>
        <v>82.164</v>
      </c>
    </row>
    <row r="3032" customFormat="false" ht="15" hidden="false" customHeight="false" outlineLevel="0" collapsed="false">
      <c r="A3032" s="0" t="s">
        <v>4335</v>
      </c>
      <c r="C3032" s="0" t="s">
        <v>45</v>
      </c>
      <c r="D3032" s="7" t="n">
        <v>16</v>
      </c>
      <c r="E3032" s="8" t="n">
        <v>4.7575</v>
      </c>
      <c r="F3032" s="4" t="n">
        <f aca="false">D3032*E3032</f>
        <v>76.12</v>
      </c>
      <c r="G3032" s="7" t="n">
        <v>2</v>
      </c>
      <c r="H3032" s="9" t="n">
        <f aca="false">IF(G3032&gt;0,D3032/G3032,"")</f>
        <v>8</v>
      </c>
      <c r="I3032" s="10" t="n">
        <v>46105</v>
      </c>
      <c r="J3032" s="3" t="s">
        <v>4336</v>
      </c>
      <c r="K3032" s="10" t="n">
        <v>44735</v>
      </c>
      <c r="L3032" s="3" t="s">
        <v>23</v>
      </c>
      <c r="M3032" s="7" t="n">
        <v>20</v>
      </c>
      <c r="N3032" s="8" t="n">
        <v>4.7575</v>
      </c>
      <c r="O3032" s="4" t="n">
        <f aca="false">M3032*N3032</f>
        <v>95.15</v>
      </c>
    </row>
    <row r="3033" customFormat="false" ht="15" hidden="false" customHeight="false" outlineLevel="0" collapsed="false">
      <c r="A3033" s="0" t="s">
        <v>4337</v>
      </c>
      <c r="C3033" s="0" t="s">
        <v>340</v>
      </c>
      <c r="D3033" s="7" t="n">
        <v>16618</v>
      </c>
      <c r="E3033" s="8" t="n">
        <v>0.00457937176555542</v>
      </c>
      <c r="F3033" s="4" t="n">
        <f aca="false">D3033*E3033</f>
        <v>76.1</v>
      </c>
      <c r="G3033" s="7" t="n">
        <v>3100</v>
      </c>
      <c r="H3033" s="9" t="n">
        <f aca="false">IF(G3033&gt;0,D3033/G3033,"")</f>
        <v>5.36064516129032</v>
      </c>
      <c r="I3033" s="10" t="n">
        <v>46269</v>
      </c>
      <c r="J3033" s="3" t="s">
        <v>4338</v>
      </c>
      <c r="K3033" s="10" t="n">
        <v>44733</v>
      </c>
      <c r="L3033" s="3" t="s">
        <v>15</v>
      </c>
      <c r="M3033" s="7" t="n">
        <v>23943</v>
      </c>
      <c r="N3033" s="8" t="n">
        <v>0.00458</v>
      </c>
      <c r="O3033" s="4" t="n">
        <f aca="false">M3033*N3033</f>
        <v>109.65894</v>
      </c>
    </row>
    <row r="3034" customFormat="false" ht="15" hidden="false" customHeight="false" outlineLevel="0" collapsed="false">
      <c r="A3034" s="0" t="s">
        <v>4339</v>
      </c>
      <c r="C3034" s="0" t="s">
        <v>1161</v>
      </c>
      <c r="D3034" s="7" t="n">
        <v>626</v>
      </c>
      <c r="E3034" s="8" t="n">
        <v>0.121517571884984</v>
      </c>
      <c r="F3034" s="4" t="n">
        <f aca="false">D3034*E3034</f>
        <v>76.07</v>
      </c>
      <c r="G3034" s="7" t="n">
        <v>120</v>
      </c>
      <c r="H3034" s="9" t="n">
        <f aca="false">IF(G3034&gt;0,D3034/G3034,"")</f>
        <v>5.21666666666667</v>
      </c>
      <c r="I3034" s="10" t="n">
        <v>46309</v>
      </c>
      <c r="K3034" s="10"/>
      <c r="M3034" s="7"/>
      <c r="N3034" s="8"/>
      <c r="O3034" s="4"/>
    </row>
    <row r="3035" customFormat="false" ht="15" hidden="false" customHeight="false" outlineLevel="0" collapsed="false">
      <c r="A3035" s="0" t="s">
        <v>4340</v>
      </c>
      <c r="C3035" s="0" t="s">
        <v>979</v>
      </c>
      <c r="D3035" s="7" t="n">
        <v>90</v>
      </c>
      <c r="E3035" s="8" t="n">
        <v>0.844777777777778</v>
      </c>
      <c r="F3035" s="4" t="n">
        <f aca="false">D3035*E3035</f>
        <v>76.03</v>
      </c>
      <c r="G3035" s="7" t="n">
        <v>40</v>
      </c>
      <c r="H3035" s="9" t="n">
        <f aca="false">IF(G3035&gt;0,D3035/G3035,"")</f>
        <v>2.25</v>
      </c>
      <c r="I3035" s="10" t="n">
        <v>46274</v>
      </c>
      <c r="J3035" s="3" t="s">
        <v>4341</v>
      </c>
      <c r="K3035" s="10" t="n">
        <v>45931</v>
      </c>
      <c r="L3035" s="3" t="s">
        <v>28</v>
      </c>
      <c r="M3035" s="7" t="n">
        <v>50</v>
      </c>
      <c r="N3035" s="8" t="n">
        <v>1.6667</v>
      </c>
      <c r="O3035" s="4" t="n">
        <f aca="false">M3035*N3035</f>
        <v>83.335</v>
      </c>
    </row>
    <row r="3036" customFormat="false" ht="15" hidden="false" customHeight="false" outlineLevel="0" collapsed="false">
      <c r="A3036" s="0" t="s">
        <v>4342</v>
      </c>
      <c r="C3036" s="0" t="s">
        <v>31</v>
      </c>
      <c r="D3036" s="7" t="n">
        <v>1223</v>
      </c>
      <c r="E3036" s="8" t="n">
        <v>0.0621504497138185</v>
      </c>
      <c r="F3036" s="4" t="n">
        <f aca="false">D3036*E3036</f>
        <v>76.01</v>
      </c>
      <c r="G3036" s="7" t="n">
        <v>335</v>
      </c>
      <c r="H3036" s="9" t="n">
        <f aca="false">IF(G3036&gt;0,D3036/G3036,"")</f>
        <v>3.65074626865672</v>
      </c>
      <c r="I3036" s="10" t="n">
        <v>46317</v>
      </c>
      <c r="K3036" s="10"/>
      <c r="M3036" s="7"/>
      <c r="N3036" s="8"/>
      <c r="O3036" s="4"/>
    </row>
    <row r="3037" customFormat="false" ht="15" hidden="false" customHeight="false" outlineLevel="0" collapsed="false">
      <c r="A3037" s="0" t="s">
        <v>4343</v>
      </c>
      <c r="D3037" s="7" t="n">
        <v>93</v>
      </c>
      <c r="E3037" s="8" t="n">
        <v>0.816344086021505</v>
      </c>
      <c r="F3037" s="4" t="n">
        <f aca="false">D3037*E3037</f>
        <v>75.92</v>
      </c>
      <c r="G3037" s="7" t="n">
        <v>4</v>
      </c>
      <c r="H3037" s="9" t="n">
        <f aca="false">IF(G3037&gt;0,D3037/G3037,"")</f>
        <v>23.25</v>
      </c>
      <c r="I3037" s="10" t="n">
        <v>46113</v>
      </c>
      <c r="J3037" s="3" t="s">
        <v>2982</v>
      </c>
      <c r="K3037" s="10" t="n">
        <v>45689</v>
      </c>
      <c r="L3037" s="3" t="s">
        <v>936</v>
      </c>
      <c r="M3037" s="7" t="n">
        <v>102</v>
      </c>
      <c r="N3037" s="8" t="n">
        <v>0.8164</v>
      </c>
      <c r="O3037" s="4" t="n">
        <f aca="false">M3037*N3037</f>
        <v>83.2728</v>
      </c>
    </row>
    <row r="3038" customFormat="false" ht="15" hidden="false" customHeight="false" outlineLevel="0" collapsed="false">
      <c r="A3038" s="0" t="s">
        <v>4344</v>
      </c>
      <c r="C3038" s="0" t="s">
        <v>2981</v>
      </c>
      <c r="D3038" s="7" t="n">
        <v>128</v>
      </c>
      <c r="E3038" s="8" t="n">
        <v>0.5925</v>
      </c>
      <c r="F3038" s="4" t="n">
        <f aca="false">D3038*E3038</f>
        <v>75.84</v>
      </c>
      <c r="G3038" s="7" t="n">
        <v>110</v>
      </c>
      <c r="H3038" s="9" t="n">
        <f aca="false">IF(G3038&gt;0,D3038/G3038,"")</f>
        <v>1.16363636363636</v>
      </c>
      <c r="I3038" s="10" t="n">
        <v>46097</v>
      </c>
      <c r="J3038" s="3" t="s">
        <v>2982</v>
      </c>
      <c r="K3038" s="10" t="n">
        <v>45689</v>
      </c>
      <c r="L3038" s="3" t="s">
        <v>936</v>
      </c>
      <c r="M3038" s="7" t="n">
        <v>250</v>
      </c>
      <c r="N3038" s="8" t="n">
        <v>0.5925</v>
      </c>
      <c r="O3038" s="4" t="n">
        <f aca="false">M3038*N3038</f>
        <v>148.125</v>
      </c>
    </row>
    <row r="3039" customFormat="false" ht="15" hidden="false" customHeight="false" outlineLevel="0" collapsed="false">
      <c r="A3039" s="0" t="s">
        <v>4345</v>
      </c>
      <c r="C3039" s="0" t="s">
        <v>340</v>
      </c>
      <c r="D3039" s="7" t="n">
        <v>389</v>
      </c>
      <c r="E3039" s="8" t="n">
        <v>0.194910025706941</v>
      </c>
      <c r="F3039" s="4" t="n">
        <f aca="false">D3039*E3039</f>
        <v>75.82</v>
      </c>
      <c r="G3039" s="7" t="n">
        <v>6</v>
      </c>
      <c r="H3039" s="9" t="n">
        <f aca="false">IF(G3039&gt;0,D3039/G3039,"")</f>
        <v>64.8333333333333</v>
      </c>
      <c r="I3039" s="10" t="n">
        <v>46316</v>
      </c>
      <c r="J3039" s="3" t="s">
        <v>2760</v>
      </c>
      <c r="K3039" s="10" t="n">
        <v>46246</v>
      </c>
      <c r="L3039" s="3" t="s">
        <v>16</v>
      </c>
      <c r="M3039" s="7" t="n">
        <v>395</v>
      </c>
      <c r="N3039" s="8" t="n">
        <v>0.1949</v>
      </c>
      <c r="O3039" s="4" t="n">
        <f aca="false">M3039*N3039</f>
        <v>76.9855</v>
      </c>
    </row>
    <row r="3040" customFormat="false" ht="15" hidden="false" customHeight="false" outlineLevel="0" collapsed="false">
      <c r="A3040" s="0" t="s">
        <v>4346</v>
      </c>
      <c r="C3040" s="0" t="s">
        <v>31</v>
      </c>
      <c r="D3040" s="7" t="n">
        <v>5574</v>
      </c>
      <c r="E3040" s="8" t="n">
        <v>0.0136024398995336</v>
      </c>
      <c r="F3040" s="4" t="n">
        <f aca="false">D3040*E3040</f>
        <v>75.82</v>
      </c>
      <c r="G3040" s="7" t="n">
        <v>1137</v>
      </c>
      <c r="H3040" s="9" t="n">
        <f aca="false">IF(G3040&gt;0,D3040/G3040,"")</f>
        <v>4.9023746701847</v>
      </c>
      <c r="I3040" s="10" t="n">
        <v>46247</v>
      </c>
      <c r="J3040" s="3" t="s">
        <v>4347</v>
      </c>
      <c r="K3040" s="10" t="n">
        <v>44942</v>
      </c>
      <c r="L3040" s="3" t="s">
        <v>25</v>
      </c>
      <c r="M3040" s="7" t="n">
        <v>10000</v>
      </c>
      <c r="N3040" s="8" t="n">
        <v>0.0136</v>
      </c>
      <c r="O3040" s="4" t="n">
        <f aca="false">M3040*N3040</f>
        <v>136</v>
      </c>
    </row>
    <row r="3041" customFormat="false" ht="15" hidden="false" customHeight="false" outlineLevel="0" collapsed="false">
      <c r="A3041" s="0" t="s">
        <v>4348</v>
      </c>
      <c r="C3041" s="0" t="s">
        <v>39</v>
      </c>
      <c r="D3041" s="7" t="n">
        <v>10386</v>
      </c>
      <c r="E3041" s="8" t="n">
        <v>0.0073002118236087</v>
      </c>
      <c r="F3041" s="4" t="n">
        <f aca="false">D3041*E3041</f>
        <v>75.82</v>
      </c>
      <c r="G3041" s="7" t="n">
        <v>1350</v>
      </c>
      <c r="H3041" s="9" t="n">
        <f aca="false">IF(G3041&gt;0,D3041/G3041,"")</f>
        <v>7.69333333333333</v>
      </c>
      <c r="I3041" s="10" t="n">
        <v>46275</v>
      </c>
      <c r="J3041" s="3" t="s">
        <v>1028</v>
      </c>
      <c r="K3041" s="10" t="n">
        <v>45689</v>
      </c>
      <c r="L3041" s="3" t="s">
        <v>18</v>
      </c>
      <c r="M3041" s="7" t="n">
        <v>13000</v>
      </c>
      <c r="N3041" s="8" t="n">
        <v>0.0073</v>
      </c>
      <c r="O3041" s="4" t="n">
        <f aca="false">M3041*N3041</f>
        <v>94.9</v>
      </c>
    </row>
    <row r="3042" customFormat="false" ht="15" hidden="false" customHeight="false" outlineLevel="0" collapsed="false">
      <c r="A3042" s="0" t="s">
        <v>4349</v>
      </c>
      <c r="C3042" s="0" t="s">
        <v>34</v>
      </c>
      <c r="D3042" s="7" t="n">
        <v>165</v>
      </c>
      <c r="E3042" s="8" t="n">
        <v>0.459333333333333</v>
      </c>
      <c r="F3042" s="4" t="n">
        <f aca="false">D3042*E3042</f>
        <v>75.79</v>
      </c>
      <c r="G3042" s="7" t="n">
        <v>40</v>
      </c>
      <c r="H3042" s="9" t="n">
        <f aca="false">IF(G3042&gt;0,D3042/G3042,"")</f>
        <v>4.125</v>
      </c>
      <c r="I3042" s="10" t="n">
        <v>46290</v>
      </c>
      <c r="J3042" s="3" t="s">
        <v>1233</v>
      </c>
      <c r="K3042" s="10" t="n">
        <v>46069</v>
      </c>
      <c r="L3042" s="3" t="s">
        <v>14</v>
      </c>
      <c r="M3042" s="7" t="n">
        <v>200</v>
      </c>
      <c r="N3042" s="8" t="n">
        <v>0.4593</v>
      </c>
      <c r="O3042" s="4" t="n">
        <f aca="false">M3042*N3042</f>
        <v>91.86</v>
      </c>
    </row>
    <row r="3043" customFormat="false" ht="15" hidden="false" customHeight="false" outlineLevel="0" collapsed="false">
      <c r="A3043" s="0" t="s">
        <v>4350</v>
      </c>
      <c r="C3043" s="0" t="s">
        <v>31</v>
      </c>
      <c r="D3043" s="7" t="n">
        <v>1710</v>
      </c>
      <c r="E3043" s="8" t="n">
        <v>0.0442982456140351</v>
      </c>
      <c r="F3043" s="4" t="n">
        <f aca="false">D3043*E3043</f>
        <v>75.75</v>
      </c>
      <c r="G3043" s="7" t="n">
        <v>98</v>
      </c>
      <c r="H3043" s="9" t="n">
        <f aca="false">IF(G3043&gt;0,D3043/G3043,"")</f>
        <v>17.4489795918367</v>
      </c>
      <c r="I3043" s="10" t="n">
        <v>46224</v>
      </c>
      <c r="J3043" s="3" t="s">
        <v>2303</v>
      </c>
      <c r="K3043" s="10" t="n">
        <v>46098</v>
      </c>
      <c r="L3043" s="3" t="s">
        <v>16</v>
      </c>
      <c r="M3043" s="7" t="n">
        <v>1798</v>
      </c>
      <c r="N3043" s="8" t="n">
        <v>0.0443</v>
      </c>
      <c r="O3043" s="4" t="n">
        <f aca="false">M3043*N3043</f>
        <v>79.6514</v>
      </c>
    </row>
    <row r="3044" customFormat="false" ht="15" hidden="false" customHeight="false" outlineLevel="0" collapsed="false">
      <c r="A3044" s="0" t="s">
        <v>4351</v>
      </c>
      <c r="C3044" s="0" t="s">
        <v>34</v>
      </c>
      <c r="D3044" s="7" t="n">
        <v>6035</v>
      </c>
      <c r="E3044" s="8" t="n">
        <v>0.0125418392709196</v>
      </c>
      <c r="F3044" s="4" t="n">
        <f aca="false">D3044*E3044</f>
        <v>75.69</v>
      </c>
      <c r="G3044" s="7" t="n">
        <v>1160</v>
      </c>
      <c r="H3044" s="9" t="n">
        <f aca="false">IF(G3044&gt;0,D3044/G3044,"")</f>
        <v>5.20258620689655</v>
      </c>
      <c r="I3044" s="10" t="n">
        <v>46174</v>
      </c>
      <c r="J3044" s="3" t="s">
        <v>249</v>
      </c>
      <c r="K3044" s="10" t="n">
        <v>44314</v>
      </c>
      <c r="L3044" s="3" t="s">
        <v>15</v>
      </c>
      <c r="M3044" s="7" t="n">
        <v>7300</v>
      </c>
      <c r="N3044" s="8" t="n">
        <v>0.01254</v>
      </c>
      <c r="O3044" s="4" t="n">
        <f aca="false">M3044*N3044</f>
        <v>91.542</v>
      </c>
    </row>
    <row r="3045" customFormat="false" ht="15" hidden="false" customHeight="false" outlineLevel="0" collapsed="false">
      <c r="A3045" s="0" t="s">
        <v>4352</v>
      </c>
      <c r="C3045" s="0" t="s">
        <v>34</v>
      </c>
      <c r="D3045" s="7" t="n">
        <v>914</v>
      </c>
      <c r="E3045" s="8" t="n">
        <v>0.082691466083151</v>
      </c>
      <c r="F3045" s="4" t="n">
        <f aca="false">D3045*E3045</f>
        <v>75.58</v>
      </c>
      <c r="G3045" s="7" t="n">
        <v>21</v>
      </c>
      <c r="H3045" s="9" t="n">
        <f aca="false">IF(G3045&gt;0,D3045/G3045,"")</f>
        <v>43.5238095238095</v>
      </c>
      <c r="I3045" s="10" t="n">
        <v>46147</v>
      </c>
      <c r="J3045" s="3" t="s">
        <v>4260</v>
      </c>
      <c r="K3045" s="10" t="n">
        <v>45659</v>
      </c>
      <c r="L3045" s="3" t="s">
        <v>16</v>
      </c>
      <c r="M3045" s="7" t="n">
        <v>1000</v>
      </c>
      <c r="N3045" s="8" t="n">
        <v>0.0823</v>
      </c>
      <c r="O3045" s="4" t="n">
        <f aca="false">M3045*N3045</f>
        <v>82.3</v>
      </c>
    </row>
    <row r="3046" customFormat="false" ht="15" hidden="false" customHeight="false" outlineLevel="0" collapsed="false">
      <c r="A3046" s="0" t="s">
        <v>4353</v>
      </c>
      <c r="C3046" s="0" t="s">
        <v>41</v>
      </c>
      <c r="D3046" s="7" t="n">
        <v>5438</v>
      </c>
      <c r="E3046" s="8" t="n">
        <v>0.0138984920926811</v>
      </c>
      <c r="F3046" s="4" t="n">
        <f aca="false">D3046*E3046</f>
        <v>75.58</v>
      </c>
      <c r="G3046" s="7" t="n">
        <v>142</v>
      </c>
      <c r="H3046" s="9" t="n">
        <f aca="false">IF(G3046&gt;0,D3046/G3046,"")</f>
        <v>38.2957746478873</v>
      </c>
      <c r="I3046" s="10" t="n">
        <v>46280</v>
      </c>
      <c r="K3046" s="10"/>
      <c r="M3046" s="7"/>
      <c r="N3046" s="8"/>
      <c r="O3046" s="4"/>
    </row>
    <row r="3047" customFormat="false" ht="15" hidden="false" customHeight="false" outlineLevel="0" collapsed="false">
      <c r="A3047" s="0" t="s">
        <v>4354</v>
      </c>
      <c r="C3047" s="0" t="s">
        <v>807</v>
      </c>
      <c r="D3047" s="7" t="n">
        <v>11</v>
      </c>
      <c r="E3047" s="8" t="n">
        <v>6.87</v>
      </c>
      <c r="F3047" s="4" t="n">
        <f aca="false">D3047*E3047</f>
        <v>75.57</v>
      </c>
      <c r="G3047" s="7" t="n">
        <v>10</v>
      </c>
      <c r="H3047" s="9" t="n">
        <f aca="false">IF(G3047&gt;0,D3047/G3047,"")</f>
        <v>1.1</v>
      </c>
      <c r="I3047" s="10" t="n">
        <v>46304</v>
      </c>
      <c r="J3047" s="3" t="s">
        <v>1115</v>
      </c>
      <c r="K3047" s="10" t="n">
        <v>46295</v>
      </c>
      <c r="L3047" s="3" t="s">
        <v>145</v>
      </c>
      <c r="M3047" s="7" t="n">
        <v>21</v>
      </c>
      <c r="N3047" s="8" t="n">
        <v>6.87</v>
      </c>
      <c r="O3047" s="4" t="n">
        <f aca="false">M3047*N3047</f>
        <v>144.27</v>
      </c>
    </row>
    <row r="3048" customFormat="false" ht="15" hidden="false" customHeight="false" outlineLevel="0" collapsed="false">
      <c r="A3048" s="0" t="s">
        <v>4355</v>
      </c>
      <c r="C3048" s="0" t="s">
        <v>855</v>
      </c>
      <c r="D3048" s="7" t="n">
        <v>14023</v>
      </c>
      <c r="E3048" s="8" t="n">
        <v>0.0053890037795051</v>
      </c>
      <c r="F3048" s="4" t="n">
        <f aca="false">D3048*E3048</f>
        <v>75.57</v>
      </c>
      <c r="G3048" s="7" t="n">
        <v>920</v>
      </c>
      <c r="H3048" s="9" t="n">
        <f aca="false">IF(G3048&gt;0,D3048/G3048,"")</f>
        <v>15.2423913043478</v>
      </c>
      <c r="I3048" s="10" t="n">
        <v>46289</v>
      </c>
      <c r="J3048" s="3" t="s">
        <v>2837</v>
      </c>
      <c r="K3048" s="10" t="n">
        <v>45877</v>
      </c>
      <c r="L3048" s="3" t="s">
        <v>16</v>
      </c>
      <c r="M3048" s="7" t="n">
        <v>15000</v>
      </c>
      <c r="N3048" s="8" t="n">
        <v>0.0048</v>
      </c>
      <c r="O3048" s="4" t="n">
        <f aca="false">M3048*N3048</f>
        <v>72</v>
      </c>
    </row>
    <row r="3049" customFormat="false" ht="15" hidden="false" customHeight="false" outlineLevel="0" collapsed="false">
      <c r="A3049" s="0" t="s">
        <v>4356</v>
      </c>
      <c r="C3049" s="0" t="s">
        <v>39</v>
      </c>
      <c r="D3049" s="7" t="n">
        <v>15</v>
      </c>
      <c r="E3049" s="8" t="n">
        <v>5.03666666666667</v>
      </c>
      <c r="F3049" s="4" t="n">
        <f aca="false">D3049*E3049</f>
        <v>75.55</v>
      </c>
      <c r="G3049" s="7" t="n">
        <v>2</v>
      </c>
      <c r="H3049" s="9" t="n">
        <f aca="false">IF(G3049&gt;0,D3049/G3049,"")</f>
        <v>7.5</v>
      </c>
      <c r="I3049" s="10" t="n">
        <v>46129</v>
      </c>
      <c r="J3049" s="3" t="s">
        <v>1347</v>
      </c>
      <c r="K3049" s="10" t="n">
        <v>46129</v>
      </c>
      <c r="L3049" s="3" t="s">
        <v>18</v>
      </c>
      <c r="M3049" s="7" t="n">
        <v>13</v>
      </c>
      <c r="N3049" s="8" t="n">
        <v>5.0856</v>
      </c>
      <c r="O3049" s="4" t="n">
        <f aca="false">M3049*N3049</f>
        <v>66.1128</v>
      </c>
    </row>
    <row r="3050" customFormat="false" ht="15" hidden="false" customHeight="false" outlineLevel="0" collapsed="false">
      <c r="A3050" s="0" t="s">
        <v>4357</v>
      </c>
      <c r="C3050" s="0" t="s">
        <v>31</v>
      </c>
      <c r="D3050" s="7" t="n">
        <v>944</v>
      </c>
      <c r="E3050" s="8" t="n">
        <v>0.08</v>
      </c>
      <c r="F3050" s="4" t="n">
        <f aca="false">D3050*E3050</f>
        <v>75.52</v>
      </c>
      <c r="G3050" s="7" t="n">
        <v>33</v>
      </c>
      <c r="H3050" s="9" t="n">
        <f aca="false">IF(G3050&gt;0,D3050/G3050,"")</f>
        <v>28.6060606060606</v>
      </c>
      <c r="I3050" s="10" t="n">
        <v>46205</v>
      </c>
      <c r="K3050" s="10"/>
      <c r="M3050" s="7"/>
      <c r="N3050" s="8"/>
      <c r="O3050" s="4"/>
    </row>
    <row r="3051" customFormat="false" ht="15" hidden="false" customHeight="false" outlineLevel="0" collapsed="false">
      <c r="A3051" s="0" t="s">
        <v>4358</v>
      </c>
      <c r="C3051" s="0" t="s">
        <v>1169</v>
      </c>
      <c r="D3051" s="7" t="n">
        <v>1093</v>
      </c>
      <c r="E3051" s="8" t="n">
        <v>0.0690942360475755</v>
      </c>
      <c r="F3051" s="4" t="n">
        <f aca="false">D3051*E3051</f>
        <v>75.52</v>
      </c>
      <c r="G3051" s="7" t="n">
        <v>408</v>
      </c>
      <c r="H3051" s="9" t="n">
        <f aca="false">IF(G3051&gt;0,D3051/G3051,"")</f>
        <v>2.67892156862745</v>
      </c>
      <c r="I3051" s="10" t="n">
        <v>46286</v>
      </c>
      <c r="J3051" s="3" t="s">
        <v>2221</v>
      </c>
      <c r="K3051" s="10" t="n">
        <v>45770</v>
      </c>
      <c r="L3051" s="3" t="s">
        <v>2203</v>
      </c>
      <c r="M3051" s="7" t="n">
        <v>100</v>
      </c>
      <c r="N3051" s="8" t="n">
        <v>0.1776</v>
      </c>
      <c r="O3051" s="4" t="n">
        <f aca="false">M3051*N3051</f>
        <v>17.76</v>
      </c>
    </row>
    <row r="3052" customFormat="false" ht="15" hidden="false" customHeight="false" outlineLevel="0" collapsed="false">
      <c r="A3052" s="0" t="s">
        <v>4359</v>
      </c>
      <c r="C3052" s="0" t="s">
        <v>583</v>
      </c>
      <c r="D3052" s="7" t="n">
        <v>602</v>
      </c>
      <c r="E3052" s="8" t="n">
        <v>0.125448504983389</v>
      </c>
      <c r="F3052" s="4" t="n">
        <f aca="false">D3052*E3052</f>
        <v>75.52</v>
      </c>
      <c r="G3052" s="7" t="n">
        <v>80</v>
      </c>
      <c r="H3052" s="9" t="n">
        <f aca="false">IF(G3052&gt;0,D3052/G3052,"")</f>
        <v>7.525</v>
      </c>
      <c r="I3052" s="10" t="n">
        <v>46171</v>
      </c>
      <c r="J3052" s="3" t="s">
        <v>1318</v>
      </c>
      <c r="K3052" s="10" t="n">
        <v>46213</v>
      </c>
      <c r="L3052" s="3" t="s">
        <v>16</v>
      </c>
      <c r="M3052" s="7" t="n">
        <v>600</v>
      </c>
      <c r="N3052" s="8" t="n">
        <v>0.1244</v>
      </c>
      <c r="O3052" s="4" t="n">
        <f aca="false">M3052*N3052</f>
        <v>74.64</v>
      </c>
    </row>
    <row r="3053" customFormat="false" ht="15" hidden="false" customHeight="false" outlineLevel="0" collapsed="false">
      <c r="A3053" s="0" t="s">
        <v>4360</v>
      </c>
      <c r="C3053" s="0" t="s">
        <v>807</v>
      </c>
      <c r="D3053" s="7" t="n">
        <v>16</v>
      </c>
      <c r="E3053" s="8" t="n">
        <v>4.72</v>
      </c>
      <c r="F3053" s="4" t="n">
        <f aca="false">D3053*E3053</f>
        <v>75.52</v>
      </c>
      <c r="G3053" s="7" t="n">
        <v>10</v>
      </c>
      <c r="H3053" s="9" t="n">
        <f aca="false">IF(G3053&gt;0,D3053/G3053,"")</f>
        <v>1.6</v>
      </c>
      <c r="I3053" s="10" t="n">
        <v>46006</v>
      </c>
      <c r="J3053" s="3" t="s">
        <v>4361</v>
      </c>
      <c r="K3053" s="10" t="n">
        <v>45980</v>
      </c>
      <c r="L3053" s="3" t="s">
        <v>145</v>
      </c>
      <c r="M3053" s="7" t="n">
        <v>26</v>
      </c>
      <c r="N3053" s="8" t="n">
        <v>4.72</v>
      </c>
      <c r="O3053" s="4" t="n">
        <f aca="false">M3053*N3053</f>
        <v>122.72</v>
      </c>
    </row>
    <row r="3054" customFormat="false" ht="15" hidden="false" customHeight="false" outlineLevel="0" collapsed="false">
      <c r="A3054" s="0" t="s">
        <v>4362</v>
      </c>
      <c r="C3054" s="0" t="s">
        <v>4363</v>
      </c>
      <c r="D3054" s="7" t="n">
        <v>6</v>
      </c>
      <c r="E3054" s="8" t="n">
        <v>12.58</v>
      </c>
      <c r="F3054" s="4" t="n">
        <f aca="false">D3054*E3054</f>
        <v>75.48</v>
      </c>
      <c r="G3054" s="7" t="n">
        <v>1</v>
      </c>
      <c r="H3054" s="9" t="n">
        <f aca="false">IF(G3054&gt;0,D3054/G3054,"")</f>
        <v>6</v>
      </c>
      <c r="I3054" s="10" t="n">
        <v>46163</v>
      </c>
      <c r="J3054" s="3" t="s">
        <v>4364</v>
      </c>
      <c r="K3054" s="10" t="n">
        <v>45978</v>
      </c>
      <c r="L3054" s="3" t="s">
        <v>4365</v>
      </c>
      <c r="M3054" s="7" t="n">
        <v>5</v>
      </c>
      <c r="N3054" s="8" t="n">
        <v>12.58</v>
      </c>
      <c r="O3054" s="4" t="n">
        <f aca="false">M3054*N3054</f>
        <v>62.9</v>
      </c>
    </row>
    <row r="3055" customFormat="false" ht="15" hidden="false" customHeight="false" outlineLevel="0" collapsed="false">
      <c r="A3055" s="0" t="s">
        <v>4366</v>
      </c>
      <c r="C3055" s="0" t="s">
        <v>31</v>
      </c>
      <c r="D3055" s="7" t="n">
        <v>1602</v>
      </c>
      <c r="E3055" s="8" t="n">
        <v>0.0470848938826467</v>
      </c>
      <c r="F3055" s="4" t="n">
        <f aca="false">D3055*E3055</f>
        <v>75.43</v>
      </c>
      <c r="G3055" s="7" t="n">
        <v>140</v>
      </c>
      <c r="H3055" s="9" t="n">
        <f aca="false">IF(G3055&gt;0,D3055/G3055,"")</f>
        <v>11.4428571428571</v>
      </c>
      <c r="I3055" s="10" t="n">
        <v>46266</v>
      </c>
      <c r="J3055" s="3" t="s">
        <v>249</v>
      </c>
      <c r="K3055" s="10" t="n">
        <v>44314</v>
      </c>
      <c r="L3055" s="3" t="s">
        <v>15</v>
      </c>
      <c r="M3055" s="7" t="n">
        <v>2060</v>
      </c>
      <c r="N3055" s="8" t="n">
        <v>0.04709</v>
      </c>
      <c r="O3055" s="4" t="n">
        <f aca="false">M3055*N3055</f>
        <v>97.0054</v>
      </c>
    </row>
    <row r="3056" customFormat="false" ht="15" hidden="false" customHeight="false" outlineLevel="0" collapsed="false">
      <c r="A3056" s="0" t="s">
        <v>4367</v>
      </c>
      <c r="C3056" s="0" t="s">
        <v>31</v>
      </c>
      <c r="D3056" s="7" t="n">
        <v>3770</v>
      </c>
      <c r="E3056" s="8" t="n">
        <v>0.02</v>
      </c>
      <c r="F3056" s="4" t="n">
        <f aca="false">D3056*E3056</f>
        <v>75.4</v>
      </c>
      <c r="G3056" s="7" t="n">
        <v>1230</v>
      </c>
      <c r="H3056" s="9" t="n">
        <f aca="false">IF(G3056&gt;0,D3056/G3056,"")</f>
        <v>3.0650406504065</v>
      </c>
      <c r="I3056" s="10" t="n">
        <v>46258</v>
      </c>
      <c r="J3056" s="3" t="s">
        <v>3257</v>
      </c>
      <c r="K3056" s="10" t="n">
        <v>46129</v>
      </c>
      <c r="L3056" s="3" t="s">
        <v>25</v>
      </c>
      <c r="M3056" s="7" t="n">
        <v>5000</v>
      </c>
      <c r="N3056" s="8" t="n">
        <v>0.02</v>
      </c>
      <c r="O3056" s="4" t="n">
        <f aca="false">M3056*N3056</f>
        <v>100</v>
      </c>
    </row>
    <row r="3057" customFormat="false" ht="15" hidden="false" customHeight="false" outlineLevel="0" collapsed="false">
      <c r="A3057" s="0" t="s">
        <v>4368</v>
      </c>
      <c r="C3057" s="0" t="s">
        <v>340</v>
      </c>
      <c r="D3057" s="7" t="n">
        <v>135</v>
      </c>
      <c r="E3057" s="8" t="n">
        <v>0.558518518518519</v>
      </c>
      <c r="F3057" s="4" t="n">
        <f aca="false">D3057*E3057</f>
        <v>75.4</v>
      </c>
      <c r="G3057" s="7" t="n">
        <v>10</v>
      </c>
      <c r="H3057" s="9" t="n">
        <f aca="false">IF(G3057&gt;0,D3057/G3057,"")</f>
        <v>13.5</v>
      </c>
      <c r="I3057" s="10" t="n">
        <v>46150</v>
      </c>
      <c r="J3057" s="3" t="s">
        <v>2321</v>
      </c>
      <c r="K3057" s="10" t="n">
        <v>46094</v>
      </c>
      <c r="L3057" s="3" t="s">
        <v>16</v>
      </c>
      <c r="M3057" s="7" t="n">
        <v>145</v>
      </c>
      <c r="N3057" s="8" t="n">
        <v>0.5585</v>
      </c>
      <c r="O3057" s="4" t="n">
        <f aca="false">M3057*N3057</f>
        <v>80.9825</v>
      </c>
    </row>
    <row r="3058" customFormat="false" ht="15" hidden="false" customHeight="false" outlineLevel="0" collapsed="false">
      <c r="A3058" s="0" t="s">
        <v>4369</v>
      </c>
      <c r="C3058" s="0" t="s">
        <v>32</v>
      </c>
      <c r="D3058" s="7" t="n">
        <v>2534</v>
      </c>
      <c r="E3058" s="8" t="n">
        <v>0.0297355958958169</v>
      </c>
      <c r="F3058" s="4" t="n">
        <f aca="false">D3058*E3058</f>
        <v>75.35</v>
      </c>
      <c r="G3058" s="7" t="n">
        <v>878</v>
      </c>
      <c r="H3058" s="9" t="n">
        <f aca="false">IF(G3058&gt;0,D3058/G3058,"")</f>
        <v>2.88610478359909</v>
      </c>
      <c r="I3058" s="10" t="n">
        <v>46279</v>
      </c>
      <c r="J3058" s="3" t="s">
        <v>2506</v>
      </c>
      <c r="K3058" s="10" t="n">
        <v>45911</v>
      </c>
      <c r="L3058" s="3" t="s">
        <v>18</v>
      </c>
      <c r="M3058" s="7" t="n">
        <v>3000</v>
      </c>
      <c r="N3058" s="8" t="n">
        <v>0.0297</v>
      </c>
      <c r="O3058" s="4" t="n">
        <f aca="false">M3058*N3058</f>
        <v>89.1</v>
      </c>
    </row>
    <row r="3059" customFormat="false" ht="15" hidden="false" customHeight="false" outlineLevel="0" collapsed="false">
      <c r="A3059" s="0" t="s">
        <v>4370</v>
      </c>
      <c r="D3059" s="7" t="n">
        <v>16</v>
      </c>
      <c r="E3059" s="8" t="n">
        <v>4.706875</v>
      </c>
      <c r="F3059" s="4" t="n">
        <f aca="false">D3059*E3059</f>
        <v>75.31</v>
      </c>
      <c r="G3059" s="7" t="n">
        <v>1</v>
      </c>
      <c r="H3059" s="9" t="n">
        <f aca="false">IF(G3059&gt;0,D3059/G3059,"")</f>
        <v>16</v>
      </c>
      <c r="I3059" s="10" t="n">
        <v>46129</v>
      </c>
      <c r="K3059" s="10"/>
      <c r="M3059" s="7"/>
      <c r="N3059" s="8"/>
      <c r="O3059" s="4"/>
    </row>
    <row r="3060" customFormat="false" ht="15" hidden="false" customHeight="false" outlineLevel="0" collapsed="false">
      <c r="A3060" s="0" t="s">
        <v>4371</v>
      </c>
      <c r="C3060" s="0" t="s">
        <v>34</v>
      </c>
      <c r="D3060" s="7" t="n">
        <v>274</v>
      </c>
      <c r="E3060" s="8" t="n">
        <v>0.274452554744526</v>
      </c>
      <c r="F3060" s="4" t="n">
        <f aca="false">D3060*E3060</f>
        <v>75.2</v>
      </c>
      <c r="G3060" s="7" t="n">
        <v>26</v>
      </c>
      <c r="H3060" s="9" t="n">
        <f aca="false">IF(G3060&gt;0,D3060/G3060,"")</f>
        <v>10.5384615384615</v>
      </c>
      <c r="I3060" s="10" t="n">
        <v>46281</v>
      </c>
      <c r="J3060" s="3" t="s">
        <v>2392</v>
      </c>
      <c r="K3060" s="10" t="n">
        <v>46274</v>
      </c>
      <c r="L3060" s="3" t="s">
        <v>16</v>
      </c>
      <c r="M3060" s="7" t="n">
        <v>250</v>
      </c>
      <c r="N3060" s="8" t="n">
        <v>0.2131</v>
      </c>
      <c r="O3060" s="4" t="n">
        <f aca="false">M3060*N3060</f>
        <v>53.275</v>
      </c>
    </row>
    <row r="3061" customFormat="false" ht="15" hidden="false" customHeight="false" outlineLevel="0" collapsed="false">
      <c r="A3061" s="0" t="s">
        <v>4372</v>
      </c>
      <c r="C3061" s="0" t="s">
        <v>40</v>
      </c>
      <c r="D3061" s="7" t="n">
        <v>423</v>
      </c>
      <c r="E3061" s="8" t="n">
        <v>0.177754137115839</v>
      </c>
      <c r="F3061" s="4" t="n">
        <f aca="false">D3061*E3061</f>
        <v>75.19</v>
      </c>
      <c r="G3061" s="7" t="n">
        <v>31</v>
      </c>
      <c r="H3061" s="9" t="n">
        <f aca="false">IF(G3061&gt;0,D3061/G3061,"")</f>
        <v>13.6451612903226</v>
      </c>
      <c r="I3061" s="10" t="n">
        <v>46252</v>
      </c>
      <c r="J3061" s="3" t="s">
        <v>3845</v>
      </c>
      <c r="K3061" s="10" t="n">
        <v>44238</v>
      </c>
      <c r="L3061" s="3" t="s">
        <v>18</v>
      </c>
      <c r="M3061" s="7" t="n">
        <v>560</v>
      </c>
      <c r="N3061" s="8" t="n">
        <v>0.1778</v>
      </c>
      <c r="O3061" s="4" t="n">
        <f aca="false">M3061*N3061</f>
        <v>99.568</v>
      </c>
    </row>
    <row r="3062" customFormat="false" ht="15" hidden="false" customHeight="false" outlineLevel="0" collapsed="false">
      <c r="A3062" s="0" t="s">
        <v>4373</v>
      </c>
      <c r="C3062" s="0" t="s">
        <v>33</v>
      </c>
      <c r="D3062" s="7" t="n">
        <v>59</v>
      </c>
      <c r="E3062" s="8" t="n">
        <v>1.27440677966102</v>
      </c>
      <c r="F3062" s="4" t="n">
        <f aca="false">D3062*E3062</f>
        <v>75.19</v>
      </c>
      <c r="G3062" s="7" t="n">
        <v>23</v>
      </c>
      <c r="H3062" s="9" t="n">
        <f aca="false">IF(G3062&gt;0,D3062/G3062,"")</f>
        <v>2.56521739130435</v>
      </c>
      <c r="I3062" s="10" t="n">
        <v>46197</v>
      </c>
      <c r="J3062" s="3" t="s">
        <v>3946</v>
      </c>
      <c r="K3062" s="10" t="n">
        <v>45933</v>
      </c>
      <c r="L3062" s="3" t="s">
        <v>18</v>
      </c>
      <c r="M3062" s="7" t="n">
        <v>75</v>
      </c>
      <c r="N3062" s="8" t="n">
        <v>1.2657</v>
      </c>
      <c r="O3062" s="4" t="n">
        <f aca="false">M3062*N3062</f>
        <v>94.9275</v>
      </c>
    </row>
    <row r="3063" customFormat="false" ht="15" hidden="false" customHeight="false" outlineLevel="0" collapsed="false">
      <c r="A3063" s="0" t="s">
        <v>4374</v>
      </c>
      <c r="C3063" s="0" t="s">
        <v>40</v>
      </c>
      <c r="D3063" s="7" t="n">
        <v>20108</v>
      </c>
      <c r="E3063" s="8" t="n">
        <v>0.0037363238512035</v>
      </c>
      <c r="F3063" s="4" t="n">
        <f aca="false">D3063*E3063</f>
        <v>75.13</v>
      </c>
      <c r="G3063" s="7" t="n">
        <v>380</v>
      </c>
      <c r="H3063" s="9" t="n">
        <f aca="false">IF(G3063&gt;0,D3063/G3063,"")</f>
        <v>52.9157894736842</v>
      </c>
      <c r="I3063" s="10" t="n">
        <v>46210</v>
      </c>
      <c r="J3063" s="3" t="s">
        <v>4375</v>
      </c>
      <c r="K3063" s="10" t="n">
        <v>44683</v>
      </c>
      <c r="L3063" s="3" t="s">
        <v>18</v>
      </c>
      <c r="M3063" s="7" t="n">
        <v>26172</v>
      </c>
      <c r="N3063" s="8" t="n">
        <v>0.0042</v>
      </c>
      <c r="O3063" s="4" t="n">
        <v>100.8</v>
      </c>
    </row>
    <row r="3064" customFormat="false" ht="15" hidden="false" customHeight="false" outlineLevel="0" collapsed="false">
      <c r="A3064" s="0" t="s">
        <v>4376</v>
      </c>
      <c r="C3064" s="0" t="s">
        <v>583</v>
      </c>
      <c r="D3064" s="7" t="n">
        <v>346</v>
      </c>
      <c r="E3064" s="8" t="n">
        <v>0.216878612716763</v>
      </c>
      <c r="F3064" s="4" t="n">
        <f aca="false">D3064*E3064</f>
        <v>75.04</v>
      </c>
      <c r="G3064" s="7" t="n">
        <v>54</v>
      </c>
      <c r="H3064" s="9" t="n">
        <f aca="false">IF(G3064&gt;0,D3064/G3064,"")</f>
        <v>6.40740740740741</v>
      </c>
      <c r="I3064" s="10" t="n">
        <v>46171</v>
      </c>
      <c r="J3064" s="3" t="s">
        <v>3821</v>
      </c>
      <c r="K3064" s="10" t="n">
        <v>45980</v>
      </c>
      <c r="L3064" s="3" t="s">
        <v>19</v>
      </c>
      <c r="M3064" s="7" t="n">
        <v>50</v>
      </c>
      <c r="N3064" s="8" t="n">
        <v>0.6231</v>
      </c>
      <c r="O3064" s="4" t="n">
        <f aca="false">M3064*N3064</f>
        <v>31.155</v>
      </c>
    </row>
    <row r="3065" customFormat="false" ht="15" hidden="false" customHeight="false" outlineLevel="0" collapsed="false">
      <c r="A3065" s="0" t="s">
        <v>4377</v>
      </c>
      <c r="C3065" s="0" t="s">
        <v>855</v>
      </c>
      <c r="D3065" s="7" t="n">
        <v>12903</v>
      </c>
      <c r="E3065" s="8" t="n">
        <v>0.00579942648996357</v>
      </c>
      <c r="F3065" s="4" t="n">
        <f aca="false">D3065*E3065</f>
        <v>74.83</v>
      </c>
      <c r="G3065" s="7" t="n">
        <v>144</v>
      </c>
      <c r="H3065" s="9" t="n">
        <f aca="false">IF(G3065&gt;0,D3065/G3065,"")</f>
        <v>89.6041666666667</v>
      </c>
      <c r="I3065" s="10" t="n">
        <v>46181</v>
      </c>
      <c r="J3065" s="3" t="s">
        <v>1830</v>
      </c>
      <c r="K3065" s="10" t="n">
        <v>45614</v>
      </c>
      <c r="L3065" s="3" t="s">
        <v>16</v>
      </c>
      <c r="M3065" s="7" t="n">
        <v>13268</v>
      </c>
      <c r="N3065" s="8" t="n">
        <v>0.0058</v>
      </c>
      <c r="O3065" s="4" t="n">
        <f aca="false">M3065*N3065</f>
        <v>76.9544</v>
      </c>
    </row>
    <row r="3066" customFormat="false" ht="15" hidden="false" customHeight="false" outlineLevel="0" collapsed="false">
      <c r="A3066" s="0" t="s">
        <v>4378</v>
      </c>
      <c r="C3066" s="0" t="s">
        <v>34</v>
      </c>
      <c r="D3066" s="7" t="n">
        <v>3543</v>
      </c>
      <c r="E3066" s="8" t="n">
        <v>0.0211176968670618</v>
      </c>
      <c r="F3066" s="4" t="n">
        <f aca="false">D3066*E3066</f>
        <v>74.82</v>
      </c>
      <c r="G3066" s="7" t="n">
        <v>1346</v>
      </c>
      <c r="H3066" s="9" t="n">
        <f aca="false">IF(G3066&gt;0,D3066/G3066,"")</f>
        <v>2.63224368499257</v>
      </c>
      <c r="I3066" s="10" t="n">
        <v>46288</v>
      </c>
      <c r="J3066" s="3" t="s">
        <v>3187</v>
      </c>
      <c r="K3066" s="10" t="n">
        <v>44623</v>
      </c>
      <c r="L3066" s="3" t="s">
        <v>15</v>
      </c>
      <c r="M3066" s="7" t="n">
        <v>7714</v>
      </c>
      <c r="N3066" s="8" t="n">
        <v>0</v>
      </c>
      <c r="O3066" s="4" t="n">
        <v>163.24</v>
      </c>
    </row>
    <row r="3067" customFormat="false" ht="15" hidden="false" customHeight="false" outlineLevel="0" collapsed="false">
      <c r="A3067" s="0" t="s">
        <v>4379</v>
      </c>
      <c r="C3067" s="0" t="s">
        <v>39</v>
      </c>
      <c r="D3067" s="7" t="n">
        <v>100</v>
      </c>
      <c r="E3067" s="8" t="n">
        <v>0.7481</v>
      </c>
      <c r="F3067" s="4" t="n">
        <f aca="false">D3067*E3067</f>
        <v>74.81</v>
      </c>
      <c r="G3067" s="7" t="n">
        <v>32</v>
      </c>
      <c r="H3067" s="9" t="n">
        <f aca="false">IF(G3067&gt;0,D3067/G3067,"")</f>
        <v>3.125</v>
      </c>
      <c r="I3067" s="10" t="n">
        <v>46126</v>
      </c>
      <c r="J3067" s="3" t="s">
        <v>693</v>
      </c>
      <c r="K3067" s="10" t="n">
        <v>46304</v>
      </c>
      <c r="L3067" s="3" t="s">
        <v>14</v>
      </c>
      <c r="M3067" s="7" t="n">
        <v>100</v>
      </c>
      <c r="N3067" s="8" t="n">
        <v>0.7481</v>
      </c>
      <c r="O3067" s="4" t="n">
        <f aca="false">M3067*N3067</f>
        <v>74.81</v>
      </c>
    </row>
    <row r="3068" customFormat="false" ht="15" hidden="false" customHeight="false" outlineLevel="0" collapsed="false">
      <c r="A3068" s="0" t="s">
        <v>4380</v>
      </c>
      <c r="C3068" s="0" t="s">
        <v>33</v>
      </c>
      <c r="D3068" s="7" t="n">
        <v>99</v>
      </c>
      <c r="E3068" s="8" t="n">
        <v>0.755555555555556</v>
      </c>
      <c r="F3068" s="4" t="n">
        <f aca="false">D3068*E3068</f>
        <v>74.8</v>
      </c>
      <c r="G3068" s="7" t="n">
        <v>38</v>
      </c>
      <c r="H3068" s="9" t="n">
        <f aca="false">IF(G3068&gt;0,D3068/G3068,"")</f>
        <v>2.60526315789474</v>
      </c>
      <c r="I3068" s="10" t="n">
        <v>46290</v>
      </c>
      <c r="J3068" s="3" t="s">
        <v>2244</v>
      </c>
      <c r="K3068" s="10" t="n">
        <v>46098</v>
      </c>
      <c r="L3068" s="3" t="s">
        <v>18</v>
      </c>
      <c r="M3068" s="7" t="n">
        <v>130</v>
      </c>
      <c r="N3068" s="8" t="n">
        <v>0.7563</v>
      </c>
      <c r="O3068" s="4" t="n">
        <f aca="false">M3068*N3068</f>
        <v>98.319</v>
      </c>
    </row>
    <row r="3069" customFormat="false" ht="15" hidden="false" customHeight="false" outlineLevel="0" collapsed="false">
      <c r="A3069" s="0" t="s">
        <v>4381</v>
      </c>
      <c r="C3069" s="0" t="s">
        <v>31</v>
      </c>
      <c r="D3069" s="7" t="n">
        <v>5402</v>
      </c>
      <c r="E3069" s="8" t="n">
        <v>0.0138004442798963</v>
      </c>
      <c r="F3069" s="4" t="n">
        <f aca="false">D3069*E3069</f>
        <v>74.55</v>
      </c>
      <c r="G3069" s="7" t="n">
        <v>1407</v>
      </c>
      <c r="H3069" s="9" t="n">
        <f aca="false">IF(G3069&gt;0,D3069/G3069,"")</f>
        <v>3.83937455579247</v>
      </c>
      <c r="I3069" s="10" t="n">
        <v>46276</v>
      </c>
      <c r="J3069" s="3" t="s">
        <v>2043</v>
      </c>
      <c r="K3069" s="10" t="n">
        <v>46104</v>
      </c>
      <c r="L3069" s="3" t="s">
        <v>16</v>
      </c>
      <c r="M3069" s="7" t="n">
        <v>6392</v>
      </c>
      <c r="N3069" s="8" t="n">
        <v>0.0138</v>
      </c>
      <c r="O3069" s="4" t="n">
        <f aca="false">M3069*N3069</f>
        <v>88.2096</v>
      </c>
    </row>
    <row r="3070" customFormat="false" ht="15" hidden="false" customHeight="false" outlineLevel="0" collapsed="false">
      <c r="A3070" s="0" t="s">
        <v>4382</v>
      </c>
      <c r="C3070" s="0" t="s">
        <v>1169</v>
      </c>
      <c r="D3070" s="7" t="n">
        <v>2259</v>
      </c>
      <c r="E3070" s="8" t="n">
        <v>0.0329969012837539</v>
      </c>
      <c r="F3070" s="4" t="n">
        <f aca="false">D3070*E3070</f>
        <v>74.54</v>
      </c>
      <c r="G3070" s="7" t="n">
        <v>87</v>
      </c>
      <c r="H3070" s="9" t="n">
        <f aca="false">IF(G3070&gt;0,D3070/G3070,"")</f>
        <v>25.9655172413793</v>
      </c>
      <c r="I3070" s="10" t="n">
        <v>46261</v>
      </c>
      <c r="J3070" s="3" t="s">
        <v>4383</v>
      </c>
      <c r="K3070" s="10" t="n">
        <v>44369</v>
      </c>
      <c r="L3070" s="3" t="s">
        <v>14</v>
      </c>
      <c r="M3070" s="7" t="n">
        <v>100</v>
      </c>
      <c r="N3070" s="8" t="n">
        <v>0.0737</v>
      </c>
      <c r="O3070" s="4" t="n">
        <f aca="false">M3070*N3070</f>
        <v>7.37</v>
      </c>
    </row>
    <row r="3071" customFormat="false" ht="15" hidden="false" customHeight="false" outlineLevel="0" collapsed="false">
      <c r="A3071" s="0" t="s">
        <v>4384</v>
      </c>
      <c r="C3071" s="0" t="s">
        <v>40</v>
      </c>
      <c r="D3071" s="7" t="n">
        <v>2053</v>
      </c>
      <c r="E3071" s="8" t="n">
        <v>0.0363029712615684</v>
      </c>
      <c r="F3071" s="4" t="n">
        <f aca="false">D3071*E3071</f>
        <v>74.53</v>
      </c>
      <c r="G3071" s="7" t="n">
        <v>265</v>
      </c>
      <c r="H3071" s="9" t="n">
        <f aca="false">IF(G3071&gt;0,D3071/G3071,"")</f>
        <v>7.74716981132076</v>
      </c>
      <c r="I3071" s="10" t="n">
        <v>46273</v>
      </c>
      <c r="J3071" s="3" t="s">
        <v>3105</v>
      </c>
      <c r="K3071" s="10" t="n">
        <v>45405</v>
      </c>
      <c r="L3071" s="3" t="s">
        <v>18</v>
      </c>
      <c r="M3071" s="7" t="n">
        <v>2800</v>
      </c>
      <c r="N3071" s="8" t="n">
        <v>0.0363</v>
      </c>
      <c r="O3071" s="4" t="n">
        <f aca="false">M3071*N3071</f>
        <v>101.64</v>
      </c>
    </row>
    <row r="3072" customFormat="false" ht="15" hidden="false" customHeight="false" outlineLevel="0" collapsed="false">
      <c r="A3072" s="0" t="s">
        <v>4385</v>
      </c>
      <c r="C3072" s="0" t="s">
        <v>285</v>
      </c>
      <c r="D3072" s="7" t="n">
        <v>1862</v>
      </c>
      <c r="E3072" s="8" t="n">
        <v>0.04</v>
      </c>
      <c r="F3072" s="4" t="n">
        <f aca="false">D3072*E3072</f>
        <v>74.48</v>
      </c>
      <c r="G3072" s="7" t="n">
        <v>42</v>
      </c>
      <c r="H3072" s="9" t="n">
        <f aca="false">IF(G3072&gt;0,D3072/G3072,"")</f>
        <v>44.3333333333333</v>
      </c>
      <c r="I3072" s="10" t="n">
        <v>46140</v>
      </c>
      <c r="J3072" s="3" t="s">
        <v>4386</v>
      </c>
      <c r="K3072" s="10" t="n">
        <v>44199</v>
      </c>
      <c r="L3072" s="3" t="s">
        <v>15</v>
      </c>
      <c r="M3072" s="7" t="n">
        <v>7</v>
      </c>
      <c r="N3072" s="8" t="n">
        <v>0.04</v>
      </c>
      <c r="O3072" s="4" t="n">
        <f aca="false">M3072*N3072</f>
        <v>0.28</v>
      </c>
    </row>
    <row r="3073" customFormat="false" ht="15" hidden="false" customHeight="false" outlineLevel="0" collapsed="false">
      <c r="A3073" s="0" t="s">
        <v>4387</v>
      </c>
      <c r="C3073" s="0" t="s">
        <v>370</v>
      </c>
      <c r="D3073" s="7" t="n">
        <v>1655</v>
      </c>
      <c r="E3073" s="8" t="n">
        <v>0.0449969788519638</v>
      </c>
      <c r="F3073" s="4" t="n">
        <f aca="false">D3073*E3073</f>
        <v>74.47</v>
      </c>
      <c r="G3073" s="7" t="n">
        <v>388</v>
      </c>
      <c r="H3073" s="9" t="n">
        <f aca="false">IF(G3073&gt;0,D3073/G3073,"")</f>
        <v>4.26546391752577</v>
      </c>
      <c r="I3073" s="10" t="n">
        <v>46294</v>
      </c>
      <c r="J3073" s="3" t="s">
        <v>2900</v>
      </c>
      <c r="K3073" s="10" t="n">
        <v>45468</v>
      </c>
      <c r="L3073" s="3" t="s">
        <v>21</v>
      </c>
      <c r="M3073" s="7" t="n">
        <v>2500</v>
      </c>
      <c r="N3073" s="8" t="n">
        <v>0.045</v>
      </c>
      <c r="O3073" s="4" t="n">
        <f aca="false">M3073*N3073</f>
        <v>112.5</v>
      </c>
    </row>
    <row r="3074" customFormat="false" ht="15" hidden="false" customHeight="false" outlineLevel="0" collapsed="false">
      <c r="A3074" s="0" t="s">
        <v>4388</v>
      </c>
      <c r="C3074" s="0" t="s">
        <v>32</v>
      </c>
      <c r="D3074" s="7" t="n">
        <v>260</v>
      </c>
      <c r="E3074" s="8" t="n">
        <v>0.286346153846154</v>
      </c>
      <c r="F3074" s="4" t="n">
        <f aca="false">D3074*E3074</f>
        <v>74.45</v>
      </c>
      <c r="G3074" s="7" t="n">
        <v>141</v>
      </c>
      <c r="H3074" s="9" t="n">
        <f aca="false">IF(G3074&gt;0,D3074/G3074,"")</f>
        <v>1.84397163120567</v>
      </c>
      <c r="I3074" s="10" t="n">
        <v>46308</v>
      </c>
      <c r="J3074" s="3" t="s">
        <v>3444</v>
      </c>
      <c r="K3074" s="10" t="n">
        <v>45925</v>
      </c>
      <c r="L3074" s="3" t="s">
        <v>18</v>
      </c>
      <c r="M3074" s="7" t="n">
        <v>391</v>
      </c>
      <c r="N3074" s="8" t="n">
        <v>0.2863</v>
      </c>
      <c r="O3074" s="4" t="n">
        <f aca="false">M3074*N3074</f>
        <v>111.9433</v>
      </c>
    </row>
    <row r="3075" customFormat="false" ht="15" hidden="false" customHeight="false" outlineLevel="0" collapsed="false">
      <c r="A3075" s="0" t="s">
        <v>4389</v>
      </c>
      <c r="C3075" s="0" t="s">
        <v>31</v>
      </c>
      <c r="D3075" s="7" t="n">
        <v>30761</v>
      </c>
      <c r="E3075" s="8" t="n">
        <v>0.00242027242287312</v>
      </c>
      <c r="F3075" s="4" t="n">
        <f aca="false">D3075*E3075</f>
        <v>74.45</v>
      </c>
      <c r="G3075" s="7" t="n">
        <v>3320</v>
      </c>
      <c r="H3075" s="9" t="n">
        <f aca="false">IF(G3075&gt;0,D3075/G3075,"")</f>
        <v>9.26536144578313</v>
      </c>
      <c r="I3075" s="10" t="n">
        <v>46310</v>
      </c>
      <c r="J3075" s="3" t="s">
        <v>1626</v>
      </c>
      <c r="K3075" s="10" t="n">
        <v>45700</v>
      </c>
      <c r="L3075" s="3" t="s">
        <v>15</v>
      </c>
      <c r="M3075" s="7" t="n">
        <v>35687</v>
      </c>
      <c r="N3075" s="8" t="n">
        <v>0.00242</v>
      </c>
      <c r="O3075" s="4" t="n">
        <f aca="false">M3075*N3075</f>
        <v>86.36254</v>
      </c>
    </row>
    <row r="3076" customFormat="false" ht="15" hidden="false" customHeight="false" outlineLevel="0" collapsed="false">
      <c r="A3076" s="0" t="s">
        <v>4390</v>
      </c>
      <c r="C3076" s="0" t="s">
        <v>40</v>
      </c>
      <c r="D3076" s="7" t="n">
        <v>1525</v>
      </c>
      <c r="E3076" s="8" t="n">
        <v>0.0488</v>
      </c>
      <c r="F3076" s="4" t="n">
        <f aca="false">D3076*E3076</f>
        <v>74.42</v>
      </c>
      <c r="G3076" s="7" t="n">
        <v>339</v>
      </c>
      <c r="H3076" s="9" t="n">
        <f aca="false">IF(G3076&gt;0,D3076/G3076,"")</f>
        <v>4.49852507374631</v>
      </c>
      <c r="I3076" s="10" t="n">
        <v>46258</v>
      </c>
      <c r="J3076" s="3" t="s">
        <v>4391</v>
      </c>
      <c r="K3076" s="10" t="n">
        <v>45757</v>
      </c>
      <c r="L3076" s="3" t="s">
        <v>18</v>
      </c>
      <c r="M3076" s="7" t="n">
        <v>2000</v>
      </c>
      <c r="N3076" s="8" t="n">
        <v>0.0488</v>
      </c>
      <c r="O3076" s="4" t="n">
        <f aca="false">M3076*N3076</f>
        <v>97.6</v>
      </c>
    </row>
    <row r="3077" customFormat="false" ht="15" hidden="false" customHeight="false" outlineLevel="0" collapsed="false">
      <c r="A3077" s="0" t="s">
        <v>4392</v>
      </c>
      <c r="C3077" s="0" t="s">
        <v>40</v>
      </c>
      <c r="D3077" s="7" t="n">
        <v>591</v>
      </c>
      <c r="E3077" s="8" t="n">
        <v>0.12590524534687</v>
      </c>
      <c r="F3077" s="4" t="n">
        <f aca="false">D3077*E3077</f>
        <v>74.41</v>
      </c>
      <c r="G3077" s="7" t="n">
        <v>56</v>
      </c>
      <c r="H3077" s="9" t="n">
        <f aca="false">IF(G3077&gt;0,D3077/G3077,"")</f>
        <v>10.5535714285714</v>
      </c>
      <c r="I3077" s="10" t="n">
        <v>46197</v>
      </c>
      <c r="J3077" s="3" t="s">
        <v>2449</v>
      </c>
      <c r="K3077" s="10" t="n">
        <v>45434</v>
      </c>
      <c r="L3077" s="3" t="s">
        <v>18</v>
      </c>
      <c r="M3077" s="7" t="n">
        <v>800</v>
      </c>
      <c r="N3077" s="8" t="n">
        <v>0.1259</v>
      </c>
      <c r="O3077" s="4" t="n">
        <f aca="false">M3077*N3077</f>
        <v>100.72</v>
      </c>
    </row>
    <row r="3078" customFormat="false" ht="15" hidden="false" customHeight="false" outlineLevel="0" collapsed="false">
      <c r="A3078" s="0" t="s">
        <v>4393</v>
      </c>
      <c r="C3078" s="0" t="s">
        <v>34</v>
      </c>
      <c r="D3078" s="7" t="n">
        <v>3733</v>
      </c>
      <c r="E3078" s="8" t="n">
        <v>0.0199008840075007</v>
      </c>
      <c r="F3078" s="4" t="n">
        <f aca="false">D3078*E3078</f>
        <v>74.29</v>
      </c>
      <c r="G3078" s="7" t="n">
        <v>770</v>
      </c>
      <c r="H3078" s="9" t="n">
        <f aca="false">IF(G3078&gt;0,D3078/G3078,"")</f>
        <v>4.84805194805195</v>
      </c>
      <c r="I3078" s="10" t="n">
        <v>46121</v>
      </c>
      <c r="J3078" s="3" t="s">
        <v>2043</v>
      </c>
      <c r="K3078" s="10" t="n">
        <v>46104</v>
      </c>
      <c r="L3078" s="3" t="s">
        <v>16</v>
      </c>
      <c r="M3078" s="7" t="n">
        <v>4100</v>
      </c>
      <c r="N3078" s="8" t="n">
        <v>0.0199</v>
      </c>
      <c r="O3078" s="4" t="n">
        <f aca="false">M3078*N3078</f>
        <v>81.59</v>
      </c>
    </row>
    <row r="3079" customFormat="false" ht="15" hidden="false" customHeight="false" outlineLevel="0" collapsed="false">
      <c r="A3079" s="0" t="s">
        <v>4394</v>
      </c>
      <c r="C3079" s="0" t="s">
        <v>32</v>
      </c>
      <c r="D3079" s="7" t="n">
        <v>608</v>
      </c>
      <c r="E3079" s="8" t="n">
        <v>0.122138157894737</v>
      </c>
      <c r="F3079" s="4" t="n">
        <f aca="false">D3079*E3079</f>
        <v>74.26</v>
      </c>
      <c r="G3079" s="7" t="n">
        <v>40</v>
      </c>
      <c r="H3079" s="9" t="n">
        <f aca="false">IF(G3079&gt;0,D3079/G3079,"")</f>
        <v>15.2</v>
      </c>
      <c r="I3079" s="10" t="n">
        <v>46294</v>
      </c>
      <c r="J3079" s="3" t="s">
        <v>1068</v>
      </c>
      <c r="K3079" s="10" t="n">
        <v>45984</v>
      </c>
      <c r="L3079" s="3" t="s">
        <v>18</v>
      </c>
      <c r="M3079" s="7" t="n">
        <v>500</v>
      </c>
      <c r="N3079" s="8" t="n">
        <v>0.1224</v>
      </c>
      <c r="O3079" s="4" t="n">
        <f aca="false">M3079*N3079</f>
        <v>61.2</v>
      </c>
    </row>
    <row r="3080" customFormat="false" ht="15" hidden="false" customHeight="false" outlineLevel="0" collapsed="false">
      <c r="A3080" s="0" t="s">
        <v>4395</v>
      </c>
      <c r="C3080" s="0" t="s">
        <v>40</v>
      </c>
      <c r="D3080" s="7" t="n">
        <v>555</v>
      </c>
      <c r="E3080" s="8" t="n">
        <v>0.133783783783784</v>
      </c>
      <c r="F3080" s="4" t="n">
        <f aca="false">D3080*E3080</f>
        <v>74.25</v>
      </c>
      <c r="G3080" s="7" t="n">
        <v>95</v>
      </c>
      <c r="H3080" s="9" t="n">
        <f aca="false">IF(G3080&gt;0,D3080/G3080,"")</f>
        <v>5.8421052631579</v>
      </c>
      <c r="I3080" s="10" t="n">
        <v>46253</v>
      </c>
      <c r="J3080" s="3" t="s">
        <v>3444</v>
      </c>
      <c r="K3080" s="10" t="n">
        <v>45925</v>
      </c>
      <c r="L3080" s="3" t="s">
        <v>18</v>
      </c>
      <c r="M3080" s="7" t="n">
        <v>700</v>
      </c>
      <c r="N3080" s="8" t="n">
        <v>0.1338</v>
      </c>
      <c r="O3080" s="4" t="n">
        <f aca="false">M3080*N3080</f>
        <v>93.66</v>
      </c>
    </row>
    <row r="3081" customFormat="false" ht="15" hidden="false" customHeight="false" outlineLevel="0" collapsed="false">
      <c r="A3081" s="0" t="s">
        <v>4396</v>
      </c>
      <c r="C3081" s="0" t="s">
        <v>298</v>
      </c>
      <c r="D3081" s="7" t="n">
        <v>1282</v>
      </c>
      <c r="E3081" s="8" t="n">
        <v>0.0578861154446178</v>
      </c>
      <c r="F3081" s="4" t="n">
        <f aca="false">D3081*E3081</f>
        <v>74.21</v>
      </c>
      <c r="G3081" s="7" t="n">
        <v>30</v>
      </c>
      <c r="H3081" s="9" t="n">
        <f aca="false">IF(G3081&gt;0,D3081/G3081,"")</f>
        <v>42.7333333333333</v>
      </c>
      <c r="I3081" s="10" t="n">
        <v>46252</v>
      </c>
      <c r="J3081" s="3" t="s">
        <v>4397</v>
      </c>
      <c r="K3081" s="10" t="n">
        <v>44628</v>
      </c>
      <c r="L3081" s="3" t="s">
        <v>14</v>
      </c>
      <c r="M3081" s="7" t="n">
        <v>235</v>
      </c>
      <c r="N3081" s="8" t="n">
        <v>0.1389</v>
      </c>
      <c r="O3081" s="4" t="n">
        <f aca="false">M3081*N3081</f>
        <v>32.6415</v>
      </c>
    </row>
    <row r="3082" customFormat="false" ht="15" hidden="false" customHeight="false" outlineLevel="0" collapsed="false">
      <c r="A3082" s="0" t="s">
        <v>4398</v>
      </c>
      <c r="C3082" s="0" t="s">
        <v>31</v>
      </c>
      <c r="D3082" s="7" t="n">
        <v>36681</v>
      </c>
      <c r="E3082" s="8" t="n">
        <v>0.00202202775278755</v>
      </c>
      <c r="F3082" s="4" t="n">
        <f aca="false">D3082*E3082</f>
        <v>74.17</v>
      </c>
      <c r="G3082" s="7" t="n">
        <v>10062</v>
      </c>
      <c r="H3082" s="9" t="n">
        <f aca="false">IF(G3082&gt;0,D3082/G3082,"")</f>
        <v>3.64549791293977</v>
      </c>
      <c r="I3082" s="10" t="n">
        <v>46309</v>
      </c>
      <c r="J3082" s="3" t="s">
        <v>4399</v>
      </c>
      <c r="K3082" s="10" t="n">
        <v>45407</v>
      </c>
      <c r="L3082" s="3" t="s">
        <v>19</v>
      </c>
      <c r="M3082" s="7" t="n">
        <v>14737</v>
      </c>
      <c r="N3082" s="8" t="n">
        <v>0.012</v>
      </c>
      <c r="O3082" s="4" t="n">
        <f aca="false">M3082*N3082</f>
        <v>176.844</v>
      </c>
    </row>
    <row r="3083" customFormat="false" ht="15" hidden="false" customHeight="false" outlineLevel="0" collapsed="false">
      <c r="A3083" s="0" t="s">
        <v>4400</v>
      </c>
      <c r="C3083" s="0" t="s">
        <v>39</v>
      </c>
      <c r="D3083" s="7" t="n">
        <v>1644</v>
      </c>
      <c r="E3083" s="8" t="n">
        <v>0.0450973236009732</v>
      </c>
      <c r="F3083" s="4" t="n">
        <f aca="false">D3083*E3083</f>
        <v>74.14</v>
      </c>
      <c r="G3083" s="7" t="n">
        <v>1490</v>
      </c>
      <c r="H3083" s="9" t="n">
        <f aca="false">IF(G3083&gt;0,D3083/G3083,"")</f>
        <v>1.10335570469799</v>
      </c>
      <c r="I3083" s="10" t="n">
        <v>46316</v>
      </c>
      <c r="J3083" s="3" t="s">
        <v>4250</v>
      </c>
      <c r="K3083" s="10" t="n">
        <v>45659</v>
      </c>
      <c r="L3083" s="3" t="s">
        <v>18</v>
      </c>
      <c r="M3083" s="7" t="n">
        <v>2100</v>
      </c>
      <c r="N3083" s="8" t="n">
        <v>0.0451</v>
      </c>
      <c r="O3083" s="4" t="n">
        <f aca="false">M3083*N3083</f>
        <v>94.71</v>
      </c>
    </row>
    <row r="3084" customFormat="false" ht="15" hidden="false" customHeight="false" outlineLevel="0" collapsed="false">
      <c r="A3084" s="0" t="s">
        <v>4401</v>
      </c>
      <c r="C3084" s="0" t="s">
        <v>340</v>
      </c>
      <c r="D3084" s="7" t="n">
        <v>354</v>
      </c>
      <c r="E3084" s="8" t="n">
        <v>0.209435028248588</v>
      </c>
      <c r="F3084" s="4" t="n">
        <f aca="false">D3084*E3084</f>
        <v>74.14</v>
      </c>
      <c r="G3084" s="7" t="n">
        <v>2</v>
      </c>
      <c r="H3084" s="9" t="n">
        <f aca="false">IF(G3084&gt;0,D3084/G3084,"")</f>
        <v>177</v>
      </c>
      <c r="I3084" s="10" t="n">
        <v>46231</v>
      </c>
      <c r="J3084" s="3" t="s">
        <v>341</v>
      </c>
      <c r="K3084" s="10" t="n">
        <v>46078</v>
      </c>
      <c r="L3084" s="3" t="s">
        <v>15</v>
      </c>
      <c r="M3084" s="7" t="n">
        <v>5</v>
      </c>
      <c r="N3084" s="8" t="n">
        <v>0.23096</v>
      </c>
      <c r="O3084" s="4" t="n">
        <f aca="false">M3084*N3084</f>
        <v>1.1548</v>
      </c>
    </row>
    <row r="3085" customFormat="false" ht="15" hidden="false" customHeight="false" outlineLevel="0" collapsed="false">
      <c r="A3085" s="0" t="s">
        <v>4402</v>
      </c>
      <c r="C3085" s="0" t="s">
        <v>40</v>
      </c>
      <c r="D3085" s="7" t="n">
        <v>2167</v>
      </c>
      <c r="E3085" s="8" t="n">
        <v>0.0342039686202123</v>
      </c>
      <c r="F3085" s="4" t="n">
        <f aca="false">D3085*E3085</f>
        <v>74.12</v>
      </c>
      <c r="G3085" s="7" t="n">
        <v>323</v>
      </c>
      <c r="H3085" s="9" t="n">
        <f aca="false">IF(G3085&gt;0,D3085/G3085,"")</f>
        <v>6.70897832817338</v>
      </c>
      <c r="I3085" s="10" t="n">
        <v>46247</v>
      </c>
      <c r="J3085" s="3" t="s">
        <v>4403</v>
      </c>
      <c r="K3085" s="10" t="n">
        <v>45239</v>
      </c>
      <c r="L3085" s="3" t="s">
        <v>18</v>
      </c>
      <c r="M3085" s="7" t="n">
        <v>2900</v>
      </c>
      <c r="N3085" s="8" t="n">
        <v>0.0342</v>
      </c>
      <c r="O3085" s="4" t="n">
        <f aca="false">M3085*N3085</f>
        <v>99.18</v>
      </c>
    </row>
    <row r="3086" customFormat="false" ht="15" hidden="false" customHeight="false" outlineLevel="0" collapsed="false">
      <c r="A3086" s="0" t="s">
        <v>4404</v>
      </c>
      <c r="C3086" s="0" t="s">
        <v>715</v>
      </c>
      <c r="D3086" s="7" t="n">
        <v>20143</v>
      </c>
      <c r="E3086" s="8" t="n">
        <v>0.00367571861192474</v>
      </c>
      <c r="F3086" s="4" t="n">
        <f aca="false">D3086*E3086</f>
        <v>74.04</v>
      </c>
      <c r="G3086" s="7" t="n">
        <v>1815</v>
      </c>
      <c r="H3086" s="9" t="n">
        <f aca="false">IF(G3086&gt;0,D3086/G3086,"")</f>
        <v>11.0980716253444</v>
      </c>
      <c r="I3086" s="10" t="n">
        <v>46171</v>
      </c>
      <c r="K3086" s="10"/>
      <c r="M3086" s="7"/>
      <c r="N3086" s="8"/>
      <c r="O3086" s="4"/>
    </row>
    <row r="3087" customFormat="false" ht="15" hidden="false" customHeight="false" outlineLevel="0" collapsed="false">
      <c r="A3087" s="0" t="s">
        <v>4405</v>
      </c>
      <c r="C3087" s="0" t="s">
        <v>34</v>
      </c>
      <c r="D3087" s="7" t="n">
        <v>1850</v>
      </c>
      <c r="E3087" s="8" t="n">
        <v>0.04</v>
      </c>
      <c r="F3087" s="4" t="n">
        <f aca="false">D3087*E3087</f>
        <v>74</v>
      </c>
      <c r="G3087" s="7" t="n">
        <v>20</v>
      </c>
      <c r="H3087" s="9" t="n">
        <f aca="false">IF(G3087&gt;0,D3087/G3087,"")</f>
        <v>92.5</v>
      </c>
      <c r="I3087" s="10" t="n">
        <v>46014</v>
      </c>
      <c r="J3087" s="3" t="s">
        <v>1767</v>
      </c>
      <c r="K3087" s="10" t="n">
        <v>44291</v>
      </c>
      <c r="L3087" s="3" t="s">
        <v>15</v>
      </c>
      <c r="M3087" s="7" t="n">
        <v>8940</v>
      </c>
      <c r="N3087" s="8" t="n">
        <v>0.04</v>
      </c>
      <c r="O3087" s="4" t="n">
        <f aca="false">M3087*N3087</f>
        <v>357.6</v>
      </c>
    </row>
    <row r="3088" customFormat="false" ht="15" hidden="false" customHeight="false" outlineLevel="0" collapsed="false">
      <c r="A3088" s="0" t="s">
        <v>4406</v>
      </c>
      <c r="C3088" s="0" t="s">
        <v>1169</v>
      </c>
      <c r="D3088" s="7" t="n">
        <v>379</v>
      </c>
      <c r="E3088" s="8" t="n">
        <v>0.194986807387863</v>
      </c>
      <c r="F3088" s="4" t="n">
        <f aca="false">D3088*E3088</f>
        <v>73.9</v>
      </c>
      <c r="G3088" s="7" t="n">
        <v>110</v>
      </c>
      <c r="H3088" s="9" t="n">
        <f aca="false">IF(G3088&gt;0,D3088/G3088,"")</f>
        <v>3.44545454545455</v>
      </c>
      <c r="I3088" s="10" t="n">
        <v>46212</v>
      </c>
      <c r="J3088" s="3" t="s">
        <v>4407</v>
      </c>
      <c r="K3088" s="10" t="n">
        <v>44524</v>
      </c>
      <c r="L3088" s="3" t="s">
        <v>21</v>
      </c>
      <c r="M3088" s="7" t="n">
        <v>546</v>
      </c>
      <c r="N3088" s="8" t="n">
        <v>0.195</v>
      </c>
      <c r="O3088" s="4" t="n">
        <f aca="false">M3088*N3088</f>
        <v>106.47</v>
      </c>
    </row>
    <row r="3089" customFormat="false" ht="15" hidden="false" customHeight="false" outlineLevel="0" collapsed="false">
      <c r="A3089" s="0" t="s">
        <v>4408</v>
      </c>
      <c r="C3089" s="0" t="s">
        <v>1101</v>
      </c>
      <c r="D3089" s="7" t="n">
        <v>35</v>
      </c>
      <c r="E3089" s="8" t="n">
        <v>2.11</v>
      </c>
      <c r="F3089" s="4" t="n">
        <f aca="false">D3089*E3089</f>
        <v>73.85</v>
      </c>
      <c r="G3089" s="7" t="n">
        <v>10</v>
      </c>
      <c r="H3089" s="9" t="n">
        <f aca="false">IF(G3089&gt;0,D3089/G3089,"")</f>
        <v>3.5</v>
      </c>
      <c r="I3089" s="10" t="n">
        <v>46304</v>
      </c>
      <c r="J3089" s="3" t="s">
        <v>4132</v>
      </c>
      <c r="K3089" s="10" t="n">
        <v>45642</v>
      </c>
      <c r="L3089" s="3" t="s">
        <v>834</v>
      </c>
      <c r="M3089" s="7" t="n">
        <v>50</v>
      </c>
      <c r="N3089" s="8" t="n">
        <v>2.11</v>
      </c>
      <c r="O3089" s="4" t="n">
        <f aca="false">M3089*N3089</f>
        <v>105.5</v>
      </c>
    </row>
    <row r="3090" customFormat="false" ht="15" hidden="false" customHeight="false" outlineLevel="0" collapsed="false">
      <c r="A3090" s="0" t="s">
        <v>4409</v>
      </c>
      <c r="C3090" s="0" t="s">
        <v>583</v>
      </c>
      <c r="D3090" s="7" t="n">
        <v>1016</v>
      </c>
      <c r="E3090" s="8" t="n">
        <v>0.0726377952755906</v>
      </c>
      <c r="F3090" s="4" t="n">
        <f aca="false">D3090*E3090</f>
        <v>73.8</v>
      </c>
      <c r="G3090" s="7" t="n">
        <v>84</v>
      </c>
      <c r="H3090" s="9" t="n">
        <f aca="false">IF(G3090&gt;0,D3090/G3090,"")</f>
        <v>12.0952380952381</v>
      </c>
      <c r="I3090" s="10" t="n">
        <v>46279</v>
      </c>
      <c r="J3090" s="3" t="s">
        <v>3821</v>
      </c>
      <c r="K3090" s="10" t="n">
        <v>45980</v>
      </c>
      <c r="L3090" s="3" t="s">
        <v>19</v>
      </c>
      <c r="M3090" s="7" t="n">
        <v>100</v>
      </c>
      <c r="N3090" s="8" t="n">
        <v>0.2374</v>
      </c>
      <c r="O3090" s="4" t="n">
        <f aca="false">M3090*N3090</f>
        <v>23.74</v>
      </c>
    </row>
    <row r="3091" customFormat="false" ht="15" hidden="false" customHeight="false" outlineLevel="0" collapsed="false">
      <c r="A3091" s="0" t="s">
        <v>4410</v>
      </c>
      <c r="C3091" s="0" t="s">
        <v>33</v>
      </c>
      <c r="D3091" s="7" t="n">
        <v>94</v>
      </c>
      <c r="E3091" s="8" t="n">
        <v>0.785</v>
      </c>
      <c r="F3091" s="4" t="n">
        <f aca="false">D3091*E3091</f>
        <v>73.79</v>
      </c>
      <c r="G3091" s="7" t="n">
        <v>50</v>
      </c>
      <c r="H3091" s="9" t="n">
        <f aca="false">IF(G3091&gt;0,D3091/G3091,"")</f>
        <v>1.88</v>
      </c>
      <c r="I3091" s="10" t="n">
        <v>46308</v>
      </c>
      <c r="J3091" s="3" t="s">
        <v>4411</v>
      </c>
      <c r="K3091" s="10" t="n">
        <v>45996</v>
      </c>
      <c r="L3091" s="3" t="s">
        <v>18</v>
      </c>
      <c r="M3091" s="7" t="n">
        <v>120</v>
      </c>
      <c r="N3091" s="8" t="n">
        <v>0.7851</v>
      </c>
      <c r="O3091" s="4" t="n">
        <f aca="false">M3091*N3091</f>
        <v>94.212</v>
      </c>
    </row>
    <row r="3092" customFormat="false" ht="15" hidden="false" customHeight="false" outlineLevel="0" collapsed="false">
      <c r="A3092" s="0" t="s">
        <v>4412</v>
      </c>
      <c r="C3092" s="0" t="s">
        <v>34</v>
      </c>
      <c r="D3092" s="7" t="n">
        <v>99</v>
      </c>
      <c r="E3092" s="8" t="n">
        <v>0.744747474747475</v>
      </c>
      <c r="F3092" s="4" t="n">
        <f aca="false">D3092*E3092</f>
        <v>73.73</v>
      </c>
      <c r="G3092" s="7" t="n">
        <v>1</v>
      </c>
      <c r="H3092" s="9" t="n">
        <f aca="false">IF(G3092&gt;0,D3092/G3092,"")</f>
        <v>99</v>
      </c>
      <c r="I3092" s="10" t="n">
        <v>46003</v>
      </c>
      <c r="J3092" s="3" t="s">
        <v>287</v>
      </c>
      <c r="K3092" s="10" t="n">
        <v>45922</v>
      </c>
      <c r="L3092" s="3" t="s">
        <v>16</v>
      </c>
      <c r="M3092" s="7" t="n">
        <v>100</v>
      </c>
      <c r="N3092" s="8" t="n">
        <v>0.7447</v>
      </c>
      <c r="O3092" s="4" t="n">
        <f aca="false">M3092*N3092</f>
        <v>74.47</v>
      </c>
    </row>
    <row r="3093" customFormat="false" ht="15" hidden="false" customHeight="false" outlineLevel="0" collapsed="false">
      <c r="A3093" s="0" t="s">
        <v>4413</v>
      </c>
      <c r="C3093" s="0" t="s">
        <v>438</v>
      </c>
      <c r="D3093" s="7" t="n">
        <v>118</v>
      </c>
      <c r="E3093" s="8" t="n">
        <v>0.624576271186441</v>
      </c>
      <c r="F3093" s="4" t="n">
        <f aca="false">D3093*E3093</f>
        <v>73.7</v>
      </c>
      <c r="G3093" s="7" t="n">
        <v>15</v>
      </c>
      <c r="H3093" s="9" t="n">
        <f aca="false">IF(G3093&gt;0,D3093/G3093,"")</f>
        <v>7.86666666666667</v>
      </c>
      <c r="I3093" s="10" t="n">
        <v>46302</v>
      </c>
      <c r="J3093" s="3" t="s">
        <v>1877</v>
      </c>
      <c r="K3093" s="10" t="n">
        <v>45896</v>
      </c>
      <c r="L3093" s="3" t="s">
        <v>1878</v>
      </c>
      <c r="M3093" s="7" t="n">
        <v>50</v>
      </c>
      <c r="N3093" s="8" t="n">
        <v>0.62</v>
      </c>
      <c r="O3093" s="4" t="n">
        <f aca="false">M3093*N3093</f>
        <v>31</v>
      </c>
    </row>
    <row r="3094" customFormat="false" ht="15" hidden="false" customHeight="false" outlineLevel="0" collapsed="false">
      <c r="A3094" s="0" t="s">
        <v>4414</v>
      </c>
      <c r="C3094" s="0" t="s">
        <v>41</v>
      </c>
      <c r="D3094" s="7" t="n">
        <v>10590</v>
      </c>
      <c r="E3094" s="8" t="n">
        <v>0.00695939565627951</v>
      </c>
      <c r="F3094" s="4" t="n">
        <f aca="false">D3094*E3094</f>
        <v>73.7</v>
      </c>
      <c r="G3094" s="7" t="n">
        <v>775</v>
      </c>
      <c r="H3094" s="9" t="n">
        <f aca="false">IF(G3094&gt;0,D3094/G3094,"")</f>
        <v>13.6645161290323</v>
      </c>
      <c r="I3094" s="10" t="n">
        <v>46273</v>
      </c>
      <c r="J3094" s="3" t="s">
        <v>4415</v>
      </c>
      <c r="K3094" s="10" t="n">
        <v>45829</v>
      </c>
      <c r="L3094" s="3" t="s">
        <v>15</v>
      </c>
      <c r="M3094" s="7" t="n">
        <v>11920</v>
      </c>
      <c r="N3094" s="8" t="n">
        <v>0.00696</v>
      </c>
      <c r="O3094" s="4" t="n">
        <f aca="false">M3094*N3094</f>
        <v>82.9632</v>
      </c>
    </row>
    <row r="3095" customFormat="false" ht="15" hidden="false" customHeight="false" outlineLevel="0" collapsed="false">
      <c r="A3095" s="0" t="s">
        <v>4416</v>
      </c>
      <c r="C3095" s="0" t="s">
        <v>370</v>
      </c>
      <c r="D3095" s="7" t="n">
        <v>147</v>
      </c>
      <c r="E3095" s="8" t="n">
        <v>0.501292517006803</v>
      </c>
      <c r="F3095" s="4" t="n">
        <f aca="false">D3095*E3095</f>
        <v>73.69</v>
      </c>
      <c r="G3095" s="7" t="n">
        <v>60</v>
      </c>
      <c r="H3095" s="9" t="n">
        <f aca="false">IF(G3095&gt;0,D3095/G3095,"")</f>
        <v>2.45</v>
      </c>
      <c r="I3095" s="10" t="n">
        <v>46315</v>
      </c>
      <c r="J3095" s="3" t="s">
        <v>4417</v>
      </c>
      <c r="K3095" s="10" t="n">
        <v>44554</v>
      </c>
      <c r="L3095" s="3" t="s">
        <v>14</v>
      </c>
      <c r="M3095" s="7" t="n">
        <v>171</v>
      </c>
      <c r="N3095" s="8" t="n">
        <v>0.5302</v>
      </c>
      <c r="O3095" s="4" t="n">
        <v>86.4226</v>
      </c>
    </row>
    <row r="3096" customFormat="false" ht="15" hidden="false" customHeight="false" outlineLevel="0" collapsed="false">
      <c r="A3096" s="0" t="s">
        <v>4418</v>
      </c>
      <c r="C3096" s="0" t="s">
        <v>275</v>
      </c>
      <c r="D3096" s="7" t="n">
        <v>3</v>
      </c>
      <c r="E3096" s="8" t="n">
        <v>24.54</v>
      </c>
      <c r="F3096" s="4" t="n">
        <f aca="false">D3096*E3096</f>
        <v>73.62</v>
      </c>
      <c r="G3096" s="7" t="n">
        <v>2</v>
      </c>
      <c r="H3096" s="9" t="n">
        <f aca="false">IF(G3096&gt;0,D3096/G3096,"")</f>
        <v>1.5</v>
      </c>
      <c r="I3096" s="10" t="n">
        <v>46154</v>
      </c>
      <c r="J3096" s="3" t="s">
        <v>4419</v>
      </c>
      <c r="K3096" s="10" t="n">
        <v>46141</v>
      </c>
      <c r="L3096" s="3" t="s">
        <v>14</v>
      </c>
      <c r="M3096" s="7" t="n">
        <v>5</v>
      </c>
      <c r="N3096" s="8" t="n">
        <v>24.54</v>
      </c>
      <c r="O3096" s="4" t="n">
        <f aca="false">M3096*N3096</f>
        <v>122.7</v>
      </c>
    </row>
    <row r="3097" customFormat="false" ht="15" hidden="false" customHeight="false" outlineLevel="0" collapsed="false">
      <c r="A3097" s="0" t="s">
        <v>4420</v>
      </c>
      <c r="C3097" s="0" t="s">
        <v>715</v>
      </c>
      <c r="D3097" s="7" t="n">
        <v>1546</v>
      </c>
      <c r="E3097" s="8" t="n">
        <v>0.0476067270375162</v>
      </c>
      <c r="F3097" s="4" t="n">
        <f aca="false">D3097*E3097</f>
        <v>73.6</v>
      </c>
      <c r="G3097" s="7" t="n">
        <v>342</v>
      </c>
      <c r="H3097" s="9" t="n">
        <f aca="false">IF(G3097&gt;0,D3097/G3097,"")</f>
        <v>4.52046783625731</v>
      </c>
      <c r="I3097" s="10" t="n">
        <v>46269</v>
      </c>
      <c r="J3097" s="3" t="s">
        <v>2385</v>
      </c>
      <c r="K3097" s="10" t="n">
        <v>45629</v>
      </c>
      <c r="L3097" s="3" t="s">
        <v>16</v>
      </c>
      <c r="M3097" s="7" t="n">
        <v>2250</v>
      </c>
      <c r="N3097" s="8" t="n">
        <v>0.0476</v>
      </c>
      <c r="O3097" s="4" t="n">
        <f aca="false">M3097*N3097</f>
        <v>107.1</v>
      </c>
    </row>
    <row r="3098" customFormat="false" ht="15" hidden="false" customHeight="false" outlineLevel="0" collapsed="false">
      <c r="A3098" s="0" t="s">
        <v>4421</v>
      </c>
      <c r="C3098" s="0" t="s">
        <v>370</v>
      </c>
      <c r="D3098" s="7" t="n">
        <v>481</v>
      </c>
      <c r="E3098" s="8" t="n">
        <v>0.152993762993763</v>
      </c>
      <c r="F3098" s="4" t="n">
        <f aca="false">D3098*E3098</f>
        <v>73.59</v>
      </c>
      <c r="G3098" s="7" t="n">
        <v>18</v>
      </c>
      <c r="H3098" s="9" t="n">
        <f aca="false">IF(G3098&gt;0,D3098/G3098,"")</f>
        <v>26.7222222222222</v>
      </c>
      <c r="I3098" s="10" t="n">
        <v>46211</v>
      </c>
      <c r="J3098" s="3" t="s">
        <v>1442</v>
      </c>
      <c r="K3098" s="10" t="n">
        <v>44361</v>
      </c>
      <c r="L3098" s="3" t="s">
        <v>21</v>
      </c>
      <c r="M3098" s="7" t="n">
        <v>1000</v>
      </c>
      <c r="N3098" s="8" t="n">
        <v>0.153</v>
      </c>
      <c r="O3098" s="4" t="n">
        <f aca="false">M3098*N3098</f>
        <v>153</v>
      </c>
    </row>
    <row r="3099" customFormat="false" ht="15" hidden="false" customHeight="false" outlineLevel="0" collapsed="false">
      <c r="A3099" s="0" t="s">
        <v>4422</v>
      </c>
      <c r="D3099" s="7" t="n">
        <v>88</v>
      </c>
      <c r="E3099" s="8" t="n">
        <v>0.835909090909091</v>
      </c>
      <c r="F3099" s="4" t="n">
        <f aca="false">D3099*E3099</f>
        <v>73.56</v>
      </c>
      <c r="G3099" s="7" t="n">
        <v>2</v>
      </c>
      <c r="H3099" s="9" t="n">
        <f aca="false">IF(G3099&gt;0,D3099/G3099,"")</f>
        <v>44</v>
      </c>
      <c r="I3099" s="10" t="n">
        <v>46171</v>
      </c>
      <c r="J3099" s="3" t="s">
        <v>2982</v>
      </c>
      <c r="K3099" s="10" t="n">
        <v>45689</v>
      </c>
      <c r="L3099" s="3" t="s">
        <v>936</v>
      </c>
      <c r="M3099" s="7" t="n">
        <v>300</v>
      </c>
      <c r="N3099" s="8" t="n">
        <v>0.8359</v>
      </c>
      <c r="O3099" s="4" t="n">
        <f aca="false">M3099*N3099</f>
        <v>250.77</v>
      </c>
    </row>
    <row r="3100" customFormat="false" ht="15" hidden="false" customHeight="false" outlineLevel="0" collapsed="false">
      <c r="A3100" s="0" t="s">
        <v>4423</v>
      </c>
      <c r="C3100" s="0" t="s">
        <v>31</v>
      </c>
      <c r="D3100" s="7" t="n">
        <v>6337</v>
      </c>
      <c r="E3100" s="8" t="n">
        <v>0.0116001262427016</v>
      </c>
      <c r="F3100" s="4" t="n">
        <f aca="false">D3100*E3100</f>
        <v>73.51</v>
      </c>
      <c r="G3100" s="7" t="n">
        <v>2784</v>
      </c>
      <c r="H3100" s="9" t="n">
        <f aca="false">IF(G3100&gt;0,D3100/G3100,"")</f>
        <v>2.27622126436782</v>
      </c>
      <c r="I3100" s="10" t="n">
        <v>46251</v>
      </c>
      <c r="J3100" s="3" t="s">
        <v>2716</v>
      </c>
      <c r="K3100" s="10" t="n">
        <v>46160</v>
      </c>
      <c r="L3100" s="3" t="s">
        <v>16</v>
      </c>
      <c r="M3100" s="7" t="n">
        <v>7942</v>
      </c>
      <c r="N3100" s="8" t="n">
        <v>0.0116</v>
      </c>
      <c r="O3100" s="4" t="n">
        <f aca="false">M3100*N3100</f>
        <v>92.1272</v>
      </c>
    </row>
    <row r="3101" customFormat="false" ht="15" hidden="false" customHeight="false" outlineLevel="0" collapsed="false">
      <c r="A3101" s="0" t="s">
        <v>4424</v>
      </c>
      <c r="C3101" s="0" t="s">
        <v>2981</v>
      </c>
      <c r="D3101" s="7" t="n">
        <v>233</v>
      </c>
      <c r="E3101" s="8" t="n">
        <v>0.315450643776824</v>
      </c>
      <c r="F3101" s="4" t="n">
        <f aca="false">D3101*E3101</f>
        <v>73.5</v>
      </c>
      <c r="G3101" s="7" t="n">
        <v>10</v>
      </c>
      <c r="H3101" s="9" t="n">
        <f aca="false">IF(G3101&gt;0,D3101/G3101,"")</f>
        <v>23.3</v>
      </c>
      <c r="I3101" s="10" t="n">
        <v>46135</v>
      </c>
      <c r="J3101" s="3" t="s">
        <v>4425</v>
      </c>
      <c r="K3101" s="10" t="n">
        <v>45028</v>
      </c>
      <c r="L3101" s="3" t="s">
        <v>936</v>
      </c>
      <c r="M3101" s="7" t="n">
        <v>500</v>
      </c>
      <c r="N3101" s="8" t="n">
        <v>0.3154</v>
      </c>
      <c r="O3101" s="4" t="n">
        <f aca="false">M3101*N3101</f>
        <v>157.7</v>
      </c>
    </row>
    <row r="3102" customFormat="false" ht="15" hidden="false" customHeight="false" outlineLevel="0" collapsed="false">
      <c r="A3102" s="0" t="s">
        <v>4426</v>
      </c>
      <c r="C3102" s="0" t="s">
        <v>855</v>
      </c>
      <c r="D3102" s="7" t="n">
        <v>9331</v>
      </c>
      <c r="E3102" s="8" t="n">
        <v>0.00787589754581503</v>
      </c>
      <c r="F3102" s="4" t="n">
        <f aca="false">D3102*E3102</f>
        <v>73.49</v>
      </c>
      <c r="G3102" s="7" t="n">
        <v>660</v>
      </c>
      <c r="H3102" s="9" t="n">
        <f aca="false">IF(G3102&gt;0,D3102/G3102,"")</f>
        <v>14.1378787878788</v>
      </c>
      <c r="I3102" s="10" t="n">
        <v>46177</v>
      </c>
      <c r="J3102" s="3" t="s">
        <v>4427</v>
      </c>
      <c r="K3102" s="10" t="n">
        <v>46169</v>
      </c>
      <c r="L3102" s="3" t="s">
        <v>19</v>
      </c>
      <c r="M3102" s="7" t="n">
        <v>1000</v>
      </c>
      <c r="N3102" s="8" t="n">
        <v>0.0284</v>
      </c>
      <c r="O3102" s="4" t="n">
        <f aca="false">M3102*N3102</f>
        <v>28.4</v>
      </c>
    </row>
    <row r="3103" customFormat="false" ht="15" hidden="false" customHeight="false" outlineLevel="0" collapsed="false">
      <c r="A3103" s="0" t="s">
        <v>4428</v>
      </c>
      <c r="C3103" s="0" t="s">
        <v>298</v>
      </c>
      <c r="D3103" s="7" t="n">
        <v>497</v>
      </c>
      <c r="E3103" s="8" t="n">
        <v>0.147605633802817</v>
      </c>
      <c r="F3103" s="4" t="n">
        <f aca="false">D3103*E3103</f>
        <v>73.36</v>
      </c>
      <c r="G3103" s="7" t="n">
        <v>5</v>
      </c>
      <c r="H3103" s="9" t="n">
        <f aca="false">IF(G3103&gt;0,D3103/G3103,"")</f>
        <v>99.4</v>
      </c>
      <c r="I3103" s="10" t="n">
        <v>46261</v>
      </c>
      <c r="J3103" s="3" t="s">
        <v>4429</v>
      </c>
      <c r="K3103" s="10" t="n">
        <v>45415</v>
      </c>
      <c r="L3103" s="3" t="s">
        <v>19</v>
      </c>
      <c r="M3103" s="7" t="n">
        <v>677</v>
      </c>
      <c r="N3103" s="8" t="n">
        <v>0.1476</v>
      </c>
      <c r="O3103" s="4" t="n">
        <f aca="false">M3103*N3103</f>
        <v>99.9252</v>
      </c>
    </row>
    <row r="3104" customFormat="false" ht="15" hidden="false" customHeight="false" outlineLevel="0" collapsed="false">
      <c r="A3104" s="0" t="s">
        <v>4430</v>
      </c>
      <c r="C3104" s="0" t="s">
        <v>32</v>
      </c>
      <c r="D3104" s="7" t="n">
        <v>944</v>
      </c>
      <c r="E3104" s="8" t="n">
        <v>0.0777012711864407</v>
      </c>
      <c r="F3104" s="4" t="n">
        <f aca="false">D3104*E3104</f>
        <v>73.35</v>
      </c>
      <c r="G3104" s="7" t="n">
        <v>239</v>
      </c>
      <c r="H3104" s="9" t="n">
        <f aca="false">IF(G3104&gt;0,D3104/G3104,"")</f>
        <v>3.94979079497908</v>
      </c>
      <c r="I3104" s="10" t="n">
        <v>46317</v>
      </c>
      <c r="J3104" s="3" t="s">
        <v>2089</v>
      </c>
      <c r="K3104" s="10" t="n">
        <v>45883</v>
      </c>
      <c r="L3104" s="3" t="s">
        <v>18</v>
      </c>
      <c r="M3104" s="7" t="n">
        <v>1500</v>
      </c>
      <c r="N3104" s="8" t="n">
        <v>0.0777</v>
      </c>
      <c r="O3104" s="4" t="n">
        <f aca="false">M3104*N3104</f>
        <v>116.55</v>
      </c>
    </row>
    <row r="3105" customFormat="false" ht="15" hidden="false" customHeight="false" outlineLevel="0" collapsed="false">
      <c r="A3105" s="0" t="s">
        <v>4431</v>
      </c>
      <c r="C3105" s="0" t="s">
        <v>36</v>
      </c>
      <c r="D3105" s="7" t="n">
        <v>1074</v>
      </c>
      <c r="E3105" s="8" t="n">
        <v>0.0682960893854749</v>
      </c>
      <c r="F3105" s="4" t="n">
        <f aca="false">D3105*E3105</f>
        <v>73.35</v>
      </c>
      <c r="G3105" s="7" t="n">
        <v>320</v>
      </c>
      <c r="H3105" s="9" t="n">
        <f aca="false">IF(G3105&gt;0,D3105/G3105,"")</f>
        <v>3.35625</v>
      </c>
      <c r="I3105" s="10" t="n">
        <v>46314</v>
      </c>
      <c r="J3105" s="3" t="s">
        <v>3723</v>
      </c>
      <c r="K3105" s="10" t="n">
        <v>45391</v>
      </c>
      <c r="L3105" s="3" t="s">
        <v>18</v>
      </c>
      <c r="M3105" s="7" t="n">
        <v>1500</v>
      </c>
      <c r="N3105" s="8" t="n">
        <v>0.0683</v>
      </c>
      <c r="O3105" s="4" t="n">
        <f aca="false">M3105*N3105</f>
        <v>102.45</v>
      </c>
    </row>
    <row r="3106" customFormat="false" ht="15" hidden="false" customHeight="false" outlineLevel="0" collapsed="false">
      <c r="A3106" s="0" t="s">
        <v>4432</v>
      </c>
      <c r="C3106" s="0" t="s">
        <v>33</v>
      </c>
      <c r="D3106" s="7" t="n">
        <v>46</v>
      </c>
      <c r="E3106" s="8" t="n">
        <v>1.59282608695652</v>
      </c>
      <c r="F3106" s="4" t="n">
        <f aca="false">D3106*E3106</f>
        <v>73.27</v>
      </c>
      <c r="G3106" s="7" t="n">
        <v>19</v>
      </c>
      <c r="H3106" s="9" t="n">
        <f aca="false">IF(G3106&gt;0,D3106/G3106,"")</f>
        <v>2.42105263157895</v>
      </c>
      <c r="I3106" s="10" t="n">
        <v>46283</v>
      </c>
      <c r="J3106" s="3" t="s">
        <v>4433</v>
      </c>
      <c r="K3106" s="10" t="n">
        <v>44944</v>
      </c>
      <c r="L3106" s="3" t="s">
        <v>18</v>
      </c>
      <c r="M3106" s="7" t="n">
        <v>100</v>
      </c>
      <c r="N3106" s="8" t="n">
        <v>1.6175</v>
      </c>
      <c r="O3106" s="4" t="n">
        <f aca="false">M3106*N3106</f>
        <v>161.75</v>
      </c>
    </row>
    <row r="3107" customFormat="false" ht="15" hidden="false" customHeight="false" outlineLevel="0" collapsed="false">
      <c r="A3107" s="0" t="s">
        <v>4434</v>
      </c>
      <c r="C3107" s="0" t="s">
        <v>31</v>
      </c>
      <c r="D3107" s="7" t="n">
        <v>33272</v>
      </c>
      <c r="E3107" s="8" t="n">
        <v>0.00220125030055302</v>
      </c>
      <c r="F3107" s="4" t="n">
        <f aca="false">D3107*E3107</f>
        <v>73.24</v>
      </c>
      <c r="G3107" s="7" t="n">
        <v>12660</v>
      </c>
      <c r="H3107" s="9" t="n">
        <f aca="false">IF(G3107&gt;0,D3107/G3107,"")</f>
        <v>2.62812006319115</v>
      </c>
      <c r="I3107" s="10" t="n">
        <v>46304</v>
      </c>
      <c r="J3107" s="3" t="s">
        <v>1762</v>
      </c>
      <c r="K3107" s="10" t="n">
        <v>45692</v>
      </c>
      <c r="L3107" s="3" t="s">
        <v>14</v>
      </c>
      <c r="M3107" s="7" t="n">
        <v>5000</v>
      </c>
      <c r="N3107" s="8" t="n">
        <v>0.0063</v>
      </c>
      <c r="O3107" s="4" t="n">
        <f aca="false">M3107*N3107</f>
        <v>31.5</v>
      </c>
    </row>
    <row r="3108" customFormat="false" ht="15" hidden="false" customHeight="false" outlineLevel="0" collapsed="false">
      <c r="A3108" s="0" t="s">
        <v>4435</v>
      </c>
      <c r="C3108" s="0" t="s">
        <v>1039</v>
      </c>
      <c r="D3108" s="7" t="n">
        <v>9890</v>
      </c>
      <c r="E3108" s="8" t="n">
        <v>0.00739939332659252</v>
      </c>
      <c r="F3108" s="4" t="n">
        <f aca="false">D3108*E3108</f>
        <v>73.18</v>
      </c>
      <c r="G3108" s="7" t="n">
        <v>3918</v>
      </c>
      <c r="H3108" s="9" t="n">
        <f aca="false">IF(G3108&gt;0,D3108/G3108,"")</f>
        <v>2.52424706482899</v>
      </c>
      <c r="I3108" s="10" t="n">
        <v>46279</v>
      </c>
      <c r="J3108" s="3" t="s">
        <v>1411</v>
      </c>
      <c r="K3108" s="10" t="n">
        <v>46176</v>
      </c>
      <c r="L3108" s="3" t="s">
        <v>19</v>
      </c>
      <c r="M3108" s="7" t="n">
        <v>2500</v>
      </c>
      <c r="N3108" s="8" t="n">
        <v>0.0263</v>
      </c>
      <c r="O3108" s="4" t="n">
        <f aca="false">M3108*N3108</f>
        <v>65.75</v>
      </c>
    </row>
    <row r="3109" customFormat="false" ht="15" hidden="false" customHeight="false" outlineLevel="0" collapsed="false">
      <c r="A3109" s="0" t="s">
        <v>4436</v>
      </c>
      <c r="C3109" s="0" t="s">
        <v>1169</v>
      </c>
      <c r="D3109" s="7" t="n">
        <v>1276</v>
      </c>
      <c r="E3109" s="8" t="n">
        <v>0.0573040752351097</v>
      </c>
      <c r="F3109" s="4" t="n">
        <f aca="false">D3109*E3109</f>
        <v>73.12</v>
      </c>
      <c r="G3109" s="7" t="n">
        <v>500</v>
      </c>
      <c r="H3109" s="9" t="n">
        <f aca="false">IF(G3109&gt;0,D3109/G3109,"")</f>
        <v>2.552</v>
      </c>
      <c r="I3109" s="10" t="n">
        <v>46211</v>
      </c>
      <c r="J3109" s="3" t="s">
        <v>3273</v>
      </c>
      <c r="K3109" s="10" t="n">
        <v>46043</v>
      </c>
      <c r="L3109" s="3" t="s">
        <v>21</v>
      </c>
      <c r="M3109" s="7" t="n">
        <v>1775</v>
      </c>
      <c r="N3109" s="8" t="n">
        <v>0.057</v>
      </c>
      <c r="O3109" s="4" t="n">
        <f aca="false">M3109*N3109</f>
        <v>101.175</v>
      </c>
    </row>
    <row r="3110" customFormat="false" ht="15" hidden="false" customHeight="false" outlineLevel="0" collapsed="false">
      <c r="A3110" s="0" t="s">
        <v>4437</v>
      </c>
      <c r="C3110" s="0" t="s">
        <v>31</v>
      </c>
      <c r="D3110" s="7" t="n">
        <v>7307</v>
      </c>
      <c r="E3110" s="8" t="n">
        <v>0.01</v>
      </c>
      <c r="F3110" s="4" t="n">
        <f aca="false">D3110*E3110</f>
        <v>73.07</v>
      </c>
      <c r="G3110" s="7" t="n">
        <v>1488</v>
      </c>
      <c r="H3110" s="9" t="n">
        <f aca="false">IF(G3110&gt;0,D3110/G3110,"")</f>
        <v>4.91061827956989</v>
      </c>
      <c r="I3110" s="10" t="n">
        <v>46304</v>
      </c>
      <c r="K3110" s="10"/>
      <c r="M3110" s="7"/>
      <c r="N3110" s="8"/>
      <c r="O3110" s="4"/>
    </row>
    <row r="3111" customFormat="false" ht="15" hidden="false" customHeight="false" outlineLevel="0" collapsed="false">
      <c r="A3111" s="0" t="s">
        <v>4438</v>
      </c>
      <c r="C3111" s="0" t="s">
        <v>765</v>
      </c>
      <c r="D3111" s="7" t="n">
        <v>5020</v>
      </c>
      <c r="E3111" s="8" t="n">
        <v>0.0145478087649402</v>
      </c>
      <c r="F3111" s="4" t="n">
        <f aca="false">D3111*E3111</f>
        <v>73.03</v>
      </c>
      <c r="G3111" s="7" t="n">
        <v>218</v>
      </c>
      <c r="H3111" s="9" t="n">
        <f aca="false">IF(G3111&gt;0,D3111/G3111,"")</f>
        <v>23.0275229357798</v>
      </c>
      <c r="I3111" s="10" t="n">
        <v>46251</v>
      </c>
      <c r="J3111" s="3" t="s">
        <v>1955</v>
      </c>
      <c r="K3111" s="10" t="n">
        <v>46268</v>
      </c>
      <c r="L3111" s="3" t="s">
        <v>16</v>
      </c>
      <c r="M3111" s="7" t="n">
        <v>5000</v>
      </c>
      <c r="N3111" s="8" t="n">
        <v>0.0144</v>
      </c>
      <c r="O3111" s="4" t="n">
        <f aca="false">M3111*N3111</f>
        <v>72</v>
      </c>
    </row>
    <row r="3112" customFormat="false" ht="15" hidden="false" customHeight="false" outlineLevel="0" collapsed="false">
      <c r="A3112" s="0" t="s">
        <v>4439</v>
      </c>
      <c r="C3112" s="0" t="s">
        <v>31</v>
      </c>
      <c r="D3112" s="7" t="n">
        <v>4835</v>
      </c>
      <c r="E3112" s="8" t="n">
        <v>0.0150982419855222</v>
      </c>
      <c r="F3112" s="4" t="n">
        <f aca="false">D3112*E3112</f>
        <v>73</v>
      </c>
      <c r="G3112" s="7" t="n">
        <v>122</v>
      </c>
      <c r="H3112" s="9" t="n">
        <f aca="false">IF(G3112&gt;0,D3112/G3112,"")</f>
        <v>39.6311475409836</v>
      </c>
      <c r="I3112" s="10" t="n">
        <v>46175</v>
      </c>
      <c r="K3112" s="10"/>
      <c r="M3112" s="7"/>
      <c r="N3112" s="8"/>
      <c r="O3112" s="4"/>
    </row>
    <row r="3113" customFormat="false" ht="15" hidden="false" customHeight="false" outlineLevel="0" collapsed="false">
      <c r="A3113" s="0" t="s">
        <v>4440</v>
      </c>
      <c r="C3113" s="0" t="s">
        <v>40</v>
      </c>
      <c r="D3113" s="7" t="n">
        <v>486</v>
      </c>
      <c r="E3113" s="8" t="n">
        <v>0.15</v>
      </c>
      <c r="F3113" s="4" t="n">
        <f aca="false">D3113*E3113</f>
        <v>72.9</v>
      </c>
      <c r="G3113" s="7" t="n">
        <v>5</v>
      </c>
      <c r="H3113" s="9" t="n">
        <f aca="false">IF(G3113&gt;0,D3113/G3113,"")</f>
        <v>97.2</v>
      </c>
      <c r="I3113" s="10" t="n">
        <v>46140</v>
      </c>
      <c r="J3113" s="3" t="s">
        <v>4023</v>
      </c>
      <c r="K3113" s="10" t="n">
        <v>45128</v>
      </c>
      <c r="L3113" s="3" t="s">
        <v>18</v>
      </c>
      <c r="M3113" s="7" t="n">
        <v>680</v>
      </c>
      <c r="N3113" s="8" t="n">
        <v>0.1461</v>
      </c>
      <c r="O3113" s="4" t="n">
        <f aca="false">M3113*N3113</f>
        <v>99.348</v>
      </c>
    </row>
    <row r="3114" customFormat="false" ht="15" hidden="false" customHeight="false" outlineLevel="0" collapsed="false">
      <c r="A3114" s="0" t="s">
        <v>4441</v>
      </c>
      <c r="C3114" s="0" t="s">
        <v>1169</v>
      </c>
      <c r="D3114" s="7" t="n">
        <v>1518</v>
      </c>
      <c r="E3114" s="8" t="n">
        <v>0.0479973649538867</v>
      </c>
      <c r="F3114" s="4" t="n">
        <f aca="false">D3114*E3114</f>
        <v>72.86</v>
      </c>
      <c r="G3114" s="7" t="n">
        <v>100</v>
      </c>
      <c r="H3114" s="9" t="n">
        <f aca="false">IF(G3114&gt;0,D3114/G3114,"")</f>
        <v>15.18</v>
      </c>
      <c r="I3114" s="10" t="n">
        <v>46233</v>
      </c>
      <c r="J3114" s="3" t="s">
        <v>1170</v>
      </c>
      <c r="K3114" s="10" t="n">
        <v>45398</v>
      </c>
      <c r="L3114" s="3" t="s">
        <v>21</v>
      </c>
      <c r="M3114" s="7" t="n">
        <v>2500</v>
      </c>
      <c r="N3114" s="8" t="n">
        <v>0.048</v>
      </c>
      <c r="O3114" s="4" t="n">
        <f aca="false">M3114*N3114</f>
        <v>120</v>
      </c>
    </row>
    <row r="3115" customFormat="false" ht="15" hidden="false" customHeight="false" outlineLevel="0" collapsed="false">
      <c r="A3115" s="0" t="s">
        <v>4442</v>
      </c>
      <c r="C3115" s="0" t="s">
        <v>37</v>
      </c>
      <c r="D3115" s="7" t="n">
        <v>4037</v>
      </c>
      <c r="E3115" s="8" t="n">
        <v>0.0180406242259103</v>
      </c>
      <c r="F3115" s="4" t="n">
        <f aca="false">D3115*E3115</f>
        <v>72.83</v>
      </c>
      <c r="G3115" s="7" t="n">
        <v>245</v>
      </c>
      <c r="H3115" s="9" t="n">
        <f aca="false">IF(G3115&gt;0,D3115/G3115,"")</f>
        <v>16.4775510204082</v>
      </c>
      <c r="I3115" s="10" t="n">
        <v>46134</v>
      </c>
      <c r="J3115" s="3" t="s">
        <v>1936</v>
      </c>
      <c r="K3115" s="10" t="n">
        <v>45057</v>
      </c>
      <c r="L3115" s="3" t="s">
        <v>15</v>
      </c>
      <c r="M3115" s="7" t="n">
        <v>4505</v>
      </c>
      <c r="N3115" s="8" t="n">
        <v>0.01804</v>
      </c>
      <c r="O3115" s="4" t="n">
        <f aca="false">M3115*N3115</f>
        <v>81.2702</v>
      </c>
    </row>
    <row r="3116" customFormat="false" ht="15" hidden="false" customHeight="false" outlineLevel="0" collapsed="false">
      <c r="A3116" s="0" t="s">
        <v>4443</v>
      </c>
      <c r="C3116" s="0" t="s">
        <v>1169</v>
      </c>
      <c r="D3116" s="7" t="n">
        <v>3166</v>
      </c>
      <c r="E3116" s="8" t="n">
        <v>0.0230006317119394</v>
      </c>
      <c r="F3116" s="4" t="n">
        <f aca="false">D3116*E3116</f>
        <v>72.82</v>
      </c>
      <c r="G3116" s="7" t="n">
        <v>150</v>
      </c>
      <c r="H3116" s="9" t="n">
        <f aca="false">IF(G3116&gt;0,D3116/G3116,"")</f>
        <v>21.1066666666667</v>
      </c>
      <c r="I3116" s="10" t="n">
        <v>46232</v>
      </c>
      <c r="J3116" s="3" t="s">
        <v>4016</v>
      </c>
      <c r="K3116" s="10" t="n">
        <v>44294</v>
      </c>
      <c r="L3116" s="3" t="s">
        <v>21</v>
      </c>
      <c r="M3116" s="7" t="n">
        <v>5000</v>
      </c>
      <c r="N3116" s="8" t="n">
        <v>0.023</v>
      </c>
      <c r="O3116" s="4" t="n">
        <f aca="false">M3116*N3116</f>
        <v>115</v>
      </c>
    </row>
    <row r="3117" customFormat="false" ht="15" hidden="false" customHeight="false" outlineLevel="0" collapsed="false">
      <c r="A3117" s="0" t="s">
        <v>4444</v>
      </c>
      <c r="C3117" s="0" t="s">
        <v>38</v>
      </c>
      <c r="D3117" s="7" t="n">
        <v>453</v>
      </c>
      <c r="E3117" s="8" t="n">
        <v>0.160706401766004</v>
      </c>
      <c r="F3117" s="4" t="n">
        <f aca="false">D3117*E3117</f>
        <v>72.8</v>
      </c>
      <c r="G3117" s="7" t="n">
        <v>5</v>
      </c>
      <c r="H3117" s="9" t="n">
        <f aca="false">IF(G3117&gt;0,D3117/G3117,"")</f>
        <v>90.6</v>
      </c>
      <c r="I3117" s="10" t="n">
        <v>45953</v>
      </c>
      <c r="J3117" s="3" t="s">
        <v>4445</v>
      </c>
      <c r="K3117" s="10" t="n">
        <v>44246</v>
      </c>
      <c r="L3117" s="3" t="s">
        <v>28</v>
      </c>
      <c r="M3117" s="7" t="n">
        <v>520</v>
      </c>
      <c r="N3117" s="8" t="n">
        <v>0.1609</v>
      </c>
      <c r="O3117" s="4" t="n">
        <f aca="false">M3117*N3117</f>
        <v>83.668</v>
      </c>
    </row>
    <row r="3118" customFormat="false" ht="15" hidden="false" customHeight="false" outlineLevel="0" collapsed="false">
      <c r="A3118" s="0" t="s">
        <v>4446</v>
      </c>
      <c r="C3118" s="0" t="s">
        <v>31</v>
      </c>
      <c r="D3118" s="7" t="n">
        <v>208</v>
      </c>
      <c r="E3118" s="8" t="n">
        <v>0.35</v>
      </c>
      <c r="F3118" s="4" t="n">
        <f aca="false">D3118*E3118</f>
        <v>72.8</v>
      </c>
      <c r="G3118" s="7" t="n">
        <v>5</v>
      </c>
      <c r="H3118" s="9" t="n">
        <f aca="false">IF(G3118&gt;0,D3118/G3118,"")</f>
        <v>41.6</v>
      </c>
      <c r="I3118" s="10" t="n">
        <v>46140</v>
      </c>
      <c r="K3118" s="10"/>
      <c r="M3118" s="7"/>
      <c r="N3118" s="8"/>
      <c r="O3118" s="4"/>
    </row>
    <row r="3119" customFormat="false" ht="15" hidden="false" customHeight="false" outlineLevel="0" collapsed="false">
      <c r="A3119" s="0" t="s">
        <v>4447</v>
      </c>
      <c r="D3119" s="7" t="n">
        <v>18</v>
      </c>
      <c r="E3119" s="8" t="n">
        <v>4.04277777777778</v>
      </c>
      <c r="F3119" s="4" t="n">
        <f aca="false">D3119*E3119</f>
        <v>72.77</v>
      </c>
      <c r="G3119" s="7" t="n">
        <v>3</v>
      </c>
      <c r="H3119" s="9" t="n">
        <f aca="false">IF(G3119&gt;0,D3119/G3119,"")</f>
        <v>6</v>
      </c>
      <c r="I3119" s="10" t="n">
        <v>46108</v>
      </c>
      <c r="J3119" s="3" t="s">
        <v>4448</v>
      </c>
      <c r="K3119" s="10" t="n">
        <v>45827</v>
      </c>
      <c r="L3119" s="3" t="s">
        <v>14</v>
      </c>
      <c r="M3119" s="7" t="n">
        <v>25</v>
      </c>
      <c r="N3119" s="8" t="n">
        <v>4.0424</v>
      </c>
      <c r="O3119" s="4" t="n">
        <f aca="false">M3119*N3119</f>
        <v>101.06</v>
      </c>
    </row>
    <row r="3120" customFormat="false" ht="15" hidden="false" customHeight="false" outlineLevel="0" collapsed="false">
      <c r="A3120" s="0" t="s">
        <v>4449</v>
      </c>
      <c r="C3120" s="0" t="s">
        <v>31</v>
      </c>
      <c r="D3120" s="7" t="n">
        <v>3362</v>
      </c>
      <c r="E3120" s="8" t="n">
        <v>0.0216002379535991</v>
      </c>
      <c r="F3120" s="4" t="n">
        <f aca="false">D3120*E3120</f>
        <v>72.62</v>
      </c>
      <c r="G3120" s="7" t="n">
        <v>67</v>
      </c>
      <c r="H3120" s="9" t="n">
        <f aca="false">IF(G3120&gt;0,D3120/G3120,"")</f>
        <v>50.1791044776119</v>
      </c>
      <c r="I3120" s="10" t="n">
        <v>46283</v>
      </c>
      <c r="J3120" s="3" t="s">
        <v>4260</v>
      </c>
      <c r="K3120" s="10" t="n">
        <v>45659</v>
      </c>
      <c r="L3120" s="3" t="s">
        <v>16</v>
      </c>
      <c r="M3120" s="7" t="n">
        <v>3473</v>
      </c>
      <c r="N3120" s="8" t="n">
        <v>0.0216</v>
      </c>
      <c r="O3120" s="4" t="n">
        <f aca="false">M3120*N3120</f>
        <v>75.0168</v>
      </c>
    </row>
    <row r="3121" customFormat="false" ht="15" hidden="false" customHeight="false" outlineLevel="0" collapsed="false">
      <c r="A3121" s="0" t="s">
        <v>4450</v>
      </c>
      <c r="C3121" s="0" t="s">
        <v>32</v>
      </c>
      <c r="D3121" s="7" t="n">
        <v>301</v>
      </c>
      <c r="E3121" s="8" t="n">
        <v>0.241063122923588</v>
      </c>
      <c r="F3121" s="4" t="n">
        <f aca="false">D3121*E3121</f>
        <v>72.56</v>
      </c>
      <c r="G3121" s="7" t="n">
        <v>127</v>
      </c>
      <c r="H3121" s="9" t="n">
        <f aca="false">IF(G3121&gt;0,D3121/G3121,"")</f>
        <v>2.37007874015748</v>
      </c>
      <c r="I3121" s="10" t="n">
        <v>46216</v>
      </c>
      <c r="J3121" s="3" t="s">
        <v>3954</v>
      </c>
      <c r="K3121" s="10" t="n">
        <v>45762</v>
      </c>
      <c r="L3121" s="3" t="s">
        <v>18</v>
      </c>
      <c r="M3121" s="7" t="n">
        <v>555</v>
      </c>
      <c r="N3121" s="8" t="n">
        <v>0.241</v>
      </c>
      <c r="O3121" s="4" t="n">
        <f aca="false">M3121*N3121</f>
        <v>133.755</v>
      </c>
    </row>
    <row r="3122" customFormat="false" ht="15" hidden="false" customHeight="false" outlineLevel="0" collapsed="false">
      <c r="A3122" s="0" t="s">
        <v>4451</v>
      </c>
      <c r="C3122" s="0" t="s">
        <v>34</v>
      </c>
      <c r="D3122" s="7" t="n">
        <v>5334</v>
      </c>
      <c r="E3122" s="8" t="n">
        <v>0.0135976752905887</v>
      </c>
      <c r="F3122" s="4" t="n">
        <f aca="false">D3122*E3122</f>
        <v>72.53</v>
      </c>
      <c r="G3122" s="7" t="n">
        <v>807</v>
      </c>
      <c r="H3122" s="9" t="n">
        <f aca="false">IF(G3122&gt;0,D3122/G3122,"")</f>
        <v>6.60966542750929</v>
      </c>
      <c r="I3122" s="10" t="n">
        <v>46202</v>
      </c>
      <c r="J3122" s="3" t="s">
        <v>1192</v>
      </c>
      <c r="K3122" s="10" t="n">
        <v>45736</v>
      </c>
      <c r="L3122" s="3" t="s">
        <v>26</v>
      </c>
      <c r="M3122" s="7" t="n">
        <v>200</v>
      </c>
      <c r="N3122" s="8" t="n">
        <v>0.0319</v>
      </c>
      <c r="O3122" s="4" t="n">
        <f aca="false">M3122*N3122</f>
        <v>6.38</v>
      </c>
    </row>
    <row r="3123" customFormat="false" ht="15" hidden="false" customHeight="false" outlineLevel="0" collapsed="false">
      <c r="A3123" s="0" t="s">
        <v>4452</v>
      </c>
      <c r="C3123" s="0" t="s">
        <v>61</v>
      </c>
      <c r="D3123" s="7" t="n">
        <v>361</v>
      </c>
      <c r="E3123" s="8" t="n">
        <v>0.200886426592798</v>
      </c>
      <c r="F3123" s="4" t="n">
        <f aca="false">D3123*E3123</f>
        <v>72.52</v>
      </c>
      <c r="G3123" s="7" t="n">
        <v>50</v>
      </c>
      <c r="H3123" s="9" t="n">
        <f aca="false">IF(G3123&gt;0,D3123/G3123,"")</f>
        <v>7.22</v>
      </c>
      <c r="I3123" s="10" t="n">
        <v>46253</v>
      </c>
      <c r="J3123" s="3" t="s">
        <v>4200</v>
      </c>
      <c r="K3123" s="10" t="n">
        <v>45917</v>
      </c>
      <c r="L3123" s="3" t="s">
        <v>23</v>
      </c>
      <c r="M3123" s="7" t="n">
        <v>400</v>
      </c>
      <c r="N3123" s="8" t="n">
        <v>0.2009</v>
      </c>
      <c r="O3123" s="4" t="n">
        <f aca="false">M3123*N3123</f>
        <v>80.36</v>
      </c>
    </row>
    <row r="3124" customFormat="false" ht="15" hidden="false" customHeight="false" outlineLevel="0" collapsed="false">
      <c r="A3124" s="0" t="s">
        <v>4453</v>
      </c>
      <c r="C3124" s="0" t="s">
        <v>494</v>
      </c>
      <c r="D3124" s="7" t="n">
        <v>1646</v>
      </c>
      <c r="E3124" s="8" t="n">
        <v>0.044003645200486</v>
      </c>
      <c r="F3124" s="4" t="n">
        <f aca="false">D3124*E3124</f>
        <v>72.43</v>
      </c>
      <c r="G3124" s="7" t="n">
        <v>58</v>
      </c>
      <c r="H3124" s="9" t="n">
        <f aca="false">IF(G3124&gt;0,D3124/G3124,"")</f>
        <v>28.3793103448276</v>
      </c>
      <c r="I3124" s="10" t="n">
        <v>46231</v>
      </c>
      <c r="J3124" s="3" t="s">
        <v>810</v>
      </c>
      <c r="K3124" s="10" t="n">
        <v>45056</v>
      </c>
      <c r="L3124" s="3" t="s">
        <v>16</v>
      </c>
      <c r="M3124" s="7" t="n">
        <v>2335</v>
      </c>
      <c r="N3124" s="8" t="n">
        <v>0.044</v>
      </c>
      <c r="O3124" s="4" t="n">
        <f aca="false">M3124*N3124</f>
        <v>102.74</v>
      </c>
    </row>
    <row r="3125" customFormat="false" ht="15" hidden="false" customHeight="false" outlineLevel="0" collapsed="false">
      <c r="A3125" s="0" t="s">
        <v>4454</v>
      </c>
      <c r="C3125" s="0" t="s">
        <v>38</v>
      </c>
      <c r="D3125" s="7" t="n">
        <v>1077</v>
      </c>
      <c r="E3125" s="8" t="n">
        <v>0.067205199628598</v>
      </c>
      <c r="F3125" s="4" t="n">
        <f aca="false">D3125*E3125</f>
        <v>72.38</v>
      </c>
      <c r="G3125" s="7" t="n">
        <v>330</v>
      </c>
      <c r="H3125" s="9" t="n">
        <f aca="false">IF(G3125&gt;0,D3125/G3125,"")</f>
        <v>3.26363636363636</v>
      </c>
      <c r="I3125" s="10" t="n">
        <v>46247</v>
      </c>
      <c r="J3125" s="3" t="s">
        <v>3616</v>
      </c>
      <c r="K3125" s="10" t="n">
        <v>45471</v>
      </c>
      <c r="L3125" s="3" t="s">
        <v>18</v>
      </c>
      <c r="M3125" s="7" t="n">
        <v>1500</v>
      </c>
      <c r="N3125" s="8" t="n">
        <v>0.0672</v>
      </c>
      <c r="O3125" s="4" t="n">
        <f aca="false">M3125*N3125</f>
        <v>100.8</v>
      </c>
    </row>
    <row r="3126" customFormat="false" ht="15" hidden="false" customHeight="false" outlineLevel="0" collapsed="false">
      <c r="A3126" s="0" t="s">
        <v>4455</v>
      </c>
      <c r="C3126" s="0" t="s">
        <v>34</v>
      </c>
      <c r="D3126" s="7" t="n">
        <v>4978</v>
      </c>
      <c r="E3126" s="8" t="n">
        <v>0.0145158698272399</v>
      </c>
      <c r="F3126" s="4" t="n">
        <f aca="false">D3126*E3126</f>
        <v>72.26</v>
      </c>
      <c r="G3126" s="7" t="n">
        <v>1021</v>
      </c>
      <c r="H3126" s="9" t="n">
        <f aca="false">IF(G3126&gt;0,D3126/G3126,"")</f>
        <v>4.87561214495593</v>
      </c>
      <c r="I3126" s="10" t="n">
        <v>46246</v>
      </c>
      <c r="J3126" s="3" t="s">
        <v>1576</v>
      </c>
      <c r="K3126" s="10" t="n">
        <v>46196</v>
      </c>
      <c r="L3126" s="3" t="s">
        <v>16</v>
      </c>
      <c r="M3126" s="7" t="n">
        <v>5200</v>
      </c>
      <c r="N3126" s="8" t="n">
        <v>0.014</v>
      </c>
      <c r="O3126" s="4" t="n">
        <f aca="false">M3126*N3126</f>
        <v>72.8</v>
      </c>
    </row>
    <row r="3127" customFormat="false" ht="15" hidden="false" customHeight="false" outlineLevel="0" collapsed="false">
      <c r="A3127" s="0" t="s">
        <v>4456</v>
      </c>
      <c r="C3127" s="0" t="s">
        <v>118</v>
      </c>
      <c r="D3127" s="7" t="n">
        <v>10064</v>
      </c>
      <c r="E3127" s="8" t="n">
        <v>0.00718004769475358</v>
      </c>
      <c r="F3127" s="4" t="n">
        <f aca="false">D3127*E3127</f>
        <v>72.26</v>
      </c>
      <c r="G3127" s="7" t="n">
        <v>1755</v>
      </c>
      <c r="H3127" s="9" t="n">
        <f aca="false">IF(G3127&gt;0,D3127/G3127,"")</f>
        <v>5.73447293447294</v>
      </c>
      <c r="I3127" s="10" t="n">
        <v>46308</v>
      </c>
      <c r="K3127" s="10"/>
      <c r="M3127" s="7"/>
      <c r="N3127" s="8"/>
      <c r="O3127" s="4"/>
    </row>
    <row r="3128" customFormat="false" ht="15" hidden="false" customHeight="false" outlineLevel="0" collapsed="false">
      <c r="A3128" s="0" t="s">
        <v>4457</v>
      </c>
      <c r="C3128" s="0" t="s">
        <v>40</v>
      </c>
      <c r="D3128" s="7" t="n">
        <v>6226</v>
      </c>
      <c r="E3128" s="8" t="n">
        <v>0.0116029553485384</v>
      </c>
      <c r="F3128" s="4" t="n">
        <f aca="false">D3128*E3128</f>
        <v>72.24</v>
      </c>
      <c r="G3128" s="7" t="n">
        <v>345</v>
      </c>
      <c r="H3128" s="9" t="n">
        <f aca="false">IF(G3128&gt;0,D3128/G3128,"")</f>
        <v>18.0463768115942</v>
      </c>
      <c r="I3128" s="10" t="n">
        <v>46317</v>
      </c>
      <c r="J3128" s="3" t="s">
        <v>4458</v>
      </c>
      <c r="K3128" s="10" t="n">
        <v>44489</v>
      </c>
      <c r="L3128" s="3" t="s">
        <v>18</v>
      </c>
      <c r="M3128" s="7" t="n">
        <v>8565</v>
      </c>
      <c r="N3128" s="8" t="n">
        <v>0.0116</v>
      </c>
      <c r="O3128" s="4" t="n">
        <f aca="false">M3128*N3128</f>
        <v>99.354</v>
      </c>
    </row>
    <row r="3129" customFormat="false" ht="15" hidden="false" customHeight="false" outlineLevel="0" collapsed="false">
      <c r="A3129" s="0" t="s">
        <v>4459</v>
      </c>
      <c r="C3129" s="0" t="s">
        <v>2569</v>
      </c>
      <c r="D3129" s="7" t="n">
        <v>21</v>
      </c>
      <c r="E3129" s="8" t="n">
        <v>3.43</v>
      </c>
      <c r="F3129" s="4" t="n">
        <f aca="false">D3129*E3129</f>
        <v>72.03</v>
      </c>
      <c r="G3129" s="7" t="n">
        <v>13</v>
      </c>
      <c r="H3129" s="9" t="n">
        <f aca="false">IF(G3129&gt;0,D3129/G3129,"")</f>
        <v>1.61538461538462</v>
      </c>
      <c r="I3129" s="10" t="n">
        <v>46253</v>
      </c>
      <c r="J3129" s="3" t="s">
        <v>4460</v>
      </c>
      <c r="K3129" s="10" t="n">
        <v>45373</v>
      </c>
      <c r="L3129" s="3" t="s">
        <v>1175</v>
      </c>
      <c r="M3129" s="7" t="n">
        <v>5</v>
      </c>
      <c r="N3129" s="8" t="n">
        <v>5.3338</v>
      </c>
      <c r="O3129" s="4" t="n">
        <f aca="false">M3129*N3129</f>
        <v>26.669</v>
      </c>
    </row>
    <row r="3130" customFormat="false" ht="15" hidden="false" customHeight="false" outlineLevel="0" collapsed="false">
      <c r="A3130" s="0" t="s">
        <v>4461</v>
      </c>
      <c r="C3130" s="0" t="s">
        <v>34</v>
      </c>
      <c r="D3130" s="7" t="n">
        <v>396</v>
      </c>
      <c r="E3130" s="8" t="n">
        <v>0.181818181818182</v>
      </c>
      <c r="F3130" s="4" t="n">
        <f aca="false">D3130*E3130</f>
        <v>72</v>
      </c>
      <c r="G3130" s="7" t="n">
        <v>105</v>
      </c>
      <c r="H3130" s="9" t="n">
        <f aca="false">IF(G3130&gt;0,D3130/G3130,"")</f>
        <v>3.77142857142857</v>
      </c>
      <c r="I3130" s="10" t="n">
        <v>46035</v>
      </c>
      <c r="J3130" s="3" t="s">
        <v>1192</v>
      </c>
      <c r="K3130" s="10" t="n">
        <v>45736</v>
      </c>
      <c r="L3130" s="3" t="s">
        <v>26</v>
      </c>
      <c r="M3130" s="7" t="n">
        <v>27</v>
      </c>
      <c r="N3130" s="8" t="n">
        <v>0.4277</v>
      </c>
      <c r="O3130" s="4" t="n">
        <f aca="false">M3130*N3130</f>
        <v>11.5479</v>
      </c>
    </row>
    <row r="3131" customFormat="false" ht="15" hidden="false" customHeight="false" outlineLevel="0" collapsed="false">
      <c r="A3131" s="0" t="s">
        <v>4462</v>
      </c>
      <c r="C3131" s="0" t="s">
        <v>79</v>
      </c>
      <c r="D3131" s="7" t="n">
        <v>226</v>
      </c>
      <c r="E3131" s="8" t="n">
        <v>0.318318584070796</v>
      </c>
      <c r="F3131" s="4" t="n">
        <f aca="false">D3131*E3131</f>
        <v>71.94</v>
      </c>
      <c r="G3131" s="7" t="n">
        <v>5</v>
      </c>
      <c r="H3131" s="9" t="n">
        <f aca="false">IF(G3131&gt;0,D3131/G3131,"")</f>
        <v>45.2</v>
      </c>
      <c r="I3131" s="10" t="n">
        <v>46122</v>
      </c>
      <c r="K3131" s="10"/>
      <c r="M3131" s="7"/>
      <c r="N3131" s="8"/>
      <c r="O3131" s="4"/>
    </row>
    <row r="3132" customFormat="false" ht="15" hidden="false" customHeight="false" outlineLevel="0" collapsed="false">
      <c r="A3132" s="0" t="s">
        <v>4463</v>
      </c>
      <c r="C3132" s="0" t="s">
        <v>765</v>
      </c>
      <c r="D3132" s="7" t="n">
        <v>3995</v>
      </c>
      <c r="E3132" s="8" t="n">
        <v>0.0180025031289111</v>
      </c>
      <c r="F3132" s="4" t="n">
        <f aca="false">D3132*E3132</f>
        <v>71.92</v>
      </c>
      <c r="G3132" s="7" t="n">
        <v>223</v>
      </c>
      <c r="H3132" s="9" t="n">
        <f aca="false">IF(G3132&gt;0,D3132/G3132,"")</f>
        <v>17.914798206278</v>
      </c>
      <c r="I3132" s="10" t="n">
        <v>46253</v>
      </c>
      <c r="K3132" s="10"/>
      <c r="M3132" s="7"/>
      <c r="N3132" s="8"/>
      <c r="O3132" s="4"/>
    </row>
    <row r="3133" customFormat="false" ht="15" hidden="false" customHeight="false" outlineLevel="0" collapsed="false">
      <c r="A3133" s="0" t="s">
        <v>4464</v>
      </c>
      <c r="C3133" s="0" t="s">
        <v>1017</v>
      </c>
      <c r="D3133" s="7" t="n">
        <v>246</v>
      </c>
      <c r="E3133" s="8" t="n">
        <v>0.292154471544716</v>
      </c>
      <c r="F3133" s="4" t="n">
        <f aca="false">D3133*E3133</f>
        <v>71.87</v>
      </c>
      <c r="G3133" s="7" t="n">
        <v>25</v>
      </c>
      <c r="H3133" s="9" t="n">
        <f aca="false">IF(G3133&gt;0,D3133/G3133,"")</f>
        <v>9.84</v>
      </c>
      <c r="I3133" s="10" t="n">
        <v>46294</v>
      </c>
      <c r="J3133" s="3" t="s">
        <v>1684</v>
      </c>
      <c r="K3133" s="10" t="n">
        <v>45755</v>
      </c>
      <c r="L3133" s="3" t="s">
        <v>15</v>
      </c>
      <c r="M3133" s="7" t="n">
        <v>770</v>
      </c>
      <c r="N3133" s="8" t="n">
        <v>0.29218</v>
      </c>
      <c r="O3133" s="4" t="n">
        <f aca="false">M3133*N3133</f>
        <v>224.9786</v>
      </c>
    </row>
    <row r="3134" customFormat="false" ht="15" hidden="false" customHeight="false" outlineLevel="0" collapsed="false">
      <c r="A3134" s="0" t="s">
        <v>4465</v>
      </c>
      <c r="C3134" s="0" t="s">
        <v>31</v>
      </c>
      <c r="D3134" s="7" t="n">
        <v>8924</v>
      </c>
      <c r="E3134" s="8" t="n">
        <v>0.00805020170327208</v>
      </c>
      <c r="F3134" s="4" t="n">
        <f aca="false">D3134*E3134</f>
        <v>71.84</v>
      </c>
      <c r="G3134" s="7" t="n">
        <v>4460</v>
      </c>
      <c r="H3134" s="9" t="n">
        <f aca="false">IF(G3134&gt;0,D3134/G3134,"")</f>
        <v>2.00089686098655</v>
      </c>
      <c r="I3134" s="10" t="n">
        <v>46161</v>
      </c>
      <c r="J3134" s="3" t="s">
        <v>1035</v>
      </c>
      <c r="K3134" s="10" t="n">
        <v>46251</v>
      </c>
      <c r="L3134" s="3" t="s">
        <v>16</v>
      </c>
      <c r="M3134" s="7" t="n">
        <v>6700</v>
      </c>
      <c r="N3134" s="8" t="n">
        <v>0.008</v>
      </c>
      <c r="O3134" s="4" t="n">
        <f aca="false">M3134*N3134</f>
        <v>53.6</v>
      </c>
    </row>
    <row r="3135" customFormat="false" ht="15" hidden="false" customHeight="false" outlineLevel="0" collapsed="false">
      <c r="A3135" s="0" t="s">
        <v>4466</v>
      </c>
      <c r="C3135" s="0" t="s">
        <v>295</v>
      </c>
      <c r="D3135" s="7" t="n">
        <v>5839</v>
      </c>
      <c r="E3135" s="8" t="n">
        <v>0.0123000513786607</v>
      </c>
      <c r="F3135" s="4" t="n">
        <f aca="false">D3135*E3135</f>
        <v>71.82</v>
      </c>
      <c r="G3135" s="7" t="n">
        <v>284</v>
      </c>
      <c r="H3135" s="9" t="n">
        <f aca="false">IF(G3135&gt;0,D3135/G3135,"")</f>
        <v>20.5598591549296</v>
      </c>
      <c r="I3135" s="10" t="n">
        <v>46212</v>
      </c>
      <c r="K3135" s="10"/>
      <c r="M3135" s="7"/>
      <c r="N3135" s="8"/>
      <c r="O3135" s="4"/>
    </row>
    <row r="3136" customFormat="false" ht="15" hidden="false" customHeight="false" outlineLevel="0" collapsed="false">
      <c r="A3136" s="0" t="s">
        <v>4467</v>
      </c>
      <c r="C3136" s="0" t="s">
        <v>1169</v>
      </c>
      <c r="D3136" s="7" t="n">
        <v>152</v>
      </c>
      <c r="E3136" s="8" t="n">
        <v>0.472434210526316</v>
      </c>
      <c r="F3136" s="4" t="n">
        <f aca="false">D3136*E3136</f>
        <v>71.81</v>
      </c>
      <c r="G3136" s="7" t="n">
        <v>18</v>
      </c>
      <c r="H3136" s="9" t="n">
        <f aca="false">IF(G3136&gt;0,D3136/G3136,"")</f>
        <v>8.44444444444445</v>
      </c>
      <c r="I3136" s="10" t="n">
        <v>46280</v>
      </c>
      <c r="J3136" s="3" t="s">
        <v>4468</v>
      </c>
      <c r="K3136" s="10" t="n">
        <v>44938</v>
      </c>
      <c r="L3136" s="3" t="s">
        <v>14</v>
      </c>
      <c r="M3136" s="7" t="n">
        <v>250</v>
      </c>
      <c r="N3136" s="8" t="n">
        <v>0.4725</v>
      </c>
      <c r="O3136" s="4" t="n">
        <f aca="false">M3136*N3136</f>
        <v>118.125</v>
      </c>
    </row>
    <row r="3137" customFormat="false" ht="15" hidden="false" customHeight="false" outlineLevel="0" collapsed="false">
      <c r="A3137" s="0" t="s">
        <v>4469</v>
      </c>
      <c r="C3137" s="0" t="s">
        <v>41</v>
      </c>
      <c r="D3137" s="7" t="n">
        <v>9364</v>
      </c>
      <c r="E3137" s="8" t="n">
        <v>0.00766339171294319</v>
      </c>
      <c r="F3137" s="4" t="n">
        <f aca="false">D3137*E3137</f>
        <v>71.76</v>
      </c>
      <c r="G3137" s="7" t="n">
        <v>3577</v>
      </c>
      <c r="H3137" s="9" t="n">
        <f aca="false">IF(G3137&gt;0,D3137/G3137,"")</f>
        <v>2.61783617556612</v>
      </c>
      <c r="I3137" s="10" t="n">
        <v>46279</v>
      </c>
      <c r="J3137" s="3" t="s">
        <v>2551</v>
      </c>
      <c r="K3137" s="10" t="n">
        <v>46210</v>
      </c>
      <c r="L3137" s="3" t="s">
        <v>16</v>
      </c>
      <c r="M3137" s="7" t="n">
        <v>8906</v>
      </c>
      <c r="N3137" s="8" t="n">
        <v>0.0072</v>
      </c>
      <c r="O3137" s="4" t="n">
        <f aca="false">M3137*N3137</f>
        <v>64.1232</v>
      </c>
    </row>
    <row r="3138" customFormat="false" ht="15" hidden="false" customHeight="false" outlineLevel="0" collapsed="false">
      <c r="A3138" s="0" t="s">
        <v>4470</v>
      </c>
      <c r="C3138" s="0" t="s">
        <v>36</v>
      </c>
      <c r="D3138" s="7" t="n">
        <v>7474</v>
      </c>
      <c r="E3138" s="8" t="n">
        <v>0.0095999464811346</v>
      </c>
      <c r="F3138" s="4" t="n">
        <f aca="false">D3138*E3138</f>
        <v>71.75</v>
      </c>
      <c r="G3138" s="7" t="n">
        <v>1885</v>
      </c>
      <c r="H3138" s="9" t="n">
        <f aca="false">IF(G3138&gt;0,D3138/G3138,"")</f>
        <v>3.96498673740053</v>
      </c>
      <c r="I3138" s="10" t="n">
        <v>46184</v>
      </c>
      <c r="J3138" s="3" t="s">
        <v>4471</v>
      </c>
      <c r="K3138" s="10" t="n">
        <v>45867</v>
      </c>
      <c r="L3138" s="3" t="s">
        <v>18</v>
      </c>
      <c r="M3138" s="7" t="n">
        <v>10000</v>
      </c>
      <c r="N3138" s="8" t="n">
        <v>0.0096</v>
      </c>
      <c r="O3138" s="4" t="n">
        <f aca="false">M3138*N3138</f>
        <v>96</v>
      </c>
    </row>
    <row r="3139" customFormat="false" ht="15" hidden="false" customHeight="false" outlineLevel="0" collapsed="false">
      <c r="A3139" s="0" t="s">
        <v>4472</v>
      </c>
      <c r="C3139" s="0" t="s">
        <v>34</v>
      </c>
      <c r="D3139" s="7" t="n">
        <v>2768</v>
      </c>
      <c r="E3139" s="8" t="n">
        <v>0.0259104046242775</v>
      </c>
      <c r="F3139" s="4" t="n">
        <f aca="false">D3139*E3139</f>
        <v>71.72</v>
      </c>
      <c r="G3139" s="7" t="n">
        <v>422</v>
      </c>
      <c r="H3139" s="9" t="n">
        <f aca="false">IF(G3139&gt;0,D3139/G3139,"")</f>
        <v>6.55924170616114</v>
      </c>
      <c r="I3139" s="10" t="n">
        <v>46281</v>
      </c>
      <c r="J3139" s="3" t="s">
        <v>302</v>
      </c>
      <c r="K3139" s="10" t="n">
        <v>45520</v>
      </c>
      <c r="L3139" s="3" t="s">
        <v>15</v>
      </c>
      <c r="M3139" s="7" t="n">
        <v>4100</v>
      </c>
      <c r="N3139" s="8" t="n">
        <v>0.02592</v>
      </c>
      <c r="O3139" s="4" t="n">
        <f aca="false">M3139*N3139</f>
        <v>106.272</v>
      </c>
    </row>
    <row r="3140" customFormat="false" ht="15" hidden="false" customHeight="false" outlineLevel="0" collapsed="false">
      <c r="A3140" s="0" t="s">
        <v>4473</v>
      </c>
      <c r="C3140" s="0" t="s">
        <v>31</v>
      </c>
      <c r="D3140" s="7" t="n">
        <v>12140</v>
      </c>
      <c r="E3140" s="8" t="n">
        <v>0.0059003294892916</v>
      </c>
      <c r="F3140" s="4" t="n">
        <f aca="false">D3140*E3140</f>
        <v>71.63</v>
      </c>
      <c r="G3140" s="7" t="n">
        <v>710</v>
      </c>
      <c r="H3140" s="9" t="n">
        <f aca="false">IF(G3140&gt;0,D3140/G3140,"")</f>
        <v>17.0985915492958</v>
      </c>
      <c r="I3140" s="10" t="n">
        <v>46216</v>
      </c>
      <c r="K3140" s="10"/>
      <c r="M3140" s="7"/>
      <c r="N3140" s="8"/>
      <c r="O3140" s="4"/>
    </row>
    <row r="3141" customFormat="false" ht="15" hidden="false" customHeight="false" outlineLevel="0" collapsed="false">
      <c r="A3141" s="0" t="s">
        <v>4474</v>
      </c>
      <c r="C3141" s="0" t="s">
        <v>855</v>
      </c>
      <c r="D3141" s="7" t="n">
        <v>11187</v>
      </c>
      <c r="E3141" s="8" t="n">
        <v>0.00639939215160454</v>
      </c>
      <c r="F3141" s="4" t="n">
        <f aca="false">D3141*E3141</f>
        <v>71.59</v>
      </c>
      <c r="G3141" s="7" t="n">
        <v>36</v>
      </c>
      <c r="H3141" s="9" t="n">
        <f aca="false">IF(G3141&gt;0,D3141/G3141,"")</f>
        <v>310.75</v>
      </c>
      <c r="I3141" s="10" t="n">
        <v>45996</v>
      </c>
      <c r="K3141" s="10"/>
      <c r="M3141" s="7"/>
      <c r="N3141" s="8"/>
      <c r="O3141" s="4"/>
    </row>
    <row r="3142" customFormat="false" ht="15" hidden="false" customHeight="false" outlineLevel="0" collapsed="false">
      <c r="A3142" s="0" t="s">
        <v>4475</v>
      </c>
      <c r="C3142" s="0" t="s">
        <v>34</v>
      </c>
      <c r="D3142" s="7" t="n">
        <v>982</v>
      </c>
      <c r="E3142" s="8" t="n">
        <v>0.0728105906313646</v>
      </c>
      <c r="F3142" s="4" t="n">
        <f aca="false">D3142*E3142</f>
        <v>71.5</v>
      </c>
      <c r="G3142" s="7" t="n">
        <v>76</v>
      </c>
      <c r="H3142" s="9" t="n">
        <f aca="false">IF(G3142&gt;0,D3142/G3142,"")</f>
        <v>12.9210526315789</v>
      </c>
      <c r="I3142" s="10" t="n">
        <v>46301</v>
      </c>
      <c r="J3142" s="3" t="s">
        <v>4260</v>
      </c>
      <c r="K3142" s="10" t="n">
        <v>45659</v>
      </c>
      <c r="L3142" s="3" t="s">
        <v>16</v>
      </c>
      <c r="M3142" s="7" t="n">
        <v>1081</v>
      </c>
      <c r="N3142" s="8" t="n">
        <v>0.0707</v>
      </c>
      <c r="O3142" s="4" t="n">
        <f aca="false">M3142*N3142</f>
        <v>76.4267</v>
      </c>
    </row>
    <row r="3143" customFormat="false" ht="15" hidden="false" customHeight="false" outlineLevel="0" collapsed="false">
      <c r="A3143" s="0" t="s">
        <v>4476</v>
      </c>
      <c r="C3143" s="0" t="s">
        <v>38</v>
      </c>
      <c r="D3143" s="7" t="n">
        <v>453</v>
      </c>
      <c r="E3143" s="8" t="n">
        <v>0.157704194260486</v>
      </c>
      <c r="F3143" s="4" t="n">
        <f aca="false">D3143*E3143</f>
        <v>71.44</v>
      </c>
      <c r="G3143" s="7" t="n">
        <v>150</v>
      </c>
      <c r="H3143" s="9" t="n">
        <f aca="false">IF(G3143&gt;0,D3143/G3143,"")</f>
        <v>3.02</v>
      </c>
      <c r="I3143" s="10" t="n">
        <v>46317</v>
      </c>
      <c r="J3143" s="3" t="s">
        <v>3864</v>
      </c>
      <c r="K3143" s="10" t="n">
        <v>46058</v>
      </c>
      <c r="L3143" s="3" t="s">
        <v>18</v>
      </c>
      <c r="M3143" s="7" t="n">
        <v>600</v>
      </c>
      <c r="N3143" s="8" t="n">
        <v>0.1577</v>
      </c>
      <c r="O3143" s="4" t="n">
        <f aca="false">M3143*N3143</f>
        <v>94.62</v>
      </c>
    </row>
    <row r="3144" customFormat="false" ht="15" hidden="false" customHeight="false" outlineLevel="0" collapsed="false">
      <c r="A3144" s="0" t="s">
        <v>4477</v>
      </c>
      <c r="C3144" s="0" t="s">
        <v>295</v>
      </c>
      <c r="D3144" s="7" t="n">
        <v>1985</v>
      </c>
      <c r="E3144" s="8" t="n">
        <v>0.0359748110831234</v>
      </c>
      <c r="F3144" s="4" t="n">
        <f aca="false">D3144*E3144</f>
        <v>71.41</v>
      </c>
      <c r="G3144" s="7" t="n">
        <v>244</v>
      </c>
      <c r="H3144" s="9" t="n">
        <f aca="false">IF(G3144&gt;0,D3144/G3144,"")</f>
        <v>8.13524590163934</v>
      </c>
      <c r="I3144" s="10" t="n">
        <v>46268</v>
      </c>
      <c r="J3144" s="3" t="s">
        <v>4478</v>
      </c>
      <c r="K3144" s="10" t="n">
        <v>44709</v>
      </c>
      <c r="L3144" s="3" t="s">
        <v>19</v>
      </c>
      <c r="M3144" s="7" t="n">
        <v>9100</v>
      </c>
      <c r="N3144" s="8" t="n">
        <v>0.0516</v>
      </c>
      <c r="O3144" s="4" t="n">
        <f aca="false">M3144*N3144</f>
        <v>469.56</v>
      </c>
    </row>
    <row r="3145" customFormat="false" ht="15" hidden="false" customHeight="false" outlineLevel="0" collapsed="false">
      <c r="A3145" s="0" t="s">
        <v>4479</v>
      </c>
      <c r="C3145" s="0" t="s">
        <v>609</v>
      </c>
      <c r="D3145" s="7" t="n">
        <v>42</v>
      </c>
      <c r="E3145" s="8" t="n">
        <v>1.7</v>
      </c>
      <c r="F3145" s="4" t="n">
        <f aca="false">D3145*E3145</f>
        <v>71.4</v>
      </c>
      <c r="G3145" s="7" t="n">
        <v>12</v>
      </c>
      <c r="H3145" s="9" t="n">
        <f aca="false">IF(G3145&gt;0,D3145/G3145,"")</f>
        <v>3.5</v>
      </c>
      <c r="I3145" s="10" t="n">
        <v>46169</v>
      </c>
      <c r="J3145" s="3" t="s">
        <v>1877</v>
      </c>
      <c r="K3145" s="10" t="n">
        <v>45896</v>
      </c>
      <c r="L3145" s="3" t="s">
        <v>1878</v>
      </c>
      <c r="M3145" s="7" t="n">
        <v>100</v>
      </c>
      <c r="N3145" s="8" t="n">
        <v>1.7</v>
      </c>
      <c r="O3145" s="4" t="n">
        <f aca="false">M3145*N3145</f>
        <v>170</v>
      </c>
    </row>
    <row r="3146" customFormat="false" ht="15" hidden="false" customHeight="false" outlineLevel="0" collapsed="false">
      <c r="A3146" s="0" t="s">
        <v>4480</v>
      </c>
      <c r="C3146" s="0" t="s">
        <v>340</v>
      </c>
      <c r="D3146" s="7" t="n">
        <v>667</v>
      </c>
      <c r="E3146" s="8" t="n">
        <v>0.107001499250375</v>
      </c>
      <c r="F3146" s="4" t="n">
        <f aca="false">D3146*E3146</f>
        <v>71.37</v>
      </c>
      <c r="G3146" s="7" t="n">
        <v>233</v>
      </c>
      <c r="H3146" s="9" t="n">
        <f aca="false">IF(G3146&gt;0,D3146/G3146,"")</f>
        <v>2.86266094420601</v>
      </c>
      <c r="I3146" s="10" t="n">
        <v>46280</v>
      </c>
      <c r="J3146" s="3" t="s">
        <v>4481</v>
      </c>
      <c r="K3146" s="10" t="n">
        <v>44556</v>
      </c>
      <c r="L3146" s="3" t="s">
        <v>19</v>
      </c>
      <c r="M3146" s="7" t="n">
        <v>1000</v>
      </c>
      <c r="N3146" s="8" t="n">
        <v>0.107</v>
      </c>
      <c r="O3146" s="4" t="n">
        <f aca="false">M3146*N3146</f>
        <v>107</v>
      </c>
    </row>
    <row r="3147" customFormat="false" ht="15" hidden="false" customHeight="false" outlineLevel="0" collapsed="false">
      <c r="A3147" s="0" t="s">
        <v>4482</v>
      </c>
      <c r="C3147" s="0" t="s">
        <v>1039</v>
      </c>
      <c r="D3147" s="7" t="n">
        <v>2379</v>
      </c>
      <c r="E3147" s="8" t="n">
        <v>0.03</v>
      </c>
      <c r="F3147" s="4" t="n">
        <f aca="false">D3147*E3147</f>
        <v>71.37</v>
      </c>
      <c r="G3147" s="7" t="n">
        <v>114</v>
      </c>
      <c r="H3147" s="9" t="n">
        <f aca="false">IF(G3147&gt;0,D3147/G3147,"")</f>
        <v>20.8684210526316</v>
      </c>
      <c r="I3147" s="10" t="n">
        <v>46317</v>
      </c>
      <c r="K3147" s="10"/>
      <c r="M3147" s="7"/>
      <c r="N3147" s="8"/>
      <c r="O3147" s="4"/>
    </row>
    <row r="3148" customFormat="false" ht="15" hidden="false" customHeight="false" outlineLevel="0" collapsed="false">
      <c r="A3148" s="0" t="s">
        <v>4483</v>
      </c>
      <c r="C3148" s="0" t="s">
        <v>40</v>
      </c>
      <c r="D3148" s="7" t="n">
        <v>1007</v>
      </c>
      <c r="E3148" s="8" t="n">
        <v>0.0708043694141013</v>
      </c>
      <c r="F3148" s="4" t="n">
        <f aca="false">D3148*E3148</f>
        <v>71.3</v>
      </c>
      <c r="G3148" s="7" t="n">
        <v>375</v>
      </c>
      <c r="H3148" s="9" t="n">
        <f aca="false">IF(G3148&gt;0,D3148/G3148,"")</f>
        <v>2.68533333333333</v>
      </c>
      <c r="I3148" s="10" t="n">
        <v>46245</v>
      </c>
      <c r="J3148" s="3" t="s">
        <v>4484</v>
      </c>
      <c r="K3148" s="10" t="n">
        <v>45517</v>
      </c>
      <c r="L3148" s="3" t="s">
        <v>18</v>
      </c>
      <c r="M3148" s="7" t="n">
        <v>1400</v>
      </c>
      <c r="N3148" s="8" t="n">
        <v>0.0708</v>
      </c>
      <c r="O3148" s="4" t="n">
        <f aca="false">M3148*N3148</f>
        <v>99.12</v>
      </c>
    </row>
    <row r="3149" customFormat="false" ht="15" hidden="false" customHeight="false" outlineLevel="0" collapsed="false">
      <c r="A3149" s="0" t="s">
        <v>4485</v>
      </c>
      <c r="C3149" s="0" t="s">
        <v>2981</v>
      </c>
      <c r="D3149" s="7" t="n">
        <v>373</v>
      </c>
      <c r="E3149" s="8" t="n">
        <v>0.191152815013405</v>
      </c>
      <c r="F3149" s="4" t="n">
        <f aca="false">D3149*E3149</f>
        <v>71.3</v>
      </c>
      <c r="G3149" s="7" t="n">
        <v>12</v>
      </c>
      <c r="H3149" s="9" t="n">
        <f aca="false">IF(G3149&gt;0,D3149/G3149,"")</f>
        <v>31.0833333333333</v>
      </c>
      <c r="I3149" s="10" t="n">
        <v>46078</v>
      </c>
      <c r="K3149" s="10"/>
      <c r="M3149" s="7"/>
      <c r="N3149" s="8"/>
      <c r="O3149" s="4"/>
    </row>
    <row r="3150" customFormat="false" ht="15" hidden="false" customHeight="false" outlineLevel="0" collapsed="false">
      <c r="A3150" s="0" t="s">
        <v>4486</v>
      </c>
      <c r="C3150" s="0" t="s">
        <v>41</v>
      </c>
      <c r="D3150" s="7" t="n">
        <v>5668</v>
      </c>
      <c r="E3150" s="8" t="n">
        <v>0.0125741002117149</v>
      </c>
      <c r="F3150" s="4" t="n">
        <f aca="false">D3150*E3150</f>
        <v>71.27</v>
      </c>
      <c r="G3150" s="7" t="n">
        <v>30</v>
      </c>
      <c r="H3150" s="9" t="n">
        <f aca="false">IF(G3150&gt;0,D3150/G3150,"")</f>
        <v>188.933333333333</v>
      </c>
      <c r="I3150" s="10" t="n">
        <v>46076</v>
      </c>
      <c r="K3150" s="10"/>
      <c r="M3150" s="7"/>
      <c r="N3150" s="8"/>
      <c r="O3150" s="4"/>
    </row>
    <row r="3151" customFormat="false" ht="15" hidden="false" customHeight="false" outlineLevel="0" collapsed="false">
      <c r="A3151" s="0" t="s">
        <v>4487</v>
      </c>
      <c r="C3151" s="0" t="s">
        <v>855</v>
      </c>
      <c r="D3151" s="7" t="n">
        <v>17384</v>
      </c>
      <c r="E3151" s="8" t="n">
        <v>0.00409974689369535</v>
      </c>
      <c r="F3151" s="4" t="n">
        <f aca="false">D3151*E3151</f>
        <v>71.27</v>
      </c>
      <c r="G3151" s="7" t="n">
        <v>181</v>
      </c>
      <c r="H3151" s="9" t="n">
        <f aca="false">IF(G3151&gt;0,D3151/G3151,"")</f>
        <v>96.0441988950276</v>
      </c>
      <c r="I3151" s="10" t="n">
        <v>46050</v>
      </c>
      <c r="J3151" s="3" t="s">
        <v>1915</v>
      </c>
      <c r="K3151" s="10" t="n">
        <v>45736</v>
      </c>
      <c r="L3151" s="3" t="s">
        <v>19</v>
      </c>
      <c r="M3151" s="7" t="n">
        <v>957</v>
      </c>
      <c r="N3151" s="8" t="n">
        <v>0.0127</v>
      </c>
      <c r="O3151" s="4" t="n">
        <f aca="false">M3151*N3151</f>
        <v>12.1539</v>
      </c>
    </row>
    <row r="3152" customFormat="false" ht="15" hidden="false" customHeight="false" outlineLevel="0" collapsed="false">
      <c r="A3152" s="0" t="s">
        <v>4488</v>
      </c>
      <c r="C3152" s="0" t="s">
        <v>1169</v>
      </c>
      <c r="D3152" s="7" t="n">
        <v>609</v>
      </c>
      <c r="E3152" s="8" t="n">
        <v>0.116995073891626</v>
      </c>
      <c r="F3152" s="4" t="n">
        <f aca="false">D3152*E3152</f>
        <v>71.25</v>
      </c>
      <c r="G3152" s="7" t="n">
        <v>325</v>
      </c>
      <c r="H3152" s="9" t="n">
        <f aca="false">IF(G3152&gt;0,D3152/G3152,"")</f>
        <v>1.87384615384615</v>
      </c>
      <c r="I3152" s="10" t="n">
        <v>46156</v>
      </c>
      <c r="J3152" s="3" t="s">
        <v>4489</v>
      </c>
      <c r="K3152" s="10" t="n">
        <v>45239</v>
      </c>
      <c r="L3152" s="3" t="s">
        <v>21</v>
      </c>
      <c r="M3152" s="7" t="n">
        <v>1000</v>
      </c>
      <c r="N3152" s="8" t="n">
        <v>0.117</v>
      </c>
      <c r="O3152" s="4" t="n">
        <f aca="false">M3152*N3152</f>
        <v>117</v>
      </c>
    </row>
    <row r="3153" customFormat="false" ht="15" hidden="false" customHeight="false" outlineLevel="0" collapsed="false">
      <c r="A3153" s="0" t="s">
        <v>4490</v>
      </c>
      <c r="C3153" s="0" t="s">
        <v>765</v>
      </c>
      <c r="D3153" s="7" t="n">
        <v>6905</v>
      </c>
      <c r="E3153" s="8" t="n">
        <v>0.0102997827661115</v>
      </c>
      <c r="F3153" s="4" t="n">
        <f aca="false">D3153*E3153</f>
        <v>71.12</v>
      </c>
      <c r="G3153" s="7" t="n">
        <v>360</v>
      </c>
      <c r="H3153" s="9" t="n">
        <f aca="false">IF(G3153&gt;0,D3153/G3153,"")</f>
        <v>19.1805555555556</v>
      </c>
      <c r="I3153" s="10" t="n">
        <v>46304</v>
      </c>
      <c r="K3153" s="10"/>
      <c r="M3153" s="7"/>
      <c r="N3153" s="8"/>
      <c r="O3153" s="4"/>
    </row>
    <row r="3154" customFormat="false" ht="15" hidden="false" customHeight="false" outlineLevel="0" collapsed="false">
      <c r="A3154" s="0" t="s">
        <v>4491</v>
      </c>
      <c r="C3154" s="0" t="s">
        <v>38</v>
      </c>
      <c r="D3154" s="7" t="n">
        <v>556</v>
      </c>
      <c r="E3154" s="8" t="n">
        <v>0.127895683453237</v>
      </c>
      <c r="F3154" s="4" t="n">
        <f aca="false">D3154*E3154</f>
        <v>71.11</v>
      </c>
      <c r="G3154" s="7" t="n">
        <v>17</v>
      </c>
      <c r="H3154" s="9" t="n">
        <f aca="false">IF(G3154&gt;0,D3154/G3154,"")</f>
        <v>32.7058823529412</v>
      </c>
      <c r="I3154" s="10" t="n">
        <v>46294</v>
      </c>
      <c r="J3154" s="3" t="s">
        <v>4492</v>
      </c>
      <c r="K3154" s="10" t="n">
        <v>45280</v>
      </c>
      <c r="L3154" s="3" t="s">
        <v>18</v>
      </c>
      <c r="M3154" s="7" t="n">
        <v>250</v>
      </c>
      <c r="N3154" s="8" t="n">
        <v>0.1369</v>
      </c>
      <c r="O3154" s="4" t="n">
        <f aca="false">M3154*N3154</f>
        <v>34.225</v>
      </c>
    </row>
    <row r="3155" customFormat="false" ht="15" hidden="false" customHeight="false" outlineLevel="0" collapsed="false">
      <c r="A3155" s="0" t="s">
        <v>4493</v>
      </c>
      <c r="C3155" s="0" t="s">
        <v>31</v>
      </c>
      <c r="D3155" s="7" t="n">
        <v>15359</v>
      </c>
      <c r="E3155" s="8" t="n">
        <v>0.00462985871476008</v>
      </c>
      <c r="F3155" s="4" t="n">
        <f aca="false">D3155*E3155</f>
        <v>71.11</v>
      </c>
      <c r="G3155" s="7" t="n">
        <v>7137</v>
      </c>
      <c r="H3155" s="9" t="n">
        <f aca="false">IF(G3155&gt;0,D3155/G3155,"")</f>
        <v>2.15202466022138</v>
      </c>
      <c r="I3155" s="10" t="n">
        <v>46300</v>
      </c>
      <c r="J3155" s="3" t="s">
        <v>1565</v>
      </c>
      <c r="K3155" s="10" t="n">
        <v>45516</v>
      </c>
      <c r="L3155" s="3" t="s">
        <v>16</v>
      </c>
      <c r="M3155" s="7" t="n">
        <v>35335</v>
      </c>
      <c r="N3155" s="8" t="n">
        <v>0.0046</v>
      </c>
      <c r="O3155" s="4" t="n">
        <f aca="false">M3155*N3155</f>
        <v>162.541</v>
      </c>
    </row>
    <row r="3156" customFormat="false" ht="15" hidden="false" customHeight="false" outlineLevel="0" collapsed="false">
      <c r="A3156" s="0" t="s">
        <v>4494</v>
      </c>
      <c r="C3156" s="0" t="s">
        <v>979</v>
      </c>
      <c r="D3156" s="7" t="n">
        <v>145</v>
      </c>
      <c r="E3156" s="8" t="n">
        <v>0.490344827586207</v>
      </c>
      <c r="F3156" s="4" t="n">
        <f aca="false">D3156*E3156</f>
        <v>71.1</v>
      </c>
      <c r="G3156" s="7" t="n">
        <v>143</v>
      </c>
      <c r="H3156" s="9" t="n">
        <f aca="false">IF(G3156&gt;0,D3156/G3156,"")</f>
        <v>1.01398601398601</v>
      </c>
      <c r="I3156" s="10" t="n">
        <v>46275</v>
      </c>
      <c r="J3156" s="3" t="s">
        <v>4300</v>
      </c>
      <c r="K3156" s="10" t="n">
        <v>46169</v>
      </c>
      <c r="L3156" s="3" t="s">
        <v>18</v>
      </c>
      <c r="M3156" s="7" t="n">
        <v>179</v>
      </c>
      <c r="N3156" s="8" t="n">
        <v>0.4904</v>
      </c>
      <c r="O3156" s="4" t="n">
        <f aca="false">M3156*N3156</f>
        <v>87.7816</v>
      </c>
    </row>
    <row r="3157" customFormat="false" ht="15" hidden="false" customHeight="false" outlineLevel="0" collapsed="false">
      <c r="A3157" s="0" t="s">
        <v>4495</v>
      </c>
      <c r="C3157" s="0" t="s">
        <v>889</v>
      </c>
      <c r="D3157" s="7" t="n">
        <v>9114</v>
      </c>
      <c r="E3157" s="8" t="n">
        <v>0.0078000877770463</v>
      </c>
      <c r="F3157" s="4" t="n">
        <f aca="false">D3157*E3157</f>
        <v>71.09</v>
      </c>
      <c r="G3157" s="7" t="n">
        <v>200</v>
      </c>
      <c r="H3157" s="9" t="n">
        <f aca="false">IF(G3157&gt;0,D3157/G3157,"")</f>
        <v>45.57</v>
      </c>
      <c r="I3157" s="10" t="n">
        <v>45961</v>
      </c>
      <c r="K3157" s="10"/>
      <c r="M3157" s="7"/>
      <c r="N3157" s="8"/>
      <c r="O3157" s="4"/>
    </row>
    <row r="3158" customFormat="false" ht="15" hidden="false" customHeight="false" outlineLevel="0" collapsed="false">
      <c r="A3158" s="0" t="s">
        <v>4496</v>
      </c>
      <c r="C3158" s="0" t="s">
        <v>37</v>
      </c>
      <c r="D3158" s="7" t="n">
        <v>2076</v>
      </c>
      <c r="E3158" s="8" t="n">
        <v>0.0342389210019268</v>
      </c>
      <c r="F3158" s="4" t="n">
        <f aca="false">D3158*E3158</f>
        <v>71.08</v>
      </c>
      <c r="G3158" s="7" t="n">
        <v>294</v>
      </c>
      <c r="H3158" s="9" t="n">
        <f aca="false">IF(G3158&gt;0,D3158/G3158,"")</f>
        <v>7.06122448979592</v>
      </c>
      <c r="I3158" s="10" t="n">
        <v>46253</v>
      </c>
      <c r="J3158" s="3" t="s">
        <v>1369</v>
      </c>
      <c r="K3158" s="10" t="n">
        <v>44299</v>
      </c>
      <c r="L3158" s="3" t="s">
        <v>15</v>
      </c>
      <c r="M3158" s="7" t="n">
        <v>2640</v>
      </c>
      <c r="N3158" s="8" t="n">
        <v>0.03424</v>
      </c>
      <c r="O3158" s="4" t="n">
        <f aca="false">M3158*N3158</f>
        <v>90.3936</v>
      </c>
    </row>
    <row r="3159" customFormat="false" ht="15" hidden="false" customHeight="false" outlineLevel="0" collapsed="false">
      <c r="A3159" s="0" t="s">
        <v>4497</v>
      </c>
      <c r="C3159" s="0" t="s">
        <v>41</v>
      </c>
      <c r="D3159" s="7" t="n">
        <v>8457</v>
      </c>
      <c r="E3159" s="8" t="n">
        <v>0.00839895944188246</v>
      </c>
      <c r="F3159" s="4" t="n">
        <f aca="false">D3159*E3159</f>
        <v>71.03</v>
      </c>
      <c r="G3159" s="7" t="n">
        <v>125</v>
      </c>
      <c r="H3159" s="9" t="n">
        <f aca="false">IF(G3159&gt;0,D3159/G3159,"")</f>
        <v>67.656</v>
      </c>
      <c r="I3159" s="10" t="n">
        <v>46169</v>
      </c>
      <c r="K3159" s="10"/>
      <c r="M3159" s="7"/>
      <c r="N3159" s="8"/>
      <c r="O3159" s="4"/>
    </row>
    <row r="3160" customFormat="false" ht="15" hidden="false" customHeight="false" outlineLevel="0" collapsed="false">
      <c r="A3160" s="0" t="s">
        <v>4498</v>
      </c>
      <c r="C3160" s="0" t="s">
        <v>360</v>
      </c>
      <c r="D3160" s="7" t="n">
        <v>115</v>
      </c>
      <c r="E3160" s="8" t="n">
        <v>0.616434782608696</v>
      </c>
      <c r="F3160" s="4" t="n">
        <f aca="false">D3160*E3160</f>
        <v>70.89</v>
      </c>
      <c r="G3160" s="7" t="n">
        <v>40</v>
      </c>
      <c r="H3160" s="9" t="n">
        <f aca="false">IF(G3160&gt;0,D3160/G3160,"")</f>
        <v>2.875</v>
      </c>
      <c r="I3160" s="10" t="n">
        <v>46003</v>
      </c>
      <c r="J3160" s="3" t="s">
        <v>1192</v>
      </c>
      <c r="K3160" s="10" t="n">
        <v>45736</v>
      </c>
      <c r="L3160" s="3" t="s">
        <v>26</v>
      </c>
      <c r="M3160" s="7" t="n">
        <v>100</v>
      </c>
      <c r="N3160" s="8" t="n">
        <v>0.1869</v>
      </c>
      <c r="O3160" s="4" t="n">
        <f aca="false">M3160*N3160</f>
        <v>18.69</v>
      </c>
    </row>
    <row r="3161" customFormat="false" ht="15" hidden="false" customHeight="false" outlineLevel="0" collapsed="false">
      <c r="A3161" s="0" t="s">
        <v>4499</v>
      </c>
      <c r="C3161" s="0" t="s">
        <v>33</v>
      </c>
      <c r="D3161" s="7" t="n">
        <v>417</v>
      </c>
      <c r="E3161" s="8" t="n">
        <v>0.17</v>
      </c>
      <c r="F3161" s="4" t="n">
        <f aca="false">D3161*E3161</f>
        <v>70.89</v>
      </c>
      <c r="G3161" s="7" t="n">
        <v>176</v>
      </c>
      <c r="H3161" s="9" t="n">
        <f aca="false">IF(G3161&gt;0,D3161/G3161,"")</f>
        <v>2.36931818181818</v>
      </c>
      <c r="I3161" s="10" t="n">
        <v>46202</v>
      </c>
      <c r="J3161" s="3" t="s">
        <v>4417</v>
      </c>
      <c r="K3161" s="10" t="n">
        <v>44554</v>
      </c>
      <c r="L3161" s="3" t="s">
        <v>14</v>
      </c>
      <c r="M3161" s="7" t="n">
        <v>628</v>
      </c>
      <c r="N3161" s="8" t="n">
        <v>0</v>
      </c>
      <c r="O3161" s="4" t="n">
        <v>114.3</v>
      </c>
    </row>
    <row r="3162" customFormat="false" ht="15" hidden="false" customHeight="false" outlineLevel="0" collapsed="false">
      <c r="A3162" s="0" t="s">
        <v>4500</v>
      </c>
      <c r="C3162" s="0" t="s">
        <v>855</v>
      </c>
      <c r="D3162" s="7" t="n">
        <v>9844</v>
      </c>
      <c r="E3162" s="8" t="n">
        <v>0.00719930922389273</v>
      </c>
      <c r="F3162" s="4" t="n">
        <f aca="false">D3162*E3162</f>
        <v>70.87</v>
      </c>
      <c r="G3162" s="7" t="n">
        <v>516</v>
      </c>
      <c r="H3162" s="9" t="n">
        <f aca="false">IF(G3162&gt;0,D3162/G3162,"")</f>
        <v>19.077519379845</v>
      </c>
      <c r="I3162" s="10" t="n">
        <v>46027</v>
      </c>
      <c r="J3162" s="3" t="s">
        <v>4260</v>
      </c>
      <c r="K3162" s="10" t="n">
        <v>45659</v>
      </c>
      <c r="L3162" s="3" t="s">
        <v>16</v>
      </c>
      <c r="M3162" s="7" t="n">
        <v>10590</v>
      </c>
      <c r="N3162" s="8" t="n">
        <v>0.0072</v>
      </c>
      <c r="O3162" s="4" t="n">
        <f aca="false">M3162*N3162</f>
        <v>76.248</v>
      </c>
    </row>
    <row r="3163" customFormat="false" ht="15" hidden="false" customHeight="false" outlineLevel="0" collapsed="false">
      <c r="A3163" s="0" t="s">
        <v>4501</v>
      </c>
      <c r="C3163" s="0" t="s">
        <v>61</v>
      </c>
      <c r="D3163" s="7" t="n">
        <v>100</v>
      </c>
      <c r="E3163" s="8" t="n">
        <v>0.7086</v>
      </c>
      <c r="F3163" s="4" t="n">
        <f aca="false">D3163*E3163</f>
        <v>70.86</v>
      </c>
      <c r="G3163" s="7" t="n">
        <v>3</v>
      </c>
      <c r="H3163" s="9" t="n">
        <f aca="false">IF(G3163&gt;0,D3163/G3163,"")</f>
        <v>33.3333333333333</v>
      </c>
      <c r="I3163" s="10" t="n">
        <v>46000</v>
      </c>
      <c r="J3163" s="3" t="s">
        <v>1832</v>
      </c>
      <c r="K3163" s="10" t="n">
        <v>44824</v>
      </c>
      <c r="L3163" s="3" t="s">
        <v>23</v>
      </c>
      <c r="M3163" s="7" t="n">
        <v>400</v>
      </c>
      <c r="N3163" s="8" t="n">
        <v>0.7087</v>
      </c>
      <c r="O3163" s="4" t="n">
        <f aca="false">M3163*N3163</f>
        <v>283.48</v>
      </c>
    </row>
    <row r="3164" customFormat="false" ht="15" hidden="false" customHeight="false" outlineLevel="0" collapsed="false">
      <c r="A3164" s="0" t="s">
        <v>4502</v>
      </c>
      <c r="C3164" s="0" t="s">
        <v>298</v>
      </c>
      <c r="D3164" s="7" t="n">
        <v>276</v>
      </c>
      <c r="E3164" s="8" t="n">
        <v>0.256594202898551</v>
      </c>
      <c r="F3164" s="4" t="n">
        <f aca="false">D3164*E3164</f>
        <v>70.82</v>
      </c>
      <c r="G3164" s="7" t="n">
        <v>43</v>
      </c>
      <c r="H3164" s="9" t="n">
        <f aca="false">IF(G3164&gt;0,D3164/G3164,"")</f>
        <v>6.41860465116279</v>
      </c>
      <c r="I3164" s="10" t="n">
        <v>46174</v>
      </c>
      <c r="K3164" s="10"/>
      <c r="M3164" s="7"/>
      <c r="N3164" s="8"/>
      <c r="O3164" s="4"/>
    </row>
    <row r="3165" customFormat="false" ht="15" hidden="false" customHeight="false" outlineLevel="0" collapsed="false">
      <c r="A3165" s="0" t="s">
        <v>4503</v>
      </c>
      <c r="C3165" s="0" t="s">
        <v>118</v>
      </c>
      <c r="D3165" s="7" t="n">
        <v>284</v>
      </c>
      <c r="E3165" s="8" t="n">
        <v>0.249119718309859</v>
      </c>
      <c r="F3165" s="4" t="n">
        <f aca="false">D3165*E3165</f>
        <v>70.75</v>
      </c>
      <c r="G3165" s="7" t="n">
        <v>65</v>
      </c>
      <c r="H3165" s="9" t="n">
        <f aca="false">IF(G3165&gt;0,D3165/G3165,"")</f>
        <v>4.36923076923077</v>
      </c>
      <c r="I3165" s="10" t="n">
        <v>46279</v>
      </c>
      <c r="J3165" s="3" t="s">
        <v>4504</v>
      </c>
      <c r="K3165" s="10" t="n">
        <v>44704</v>
      </c>
      <c r="L3165" s="3" t="s">
        <v>14</v>
      </c>
      <c r="M3165" s="7" t="n">
        <v>451</v>
      </c>
      <c r="N3165" s="8" t="n">
        <v>0.2491</v>
      </c>
      <c r="O3165" s="4" t="n">
        <f aca="false">M3165*N3165</f>
        <v>112.3441</v>
      </c>
    </row>
    <row r="3166" customFormat="false" ht="15" hidden="false" customHeight="false" outlineLevel="0" collapsed="false">
      <c r="A3166" s="0" t="s">
        <v>4505</v>
      </c>
      <c r="C3166" s="0" t="s">
        <v>31</v>
      </c>
      <c r="D3166" s="7" t="n">
        <v>142</v>
      </c>
      <c r="E3166" s="8" t="n">
        <v>0.498028169014085</v>
      </c>
      <c r="F3166" s="4" t="n">
        <f aca="false">D3166*E3166</f>
        <v>70.72</v>
      </c>
      <c r="G3166" s="7" t="n">
        <v>2</v>
      </c>
      <c r="H3166" s="9" t="n">
        <f aca="false">IF(G3166&gt;0,D3166/G3166,"")</f>
        <v>71</v>
      </c>
      <c r="I3166" s="10" t="n">
        <v>46183</v>
      </c>
      <c r="J3166" s="3" t="s">
        <v>1373</v>
      </c>
      <c r="K3166" s="10" t="n">
        <v>44839</v>
      </c>
      <c r="L3166" s="3" t="s">
        <v>25</v>
      </c>
      <c r="M3166" s="7" t="n">
        <v>200</v>
      </c>
      <c r="N3166" s="8" t="n">
        <v>0.498</v>
      </c>
      <c r="O3166" s="4" t="n">
        <f aca="false">M3166*N3166</f>
        <v>99.6</v>
      </c>
    </row>
    <row r="3167" customFormat="false" ht="15" hidden="false" customHeight="false" outlineLevel="0" collapsed="false">
      <c r="A3167" s="0" t="s">
        <v>4506</v>
      </c>
      <c r="C3167" s="0" t="s">
        <v>1010</v>
      </c>
      <c r="D3167" s="7" t="n">
        <v>347</v>
      </c>
      <c r="E3167" s="8" t="n">
        <v>0.203746397694525</v>
      </c>
      <c r="F3167" s="4" t="n">
        <f aca="false">D3167*E3167</f>
        <v>70.7</v>
      </c>
      <c r="G3167" s="7" t="n">
        <v>18</v>
      </c>
      <c r="H3167" s="9" t="n">
        <f aca="false">IF(G3167&gt;0,D3167/G3167,"")</f>
        <v>19.2777777777778</v>
      </c>
      <c r="I3167" s="10" t="n">
        <v>46083</v>
      </c>
      <c r="J3167" s="3" t="s">
        <v>4507</v>
      </c>
      <c r="K3167" s="10" t="n">
        <v>44911</v>
      </c>
      <c r="L3167" s="3" t="s">
        <v>15</v>
      </c>
      <c r="M3167" s="7" t="n">
        <v>530</v>
      </c>
      <c r="N3167" s="8" t="n">
        <v>0.20376</v>
      </c>
      <c r="O3167" s="4" t="n">
        <f aca="false">M3167*N3167</f>
        <v>107.9928</v>
      </c>
    </row>
    <row r="3168" customFormat="false" ht="15" hidden="false" customHeight="false" outlineLevel="0" collapsed="false">
      <c r="A3168" s="0" t="s">
        <v>4508</v>
      </c>
      <c r="C3168" s="0" t="s">
        <v>37</v>
      </c>
      <c r="D3168" s="7" t="n">
        <v>1926</v>
      </c>
      <c r="E3168" s="8" t="n">
        <v>0.0367082035306334</v>
      </c>
      <c r="F3168" s="4" t="n">
        <f aca="false">D3168*E3168</f>
        <v>70.7</v>
      </c>
      <c r="G3168" s="7" t="n">
        <v>135</v>
      </c>
      <c r="H3168" s="9" t="n">
        <f aca="false">IF(G3168&gt;0,D3168/G3168,"")</f>
        <v>14.2666666666667</v>
      </c>
      <c r="I3168" s="10" t="n">
        <v>46240</v>
      </c>
      <c r="J3168" s="3" t="s">
        <v>840</v>
      </c>
      <c r="K3168" s="10" t="n">
        <v>45232</v>
      </c>
      <c r="L3168" s="3" t="s">
        <v>15</v>
      </c>
      <c r="M3168" s="7" t="n">
        <v>6050</v>
      </c>
      <c r="N3168" s="8" t="n">
        <v>0.03671</v>
      </c>
      <c r="O3168" s="4" t="n">
        <f aca="false">M3168*N3168</f>
        <v>222.0955</v>
      </c>
    </row>
    <row r="3169" customFormat="false" ht="15" hidden="false" customHeight="false" outlineLevel="0" collapsed="false">
      <c r="A3169" s="0" t="s">
        <v>4509</v>
      </c>
      <c r="C3169" s="0" t="s">
        <v>1039</v>
      </c>
      <c r="D3169" s="7" t="n">
        <v>670</v>
      </c>
      <c r="E3169" s="8" t="n">
        <v>0.105492537313433</v>
      </c>
      <c r="F3169" s="4" t="n">
        <f aca="false">D3169*E3169</f>
        <v>70.68</v>
      </c>
      <c r="G3169" s="7" t="n">
        <v>50</v>
      </c>
      <c r="H3169" s="9" t="n">
        <f aca="false">IF(G3169&gt;0,D3169/G3169,"")</f>
        <v>13.4</v>
      </c>
      <c r="I3169" s="10" t="n">
        <v>46241</v>
      </c>
      <c r="K3169" s="10"/>
      <c r="M3169" s="7"/>
      <c r="N3169" s="8"/>
      <c r="O3169" s="4"/>
    </row>
    <row r="3170" customFormat="false" ht="15" hidden="false" customHeight="false" outlineLevel="0" collapsed="false">
      <c r="A3170" s="0" t="s">
        <v>4510</v>
      </c>
      <c r="C3170" s="0" t="s">
        <v>295</v>
      </c>
      <c r="D3170" s="7" t="n">
        <v>757</v>
      </c>
      <c r="E3170" s="8" t="n">
        <v>0.0933421400264201</v>
      </c>
      <c r="F3170" s="4" t="n">
        <f aca="false">D3170*E3170</f>
        <v>70.66</v>
      </c>
      <c r="G3170" s="7" t="n">
        <v>100</v>
      </c>
      <c r="H3170" s="9" t="n">
        <f aca="false">IF(G3170&gt;0,D3170/G3170,"")</f>
        <v>7.57</v>
      </c>
      <c r="I3170" s="10" t="n">
        <v>46092</v>
      </c>
      <c r="K3170" s="10"/>
      <c r="M3170" s="7"/>
      <c r="N3170" s="8"/>
      <c r="O3170" s="4"/>
    </row>
    <row r="3171" customFormat="false" ht="15" hidden="false" customHeight="false" outlineLevel="0" collapsed="false">
      <c r="A3171" s="0" t="s">
        <v>4511</v>
      </c>
      <c r="C3171" s="0" t="s">
        <v>40</v>
      </c>
      <c r="D3171" s="7" t="n">
        <v>207</v>
      </c>
      <c r="E3171" s="8" t="n">
        <v>0.340966183574879</v>
      </c>
      <c r="F3171" s="4" t="n">
        <f aca="false">D3171*E3171</f>
        <v>70.58</v>
      </c>
      <c r="G3171" s="7" t="n">
        <v>8</v>
      </c>
      <c r="H3171" s="9" t="n">
        <f aca="false">IF(G3171&gt;0,D3171/G3171,"")</f>
        <v>25.875</v>
      </c>
      <c r="I3171" s="10" t="n">
        <v>46174</v>
      </c>
      <c r="J3171" s="3" t="s">
        <v>4512</v>
      </c>
      <c r="K3171" s="10" t="n">
        <v>45135</v>
      </c>
      <c r="L3171" s="3" t="s">
        <v>18</v>
      </c>
      <c r="M3171" s="7" t="n">
        <v>290</v>
      </c>
      <c r="N3171" s="8" t="n">
        <v>0.3409</v>
      </c>
      <c r="O3171" s="4" t="n">
        <f aca="false">M3171*N3171</f>
        <v>98.861</v>
      </c>
    </row>
    <row r="3172" customFormat="false" ht="15" hidden="false" customHeight="false" outlineLevel="0" collapsed="false">
      <c r="A3172" s="0" t="s">
        <v>4513</v>
      </c>
      <c r="C3172" s="0" t="s">
        <v>402</v>
      </c>
      <c r="D3172" s="7" t="n">
        <v>23</v>
      </c>
      <c r="E3172" s="8" t="n">
        <v>3.06652173913044</v>
      </c>
      <c r="F3172" s="4" t="n">
        <f aca="false">D3172*E3172</f>
        <v>70.53</v>
      </c>
      <c r="G3172" s="7" t="n">
        <v>17</v>
      </c>
      <c r="H3172" s="9" t="n">
        <f aca="false">IF(G3172&gt;0,D3172/G3172,"")</f>
        <v>1.35294117647059</v>
      </c>
      <c r="I3172" s="10" t="n">
        <v>46126</v>
      </c>
      <c r="J3172" s="3" t="s">
        <v>1134</v>
      </c>
      <c r="K3172" s="10" t="n">
        <v>44630</v>
      </c>
      <c r="L3172" s="3" t="s">
        <v>14</v>
      </c>
      <c r="M3172" s="7" t="n">
        <v>46</v>
      </c>
      <c r="N3172" s="8" t="n">
        <v>3.0663</v>
      </c>
      <c r="O3172" s="4" t="n">
        <f aca="false">M3172*N3172</f>
        <v>141.0498</v>
      </c>
    </row>
    <row r="3173" customFormat="false" ht="15" hidden="false" customHeight="false" outlineLevel="0" collapsed="false">
      <c r="A3173" s="0" t="s">
        <v>4514</v>
      </c>
      <c r="C3173" s="0" t="s">
        <v>34</v>
      </c>
      <c r="D3173" s="7" t="n">
        <v>452</v>
      </c>
      <c r="E3173" s="8" t="n">
        <v>0.155995575221239</v>
      </c>
      <c r="F3173" s="4" t="n">
        <f aca="false">D3173*E3173</f>
        <v>70.51</v>
      </c>
      <c r="G3173" s="7" t="n">
        <v>130</v>
      </c>
      <c r="H3173" s="9" t="n">
        <f aca="false">IF(G3173&gt;0,D3173/G3173,"")</f>
        <v>3.47692307692308</v>
      </c>
      <c r="I3173" s="10" t="n">
        <v>46170</v>
      </c>
      <c r="J3173" s="3" t="s">
        <v>1915</v>
      </c>
      <c r="K3173" s="10" t="n">
        <v>45736</v>
      </c>
      <c r="L3173" s="3" t="s">
        <v>19</v>
      </c>
      <c r="M3173" s="7" t="n">
        <v>50</v>
      </c>
      <c r="N3173" s="8" t="n">
        <v>0.5607</v>
      </c>
      <c r="O3173" s="4" t="n">
        <f aca="false">M3173*N3173</f>
        <v>28.035</v>
      </c>
    </row>
    <row r="3174" customFormat="false" ht="15" hidden="false" customHeight="false" outlineLevel="0" collapsed="false">
      <c r="A3174" s="0" t="s">
        <v>4515</v>
      </c>
      <c r="C3174" s="0" t="s">
        <v>33</v>
      </c>
      <c r="D3174" s="7" t="n">
        <v>5036</v>
      </c>
      <c r="E3174" s="8" t="n">
        <v>0.0139992057188245</v>
      </c>
      <c r="F3174" s="4" t="n">
        <f aca="false">D3174*E3174</f>
        <v>70.5</v>
      </c>
      <c r="G3174" s="7" t="n">
        <v>1130</v>
      </c>
      <c r="H3174" s="9" t="n">
        <f aca="false">IF(G3174&gt;0,D3174/G3174,"")</f>
        <v>4.45663716814159</v>
      </c>
      <c r="I3174" s="10" t="n">
        <v>46302</v>
      </c>
      <c r="J3174" s="3" t="s">
        <v>4215</v>
      </c>
      <c r="K3174" s="10" t="n">
        <v>45468</v>
      </c>
      <c r="L3174" s="3" t="s">
        <v>18</v>
      </c>
      <c r="M3174" s="7" t="n">
        <v>6800</v>
      </c>
      <c r="N3174" s="8" t="n">
        <v>0.014</v>
      </c>
      <c r="O3174" s="4" t="n">
        <f aca="false">M3174*N3174</f>
        <v>95.2</v>
      </c>
    </row>
    <row r="3175" customFormat="false" ht="15" hidden="false" customHeight="false" outlineLevel="0" collapsed="false">
      <c r="A3175" s="0" t="s">
        <v>4516</v>
      </c>
      <c r="C3175" s="0" t="s">
        <v>4136</v>
      </c>
      <c r="D3175" s="7" t="n">
        <v>3188</v>
      </c>
      <c r="E3175" s="8" t="n">
        <v>0.0220984943538269</v>
      </c>
      <c r="F3175" s="4" t="n">
        <f aca="false">D3175*E3175</f>
        <v>70.45</v>
      </c>
      <c r="G3175" s="7" t="n">
        <v>1246</v>
      </c>
      <c r="H3175" s="9" t="n">
        <f aca="false">IF(G3175&gt;0,D3175/G3175,"")</f>
        <v>2.55858747993579</v>
      </c>
      <c r="I3175" s="10" t="n">
        <v>46213</v>
      </c>
      <c r="K3175" s="10"/>
      <c r="M3175" s="7"/>
      <c r="N3175" s="8"/>
      <c r="O3175" s="4"/>
    </row>
    <row r="3176" customFormat="false" ht="15" hidden="false" customHeight="false" outlineLevel="0" collapsed="false">
      <c r="A3176" s="0" t="s">
        <v>4517</v>
      </c>
      <c r="C3176" s="0" t="s">
        <v>35</v>
      </c>
      <c r="D3176" s="7" t="n">
        <v>74</v>
      </c>
      <c r="E3176" s="8" t="n">
        <v>0.951621621621622</v>
      </c>
      <c r="F3176" s="4" t="n">
        <f aca="false">D3176*E3176</f>
        <v>70.42</v>
      </c>
      <c r="G3176" s="7" t="n">
        <v>4</v>
      </c>
      <c r="H3176" s="9" t="n">
        <f aca="false">IF(G3176&gt;0,D3176/G3176,"")</f>
        <v>18.5</v>
      </c>
      <c r="I3176" s="10" t="n">
        <v>46171</v>
      </c>
      <c r="J3176" s="3" t="s">
        <v>3207</v>
      </c>
      <c r="K3176" s="10" t="n">
        <v>45595</v>
      </c>
      <c r="L3176" s="3" t="s">
        <v>14</v>
      </c>
      <c r="M3176" s="7" t="n">
        <v>100</v>
      </c>
      <c r="N3176" s="8" t="n">
        <v>0.9517</v>
      </c>
      <c r="O3176" s="4" t="n">
        <f aca="false">M3176*N3176</f>
        <v>95.17</v>
      </c>
    </row>
    <row r="3177" customFormat="false" ht="15" hidden="false" customHeight="false" outlineLevel="0" collapsed="false">
      <c r="A3177" s="0" t="s">
        <v>4518</v>
      </c>
      <c r="C3177" s="0" t="s">
        <v>35</v>
      </c>
      <c r="D3177" s="7" t="n">
        <v>19</v>
      </c>
      <c r="E3177" s="8" t="n">
        <v>3.70473684210526</v>
      </c>
      <c r="F3177" s="4" t="n">
        <f aca="false">D3177*E3177</f>
        <v>70.39</v>
      </c>
      <c r="G3177" s="7" t="n">
        <v>1</v>
      </c>
      <c r="H3177" s="9" t="n">
        <f aca="false">IF(G3177&gt;0,D3177/G3177,"")</f>
        <v>19</v>
      </c>
      <c r="I3177" s="10" t="n">
        <v>45996</v>
      </c>
      <c r="J3177" s="3" t="s">
        <v>873</v>
      </c>
      <c r="K3177" s="10" t="n">
        <v>45984</v>
      </c>
      <c r="L3177" s="3" t="s">
        <v>14</v>
      </c>
      <c r="M3177" s="7" t="n">
        <v>20</v>
      </c>
      <c r="N3177" s="8" t="n">
        <v>3.7045</v>
      </c>
      <c r="O3177" s="4" t="n">
        <f aca="false">M3177*N3177</f>
        <v>74.09</v>
      </c>
    </row>
    <row r="3178" customFormat="false" ht="15" hidden="false" customHeight="false" outlineLevel="0" collapsed="false">
      <c r="A3178" s="0" t="s">
        <v>4519</v>
      </c>
      <c r="C3178" s="0" t="s">
        <v>33</v>
      </c>
      <c r="D3178" s="7" t="n">
        <v>9</v>
      </c>
      <c r="E3178" s="8" t="n">
        <v>7.81555555555556</v>
      </c>
      <c r="F3178" s="4" t="n">
        <f aca="false">D3178*E3178</f>
        <v>70.34</v>
      </c>
      <c r="G3178" s="7" t="n">
        <v>3</v>
      </c>
      <c r="H3178" s="9" t="n">
        <f aca="false">IF(G3178&gt;0,D3178/G3178,"")</f>
        <v>3</v>
      </c>
      <c r="I3178" s="10" t="n">
        <v>45968</v>
      </c>
      <c r="J3178" s="3" t="s">
        <v>3781</v>
      </c>
      <c r="K3178" s="10" t="n">
        <v>45958</v>
      </c>
      <c r="L3178" s="3" t="s">
        <v>18</v>
      </c>
      <c r="M3178" s="7" t="n">
        <v>12</v>
      </c>
      <c r="N3178" s="8" t="n">
        <v>7.816</v>
      </c>
      <c r="O3178" s="4" t="n">
        <f aca="false">M3178*N3178</f>
        <v>93.792</v>
      </c>
    </row>
    <row r="3179" customFormat="false" ht="15" hidden="false" customHeight="false" outlineLevel="0" collapsed="false">
      <c r="A3179" s="0" t="s">
        <v>4520</v>
      </c>
      <c r="C3179" s="0" t="s">
        <v>79</v>
      </c>
      <c r="D3179" s="7" t="n">
        <v>95</v>
      </c>
      <c r="E3179" s="8" t="n">
        <v>0.739578947368421</v>
      </c>
      <c r="F3179" s="4" t="n">
        <f aca="false">D3179*E3179</f>
        <v>70.26</v>
      </c>
      <c r="G3179" s="7" t="n">
        <v>2</v>
      </c>
      <c r="H3179" s="9" t="n">
        <f aca="false">IF(G3179&gt;0,D3179/G3179,"")</f>
        <v>47.5</v>
      </c>
      <c r="I3179" s="10" t="n">
        <v>46065</v>
      </c>
      <c r="J3179" s="3" t="s">
        <v>4521</v>
      </c>
      <c r="K3179" s="10" t="n">
        <v>45796</v>
      </c>
      <c r="L3179" s="3" t="s">
        <v>14</v>
      </c>
      <c r="M3179" s="7" t="n">
        <v>100</v>
      </c>
      <c r="N3179" s="8" t="n">
        <v>0.7396</v>
      </c>
      <c r="O3179" s="4" t="n">
        <f aca="false">M3179*N3179</f>
        <v>73.96</v>
      </c>
    </row>
    <row r="3180" customFormat="false" ht="15" hidden="false" customHeight="false" outlineLevel="0" collapsed="false">
      <c r="A3180" s="0" t="s">
        <v>4522</v>
      </c>
      <c r="C3180" s="0" t="s">
        <v>32</v>
      </c>
      <c r="D3180" s="7" t="n">
        <v>18005</v>
      </c>
      <c r="E3180" s="8" t="n">
        <v>0.00390002777006387</v>
      </c>
      <c r="F3180" s="4" t="n">
        <f aca="false">D3180*E3180</f>
        <v>70.22</v>
      </c>
      <c r="G3180" s="7" t="n">
        <v>1796</v>
      </c>
      <c r="H3180" s="9" t="n">
        <f aca="false">IF(G3180&gt;0,D3180/G3180,"")</f>
        <v>10.0250556792873</v>
      </c>
      <c r="I3180" s="10" t="n">
        <v>46296</v>
      </c>
      <c r="K3180" s="10"/>
      <c r="M3180" s="7"/>
      <c r="N3180" s="8"/>
      <c r="O3180" s="4"/>
    </row>
    <row r="3181" customFormat="false" ht="15" hidden="false" customHeight="false" outlineLevel="0" collapsed="false">
      <c r="A3181" s="0" t="s">
        <v>4523</v>
      </c>
      <c r="C3181" s="0" t="s">
        <v>34</v>
      </c>
      <c r="D3181" s="7" t="n">
        <v>5696</v>
      </c>
      <c r="E3181" s="8" t="n">
        <v>0.0123279494382023</v>
      </c>
      <c r="F3181" s="4" t="n">
        <f aca="false">D3181*E3181</f>
        <v>70.22</v>
      </c>
      <c r="G3181" s="7" t="n">
        <v>754</v>
      </c>
      <c r="H3181" s="9" t="n">
        <f aca="false">IF(G3181&gt;0,D3181/G3181,"")</f>
        <v>7.55437665782493</v>
      </c>
      <c r="I3181" s="10" t="n">
        <v>46308</v>
      </c>
      <c r="J3181" s="3" t="s">
        <v>3847</v>
      </c>
      <c r="K3181" s="10" t="n">
        <v>44524</v>
      </c>
      <c r="L3181" s="3" t="s">
        <v>16</v>
      </c>
      <c r="M3181" s="7" t="n">
        <v>6734</v>
      </c>
      <c r="N3181" s="8" t="n">
        <v>0</v>
      </c>
      <c r="O3181" s="4" t="n">
        <v>85.8624</v>
      </c>
    </row>
    <row r="3182" customFormat="false" ht="15" hidden="false" customHeight="false" outlineLevel="0" collapsed="false">
      <c r="A3182" s="0" t="s">
        <v>4524</v>
      </c>
      <c r="C3182" s="0" t="s">
        <v>285</v>
      </c>
      <c r="D3182" s="7" t="n">
        <v>398</v>
      </c>
      <c r="E3182" s="8" t="n">
        <v>0.176407035175879</v>
      </c>
      <c r="F3182" s="4" t="n">
        <f aca="false">D3182*E3182</f>
        <v>70.21</v>
      </c>
      <c r="G3182" s="7" t="n">
        <v>20</v>
      </c>
      <c r="H3182" s="9" t="n">
        <f aca="false">IF(G3182&gt;0,D3182/G3182,"")</f>
        <v>19.9</v>
      </c>
      <c r="I3182" s="10" t="n">
        <v>46310</v>
      </c>
      <c r="K3182" s="10"/>
      <c r="M3182" s="7"/>
      <c r="N3182" s="8"/>
      <c r="O3182" s="4"/>
    </row>
    <row r="3183" customFormat="false" ht="15" hidden="false" customHeight="false" outlineLevel="0" collapsed="false">
      <c r="A3183" s="0" t="s">
        <v>4525</v>
      </c>
      <c r="C3183" s="0" t="s">
        <v>33</v>
      </c>
      <c r="D3183" s="7" t="n">
        <v>72</v>
      </c>
      <c r="E3183" s="8" t="n">
        <v>0.974444444444444</v>
      </c>
      <c r="F3183" s="4" t="n">
        <f aca="false">D3183*E3183</f>
        <v>70.16</v>
      </c>
      <c r="G3183" s="7" t="n">
        <v>10</v>
      </c>
      <c r="H3183" s="9" t="n">
        <f aca="false">IF(G3183&gt;0,D3183/G3183,"")</f>
        <v>7.2</v>
      </c>
      <c r="I3183" s="10" t="n">
        <v>46087</v>
      </c>
      <c r="J3183" s="3" t="s">
        <v>2449</v>
      </c>
      <c r="K3183" s="10" t="n">
        <v>45434</v>
      </c>
      <c r="L3183" s="3" t="s">
        <v>18</v>
      </c>
      <c r="M3183" s="7" t="n">
        <v>97</v>
      </c>
      <c r="N3183" s="8" t="n">
        <v>0.9745</v>
      </c>
      <c r="O3183" s="4" t="n">
        <f aca="false">M3183*N3183</f>
        <v>94.5265</v>
      </c>
    </row>
    <row r="3184" customFormat="false" ht="15" hidden="false" customHeight="false" outlineLevel="0" collapsed="false">
      <c r="A3184" s="0" t="s">
        <v>4526</v>
      </c>
      <c r="C3184" s="0" t="s">
        <v>285</v>
      </c>
      <c r="D3184" s="7" t="n">
        <v>1403</v>
      </c>
      <c r="E3184" s="8" t="n">
        <v>0.05</v>
      </c>
      <c r="F3184" s="4" t="n">
        <f aca="false">D3184*E3184</f>
        <v>70.15</v>
      </c>
      <c r="G3184" s="7" t="n">
        <v>958</v>
      </c>
      <c r="H3184" s="9" t="n">
        <f aca="false">IF(G3184&gt;0,D3184/G3184,"")</f>
        <v>1.46450939457203</v>
      </c>
      <c r="I3184" s="10" t="n">
        <v>46086</v>
      </c>
      <c r="K3184" s="10"/>
      <c r="M3184" s="7"/>
      <c r="N3184" s="8"/>
      <c r="O3184" s="4"/>
    </row>
    <row r="3185" customFormat="false" ht="15" hidden="false" customHeight="false" outlineLevel="0" collapsed="false">
      <c r="A3185" s="0" t="s">
        <v>4527</v>
      </c>
      <c r="C3185" s="0" t="s">
        <v>340</v>
      </c>
      <c r="D3185" s="7" t="n">
        <v>75</v>
      </c>
      <c r="E3185" s="8" t="n">
        <v>0.934533333333333</v>
      </c>
      <c r="F3185" s="4" t="n">
        <f aca="false">D3185*E3185</f>
        <v>70.09</v>
      </c>
      <c r="G3185" s="7" t="n">
        <v>4</v>
      </c>
      <c r="H3185" s="9" t="n">
        <f aca="false">IF(G3185&gt;0,D3185/G3185,"")</f>
        <v>18.75</v>
      </c>
      <c r="I3185" s="10" t="n">
        <v>46050</v>
      </c>
      <c r="J3185" s="3" t="s">
        <v>4528</v>
      </c>
      <c r="K3185" s="10" t="n">
        <v>45929</v>
      </c>
      <c r="L3185" s="3" t="s">
        <v>19</v>
      </c>
      <c r="M3185" s="7" t="n">
        <v>100</v>
      </c>
      <c r="N3185" s="8" t="n">
        <v>0.9346</v>
      </c>
      <c r="O3185" s="4" t="n">
        <f aca="false">M3185*N3185</f>
        <v>93.46</v>
      </c>
    </row>
    <row r="3186" customFormat="false" ht="15" hidden="false" customHeight="false" outlineLevel="0" collapsed="false">
      <c r="A3186" s="0" t="s">
        <v>4529</v>
      </c>
      <c r="C3186" s="0" t="s">
        <v>33</v>
      </c>
      <c r="D3186" s="7" t="n">
        <v>503</v>
      </c>
      <c r="E3186" s="8" t="n">
        <v>0.139284294234592</v>
      </c>
      <c r="F3186" s="4" t="n">
        <f aca="false">D3186*E3186</f>
        <v>70.06</v>
      </c>
      <c r="G3186" s="7" t="n">
        <v>30</v>
      </c>
      <c r="H3186" s="9" t="n">
        <f aca="false">IF(G3186&gt;0,D3186/G3186,"")</f>
        <v>16.7666666666667</v>
      </c>
      <c r="I3186" s="10" t="n">
        <v>46112</v>
      </c>
      <c r="J3186" s="3" t="s">
        <v>4160</v>
      </c>
      <c r="K3186" s="10" t="n">
        <v>45469</v>
      </c>
      <c r="L3186" s="3" t="s">
        <v>18</v>
      </c>
      <c r="M3186" s="7" t="n">
        <v>680</v>
      </c>
      <c r="N3186" s="8" t="n">
        <v>0.1393</v>
      </c>
      <c r="O3186" s="4" t="n">
        <f aca="false">M3186*N3186</f>
        <v>94.724</v>
      </c>
    </row>
    <row r="3187" customFormat="false" ht="15" hidden="false" customHeight="false" outlineLevel="0" collapsed="false">
      <c r="A3187" s="0" t="s">
        <v>4530</v>
      </c>
      <c r="C3187" s="0" t="s">
        <v>583</v>
      </c>
      <c r="D3187" s="7" t="n">
        <v>1418</v>
      </c>
      <c r="E3187" s="8" t="n">
        <v>0.0493935119887165</v>
      </c>
      <c r="F3187" s="4" t="n">
        <f aca="false">D3187*E3187</f>
        <v>70.04</v>
      </c>
      <c r="G3187" s="7" t="n">
        <v>82</v>
      </c>
      <c r="H3187" s="9" t="n">
        <f aca="false">IF(G3187&gt;0,D3187/G3187,"")</f>
        <v>17.2926829268293</v>
      </c>
      <c r="I3187" s="10" t="n">
        <v>46293</v>
      </c>
      <c r="J3187" s="3" t="s">
        <v>3821</v>
      </c>
      <c r="K3187" s="10" t="n">
        <v>45980</v>
      </c>
      <c r="L3187" s="3" t="s">
        <v>19</v>
      </c>
      <c r="M3187" s="7" t="n">
        <v>100</v>
      </c>
      <c r="N3187" s="8" t="n">
        <v>0.1587</v>
      </c>
      <c r="O3187" s="4" t="n">
        <f aca="false">M3187*N3187</f>
        <v>15.87</v>
      </c>
    </row>
    <row r="3188" customFormat="false" ht="15" hidden="false" customHeight="false" outlineLevel="0" collapsed="false">
      <c r="A3188" s="0" t="s">
        <v>4531</v>
      </c>
      <c r="C3188" s="0" t="s">
        <v>1169</v>
      </c>
      <c r="D3188" s="7" t="n">
        <v>1667</v>
      </c>
      <c r="E3188" s="8" t="n">
        <v>0.042003599280144</v>
      </c>
      <c r="F3188" s="4" t="n">
        <f aca="false">D3188*E3188</f>
        <v>70.02</v>
      </c>
      <c r="G3188" s="7" t="n">
        <v>398</v>
      </c>
      <c r="H3188" s="9" t="n">
        <f aca="false">IF(G3188&gt;0,D3188/G3188,"")</f>
        <v>4.18844221105528</v>
      </c>
      <c r="I3188" s="10" t="n">
        <v>46304</v>
      </c>
      <c r="J3188" s="3" t="s">
        <v>3390</v>
      </c>
      <c r="K3188" s="10" t="n">
        <v>45415</v>
      </c>
      <c r="L3188" s="3" t="s">
        <v>21</v>
      </c>
      <c r="M3188" s="7" t="n">
        <v>2500</v>
      </c>
      <c r="N3188" s="8" t="n">
        <v>0.042</v>
      </c>
      <c r="O3188" s="4" t="n">
        <f aca="false">M3188*N3188</f>
        <v>105</v>
      </c>
    </row>
    <row r="3189" customFormat="false" ht="15" hidden="false" customHeight="false" outlineLevel="0" collapsed="false">
      <c r="A3189" s="0" t="s">
        <v>4532</v>
      </c>
      <c r="C3189" s="0" t="s">
        <v>95</v>
      </c>
      <c r="D3189" s="7" t="n">
        <v>700</v>
      </c>
      <c r="E3189" s="8" t="n">
        <v>0.1</v>
      </c>
      <c r="F3189" s="4" t="n">
        <f aca="false">D3189*E3189</f>
        <v>70</v>
      </c>
      <c r="G3189" s="7" t="n">
        <v>200</v>
      </c>
      <c r="H3189" s="9" t="n">
        <f aca="false">IF(G3189&gt;0,D3189/G3189,"")</f>
        <v>3.5</v>
      </c>
      <c r="I3189" s="10" t="n">
        <v>46042</v>
      </c>
      <c r="J3189" s="3" t="s">
        <v>895</v>
      </c>
      <c r="K3189" s="10" t="n">
        <v>45516</v>
      </c>
      <c r="L3189" s="3" t="s">
        <v>21</v>
      </c>
      <c r="M3189" s="7" t="n">
        <v>1000</v>
      </c>
      <c r="N3189" s="8" t="n">
        <v>0.1</v>
      </c>
      <c r="O3189" s="4" t="n">
        <f aca="false">M3189*N3189</f>
        <v>100</v>
      </c>
    </row>
    <row r="3190" customFormat="false" ht="15" hidden="false" customHeight="false" outlineLevel="0" collapsed="false">
      <c r="A3190" s="0" t="s">
        <v>4533</v>
      </c>
      <c r="C3190" s="0" t="s">
        <v>38</v>
      </c>
      <c r="D3190" s="7" t="n">
        <v>4269</v>
      </c>
      <c r="E3190" s="8" t="n">
        <v>0.0163902553291169</v>
      </c>
      <c r="F3190" s="4" t="n">
        <f aca="false">D3190*E3190</f>
        <v>69.97</v>
      </c>
      <c r="G3190" s="7" t="n">
        <v>690</v>
      </c>
      <c r="H3190" s="9" t="n">
        <f aca="false">IF(G3190&gt;0,D3190/G3190,"")</f>
        <v>6.18695652173913</v>
      </c>
      <c r="I3190" s="10" t="n">
        <v>46274</v>
      </c>
      <c r="J3190" s="3" t="s">
        <v>870</v>
      </c>
      <c r="K3190" s="10" t="n">
        <v>45464</v>
      </c>
      <c r="L3190" s="3" t="s">
        <v>18</v>
      </c>
      <c r="M3190" s="7" t="n">
        <v>10000</v>
      </c>
      <c r="N3190" s="8" t="n">
        <v>0.0164</v>
      </c>
      <c r="O3190" s="4" t="n">
        <f aca="false">M3190*N3190</f>
        <v>164</v>
      </c>
    </row>
    <row r="3191" customFormat="false" ht="15" hidden="false" customHeight="false" outlineLevel="0" collapsed="false">
      <c r="A3191" s="0" t="s">
        <v>4534</v>
      </c>
      <c r="C3191" s="0" t="s">
        <v>765</v>
      </c>
      <c r="D3191" s="7" t="n">
        <v>3138</v>
      </c>
      <c r="E3191" s="8" t="n">
        <v>0.0222944550669216</v>
      </c>
      <c r="F3191" s="4" t="n">
        <f aca="false">D3191*E3191</f>
        <v>69.96</v>
      </c>
      <c r="G3191" s="7" t="n">
        <v>239</v>
      </c>
      <c r="H3191" s="9" t="n">
        <f aca="false">IF(G3191&gt;0,D3191/G3191,"")</f>
        <v>13.1297071129707</v>
      </c>
      <c r="I3191" s="10" t="n">
        <v>46293</v>
      </c>
      <c r="K3191" s="10"/>
      <c r="M3191" s="7"/>
      <c r="N3191" s="8"/>
      <c r="O3191" s="4"/>
    </row>
    <row r="3192" customFormat="false" ht="15" hidden="false" customHeight="false" outlineLevel="0" collapsed="false">
      <c r="A3192" s="0" t="s">
        <v>4535</v>
      </c>
      <c r="C3192" s="0" t="s">
        <v>35</v>
      </c>
      <c r="D3192" s="7" t="n">
        <v>67</v>
      </c>
      <c r="E3192" s="8" t="n">
        <v>1.04373134328358</v>
      </c>
      <c r="F3192" s="4" t="n">
        <f aca="false">D3192*E3192</f>
        <v>69.93</v>
      </c>
      <c r="G3192" s="7" t="n">
        <v>4</v>
      </c>
      <c r="H3192" s="9" t="n">
        <f aca="false">IF(G3192&gt;0,D3192/G3192,"")</f>
        <v>16.75</v>
      </c>
      <c r="I3192" s="10" t="n">
        <v>45971</v>
      </c>
      <c r="J3192" s="3" t="s">
        <v>725</v>
      </c>
      <c r="K3192" s="10" t="n">
        <v>45523</v>
      </c>
      <c r="L3192" s="3" t="s">
        <v>14</v>
      </c>
      <c r="M3192" s="7" t="n">
        <v>100</v>
      </c>
      <c r="N3192" s="8" t="n">
        <v>1.0438</v>
      </c>
      <c r="O3192" s="4" t="n">
        <f aca="false">M3192*N3192</f>
        <v>104.38</v>
      </c>
    </row>
    <row r="3193" customFormat="false" ht="15" hidden="false" customHeight="false" outlineLevel="0" collapsed="false">
      <c r="A3193" s="0" t="s">
        <v>4536</v>
      </c>
      <c r="C3193" s="0" t="s">
        <v>34</v>
      </c>
      <c r="D3193" s="7" t="n">
        <v>2347</v>
      </c>
      <c r="E3193" s="8" t="n">
        <v>0.0297954835960801</v>
      </c>
      <c r="F3193" s="4" t="n">
        <f aca="false">D3193*E3193</f>
        <v>69.93</v>
      </c>
      <c r="G3193" s="7" t="n">
        <v>73</v>
      </c>
      <c r="H3193" s="9" t="n">
        <f aca="false">IF(G3193&gt;0,D3193/G3193,"")</f>
        <v>32.1506849315069</v>
      </c>
      <c r="I3193" s="10" t="n">
        <v>46212</v>
      </c>
      <c r="J3193" s="3" t="s">
        <v>2385</v>
      </c>
      <c r="K3193" s="10" t="n">
        <v>45629</v>
      </c>
      <c r="L3193" s="3" t="s">
        <v>16</v>
      </c>
      <c r="M3193" s="7" t="n">
        <v>2450</v>
      </c>
      <c r="N3193" s="8" t="n">
        <v>0.0298</v>
      </c>
      <c r="O3193" s="4" t="n">
        <f aca="false">M3193*N3193</f>
        <v>73.01</v>
      </c>
    </row>
    <row r="3194" customFormat="false" ht="15" hidden="false" customHeight="false" outlineLevel="0" collapsed="false">
      <c r="A3194" s="0" t="s">
        <v>4537</v>
      </c>
      <c r="C3194" s="0" t="s">
        <v>32</v>
      </c>
      <c r="D3194" s="7" t="n">
        <v>606</v>
      </c>
      <c r="E3194" s="8" t="n">
        <v>0.115313531353135</v>
      </c>
      <c r="F3194" s="4" t="n">
        <f aca="false">D3194*E3194</f>
        <v>69.88</v>
      </c>
      <c r="G3194" s="7" t="n">
        <v>28</v>
      </c>
      <c r="H3194" s="9" t="n">
        <f aca="false">IF(G3194&gt;0,D3194/G3194,"")</f>
        <v>21.6428571428571</v>
      </c>
      <c r="I3194" s="10" t="n">
        <v>46280</v>
      </c>
      <c r="J3194" s="3" t="s">
        <v>4538</v>
      </c>
      <c r="K3194" s="10" t="n">
        <v>44826</v>
      </c>
      <c r="L3194" s="3" t="s">
        <v>19</v>
      </c>
      <c r="M3194" s="7" t="n">
        <v>1423</v>
      </c>
      <c r="N3194" s="8" t="n">
        <v>0.1153</v>
      </c>
      <c r="O3194" s="4" t="n">
        <f aca="false">M3194*N3194</f>
        <v>164.0719</v>
      </c>
    </row>
    <row r="3195" customFormat="false" ht="15" hidden="false" customHeight="false" outlineLevel="0" collapsed="false">
      <c r="A3195" s="0" t="s">
        <v>4539</v>
      </c>
      <c r="C3195" s="0" t="s">
        <v>36</v>
      </c>
      <c r="D3195" s="7" t="n">
        <v>17450</v>
      </c>
      <c r="E3195" s="8" t="n">
        <v>0.004</v>
      </c>
      <c r="F3195" s="4" t="n">
        <f aca="false">D3195*E3195</f>
        <v>69.8</v>
      </c>
      <c r="G3195" s="7" t="n">
        <v>1050</v>
      </c>
      <c r="H3195" s="9" t="n">
        <f aca="false">IF(G3195&gt;0,D3195/G3195,"")</f>
        <v>16.6190476190476</v>
      </c>
      <c r="I3195" s="10" t="n">
        <v>46308</v>
      </c>
      <c r="J3195" s="3" t="s">
        <v>4540</v>
      </c>
      <c r="K3195" s="10" t="n">
        <v>45509</v>
      </c>
      <c r="L3195" s="3" t="s">
        <v>18</v>
      </c>
      <c r="M3195" s="7" t="n">
        <v>25000</v>
      </c>
      <c r="N3195" s="8" t="n">
        <v>0.004</v>
      </c>
      <c r="O3195" s="4" t="n">
        <f aca="false">M3195*N3195</f>
        <v>100</v>
      </c>
    </row>
    <row r="3196" customFormat="false" ht="15" hidden="false" customHeight="false" outlineLevel="0" collapsed="false">
      <c r="A3196" s="0" t="s">
        <v>4541</v>
      </c>
      <c r="C3196" s="0" t="s">
        <v>31</v>
      </c>
      <c r="D3196" s="7" t="n">
        <v>2054</v>
      </c>
      <c r="E3196" s="8" t="n">
        <v>0.0339581304771178</v>
      </c>
      <c r="F3196" s="4" t="n">
        <f aca="false">D3196*E3196</f>
        <v>69.75</v>
      </c>
      <c r="G3196" s="7" t="n">
        <v>1640</v>
      </c>
      <c r="H3196" s="9" t="n">
        <f aca="false">IF(G3196&gt;0,D3196/G3196,"")</f>
        <v>1.25243902439024</v>
      </c>
      <c r="I3196" s="10" t="n">
        <v>46290</v>
      </c>
      <c r="J3196" s="3" t="s">
        <v>3251</v>
      </c>
      <c r="K3196" s="10" t="n">
        <v>44198</v>
      </c>
      <c r="L3196" s="3" t="s">
        <v>15</v>
      </c>
      <c r="M3196" s="7" t="n">
        <v>1820</v>
      </c>
      <c r="N3196" s="8" t="n">
        <v>0.0154</v>
      </c>
      <c r="O3196" s="4" t="n">
        <f aca="false">M3196*N3196</f>
        <v>28.028</v>
      </c>
    </row>
    <row r="3197" customFormat="false" ht="15" hidden="false" customHeight="false" outlineLevel="0" collapsed="false">
      <c r="A3197" s="0" t="s">
        <v>4542</v>
      </c>
      <c r="C3197" s="0" t="s">
        <v>41</v>
      </c>
      <c r="D3197" s="7" t="n">
        <v>472</v>
      </c>
      <c r="E3197" s="8" t="n">
        <v>0.14771186440678</v>
      </c>
      <c r="F3197" s="4" t="n">
        <f aca="false">D3197*E3197</f>
        <v>69.72</v>
      </c>
      <c r="G3197" s="7" t="n">
        <v>79</v>
      </c>
      <c r="H3197" s="9" t="n">
        <f aca="false">IF(G3197&gt;0,D3197/G3197,"")</f>
        <v>5.9746835443038</v>
      </c>
      <c r="I3197" s="10" t="n">
        <v>46091</v>
      </c>
      <c r="K3197" s="10"/>
      <c r="M3197" s="7"/>
      <c r="N3197" s="8"/>
      <c r="O3197" s="4"/>
    </row>
    <row r="3198" customFormat="false" ht="15" hidden="false" customHeight="false" outlineLevel="0" collapsed="false">
      <c r="A3198" s="0" t="s">
        <v>4543</v>
      </c>
      <c r="C3198" s="0" t="s">
        <v>31</v>
      </c>
      <c r="D3198" s="7" t="n">
        <v>644</v>
      </c>
      <c r="E3198" s="8" t="n">
        <v>0.108229813664596</v>
      </c>
      <c r="F3198" s="4" t="n">
        <f aca="false">D3198*E3198</f>
        <v>69.7</v>
      </c>
      <c r="G3198" s="7" t="n">
        <v>410</v>
      </c>
      <c r="H3198" s="9" t="n">
        <f aca="false">IF(G3198&gt;0,D3198/G3198,"")</f>
        <v>1.57073170731707</v>
      </c>
      <c r="I3198" s="10" t="n">
        <v>46316</v>
      </c>
      <c r="J3198" s="3" t="s">
        <v>2712</v>
      </c>
      <c r="K3198" s="10" t="n">
        <v>45463</v>
      </c>
      <c r="L3198" s="3" t="s">
        <v>19</v>
      </c>
      <c r="M3198" s="7" t="n">
        <v>200</v>
      </c>
      <c r="N3198" s="8" t="n">
        <v>0.192</v>
      </c>
      <c r="O3198" s="4" t="n">
        <f aca="false">M3198*N3198</f>
        <v>38.4</v>
      </c>
    </row>
    <row r="3199" customFormat="false" ht="15" hidden="false" customHeight="false" outlineLevel="0" collapsed="false">
      <c r="A3199" s="0" t="s">
        <v>4544</v>
      </c>
      <c r="C3199" s="0" t="s">
        <v>31</v>
      </c>
      <c r="D3199" s="7" t="n">
        <v>2201</v>
      </c>
      <c r="E3199" s="8" t="n">
        <v>0.0316628805088596</v>
      </c>
      <c r="F3199" s="4" t="n">
        <f aca="false">D3199*E3199</f>
        <v>69.69</v>
      </c>
      <c r="G3199" s="7" t="n">
        <v>154</v>
      </c>
      <c r="H3199" s="9" t="n">
        <f aca="false">IF(G3199&gt;0,D3199/G3199,"")</f>
        <v>14.2922077922078</v>
      </c>
      <c r="I3199" s="10" t="n">
        <v>46281</v>
      </c>
      <c r="K3199" s="10"/>
      <c r="M3199" s="7"/>
      <c r="N3199" s="8"/>
      <c r="O3199" s="4"/>
    </row>
    <row r="3200" customFormat="false" ht="15" hidden="false" customHeight="false" outlineLevel="0" collapsed="false">
      <c r="A3200" s="0" t="s">
        <v>4545</v>
      </c>
      <c r="C3200" s="0" t="s">
        <v>39</v>
      </c>
      <c r="D3200" s="7" t="n">
        <v>200</v>
      </c>
      <c r="E3200" s="8" t="n">
        <v>0.3481</v>
      </c>
      <c r="F3200" s="4" t="n">
        <f aca="false">D3200*E3200</f>
        <v>69.62</v>
      </c>
      <c r="G3200" s="7" t="n">
        <v>105</v>
      </c>
      <c r="H3200" s="9" t="n">
        <f aca="false">IF(G3200&gt;0,D3200/G3200,"")</f>
        <v>1.9047619047619</v>
      </c>
      <c r="I3200" s="10" t="n">
        <v>46118</v>
      </c>
      <c r="J3200" s="3" t="s">
        <v>1076</v>
      </c>
      <c r="K3200" s="10" t="n">
        <v>46191</v>
      </c>
      <c r="L3200" s="3" t="s">
        <v>18</v>
      </c>
      <c r="M3200" s="7" t="n">
        <v>200</v>
      </c>
      <c r="N3200" s="8" t="n">
        <v>0.3481</v>
      </c>
      <c r="O3200" s="4" t="n">
        <f aca="false">M3200*N3200</f>
        <v>69.62</v>
      </c>
    </row>
    <row r="3201" customFormat="false" ht="15" hidden="false" customHeight="false" outlineLevel="0" collapsed="false">
      <c r="A3201" s="0" t="s">
        <v>4546</v>
      </c>
      <c r="C3201" s="0" t="s">
        <v>875</v>
      </c>
      <c r="D3201" s="7" t="n">
        <v>42</v>
      </c>
      <c r="E3201" s="8" t="n">
        <v>1.65738095238095</v>
      </c>
      <c r="F3201" s="4" t="n">
        <f aca="false">D3201*E3201</f>
        <v>69.61</v>
      </c>
      <c r="G3201" s="7" t="n">
        <v>9</v>
      </c>
      <c r="H3201" s="9" t="n">
        <f aca="false">IF(G3201&gt;0,D3201/G3201,"")</f>
        <v>4.66666666666667</v>
      </c>
      <c r="I3201" s="10" t="n">
        <v>46113</v>
      </c>
      <c r="J3201" s="3" t="s">
        <v>4547</v>
      </c>
      <c r="K3201" s="10" t="n">
        <v>44642</v>
      </c>
      <c r="L3201" s="3" t="s">
        <v>14</v>
      </c>
      <c r="M3201" s="7" t="n">
        <v>101</v>
      </c>
      <c r="N3201" s="8" t="n">
        <v>1.6981</v>
      </c>
      <c r="O3201" s="4" t="n">
        <v>169.81</v>
      </c>
    </row>
    <row r="3202" customFormat="false" ht="15" hidden="false" customHeight="false" outlineLevel="0" collapsed="false">
      <c r="A3202" s="0" t="s">
        <v>4548</v>
      </c>
      <c r="C3202" s="0" t="s">
        <v>4136</v>
      </c>
      <c r="D3202" s="7" t="n">
        <v>1465</v>
      </c>
      <c r="E3202" s="8" t="n">
        <v>0.0474061433447099</v>
      </c>
      <c r="F3202" s="4" t="n">
        <f aca="false">D3202*E3202</f>
        <v>69.45</v>
      </c>
      <c r="G3202" s="7" t="n">
        <v>66</v>
      </c>
      <c r="H3202" s="9" t="n">
        <f aca="false">IF(G3202&gt;0,D3202/G3202,"")</f>
        <v>22.1969696969697</v>
      </c>
      <c r="I3202" s="10" t="n">
        <v>46246</v>
      </c>
      <c r="J3202" s="3" t="s">
        <v>3204</v>
      </c>
      <c r="K3202" s="10" t="n">
        <v>44963</v>
      </c>
      <c r="L3202" s="3" t="s">
        <v>16</v>
      </c>
      <c r="M3202" s="7" t="n">
        <v>1887</v>
      </c>
      <c r="N3202" s="8" t="n">
        <v>0.0474</v>
      </c>
      <c r="O3202" s="4" t="n">
        <f aca="false">M3202*N3202</f>
        <v>89.4438</v>
      </c>
    </row>
    <row r="3203" customFormat="false" ht="15" hidden="false" customHeight="false" outlineLevel="0" collapsed="false">
      <c r="A3203" s="0" t="s">
        <v>4549</v>
      </c>
      <c r="C3203" s="0" t="s">
        <v>497</v>
      </c>
      <c r="D3203" s="7" t="n">
        <v>489</v>
      </c>
      <c r="E3203" s="8" t="n">
        <v>0.1419836400818</v>
      </c>
      <c r="F3203" s="4" t="n">
        <f aca="false">D3203*E3203</f>
        <v>69.43</v>
      </c>
      <c r="G3203" s="7" t="n">
        <v>140</v>
      </c>
      <c r="H3203" s="9" t="n">
        <f aca="false">IF(G3203&gt;0,D3203/G3203,"")</f>
        <v>3.49285714285714</v>
      </c>
      <c r="I3203" s="10" t="n">
        <v>46240</v>
      </c>
      <c r="J3203" s="3" t="s">
        <v>611</v>
      </c>
      <c r="K3203" s="10" t="n">
        <v>45141</v>
      </c>
      <c r="L3203" s="3" t="s">
        <v>14</v>
      </c>
      <c r="M3203" s="7" t="n">
        <v>2500</v>
      </c>
      <c r="N3203" s="8" t="n">
        <v>0.142</v>
      </c>
      <c r="O3203" s="4" t="n">
        <f aca="false">M3203*N3203</f>
        <v>355</v>
      </c>
    </row>
    <row r="3204" customFormat="false" ht="15" hidden="false" customHeight="false" outlineLevel="0" collapsed="false">
      <c r="A3204" s="0" t="s">
        <v>4550</v>
      </c>
      <c r="C3204" s="0" t="s">
        <v>32</v>
      </c>
      <c r="D3204" s="7" t="n">
        <v>298</v>
      </c>
      <c r="E3204" s="8" t="n">
        <v>0.232852348993289</v>
      </c>
      <c r="F3204" s="4" t="n">
        <f aca="false">D3204*E3204</f>
        <v>69.39</v>
      </c>
      <c r="G3204" s="7" t="n">
        <v>250</v>
      </c>
      <c r="H3204" s="9" t="n">
        <f aca="false">IF(G3204&gt;0,D3204/G3204,"")</f>
        <v>1.192</v>
      </c>
      <c r="I3204" s="10" t="n">
        <v>46304</v>
      </c>
      <c r="J3204" s="3" t="s">
        <v>1026</v>
      </c>
      <c r="K3204" s="10" t="n">
        <v>46090</v>
      </c>
      <c r="L3204" s="3" t="s">
        <v>18</v>
      </c>
      <c r="M3204" s="7" t="n">
        <v>415</v>
      </c>
      <c r="N3204" s="8" t="n">
        <v>0.2366</v>
      </c>
      <c r="O3204" s="4" t="n">
        <f aca="false">M3204*N3204</f>
        <v>98.189</v>
      </c>
    </row>
    <row r="3205" customFormat="false" ht="15" hidden="false" customHeight="false" outlineLevel="0" collapsed="false">
      <c r="A3205" s="0" t="s">
        <v>4551</v>
      </c>
      <c r="C3205" s="0" t="s">
        <v>118</v>
      </c>
      <c r="D3205" s="7" t="n">
        <v>925</v>
      </c>
      <c r="E3205" s="8" t="n">
        <v>0.0749945945945946</v>
      </c>
      <c r="F3205" s="4" t="n">
        <f aca="false">D3205*E3205</f>
        <v>69.37</v>
      </c>
      <c r="G3205" s="7" t="n">
        <v>81</v>
      </c>
      <c r="H3205" s="9" t="n">
        <f aca="false">IF(G3205&gt;0,D3205/G3205,"")</f>
        <v>11.4197530864198</v>
      </c>
      <c r="I3205" s="10" t="n">
        <v>46301</v>
      </c>
      <c r="J3205" s="3" t="s">
        <v>4283</v>
      </c>
      <c r="K3205" s="10" t="n">
        <v>46276</v>
      </c>
      <c r="L3205" s="3" t="s">
        <v>16</v>
      </c>
      <c r="M3205" s="7" t="n">
        <v>1114</v>
      </c>
      <c r="N3205" s="8" t="n">
        <v>0.0745</v>
      </c>
      <c r="O3205" s="4" t="n">
        <f aca="false">M3205*N3205</f>
        <v>82.993</v>
      </c>
    </row>
    <row r="3206" customFormat="false" ht="15" hidden="false" customHeight="false" outlineLevel="0" collapsed="false">
      <c r="A3206" s="0" t="s">
        <v>4552</v>
      </c>
      <c r="C3206" s="0" t="s">
        <v>39</v>
      </c>
      <c r="D3206" s="7" t="n">
        <v>30</v>
      </c>
      <c r="E3206" s="8" t="n">
        <v>2.31133333333333</v>
      </c>
      <c r="F3206" s="4" t="n">
        <f aca="false">D3206*E3206</f>
        <v>69.34</v>
      </c>
      <c r="G3206" s="7" t="n">
        <v>30</v>
      </c>
      <c r="H3206" s="9" t="n">
        <f aca="false">IF(G3206&gt;0,D3206/G3206,"")</f>
        <v>1</v>
      </c>
      <c r="I3206" s="10" t="n">
        <v>46052</v>
      </c>
      <c r="J3206" s="3" t="s">
        <v>1076</v>
      </c>
      <c r="K3206" s="10" t="n">
        <v>46191</v>
      </c>
      <c r="L3206" s="3" t="s">
        <v>18</v>
      </c>
      <c r="M3206" s="7" t="n">
        <v>30</v>
      </c>
      <c r="N3206" s="8" t="n">
        <v>2.3112</v>
      </c>
      <c r="O3206" s="4" t="n">
        <f aca="false">M3206*N3206</f>
        <v>69.336</v>
      </c>
    </row>
    <row r="3207" customFormat="false" ht="15" hidden="false" customHeight="false" outlineLevel="0" collapsed="false">
      <c r="A3207" s="0" t="s">
        <v>4553</v>
      </c>
      <c r="C3207" s="0" t="s">
        <v>34</v>
      </c>
      <c r="D3207" s="7" t="n">
        <v>4715</v>
      </c>
      <c r="E3207" s="8" t="n">
        <v>0.0146977730646872</v>
      </c>
      <c r="F3207" s="4" t="n">
        <f aca="false">D3207*E3207</f>
        <v>69.3</v>
      </c>
      <c r="G3207" s="7" t="n">
        <v>2873</v>
      </c>
      <c r="H3207" s="9" t="n">
        <f aca="false">IF(G3207&gt;0,D3207/G3207,"")</f>
        <v>1.6411416637661</v>
      </c>
      <c r="I3207" s="10" t="n">
        <v>46279</v>
      </c>
      <c r="J3207" s="3" t="s">
        <v>2743</v>
      </c>
      <c r="K3207" s="10" t="n">
        <v>46084</v>
      </c>
      <c r="L3207" s="3" t="s">
        <v>16</v>
      </c>
      <c r="M3207" s="7" t="n">
        <v>7000</v>
      </c>
      <c r="N3207" s="8" t="n">
        <v>0.0147</v>
      </c>
      <c r="O3207" s="4" t="n">
        <f aca="false">M3207*N3207</f>
        <v>102.9</v>
      </c>
    </row>
    <row r="3208" customFormat="false" ht="15" hidden="false" customHeight="false" outlineLevel="0" collapsed="false">
      <c r="A3208" s="0" t="s">
        <v>4554</v>
      </c>
      <c r="C3208" s="0" t="s">
        <v>39</v>
      </c>
      <c r="D3208" s="7" t="n">
        <v>114</v>
      </c>
      <c r="E3208" s="8" t="n">
        <v>0.607543859649123</v>
      </c>
      <c r="F3208" s="4" t="n">
        <f aca="false">D3208*E3208</f>
        <v>69.26</v>
      </c>
      <c r="G3208" s="7" t="n">
        <v>45</v>
      </c>
      <c r="H3208" s="9" t="n">
        <f aca="false">IF(G3208&gt;0,D3208/G3208,"")</f>
        <v>2.53333333333333</v>
      </c>
      <c r="I3208" s="10" t="n">
        <v>46176</v>
      </c>
      <c r="J3208" s="3" t="s">
        <v>654</v>
      </c>
      <c r="K3208" s="10" t="n">
        <v>46204</v>
      </c>
      <c r="L3208" s="3" t="s">
        <v>18</v>
      </c>
      <c r="M3208" s="7" t="n">
        <v>100</v>
      </c>
      <c r="N3208" s="8" t="n">
        <v>0.6101</v>
      </c>
      <c r="O3208" s="4" t="n">
        <f aca="false">M3208*N3208</f>
        <v>61.01</v>
      </c>
    </row>
    <row r="3209" customFormat="false" ht="15" hidden="false" customHeight="false" outlineLevel="0" collapsed="false">
      <c r="A3209" s="0" t="s">
        <v>4555</v>
      </c>
      <c r="C3209" s="0" t="s">
        <v>741</v>
      </c>
      <c r="D3209" s="7" t="n">
        <v>150</v>
      </c>
      <c r="E3209" s="8" t="n">
        <v>0.4616</v>
      </c>
      <c r="F3209" s="4" t="n">
        <f aca="false">D3209*E3209</f>
        <v>69.24</v>
      </c>
      <c r="G3209" s="7" t="n">
        <v>4</v>
      </c>
      <c r="H3209" s="9" t="n">
        <f aca="false">IF(G3209&gt;0,D3209/G3209,"")</f>
        <v>37.5</v>
      </c>
      <c r="I3209" s="10" t="n">
        <v>46210</v>
      </c>
      <c r="K3209" s="10"/>
      <c r="M3209" s="7"/>
      <c r="N3209" s="8"/>
      <c r="O3209" s="4"/>
    </row>
    <row r="3210" customFormat="false" ht="15" hidden="false" customHeight="false" outlineLevel="0" collapsed="false">
      <c r="A3210" s="0" t="s">
        <v>4556</v>
      </c>
      <c r="C3210" s="0" t="s">
        <v>765</v>
      </c>
      <c r="D3210" s="7" t="n">
        <v>1793</v>
      </c>
      <c r="E3210" s="8" t="n">
        <v>0.0386001115448968</v>
      </c>
      <c r="F3210" s="4" t="n">
        <f aca="false">D3210*E3210</f>
        <v>69.21</v>
      </c>
      <c r="G3210" s="7" t="n">
        <v>7</v>
      </c>
      <c r="H3210" s="9" t="n">
        <f aca="false">IF(G3210&gt;0,D3210/G3210,"")</f>
        <v>256.142857142857</v>
      </c>
      <c r="I3210" s="10" t="n">
        <v>45987</v>
      </c>
      <c r="J3210" s="3" t="s">
        <v>2267</v>
      </c>
      <c r="K3210" s="10" t="n">
        <v>45946</v>
      </c>
      <c r="L3210" s="3" t="s">
        <v>16</v>
      </c>
      <c r="M3210" s="7" t="n">
        <v>1800</v>
      </c>
      <c r="N3210" s="8" t="n">
        <v>0.0386</v>
      </c>
      <c r="O3210" s="4" t="n">
        <f aca="false">M3210*N3210</f>
        <v>69.48</v>
      </c>
    </row>
    <row r="3211" customFormat="false" ht="15" hidden="false" customHeight="false" outlineLevel="0" collapsed="false">
      <c r="A3211" s="0" t="s">
        <v>4557</v>
      </c>
      <c r="C3211" s="0" t="s">
        <v>33</v>
      </c>
      <c r="D3211" s="7" t="n">
        <v>34</v>
      </c>
      <c r="E3211" s="8" t="n">
        <v>2.03147058823529</v>
      </c>
      <c r="F3211" s="4" t="n">
        <f aca="false">D3211*E3211</f>
        <v>69.07</v>
      </c>
      <c r="G3211" s="7" t="n">
        <v>13</v>
      </c>
      <c r="H3211" s="9" t="n">
        <f aca="false">IF(G3211&gt;0,D3211/G3211,"")</f>
        <v>2.61538461538462</v>
      </c>
      <c r="I3211" s="10" t="n">
        <v>46176</v>
      </c>
      <c r="J3211" s="3" t="s">
        <v>3781</v>
      </c>
      <c r="K3211" s="10" t="n">
        <v>45958</v>
      </c>
      <c r="L3211" s="3" t="s">
        <v>18</v>
      </c>
      <c r="M3211" s="7" t="n">
        <v>47</v>
      </c>
      <c r="N3211" s="8" t="n">
        <v>2.0315</v>
      </c>
      <c r="O3211" s="4" t="n">
        <f aca="false">M3211*N3211</f>
        <v>95.4805</v>
      </c>
    </row>
    <row r="3212" customFormat="false" ht="15" hidden="false" customHeight="false" outlineLevel="0" collapsed="false">
      <c r="A3212" s="0" t="s">
        <v>4558</v>
      </c>
      <c r="C3212" s="0" t="s">
        <v>855</v>
      </c>
      <c r="D3212" s="7" t="n">
        <v>16420</v>
      </c>
      <c r="E3212" s="8" t="n">
        <v>0.00420462850182704</v>
      </c>
      <c r="F3212" s="4" t="n">
        <f aca="false">D3212*E3212</f>
        <v>69.04</v>
      </c>
      <c r="G3212" s="7" t="n">
        <v>175</v>
      </c>
      <c r="H3212" s="9" t="n">
        <f aca="false">IF(G3212&gt;0,D3212/G3212,"")</f>
        <v>93.8285714285714</v>
      </c>
      <c r="I3212" s="10" t="n">
        <v>46246</v>
      </c>
      <c r="J3212" s="3" t="s">
        <v>4559</v>
      </c>
      <c r="K3212" s="10" t="n">
        <v>46171</v>
      </c>
      <c r="L3212" s="3" t="s">
        <v>16</v>
      </c>
      <c r="M3212" s="7" t="n">
        <v>14555</v>
      </c>
      <c r="N3212" s="8" t="n">
        <v>0.003</v>
      </c>
      <c r="O3212" s="4" t="n">
        <f aca="false">M3212*N3212</f>
        <v>43.665</v>
      </c>
    </row>
    <row r="3213" customFormat="false" ht="15" hidden="false" customHeight="false" outlineLevel="0" collapsed="false">
      <c r="A3213" s="0" t="s">
        <v>4560</v>
      </c>
      <c r="C3213" s="0" t="s">
        <v>31</v>
      </c>
      <c r="D3213" s="7" t="n">
        <v>1236</v>
      </c>
      <c r="E3213" s="8" t="n">
        <v>0.0557928802588997</v>
      </c>
      <c r="F3213" s="4" t="n">
        <f aca="false">D3213*E3213</f>
        <v>68.96</v>
      </c>
      <c r="G3213" s="7" t="n">
        <v>52</v>
      </c>
      <c r="H3213" s="9" t="n">
        <f aca="false">IF(G3213&gt;0,D3213/G3213,"")</f>
        <v>23.7692307692308</v>
      </c>
      <c r="I3213" s="10" t="n">
        <v>46295</v>
      </c>
      <c r="J3213" s="3" t="s">
        <v>1192</v>
      </c>
      <c r="K3213" s="10" t="n">
        <v>45736</v>
      </c>
      <c r="L3213" s="3" t="s">
        <v>26</v>
      </c>
      <c r="M3213" s="7" t="n">
        <v>50</v>
      </c>
      <c r="N3213" s="8" t="n">
        <v>0.1295</v>
      </c>
      <c r="O3213" s="4" t="n">
        <f aca="false">M3213*N3213</f>
        <v>6.475</v>
      </c>
    </row>
    <row r="3214" customFormat="false" ht="15" hidden="false" customHeight="false" outlineLevel="0" collapsed="false">
      <c r="A3214" s="0" t="s">
        <v>4561</v>
      </c>
      <c r="C3214" s="0" t="s">
        <v>34</v>
      </c>
      <c r="D3214" s="7" t="n">
        <v>7030</v>
      </c>
      <c r="E3214" s="8" t="n">
        <v>0.0098022759601707</v>
      </c>
      <c r="F3214" s="4" t="n">
        <f aca="false">D3214*E3214</f>
        <v>68.91</v>
      </c>
      <c r="G3214" s="7" t="n">
        <v>223</v>
      </c>
      <c r="H3214" s="9" t="n">
        <f aca="false">IF(G3214&gt;0,D3214/G3214,"")</f>
        <v>31.52466367713</v>
      </c>
      <c r="I3214" s="10" t="n">
        <v>46134</v>
      </c>
      <c r="J3214" s="3" t="s">
        <v>2385</v>
      </c>
      <c r="K3214" s="10" t="n">
        <v>45629</v>
      </c>
      <c r="L3214" s="3" t="s">
        <v>16</v>
      </c>
      <c r="M3214" s="7" t="n">
        <v>7500</v>
      </c>
      <c r="N3214" s="8" t="n">
        <v>0.0098</v>
      </c>
      <c r="O3214" s="4" t="n">
        <f aca="false">M3214*N3214</f>
        <v>73.5</v>
      </c>
    </row>
    <row r="3215" customFormat="false" ht="15" hidden="false" customHeight="false" outlineLevel="0" collapsed="false">
      <c r="A3215" s="0" t="s">
        <v>4562</v>
      </c>
      <c r="C3215" s="0" t="s">
        <v>2981</v>
      </c>
      <c r="D3215" s="7" t="n">
        <v>112</v>
      </c>
      <c r="E3215" s="8" t="n">
        <v>0.615267857142857</v>
      </c>
      <c r="F3215" s="4" t="n">
        <f aca="false">D3215*E3215</f>
        <v>68.91</v>
      </c>
      <c r="G3215" s="7" t="n">
        <v>12</v>
      </c>
      <c r="H3215" s="9" t="n">
        <f aca="false">IF(G3215&gt;0,D3215/G3215,"")</f>
        <v>9.33333333333333</v>
      </c>
      <c r="I3215" s="10" t="n">
        <v>46203</v>
      </c>
      <c r="K3215" s="10"/>
      <c r="M3215" s="7"/>
      <c r="N3215" s="8"/>
      <c r="O3215" s="4"/>
    </row>
    <row r="3216" customFormat="false" ht="15" hidden="false" customHeight="false" outlineLevel="0" collapsed="false">
      <c r="A3216" s="0" t="s">
        <v>4563</v>
      </c>
      <c r="D3216" s="7" t="n">
        <v>1046</v>
      </c>
      <c r="E3216" s="8" t="n">
        <v>0.0657839388145316</v>
      </c>
      <c r="F3216" s="4" t="n">
        <f aca="false">D3216*E3216</f>
        <v>68.81</v>
      </c>
      <c r="G3216" s="7" t="n">
        <v>18</v>
      </c>
      <c r="H3216" s="9" t="n">
        <f aca="false">IF(G3216&gt;0,D3216/G3216,"")</f>
        <v>58.1111111111111</v>
      </c>
      <c r="I3216" s="10" t="n">
        <v>46147</v>
      </c>
      <c r="K3216" s="10"/>
      <c r="M3216" s="7"/>
      <c r="N3216" s="8"/>
      <c r="O3216" s="4"/>
    </row>
    <row r="3217" customFormat="false" ht="15" hidden="false" customHeight="false" outlineLevel="0" collapsed="false">
      <c r="A3217" s="0" t="s">
        <v>4564</v>
      </c>
      <c r="C3217" s="0" t="s">
        <v>34</v>
      </c>
      <c r="D3217" s="7" t="n">
        <v>2654</v>
      </c>
      <c r="E3217" s="8" t="n">
        <v>0.025923134890731</v>
      </c>
      <c r="F3217" s="4" t="n">
        <f aca="false">D3217*E3217</f>
        <v>68.8</v>
      </c>
      <c r="G3217" s="7" t="n">
        <v>40</v>
      </c>
      <c r="H3217" s="9" t="n">
        <f aca="false">IF(G3217&gt;0,D3217/G3217,"")</f>
        <v>66.35</v>
      </c>
      <c r="I3217" s="10" t="n">
        <v>46281</v>
      </c>
      <c r="J3217" s="3" t="s">
        <v>2294</v>
      </c>
      <c r="K3217" s="10" t="n">
        <v>46220</v>
      </c>
      <c r="L3217" s="3" t="s">
        <v>15</v>
      </c>
      <c r="M3217" s="7" t="n">
        <v>2680</v>
      </c>
      <c r="N3217" s="8" t="n">
        <v>0.02592</v>
      </c>
      <c r="O3217" s="4" t="n">
        <f aca="false">M3217*N3217</f>
        <v>69.4656</v>
      </c>
    </row>
    <row r="3218" customFormat="false" ht="15" hidden="false" customHeight="false" outlineLevel="0" collapsed="false">
      <c r="A3218" s="0" t="s">
        <v>4565</v>
      </c>
      <c r="C3218" s="0" t="s">
        <v>285</v>
      </c>
      <c r="D3218" s="7" t="n">
        <v>15997</v>
      </c>
      <c r="E3218" s="8" t="n">
        <v>0.00429955616678127</v>
      </c>
      <c r="F3218" s="4" t="n">
        <f aca="false">D3218*E3218</f>
        <v>68.78</v>
      </c>
      <c r="G3218" s="7" t="n">
        <v>5270</v>
      </c>
      <c r="H3218" s="9" t="n">
        <f aca="false">IF(G3218&gt;0,D3218/G3218,"")</f>
        <v>3.03548387096774</v>
      </c>
      <c r="I3218" s="10" t="n">
        <v>46276</v>
      </c>
      <c r="K3218" s="10"/>
      <c r="M3218" s="7"/>
      <c r="N3218" s="8"/>
      <c r="O3218" s="4"/>
    </row>
    <row r="3219" customFormat="false" ht="15" hidden="false" customHeight="false" outlineLevel="0" collapsed="false">
      <c r="A3219" s="0" t="s">
        <v>4566</v>
      </c>
      <c r="C3219" s="0" t="s">
        <v>1169</v>
      </c>
      <c r="D3219" s="7" t="n">
        <v>277</v>
      </c>
      <c r="E3219" s="8" t="n">
        <v>0.247978339350181</v>
      </c>
      <c r="F3219" s="4" t="n">
        <f aca="false">D3219*E3219</f>
        <v>68.69</v>
      </c>
      <c r="G3219" s="7" t="n">
        <v>122</v>
      </c>
      <c r="H3219" s="9" t="n">
        <f aca="false">IF(G3219&gt;0,D3219/G3219,"")</f>
        <v>2.27049180327869</v>
      </c>
      <c r="I3219" s="10" t="n">
        <v>46281</v>
      </c>
      <c r="J3219" s="3" t="s">
        <v>4567</v>
      </c>
      <c r="K3219" s="10" t="n">
        <v>45672</v>
      </c>
      <c r="L3219" s="3" t="s">
        <v>21</v>
      </c>
      <c r="M3219" s="7" t="n">
        <v>410</v>
      </c>
      <c r="N3219" s="8" t="n">
        <v>0.248</v>
      </c>
      <c r="O3219" s="4" t="n">
        <f aca="false">M3219*N3219</f>
        <v>101.68</v>
      </c>
    </row>
    <row r="3220" customFormat="false" ht="15" hidden="false" customHeight="false" outlineLevel="0" collapsed="false">
      <c r="A3220" s="0" t="s">
        <v>4568</v>
      </c>
      <c r="C3220" s="0" t="s">
        <v>32</v>
      </c>
      <c r="D3220" s="7" t="n">
        <v>1083</v>
      </c>
      <c r="E3220" s="8" t="n">
        <v>0.0634072022160665</v>
      </c>
      <c r="F3220" s="4" t="n">
        <f aca="false">D3220*E3220</f>
        <v>68.67</v>
      </c>
      <c r="G3220" s="7" t="n">
        <v>376</v>
      </c>
      <c r="H3220" s="9" t="n">
        <f aca="false">IF(G3220&gt;0,D3220/G3220,"")</f>
        <v>2.88031914893617</v>
      </c>
      <c r="I3220" s="10" t="n">
        <v>46301</v>
      </c>
      <c r="J3220" s="3" t="s">
        <v>2506</v>
      </c>
      <c r="K3220" s="10" t="n">
        <v>45911</v>
      </c>
      <c r="L3220" s="3" t="s">
        <v>18</v>
      </c>
      <c r="M3220" s="7" t="n">
        <v>1400</v>
      </c>
      <c r="N3220" s="8" t="n">
        <v>0.0634</v>
      </c>
      <c r="O3220" s="4" t="n">
        <f aca="false">M3220*N3220</f>
        <v>88.76</v>
      </c>
    </row>
    <row r="3221" customFormat="false" ht="15" hidden="false" customHeight="false" outlineLevel="0" collapsed="false">
      <c r="A3221" s="0" t="s">
        <v>4569</v>
      </c>
      <c r="C3221" s="0" t="s">
        <v>855</v>
      </c>
      <c r="D3221" s="7" t="n">
        <v>11754</v>
      </c>
      <c r="E3221" s="8" t="n">
        <v>0.00583886336566275</v>
      </c>
      <c r="F3221" s="4" t="n">
        <f aca="false">D3221*E3221</f>
        <v>68.63</v>
      </c>
      <c r="G3221" s="7" t="n">
        <v>36</v>
      </c>
      <c r="H3221" s="9" t="n">
        <f aca="false">IF(G3221&gt;0,D3221/G3221,"")</f>
        <v>326.5</v>
      </c>
      <c r="I3221" s="10" t="n">
        <v>46057</v>
      </c>
      <c r="J3221" s="3" t="s">
        <v>4570</v>
      </c>
      <c r="K3221" s="10" t="n">
        <v>44778</v>
      </c>
      <c r="L3221" s="3" t="s">
        <v>15</v>
      </c>
      <c r="M3221" s="7" t="n">
        <v>11800</v>
      </c>
      <c r="N3221" s="8" t="n">
        <v>0.00581</v>
      </c>
      <c r="O3221" s="4" t="n">
        <f aca="false">M3221*N3221</f>
        <v>68.558</v>
      </c>
    </row>
    <row r="3222" customFormat="false" ht="15" hidden="false" customHeight="false" outlineLevel="0" collapsed="false">
      <c r="A3222" s="0" t="s">
        <v>4571</v>
      </c>
      <c r="C3222" s="0" t="s">
        <v>40</v>
      </c>
      <c r="D3222" s="7" t="n">
        <v>54</v>
      </c>
      <c r="E3222" s="8" t="n">
        <v>1.27037037037037</v>
      </c>
      <c r="F3222" s="4" t="n">
        <f aca="false">D3222*E3222</f>
        <v>68.6</v>
      </c>
      <c r="G3222" s="7" t="n">
        <v>8</v>
      </c>
      <c r="H3222" s="9" t="n">
        <f aca="false">IF(G3222&gt;0,D3222/G3222,"")</f>
        <v>6.75</v>
      </c>
      <c r="I3222" s="10" t="n">
        <v>45964</v>
      </c>
      <c r="J3222" s="3" t="s">
        <v>1028</v>
      </c>
      <c r="K3222" s="10" t="n">
        <v>45689</v>
      </c>
      <c r="L3222" s="3" t="s">
        <v>18</v>
      </c>
      <c r="M3222" s="7" t="n">
        <v>79</v>
      </c>
      <c r="N3222" s="8" t="n">
        <v>1.2704</v>
      </c>
      <c r="O3222" s="4" t="n">
        <f aca="false">M3222*N3222</f>
        <v>100.3616</v>
      </c>
    </row>
    <row r="3223" customFormat="false" ht="15" hidden="false" customHeight="false" outlineLevel="0" collapsed="false">
      <c r="A3223" s="0" t="s">
        <v>4572</v>
      </c>
      <c r="C3223" s="0" t="s">
        <v>34</v>
      </c>
      <c r="D3223" s="7" t="n">
        <v>4493</v>
      </c>
      <c r="E3223" s="8" t="n">
        <v>0.0152681949699533</v>
      </c>
      <c r="F3223" s="4" t="n">
        <f aca="false">D3223*E3223</f>
        <v>68.6</v>
      </c>
      <c r="G3223" s="7" t="n">
        <v>1640</v>
      </c>
      <c r="H3223" s="9" t="n">
        <f aca="false">IF(G3223&gt;0,D3223/G3223,"")</f>
        <v>2.73963414634146</v>
      </c>
      <c r="I3223" s="10" t="n">
        <v>46226</v>
      </c>
      <c r="J3223" s="3" t="s">
        <v>2099</v>
      </c>
      <c r="K3223" s="10" t="n">
        <v>45958</v>
      </c>
      <c r="L3223" s="3" t="s">
        <v>16</v>
      </c>
      <c r="M3223" s="7" t="n">
        <v>5000</v>
      </c>
      <c r="N3223" s="8" t="n">
        <v>0.0147</v>
      </c>
      <c r="O3223" s="4" t="n">
        <f aca="false">M3223*N3223</f>
        <v>73.5</v>
      </c>
    </row>
    <row r="3224" customFormat="false" ht="15" hidden="false" customHeight="false" outlineLevel="0" collapsed="false">
      <c r="A3224" s="0" t="s">
        <v>4573</v>
      </c>
      <c r="C3224" s="0" t="s">
        <v>298</v>
      </c>
      <c r="D3224" s="7" t="n">
        <v>643</v>
      </c>
      <c r="E3224" s="8" t="n">
        <v>0.106500777604977</v>
      </c>
      <c r="F3224" s="4" t="n">
        <f aca="false">D3224*E3224</f>
        <v>68.48</v>
      </c>
      <c r="G3224" s="7" t="n">
        <v>49</v>
      </c>
      <c r="H3224" s="9" t="n">
        <f aca="false">IF(G3224&gt;0,D3224/G3224,"")</f>
        <v>13.1224489795918</v>
      </c>
      <c r="I3224" s="10" t="n">
        <v>46314</v>
      </c>
      <c r="J3224" s="3" t="s">
        <v>1407</v>
      </c>
      <c r="K3224" s="10" t="n">
        <v>44656</v>
      </c>
      <c r="L3224" s="3" t="s">
        <v>14</v>
      </c>
      <c r="M3224" s="7" t="n">
        <v>1447</v>
      </c>
      <c r="N3224" s="8" t="n">
        <v>0.1065</v>
      </c>
      <c r="O3224" s="4" t="n">
        <f aca="false">M3224*N3224</f>
        <v>154.1055</v>
      </c>
    </row>
    <row r="3225" customFormat="false" ht="15" hidden="false" customHeight="false" outlineLevel="0" collapsed="false">
      <c r="A3225" s="0" t="s">
        <v>4574</v>
      </c>
      <c r="C3225" s="0" t="s">
        <v>715</v>
      </c>
      <c r="D3225" s="7" t="n">
        <v>887</v>
      </c>
      <c r="E3225" s="8" t="n">
        <v>0.0771927846674183</v>
      </c>
      <c r="F3225" s="4" t="n">
        <f aca="false">D3225*E3225</f>
        <v>68.47</v>
      </c>
      <c r="G3225" s="7" t="n">
        <v>20</v>
      </c>
      <c r="H3225" s="9" t="n">
        <f aca="false">IF(G3225&gt;0,D3225/G3225,"")</f>
        <v>44.35</v>
      </c>
      <c r="I3225" s="10" t="n">
        <v>45953</v>
      </c>
      <c r="K3225" s="10"/>
      <c r="M3225" s="7"/>
      <c r="N3225" s="8"/>
      <c r="O3225" s="4"/>
    </row>
    <row r="3226" customFormat="false" ht="15" hidden="false" customHeight="false" outlineLevel="0" collapsed="false">
      <c r="A3226" s="0" t="s">
        <v>4575</v>
      </c>
      <c r="C3226" s="0" t="s">
        <v>855</v>
      </c>
      <c r="D3226" s="7" t="n">
        <v>8989</v>
      </c>
      <c r="E3226" s="8" t="n">
        <v>0.00761375013905885</v>
      </c>
      <c r="F3226" s="4" t="n">
        <f aca="false">D3226*E3226</f>
        <v>68.44</v>
      </c>
      <c r="G3226" s="7" t="n">
        <v>62</v>
      </c>
      <c r="H3226" s="9" t="n">
        <f aca="false">IF(G3226&gt;0,D3226/G3226,"")</f>
        <v>144.983870967742</v>
      </c>
      <c r="I3226" s="10" t="n">
        <v>46142</v>
      </c>
      <c r="J3226" s="3" t="s">
        <v>812</v>
      </c>
      <c r="K3226" s="10" t="n">
        <v>44830</v>
      </c>
      <c r="L3226" s="3" t="s">
        <v>16</v>
      </c>
      <c r="M3226" s="7" t="n">
        <v>10000</v>
      </c>
      <c r="N3226" s="8" t="n">
        <v>0.0076</v>
      </c>
      <c r="O3226" s="4" t="n">
        <f aca="false">M3226*N3226</f>
        <v>76</v>
      </c>
    </row>
    <row r="3227" customFormat="false" ht="15" hidden="false" customHeight="false" outlineLevel="0" collapsed="false">
      <c r="A3227" s="0" t="s">
        <v>4576</v>
      </c>
      <c r="C3227" s="0" t="s">
        <v>36</v>
      </c>
      <c r="D3227" s="7" t="n">
        <v>193</v>
      </c>
      <c r="E3227" s="8" t="n">
        <v>0.3539896373057</v>
      </c>
      <c r="F3227" s="4" t="n">
        <f aca="false">D3227*E3227</f>
        <v>68.32</v>
      </c>
      <c r="G3227" s="7" t="n">
        <v>87</v>
      </c>
      <c r="H3227" s="9" t="n">
        <f aca="false">IF(G3227&gt;0,D3227/G3227,"")</f>
        <v>2.2183908045977</v>
      </c>
      <c r="I3227" s="10" t="n">
        <v>46104</v>
      </c>
      <c r="J3227" s="3" t="s">
        <v>3666</v>
      </c>
      <c r="K3227" s="10" t="n">
        <v>46009</v>
      </c>
      <c r="L3227" s="3" t="s">
        <v>18</v>
      </c>
      <c r="M3227" s="7" t="n">
        <v>280</v>
      </c>
      <c r="N3227" s="8" t="n">
        <v>0.354</v>
      </c>
      <c r="O3227" s="4" t="n">
        <f aca="false">M3227*N3227</f>
        <v>99.12</v>
      </c>
    </row>
    <row r="3228" customFormat="false" ht="15" hidden="false" customHeight="false" outlineLevel="0" collapsed="false">
      <c r="A3228" s="0" t="s">
        <v>4577</v>
      </c>
      <c r="C3228" s="0" t="s">
        <v>979</v>
      </c>
      <c r="D3228" s="7" t="n">
        <v>5647</v>
      </c>
      <c r="E3228" s="8" t="n">
        <v>0.0120878342482734</v>
      </c>
      <c r="F3228" s="4" t="n">
        <f aca="false">D3228*E3228</f>
        <v>68.26</v>
      </c>
      <c r="G3228" s="7" t="n">
        <v>5330</v>
      </c>
      <c r="H3228" s="9" t="n">
        <f aca="false">IF(G3228&gt;0,D3228/G3228,"")</f>
        <v>1.05947467166979</v>
      </c>
      <c r="I3228" s="10" t="n">
        <v>46274</v>
      </c>
      <c r="J3228" s="3" t="s">
        <v>4578</v>
      </c>
      <c r="K3228" s="10" t="n">
        <v>45272</v>
      </c>
      <c r="L3228" s="3" t="s">
        <v>18</v>
      </c>
      <c r="M3228" s="7" t="n">
        <v>11922</v>
      </c>
      <c r="N3228" s="8" t="n">
        <v>0.0106</v>
      </c>
      <c r="O3228" s="4" t="n">
        <f aca="false">M3228*N3228</f>
        <v>126.3732</v>
      </c>
    </row>
    <row r="3229" customFormat="false" ht="15" hidden="false" customHeight="false" outlineLevel="0" collapsed="false">
      <c r="A3229" s="0" t="s">
        <v>4579</v>
      </c>
      <c r="C3229" s="0" t="s">
        <v>35</v>
      </c>
      <c r="D3229" s="7" t="n">
        <v>46</v>
      </c>
      <c r="E3229" s="8" t="n">
        <v>1.48391304347826</v>
      </c>
      <c r="F3229" s="4" t="n">
        <f aca="false">D3229*E3229</f>
        <v>68.26</v>
      </c>
      <c r="G3229" s="7" t="n">
        <v>2</v>
      </c>
      <c r="H3229" s="9" t="n">
        <f aca="false">IF(G3229&gt;0,D3229/G3229,"")</f>
        <v>23</v>
      </c>
      <c r="I3229" s="10" t="n">
        <v>46119</v>
      </c>
      <c r="J3229" s="3" t="s">
        <v>4580</v>
      </c>
      <c r="K3229" s="10" t="n">
        <v>45215</v>
      </c>
      <c r="L3229" s="3" t="s">
        <v>14</v>
      </c>
      <c r="M3229" s="7" t="n">
        <v>50</v>
      </c>
      <c r="N3229" s="8" t="n">
        <v>1.484</v>
      </c>
      <c r="O3229" s="4" t="n">
        <f aca="false">M3229*N3229</f>
        <v>74.2</v>
      </c>
    </row>
    <row r="3230" customFormat="false" ht="15" hidden="false" customHeight="false" outlineLevel="0" collapsed="false">
      <c r="A3230" s="0" t="s">
        <v>4581</v>
      </c>
      <c r="C3230" s="0" t="s">
        <v>31</v>
      </c>
      <c r="D3230" s="7" t="n">
        <v>19396</v>
      </c>
      <c r="E3230" s="8" t="n">
        <v>0.00351051763250155</v>
      </c>
      <c r="F3230" s="4" t="n">
        <f aca="false">D3230*E3230</f>
        <v>68.09</v>
      </c>
      <c r="G3230" s="7" t="n">
        <v>1896</v>
      </c>
      <c r="H3230" s="9" t="n">
        <f aca="false">IF(G3230&gt;0,D3230/G3230,"")</f>
        <v>10.2299578059072</v>
      </c>
      <c r="I3230" s="10" t="n">
        <v>46237</v>
      </c>
      <c r="J3230" s="3" t="s">
        <v>444</v>
      </c>
      <c r="K3230" s="10" t="n">
        <v>46240</v>
      </c>
      <c r="L3230" s="3" t="s">
        <v>16</v>
      </c>
      <c r="M3230" s="7" t="n">
        <v>19285</v>
      </c>
      <c r="N3230" s="8" t="n">
        <v>0.0035</v>
      </c>
      <c r="O3230" s="4" t="n">
        <f aca="false">M3230*N3230</f>
        <v>67.4975</v>
      </c>
    </row>
    <row r="3231" customFormat="false" ht="15" hidden="false" customHeight="false" outlineLevel="0" collapsed="false">
      <c r="A3231" s="0" t="s">
        <v>4582</v>
      </c>
      <c r="C3231" s="0" t="s">
        <v>35</v>
      </c>
      <c r="D3231" s="7" t="n">
        <v>31</v>
      </c>
      <c r="E3231" s="8" t="n">
        <v>2.19451612903226</v>
      </c>
      <c r="F3231" s="4" t="n">
        <f aca="false">D3231*E3231</f>
        <v>68.03</v>
      </c>
      <c r="G3231" s="7" t="n">
        <v>4</v>
      </c>
      <c r="H3231" s="9" t="n">
        <f aca="false">IF(G3231&gt;0,D3231/G3231,"")</f>
        <v>7.75</v>
      </c>
      <c r="I3231" s="10" t="n">
        <v>46283</v>
      </c>
      <c r="J3231" s="3" t="s">
        <v>3754</v>
      </c>
      <c r="K3231" s="10" t="n">
        <v>45559</v>
      </c>
      <c r="L3231" s="3" t="s">
        <v>14</v>
      </c>
      <c r="M3231" s="7" t="n">
        <v>50</v>
      </c>
      <c r="N3231" s="8" t="n">
        <v>2.1944</v>
      </c>
      <c r="O3231" s="4" t="n">
        <f aca="false">M3231*N3231</f>
        <v>109.72</v>
      </c>
    </row>
    <row r="3232" customFormat="false" ht="15" hidden="false" customHeight="false" outlineLevel="0" collapsed="false">
      <c r="A3232" s="0" t="s">
        <v>4583</v>
      </c>
      <c r="C3232" s="0" t="s">
        <v>39</v>
      </c>
      <c r="D3232" s="7" t="n">
        <v>33</v>
      </c>
      <c r="E3232" s="8" t="n">
        <v>2.05909090909091</v>
      </c>
      <c r="F3232" s="4" t="n">
        <f aca="false">D3232*E3232</f>
        <v>67.95</v>
      </c>
      <c r="G3232" s="7" t="n">
        <v>24</v>
      </c>
      <c r="H3232" s="9" t="n">
        <f aca="false">IF(G3232&gt;0,D3232/G3232,"")</f>
        <v>1.375</v>
      </c>
      <c r="I3232" s="10" t="n">
        <v>46146</v>
      </c>
      <c r="J3232" s="3" t="s">
        <v>1076</v>
      </c>
      <c r="K3232" s="10" t="n">
        <v>46191</v>
      </c>
      <c r="L3232" s="3" t="s">
        <v>18</v>
      </c>
      <c r="M3232" s="7" t="n">
        <v>30</v>
      </c>
      <c r="N3232" s="8" t="n">
        <v>2.0783</v>
      </c>
      <c r="O3232" s="4" t="n">
        <f aca="false">M3232*N3232</f>
        <v>62.349</v>
      </c>
    </row>
    <row r="3233" customFormat="false" ht="15" hidden="false" customHeight="false" outlineLevel="0" collapsed="false">
      <c r="A3233" s="0" t="s">
        <v>4584</v>
      </c>
      <c r="C3233" s="0" t="s">
        <v>583</v>
      </c>
      <c r="D3233" s="7" t="n">
        <v>1375</v>
      </c>
      <c r="E3233" s="8" t="n">
        <v>0.0493963636363636</v>
      </c>
      <c r="F3233" s="4" t="n">
        <f aca="false">D3233*E3233</f>
        <v>67.92</v>
      </c>
      <c r="G3233" s="7" t="n">
        <v>100</v>
      </c>
      <c r="H3233" s="9" t="n">
        <f aca="false">IF(G3233&gt;0,D3233/G3233,"")</f>
        <v>13.75</v>
      </c>
      <c r="I3233" s="10" t="n">
        <v>46171</v>
      </c>
      <c r="J3233" s="3" t="s">
        <v>3821</v>
      </c>
      <c r="K3233" s="10" t="n">
        <v>45980</v>
      </c>
      <c r="L3233" s="3" t="s">
        <v>19</v>
      </c>
      <c r="M3233" s="7" t="n">
        <v>100</v>
      </c>
      <c r="N3233" s="8" t="n">
        <v>0.1612</v>
      </c>
      <c r="O3233" s="4" t="n">
        <f aca="false">M3233*N3233</f>
        <v>16.12</v>
      </c>
    </row>
    <row r="3234" customFormat="false" ht="15" hidden="false" customHeight="false" outlineLevel="0" collapsed="false">
      <c r="A3234" s="0" t="s">
        <v>4585</v>
      </c>
      <c r="C3234" s="0" t="s">
        <v>855</v>
      </c>
      <c r="D3234" s="7" t="n">
        <v>17414</v>
      </c>
      <c r="E3234" s="8" t="n">
        <v>0.00389973584472264</v>
      </c>
      <c r="F3234" s="4" t="n">
        <f aca="false">D3234*E3234</f>
        <v>67.91</v>
      </c>
      <c r="G3234" s="7" t="n">
        <v>1600</v>
      </c>
      <c r="H3234" s="9" t="n">
        <f aca="false">IF(G3234&gt;0,D3234/G3234,"")</f>
        <v>10.88375</v>
      </c>
      <c r="I3234" s="10" t="n">
        <v>46244</v>
      </c>
      <c r="J3234" s="3" t="s">
        <v>2043</v>
      </c>
      <c r="K3234" s="10" t="n">
        <v>46104</v>
      </c>
      <c r="L3234" s="3" t="s">
        <v>16</v>
      </c>
      <c r="M3234" s="7" t="n">
        <v>19014</v>
      </c>
      <c r="N3234" s="8" t="n">
        <v>0.0039</v>
      </c>
      <c r="O3234" s="4" t="n">
        <f aca="false">M3234*N3234</f>
        <v>74.1546</v>
      </c>
    </row>
    <row r="3235" customFormat="false" ht="15" hidden="false" customHeight="false" outlineLevel="0" collapsed="false">
      <c r="A3235" s="0" t="s">
        <v>4586</v>
      </c>
      <c r="C3235" s="0" t="s">
        <v>33</v>
      </c>
      <c r="D3235" s="7" t="n">
        <v>43</v>
      </c>
      <c r="E3235" s="8" t="n">
        <v>1.57860465116279</v>
      </c>
      <c r="F3235" s="4" t="n">
        <f aca="false">D3235*E3235</f>
        <v>67.88</v>
      </c>
      <c r="G3235" s="7" t="n">
        <v>6</v>
      </c>
      <c r="H3235" s="9" t="n">
        <f aca="false">IF(G3235&gt;0,D3235/G3235,"")</f>
        <v>7.16666666666667</v>
      </c>
      <c r="I3235" s="10" t="n">
        <v>45968</v>
      </c>
      <c r="J3235" s="3" t="s">
        <v>3065</v>
      </c>
      <c r="K3235" s="10" t="n">
        <v>45819</v>
      </c>
      <c r="L3235" s="3" t="s">
        <v>18</v>
      </c>
      <c r="M3235" s="7" t="n">
        <v>60</v>
      </c>
      <c r="N3235" s="8" t="n">
        <v>1.5786</v>
      </c>
      <c r="O3235" s="4" t="n">
        <f aca="false">M3235*N3235</f>
        <v>94.716</v>
      </c>
    </row>
    <row r="3236" customFormat="false" ht="15" hidden="false" customHeight="false" outlineLevel="0" collapsed="false">
      <c r="A3236" s="0" t="s">
        <v>4587</v>
      </c>
      <c r="C3236" s="0" t="s">
        <v>583</v>
      </c>
      <c r="D3236" s="7" t="n">
        <v>1075</v>
      </c>
      <c r="E3236" s="8" t="n">
        <v>0.0630976744186047</v>
      </c>
      <c r="F3236" s="4" t="n">
        <f aca="false">D3236*E3236</f>
        <v>67.83</v>
      </c>
      <c r="G3236" s="7" t="n">
        <v>100</v>
      </c>
      <c r="H3236" s="9" t="n">
        <f aca="false">IF(G3236&gt;0,D3236/G3236,"")</f>
        <v>10.75</v>
      </c>
      <c r="I3236" s="10" t="n">
        <v>46171</v>
      </c>
      <c r="J3236" s="3" t="s">
        <v>3821</v>
      </c>
      <c r="K3236" s="10" t="n">
        <v>45980</v>
      </c>
      <c r="L3236" s="3" t="s">
        <v>19</v>
      </c>
      <c r="M3236" s="7" t="n">
        <v>100</v>
      </c>
      <c r="N3236" s="8" t="n">
        <v>0.2237</v>
      </c>
      <c r="O3236" s="4" t="n">
        <f aca="false">M3236*N3236</f>
        <v>22.37</v>
      </c>
    </row>
    <row r="3237" customFormat="false" ht="15" hidden="false" customHeight="false" outlineLevel="0" collapsed="false">
      <c r="A3237" s="0" t="s">
        <v>4588</v>
      </c>
      <c r="C3237" s="0" t="s">
        <v>31</v>
      </c>
      <c r="D3237" s="7" t="n">
        <v>2261</v>
      </c>
      <c r="E3237" s="8" t="n">
        <v>0.03</v>
      </c>
      <c r="F3237" s="4" t="n">
        <f aca="false">D3237*E3237</f>
        <v>67.83</v>
      </c>
      <c r="G3237" s="7" t="n">
        <v>254</v>
      </c>
      <c r="H3237" s="9" t="n">
        <f aca="false">IF(G3237&gt;0,D3237/G3237,"")</f>
        <v>8.90157480314961</v>
      </c>
      <c r="I3237" s="10" t="n">
        <v>46181</v>
      </c>
      <c r="K3237" s="10"/>
      <c r="M3237" s="7"/>
      <c r="N3237" s="8"/>
      <c r="O3237" s="4"/>
    </row>
    <row r="3238" customFormat="false" ht="15" hidden="false" customHeight="false" outlineLevel="0" collapsed="false">
      <c r="A3238" s="0" t="s">
        <v>4589</v>
      </c>
      <c r="C3238" s="0" t="s">
        <v>31</v>
      </c>
      <c r="D3238" s="7" t="n">
        <v>9974</v>
      </c>
      <c r="E3238" s="8" t="n">
        <v>0.00679967916583116</v>
      </c>
      <c r="F3238" s="4" t="n">
        <f aca="false">D3238*E3238</f>
        <v>67.82</v>
      </c>
      <c r="G3238" s="7" t="n">
        <v>3897</v>
      </c>
      <c r="H3238" s="9" t="n">
        <f aca="false">IF(G3238&gt;0,D3238/G3238,"")</f>
        <v>2.55940467025917</v>
      </c>
      <c r="I3238" s="10" t="n">
        <v>46275</v>
      </c>
      <c r="J3238" s="3" t="s">
        <v>2716</v>
      </c>
      <c r="K3238" s="10" t="n">
        <v>46160</v>
      </c>
      <c r="L3238" s="3" t="s">
        <v>16</v>
      </c>
      <c r="M3238" s="7" t="n">
        <v>10000</v>
      </c>
      <c r="N3238" s="8" t="n">
        <v>0.0068</v>
      </c>
      <c r="O3238" s="4" t="n">
        <f aca="false">M3238*N3238</f>
        <v>68</v>
      </c>
    </row>
    <row r="3239" customFormat="false" ht="15" hidden="false" customHeight="false" outlineLevel="0" collapsed="false">
      <c r="A3239" s="0" t="s">
        <v>4590</v>
      </c>
      <c r="C3239" s="0" t="s">
        <v>33</v>
      </c>
      <c r="D3239" s="7" t="n">
        <v>291</v>
      </c>
      <c r="E3239" s="8" t="n">
        <v>0.23298969072165</v>
      </c>
      <c r="F3239" s="4" t="n">
        <f aca="false">D3239*E3239</f>
        <v>67.8</v>
      </c>
      <c r="G3239" s="7" t="n">
        <v>121</v>
      </c>
      <c r="H3239" s="9" t="n">
        <f aca="false">IF(G3239&gt;0,D3239/G3239,"")</f>
        <v>2.40495867768595</v>
      </c>
      <c r="I3239" s="10" t="n">
        <v>46189</v>
      </c>
      <c r="J3239" s="3" t="s">
        <v>2089</v>
      </c>
      <c r="K3239" s="10" t="n">
        <v>45883</v>
      </c>
      <c r="L3239" s="3" t="s">
        <v>18</v>
      </c>
      <c r="M3239" s="7" t="n">
        <v>410</v>
      </c>
      <c r="N3239" s="8" t="n">
        <v>0.2333</v>
      </c>
      <c r="O3239" s="4" t="n">
        <f aca="false">M3239*N3239</f>
        <v>95.653</v>
      </c>
    </row>
    <row r="3240" customFormat="false" ht="15" hidden="false" customHeight="false" outlineLevel="0" collapsed="false">
      <c r="A3240" s="0" t="s">
        <v>4591</v>
      </c>
      <c r="C3240" s="0" t="s">
        <v>31</v>
      </c>
      <c r="D3240" s="7" t="n">
        <v>1898</v>
      </c>
      <c r="E3240" s="8" t="n">
        <v>0.0357007376185458</v>
      </c>
      <c r="F3240" s="4" t="n">
        <f aca="false">D3240*E3240</f>
        <v>67.76</v>
      </c>
      <c r="G3240" s="7" t="n">
        <v>448</v>
      </c>
      <c r="H3240" s="9" t="n">
        <f aca="false">IF(G3240&gt;0,D3240/G3240,"")</f>
        <v>4.23660714285714</v>
      </c>
      <c r="I3240" s="10" t="n">
        <v>46182</v>
      </c>
      <c r="J3240" s="3" t="s">
        <v>2716</v>
      </c>
      <c r="K3240" s="10" t="n">
        <v>46160</v>
      </c>
      <c r="L3240" s="3" t="s">
        <v>16</v>
      </c>
      <c r="M3240" s="7" t="n">
        <v>1990</v>
      </c>
      <c r="N3240" s="8" t="n">
        <v>0.0357</v>
      </c>
      <c r="O3240" s="4" t="n">
        <f aca="false">M3240*N3240</f>
        <v>71.043</v>
      </c>
    </row>
    <row r="3241" customFormat="false" ht="15" hidden="false" customHeight="false" outlineLevel="0" collapsed="false">
      <c r="A3241" s="0" t="s">
        <v>4592</v>
      </c>
      <c r="C3241" s="0" t="s">
        <v>31</v>
      </c>
      <c r="D3241" s="7" t="n">
        <v>15379</v>
      </c>
      <c r="E3241" s="8" t="n">
        <v>0.00440340724364393</v>
      </c>
      <c r="F3241" s="4" t="n">
        <f aca="false">D3241*E3241</f>
        <v>67.72</v>
      </c>
      <c r="G3241" s="7" t="n">
        <v>783</v>
      </c>
      <c r="H3241" s="9" t="n">
        <f aca="false">IF(G3241&gt;0,D3241/G3241,"")</f>
        <v>19.6411238825032</v>
      </c>
      <c r="I3241" s="10" t="n">
        <v>46304</v>
      </c>
      <c r="K3241" s="10"/>
      <c r="M3241" s="7"/>
      <c r="N3241" s="8"/>
      <c r="O3241" s="4"/>
    </row>
    <row r="3242" customFormat="false" ht="15" hidden="false" customHeight="false" outlineLevel="0" collapsed="false">
      <c r="A3242" s="0" t="s">
        <v>4593</v>
      </c>
      <c r="C3242" s="0" t="s">
        <v>298</v>
      </c>
      <c r="D3242" s="7" t="n">
        <v>327</v>
      </c>
      <c r="E3242" s="8" t="n">
        <v>0.206819571865443</v>
      </c>
      <c r="F3242" s="4" t="n">
        <f aca="false">D3242*E3242</f>
        <v>67.63</v>
      </c>
      <c r="G3242" s="7" t="n">
        <v>77</v>
      </c>
      <c r="H3242" s="9" t="n">
        <f aca="false">IF(G3242&gt;0,D3242/G3242,"")</f>
        <v>4.24675324675325</v>
      </c>
      <c r="I3242" s="10" t="n">
        <v>46315</v>
      </c>
      <c r="J3242" s="3" t="s">
        <v>1955</v>
      </c>
      <c r="K3242" s="10" t="n">
        <v>46268</v>
      </c>
      <c r="L3242" s="3" t="s">
        <v>16</v>
      </c>
      <c r="M3242" s="7" t="n">
        <v>250</v>
      </c>
      <c r="N3242" s="8" t="n">
        <v>0.2251</v>
      </c>
      <c r="O3242" s="4" t="n">
        <f aca="false">M3242*N3242</f>
        <v>56.275</v>
      </c>
    </row>
    <row r="3243" customFormat="false" ht="15" hidden="false" customHeight="false" outlineLevel="0" collapsed="false">
      <c r="A3243" s="0" t="s">
        <v>4594</v>
      </c>
      <c r="C3243" s="0" t="s">
        <v>765</v>
      </c>
      <c r="D3243" s="7" t="n">
        <v>39</v>
      </c>
      <c r="E3243" s="8" t="n">
        <v>1.73384615384615</v>
      </c>
      <c r="F3243" s="4" t="n">
        <f aca="false">D3243*E3243</f>
        <v>67.62</v>
      </c>
      <c r="G3243" s="7" t="n">
        <v>11</v>
      </c>
      <c r="H3243" s="9" t="n">
        <f aca="false">IF(G3243&gt;0,D3243/G3243,"")</f>
        <v>3.54545454545455</v>
      </c>
      <c r="I3243" s="10" t="n">
        <v>46104</v>
      </c>
      <c r="J3243" s="3" t="s">
        <v>3165</v>
      </c>
      <c r="K3243" s="10" t="n">
        <v>46094</v>
      </c>
      <c r="L3243" s="3" t="s">
        <v>14</v>
      </c>
      <c r="M3243" s="7" t="n">
        <v>50</v>
      </c>
      <c r="N3243" s="8" t="n">
        <v>1.7338</v>
      </c>
      <c r="O3243" s="4" t="n">
        <f aca="false">M3243*N3243</f>
        <v>86.69</v>
      </c>
    </row>
    <row r="3244" customFormat="false" ht="15" hidden="false" customHeight="false" outlineLevel="0" collapsed="false">
      <c r="A3244" s="0" t="s">
        <v>4595</v>
      </c>
      <c r="C3244" s="0" t="s">
        <v>1010</v>
      </c>
      <c r="D3244" s="7" t="n">
        <v>504</v>
      </c>
      <c r="E3244" s="8" t="n">
        <v>0.134166666666667</v>
      </c>
      <c r="F3244" s="4" t="n">
        <f aca="false">D3244*E3244</f>
        <v>67.62</v>
      </c>
      <c r="G3244" s="7" t="n">
        <v>10</v>
      </c>
      <c r="H3244" s="9" t="n">
        <f aca="false">IF(G3244&gt;0,D3244/G3244,"")</f>
        <v>50.4</v>
      </c>
      <c r="I3244" s="10" t="n">
        <v>46111</v>
      </c>
      <c r="J3244" s="3" t="s">
        <v>628</v>
      </c>
      <c r="K3244" s="10" t="n">
        <v>46128</v>
      </c>
      <c r="L3244" s="3" t="s">
        <v>16</v>
      </c>
      <c r="M3244" s="7" t="n">
        <v>450</v>
      </c>
      <c r="N3244" s="8" t="n">
        <v>0.1346</v>
      </c>
      <c r="O3244" s="4" t="n">
        <f aca="false">M3244*N3244</f>
        <v>60.57</v>
      </c>
    </row>
    <row r="3245" customFormat="false" ht="15" hidden="false" customHeight="false" outlineLevel="0" collapsed="false">
      <c r="A3245" s="0" t="s">
        <v>4596</v>
      </c>
      <c r="C3245" s="0" t="s">
        <v>285</v>
      </c>
      <c r="D3245" s="7" t="n">
        <v>4420</v>
      </c>
      <c r="E3245" s="8" t="n">
        <v>0.0152805429864253</v>
      </c>
      <c r="F3245" s="4" t="n">
        <f aca="false">D3245*E3245</f>
        <v>67.54</v>
      </c>
      <c r="G3245" s="7" t="n">
        <v>4000</v>
      </c>
      <c r="H3245" s="9" t="n">
        <f aca="false">IF(G3245&gt;0,D3245/G3245,"")</f>
        <v>1.105</v>
      </c>
      <c r="I3245" s="10" t="n">
        <v>46196</v>
      </c>
      <c r="J3245" s="3" t="s">
        <v>1751</v>
      </c>
      <c r="K3245" s="10" t="n">
        <v>45748</v>
      </c>
      <c r="L3245" s="3" t="s">
        <v>26</v>
      </c>
      <c r="M3245" s="7" t="n">
        <v>2000</v>
      </c>
      <c r="N3245" s="8" t="n">
        <v>0.0347</v>
      </c>
      <c r="O3245" s="4" t="n">
        <f aca="false">M3245*N3245</f>
        <v>69.4</v>
      </c>
    </row>
    <row r="3246" customFormat="false" ht="15" hidden="false" customHeight="false" outlineLevel="0" collapsed="false">
      <c r="A3246" s="0" t="s">
        <v>4597</v>
      </c>
      <c r="C3246" s="0" t="s">
        <v>34</v>
      </c>
      <c r="D3246" s="7" t="n">
        <v>2814</v>
      </c>
      <c r="E3246" s="8" t="n">
        <v>0.023997867803838</v>
      </c>
      <c r="F3246" s="4" t="n">
        <f aca="false">D3246*E3246</f>
        <v>67.53</v>
      </c>
      <c r="G3246" s="7" t="n">
        <v>36</v>
      </c>
      <c r="H3246" s="9" t="n">
        <f aca="false">IF(G3246&gt;0,D3246/G3246,"")</f>
        <v>78.1666666666667</v>
      </c>
      <c r="I3246" s="10" t="n">
        <v>45971</v>
      </c>
      <c r="J3246" s="3" t="s">
        <v>4598</v>
      </c>
      <c r="K3246" s="10" t="n">
        <v>45958</v>
      </c>
      <c r="L3246" s="3" t="s">
        <v>19</v>
      </c>
      <c r="M3246" s="7" t="n">
        <v>250</v>
      </c>
      <c r="N3246" s="8" t="n">
        <v>0.08</v>
      </c>
      <c r="O3246" s="4" t="n">
        <f aca="false">M3246*N3246</f>
        <v>20</v>
      </c>
    </row>
    <row r="3247" customFormat="false" ht="15" hidden="false" customHeight="false" outlineLevel="0" collapsed="false">
      <c r="A3247" s="0" t="s">
        <v>4599</v>
      </c>
      <c r="C3247" s="0" t="s">
        <v>34</v>
      </c>
      <c r="D3247" s="7" t="n">
        <v>9379</v>
      </c>
      <c r="E3247" s="8" t="n">
        <v>0.00720012794540996</v>
      </c>
      <c r="F3247" s="4" t="n">
        <f aca="false">D3247*E3247</f>
        <v>67.53</v>
      </c>
      <c r="G3247" s="7" t="n">
        <v>625</v>
      </c>
      <c r="H3247" s="9" t="n">
        <f aca="false">IF(G3247&gt;0,D3247/G3247,"")</f>
        <v>15.0064</v>
      </c>
      <c r="I3247" s="10" t="n">
        <v>46295</v>
      </c>
      <c r="J3247" s="3" t="s">
        <v>1011</v>
      </c>
      <c r="K3247" s="10" t="n">
        <v>46003</v>
      </c>
      <c r="L3247" s="3" t="s">
        <v>16</v>
      </c>
      <c r="M3247" s="7" t="n">
        <v>10000</v>
      </c>
      <c r="N3247" s="8" t="n">
        <v>0.0072</v>
      </c>
      <c r="O3247" s="4" t="n">
        <f aca="false">M3247*N3247</f>
        <v>72</v>
      </c>
    </row>
    <row r="3248" customFormat="false" ht="15" hidden="false" customHeight="false" outlineLevel="0" collapsed="false">
      <c r="A3248" s="0" t="s">
        <v>4600</v>
      </c>
      <c r="C3248" s="0" t="s">
        <v>31</v>
      </c>
      <c r="D3248" s="7" t="n">
        <v>15999</v>
      </c>
      <c r="E3248" s="8" t="n">
        <v>0.00421776361022564</v>
      </c>
      <c r="F3248" s="4" t="n">
        <f aca="false">D3248*E3248</f>
        <v>67.48</v>
      </c>
      <c r="G3248" s="7" t="n">
        <v>6505</v>
      </c>
      <c r="H3248" s="9" t="n">
        <f aca="false">IF(G3248&gt;0,D3248/G3248,"")</f>
        <v>2.45949269792467</v>
      </c>
      <c r="I3248" s="10" t="n">
        <v>46317</v>
      </c>
      <c r="J3248" s="3" t="s">
        <v>1955</v>
      </c>
      <c r="K3248" s="10" t="n">
        <v>46268</v>
      </c>
      <c r="L3248" s="3" t="s">
        <v>16</v>
      </c>
      <c r="M3248" s="7" t="n">
        <v>15635</v>
      </c>
      <c r="N3248" s="8" t="n">
        <v>0.0041</v>
      </c>
      <c r="O3248" s="4" t="n">
        <f aca="false">M3248*N3248</f>
        <v>64.1035</v>
      </c>
    </row>
    <row r="3249" customFormat="false" ht="15" hidden="false" customHeight="false" outlineLevel="0" collapsed="false">
      <c r="A3249" s="0" t="s">
        <v>4601</v>
      </c>
      <c r="C3249" s="0" t="s">
        <v>38</v>
      </c>
      <c r="D3249" s="7" t="n">
        <v>522</v>
      </c>
      <c r="E3249" s="8" t="n">
        <v>0.129252873563218</v>
      </c>
      <c r="F3249" s="4" t="n">
        <f aca="false">D3249*E3249</f>
        <v>67.47</v>
      </c>
      <c r="G3249" s="7" t="n">
        <v>388</v>
      </c>
      <c r="H3249" s="9" t="n">
        <f aca="false">IF(G3249&gt;0,D3249/G3249,"")</f>
        <v>1.34536082474227</v>
      </c>
      <c r="I3249" s="10" t="n">
        <v>46279</v>
      </c>
      <c r="J3249" s="3" t="s">
        <v>4602</v>
      </c>
      <c r="K3249" s="10" t="n">
        <v>44383</v>
      </c>
      <c r="L3249" s="3" t="s">
        <v>465</v>
      </c>
      <c r="M3249" s="7" t="n">
        <v>1500</v>
      </c>
      <c r="N3249" s="8" t="n">
        <v>0.1293</v>
      </c>
      <c r="O3249" s="4" t="n">
        <f aca="false">M3249*N3249</f>
        <v>193.95</v>
      </c>
    </row>
    <row r="3250" customFormat="false" ht="15" hidden="false" customHeight="false" outlineLevel="0" collapsed="false">
      <c r="A3250" s="0" t="s">
        <v>4603</v>
      </c>
      <c r="D3250" s="7" t="n">
        <v>103</v>
      </c>
      <c r="E3250" s="8" t="n">
        <v>0.654757281553398</v>
      </c>
      <c r="F3250" s="4" t="n">
        <f aca="false">D3250*E3250</f>
        <v>67.44</v>
      </c>
      <c r="G3250" s="7" t="n">
        <v>10</v>
      </c>
      <c r="H3250" s="9" t="n">
        <f aca="false">IF(G3250&gt;0,D3250/G3250,"")</f>
        <v>10.3</v>
      </c>
      <c r="I3250" s="10" t="n">
        <v>46010</v>
      </c>
      <c r="K3250" s="10"/>
      <c r="M3250" s="7"/>
      <c r="N3250" s="8"/>
      <c r="O3250" s="4"/>
    </row>
    <row r="3251" customFormat="false" ht="15" hidden="false" customHeight="false" outlineLevel="0" collapsed="false">
      <c r="A3251" s="0" t="s">
        <v>4604</v>
      </c>
      <c r="C3251" s="0" t="s">
        <v>36</v>
      </c>
      <c r="D3251" s="7" t="n">
        <v>27736</v>
      </c>
      <c r="E3251" s="8" t="n">
        <v>0.0024304153446784</v>
      </c>
      <c r="F3251" s="4" t="n">
        <f aca="false">D3251*E3251</f>
        <v>67.41</v>
      </c>
      <c r="G3251" s="7" t="n">
        <v>100</v>
      </c>
      <c r="H3251" s="9" t="n">
        <f aca="false">IF(G3251&gt;0,D3251/G3251,"")</f>
        <v>277.36</v>
      </c>
      <c r="I3251" s="10" t="n">
        <v>46111</v>
      </c>
      <c r="K3251" s="10"/>
      <c r="M3251" s="7"/>
      <c r="N3251" s="8"/>
      <c r="O3251" s="4"/>
    </row>
    <row r="3252" customFormat="false" ht="15" hidden="false" customHeight="false" outlineLevel="0" collapsed="false">
      <c r="A3252" s="0" t="s">
        <v>4605</v>
      </c>
      <c r="C3252" s="0" t="s">
        <v>370</v>
      </c>
      <c r="D3252" s="7" t="n">
        <v>535</v>
      </c>
      <c r="E3252" s="8" t="n">
        <v>0.126</v>
      </c>
      <c r="F3252" s="4" t="n">
        <f aca="false">D3252*E3252</f>
        <v>67.41</v>
      </c>
      <c r="G3252" s="7" t="n">
        <v>155</v>
      </c>
      <c r="H3252" s="9" t="n">
        <f aca="false">IF(G3252&gt;0,D3252/G3252,"")</f>
        <v>3.45161290322581</v>
      </c>
      <c r="I3252" s="10" t="n">
        <v>46281</v>
      </c>
      <c r="J3252" s="3" t="s">
        <v>1192</v>
      </c>
      <c r="K3252" s="10" t="n">
        <v>45736</v>
      </c>
      <c r="L3252" s="3" t="s">
        <v>26</v>
      </c>
      <c r="M3252" s="7" t="n">
        <v>26</v>
      </c>
      <c r="N3252" s="8" t="n">
        <v>0.378</v>
      </c>
      <c r="O3252" s="4" t="n">
        <f aca="false">M3252*N3252</f>
        <v>9.828</v>
      </c>
    </row>
    <row r="3253" customFormat="false" ht="15" hidden="false" customHeight="false" outlineLevel="0" collapsed="false">
      <c r="A3253" s="0" t="s">
        <v>4606</v>
      </c>
      <c r="C3253" s="0" t="s">
        <v>33</v>
      </c>
      <c r="D3253" s="7" t="n">
        <v>14191</v>
      </c>
      <c r="E3253" s="8" t="n">
        <v>0.00475019378479318</v>
      </c>
      <c r="F3253" s="4" t="n">
        <f aca="false">D3253*E3253</f>
        <v>67.41</v>
      </c>
      <c r="G3253" s="7" t="n">
        <v>8790</v>
      </c>
      <c r="H3253" s="9" t="n">
        <f aca="false">IF(G3253&gt;0,D3253/G3253,"")</f>
        <v>1.61444823663254</v>
      </c>
      <c r="I3253" s="10" t="n">
        <v>46261</v>
      </c>
      <c r="K3253" s="10"/>
      <c r="M3253" s="7"/>
      <c r="N3253" s="8"/>
      <c r="O3253" s="4"/>
    </row>
    <row r="3254" customFormat="false" ht="15" hidden="false" customHeight="false" outlineLevel="0" collapsed="false">
      <c r="A3254" s="0" t="s">
        <v>4607</v>
      </c>
      <c r="C3254" s="0" t="s">
        <v>31</v>
      </c>
      <c r="D3254" s="7" t="n">
        <v>5007</v>
      </c>
      <c r="E3254" s="8" t="n">
        <v>0.0134591571799481</v>
      </c>
      <c r="F3254" s="4" t="n">
        <f aca="false">D3254*E3254</f>
        <v>67.39</v>
      </c>
      <c r="G3254" s="7" t="n">
        <v>285</v>
      </c>
      <c r="H3254" s="9" t="n">
        <f aca="false">IF(G3254&gt;0,D3254/G3254,"")</f>
        <v>17.5684210526316</v>
      </c>
      <c r="I3254" s="10" t="n">
        <v>46192</v>
      </c>
      <c r="J3254" s="3" t="s">
        <v>90</v>
      </c>
      <c r="K3254" s="10" t="n">
        <v>46055</v>
      </c>
      <c r="L3254" s="3" t="s">
        <v>16</v>
      </c>
      <c r="M3254" s="7" t="n">
        <v>5239</v>
      </c>
      <c r="N3254" s="8" t="n">
        <v>0.0134</v>
      </c>
      <c r="O3254" s="4" t="n">
        <f aca="false">M3254*N3254</f>
        <v>70.2026</v>
      </c>
    </row>
    <row r="3255" customFormat="false" ht="15" hidden="false" customHeight="false" outlineLevel="0" collapsed="false">
      <c r="A3255" s="0" t="s">
        <v>4608</v>
      </c>
      <c r="C3255" s="0" t="s">
        <v>31</v>
      </c>
      <c r="D3255" s="7" t="n">
        <v>2808</v>
      </c>
      <c r="E3255" s="8" t="n">
        <v>0.0239992877492878</v>
      </c>
      <c r="F3255" s="4" t="n">
        <f aca="false">D3255*E3255</f>
        <v>67.39</v>
      </c>
      <c r="G3255" s="7" t="n">
        <v>1630</v>
      </c>
      <c r="H3255" s="9" t="n">
        <f aca="false">IF(G3255&gt;0,D3255/G3255,"")</f>
        <v>1.72269938650307</v>
      </c>
      <c r="I3255" s="10" t="n">
        <v>46293</v>
      </c>
      <c r="J3255" s="3" t="s">
        <v>3351</v>
      </c>
      <c r="K3255" s="10" t="n">
        <v>45358</v>
      </c>
      <c r="L3255" s="3" t="s">
        <v>16</v>
      </c>
      <c r="M3255" s="7" t="n">
        <v>5000</v>
      </c>
      <c r="N3255" s="8" t="n">
        <v>0.024</v>
      </c>
      <c r="O3255" s="4" t="n">
        <f aca="false">M3255*N3255</f>
        <v>120</v>
      </c>
    </row>
    <row r="3256" customFormat="false" ht="15" hidden="false" customHeight="false" outlineLevel="0" collapsed="false">
      <c r="A3256" s="0" t="s">
        <v>4609</v>
      </c>
      <c r="C3256" s="0" t="s">
        <v>298</v>
      </c>
      <c r="D3256" s="7" t="n">
        <v>2317</v>
      </c>
      <c r="E3256" s="8" t="n">
        <v>0.0290720759602935</v>
      </c>
      <c r="F3256" s="4" t="n">
        <f aca="false">D3256*E3256</f>
        <v>67.36</v>
      </c>
      <c r="G3256" s="7" t="n">
        <v>743</v>
      </c>
      <c r="H3256" s="9" t="n">
        <f aca="false">IF(G3256&gt;0,D3256/G3256,"")</f>
        <v>3.11843876177658</v>
      </c>
      <c r="I3256" s="10" t="n">
        <v>46255</v>
      </c>
      <c r="J3256" s="3" t="s">
        <v>1396</v>
      </c>
      <c r="K3256" s="10" t="n">
        <v>45398</v>
      </c>
      <c r="L3256" s="3" t="s">
        <v>15</v>
      </c>
      <c r="M3256" s="7" t="n">
        <v>3500</v>
      </c>
      <c r="N3256" s="8" t="n">
        <v>0.02907</v>
      </c>
      <c r="O3256" s="4" t="n">
        <f aca="false">M3256*N3256</f>
        <v>101.745</v>
      </c>
    </row>
    <row r="3257" customFormat="false" ht="15" hidden="false" customHeight="false" outlineLevel="0" collapsed="false">
      <c r="A3257" s="0" t="s">
        <v>4610</v>
      </c>
      <c r="C3257" s="0" t="s">
        <v>31</v>
      </c>
      <c r="D3257" s="7" t="n">
        <v>4107</v>
      </c>
      <c r="E3257" s="8" t="n">
        <v>0.0163988312636961</v>
      </c>
      <c r="F3257" s="4" t="n">
        <f aca="false">D3257*E3257</f>
        <v>67.35</v>
      </c>
      <c r="G3257" s="7" t="n">
        <v>216</v>
      </c>
      <c r="H3257" s="9" t="n">
        <f aca="false">IF(G3257&gt;0,D3257/G3257,"")</f>
        <v>19.0138888888889</v>
      </c>
      <c r="I3257" s="10" t="n">
        <v>46304</v>
      </c>
      <c r="J3257" s="3" t="s">
        <v>2385</v>
      </c>
      <c r="K3257" s="10" t="n">
        <v>45629</v>
      </c>
      <c r="L3257" s="3" t="s">
        <v>16</v>
      </c>
      <c r="M3257" s="7" t="n">
        <v>4400</v>
      </c>
      <c r="N3257" s="8" t="n">
        <v>0.0164</v>
      </c>
      <c r="O3257" s="4" t="n">
        <f aca="false">M3257*N3257</f>
        <v>72.16</v>
      </c>
    </row>
    <row r="3258" customFormat="false" ht="15" hidden="false" customHeight="false" outlineLevel="0" collapsed="false">
      <c r="A3258" s="0" t="s">
        <v>4611</v>
      </c>
      <c r="C3258" s="0" t="s">
        <v>118</v>
      </c>
      <c r="D3258" s="7" t="n">
        <v>796</v>
      </c>
      <c r="E3258" s="8" t="n">
        <v>0.0845854271356784</v>
      </c>
      <c r="F3258" s="4" t="n">
        <f aca="false">D3258*E3258</f>
        <v>67.33</v>
      </c>
      <c r="G3258" s="7" t="n">
        <v>74</v>
      </c>
      <c r="H3258" s="9" t="n">
        <f aca="false">IF(G3258&gt;0,D3258/G3258,"")</f>
        <v>10.7567567567568</v>
      </c>
      <c r="I3258" s="10" t="n">
        <v>46316</v>
      </c>
      <c r="J3258" s="3" t="s">
        <v>4612</v>
      </c>
      <c r="K3258" s="10" t="n">
        <v>44824</v>
      </c>
      <c r="L3258" s="3" t="s">
        <v>14</v>
      </c>
      <c r="M3258" s="7" t="n">
        <v>4587</v>
      </c>
      <c r="N3258" s="8" t="n">
        <v>0.262</v>
      </c>
      <c r="O3258" s="4" t="n">
        <f aca="false">M3258*N3258</f>
        <v>1201.794</v>
      </c>
    </row>
    <row r="3259" customFormat="false" ht="15" hidden="false" customHeight="false" outlineLevel="0" collapsed="false">
      <c r="A3259" s="0" t="s">
        <v>4613</v>
      </c>
      <c r="C3259" s="0" t="s">
        <v>34</v>
      </c>
      <c r="D3259" s="7" t="n">
        <v>5004</v>
      </c>
      <c r="E3259" s="8" t="n">
        <v>0.013449240607514</v>
      </c>
      <c r="F3259" s="4" t="n">
        <f aca="false">D3259*E3259</f>
        <v>67.3</v>
      </c>
      <c r="G3259" s="7" t="n">
        <v>4189</v>
      </c>
      <c r="H3259" s="9" t="n">
        <f aca="false">IF(G3259&gt;0,D3259/G3259,"")</f>
        <v>1.19455717354977</v>
      </c>
      <c r="I3259" s="10" t="n">
        <v>46304</v>
      </c>
      <c r="K3259" s="10"/>
      <c r="M3259" s="7"/>
      <c r="N3259" s="8"/>
      <c r="O3259" s="4"/>
    </row>
    <row r="3260" customFormat="false" ht="15" hidden="false" customHeight="false" outlineLevel="0" collapsed="false">
      <c r="A3260" s="0" t="s">
        <v>4614</v>
      </c>
      <c r="C3260" s="0" t="s">
        <v>33</v>
      </c>
      <c r="D3260" s="7" t="n">
        <v>71</v>
      </c>
      <c r="E3260" s="8" t="n">
        <v>0.94774647887324</v>
      </c>
      <c r="F3260" s="4" t="n">
        <f aca="false">D3260*E3260</f>
        <v>67.29</v>
      </c>
      <c r="G3260" s="7" t="n">
        <v>39</v>
      </c>
      <c r="H3260" s="9" t="n">
        <f aca="false">IF(G3260&gt;0,D3260/G3260,"")</f>
        <v>1.82051282051282</v>
      </c>
      <c r="I3260" s="10" t="n">
        <v>46218</v>
      </c>
      <c r="J3260" s="3" t="s">
        <v>3583</v>
      </c>
      <c r="K3260" s="10" t="n">
        <v>46106</v>
      </c>
      <c r="L3260" s="3" t="s">
        <v>18</v>
      </c>
      <c r="M3260" s="7" t="n">
        <v>100</v>
      </c>
      <c r="N3260" s="8" t="n">
        <v>0.9478</v>
      </c>
      <c r="O3260" s="4" t="n">
        <f aca="false">M3260*N3260</f>
        <v>94.78</v>
      </c>
    </row>
    <row r="3261" customFormat="false" ht="15" hidden="false" customHeight="false" outlineLevel="0" collapsed="false">
      <c r="A3261" s="0" t="s">
        <v>4615</v>
      </c>
      <c r="C3261" s="0" t="s">
        <v>34</v>
      </c>
      <c r="D3261" s="7" t="n">
        <v>3589</v>
      </c>
      <c r="E3261" s="8" t="n">
        <v>0.0187378099749234</v>
      </c>
      <c r="F3261" s="4" t="n">
        <f aca="false">D3261*E3261</f>
        <v>67.25</v>
      </c>
      <c r="G3261" s="7" t="n">
        <v>1561</v>
      </c>
      <c r="H3261" s="9" t="n">
        <f aca="false">IF(G3261&gt;0,D3261/G3261,"")</f>
        <v>2.29916720051249</v>
      </c>
      <c r="I3261" s="10" t="n">
        <v>46280</v>
      </c>
      <c r="J3261" s="3" t="s">
        <v>1480</v>
      </c>
      <c r="K3261" s="10" t="n">
        <v>46121</v>
      </c>
      <c r="L3261" s="3" t="s">
        <v>16</v>
      </c>
      <c r="M3261" s="7" t="n">
        <v>5000</v>
      </c>
      <c r="N3261" s="8" t="n">
        <v>0.0187</v>
      </c>
      <c r="O3261" s="4" t="n">
        <f aca="false">M3261*N3261</f>
        <v>93.5</v>
      </c>
    </row>
    <row r="3262" customFormat="false" ht="15" hidden="false" customHeight="false" outlineLevel="0" collapsed="false">
      <c r="A3262" s="0" t="s">
        <v>4616</v>
      </c>
      <c r="C3262" s="0" t="s">
        <v>855</v>
      </c>
      <c r="D3262" s="7" t="n">
        <v>4512</v>
      </c>
      <c r="E3262" s="8" t="n">
        <v>0.0148980496453901</v>
      </c>
      <c r="F3262" s="4" t="n">
        <f aca="false">D3262*E3262</f>
        <v>67.22</v>
      </c>
      <c r="G3262" s="7" t="n">
        <v>92</v>
      </c>
      <c r="H3262" s="9" t="n">
        <f aca="false">IF(G3262&gt;0,D3262/G3262,"")</f>
        <v>49.0434782608696</v>
      </c>
      <c r="I3262" s="10" t="n">
        <v>46195</v>
      </c>
      <c r="K3262" s="10"/>
      <c r="M3262" s="7"/>
      <c r="N3262" s="8"/>
      <c r="O3262" s="4"/>
    </row>
    <row r="3263" customFormat="false" ht="15" hidden="false" customHeight="false" outlineLevel="0" collapsed="false">
      <c r="A3263" s="0" t="s">
        <v>4617</v>
      </c>
      <c r="C3263" s="0" t="s">
        <v>765</v>
      </c>
      <c r="D3263" s="7" t="n">
        <v>2974</v>
      </c>
      <c r="E3263" s="8" t="n">
        <v>0.0225991930060525</v>
      </c>
      <c r="F3263" s="4" t="n">
        <f aca="false">D3263*E3263</f>
        <v>67.21</v>
      </c>
      <c r="G3263" s="7" t="n">
        <v>23</v>
      </c>
      <c r="H3263" s="9" t="n">
        <f aca="false">IF(G3263&gt;0,D3263/G3263,"")</f>
        <v>129.304347826087</v>
      </c>
      <c r="I3263" s="10" t="n">
        <v>46111</v>
      </c>
      <c r="J3263" s="3" t="s">
        <v>2914</v>
      </c>
      <c r="K3263" s="10" t="n">
        <v>45562</v>
      </c>
      <c r="L3263" s="3" t="s">
        <v>16</v>
      </c>
      <c r="M3263" s="7" t="n">
        <v>3011</v>
      </c>
      <c r="N3263" s="8" t="n">
        <v>0.0226</v>
      </c>
      <c r="O3263" s="4" t="n">
        <f aca="false">M3263*N3263</f>
        <v>68.0486</v>
      </c>
    </row>
    <row r="3264" customFormat="false" ht="15" hidden="false" customHeight="false" outlineLevel="0" collapsed="false">
      <c r="A3264" s="0" t="s">
        <v>4618</v>
      </c>
      <c r="C3264" s="0" t="s">
        <v>39</v>
      </c>
      <c r="D3264" s="7" t="n">
        <v>497</v>
      </c>
      <c r="E3264" s="8" t="n">
        <v>0.135211267605634</v>
      </c>
      <c r="F3264" s="4" t="n">
        <f aca="false">D3264*E3264</f>
        <v>67.2</v>
      </c>
      <c r="G3264" s="7" t="n">
        <v>157</v>
      </c>
      <c r="H3264" s="9" t="n">
        <f aca="false">IF(G3264&gt;0,D3264/G3264,"")</f>
        <v>3.1656050955414</v>
      </c>
      <c r="I3264" s="10" t="n">
        <v>46308</v>
      </c>
      <c r="J3264" s="3" t="s">
        <v>4578</v>
      </c>
      <c r="K3264" s="10" t="n">
        <v>45272</v>
      </c>
      <c r="L3264" s="3" t="s">
        <v>18</v>
      </c>
      <c r="M3264" s="7" t="n">
        <v>700</v>
      </c>
      <c r="N3264" s="8" t="n">
        <v>0.1352</v>
      </c>
      <c r="O3264" s="4" t="n">
        <f aca="false">M3264*N3264</f>
        <v>94.64</v>
      </c>
    </row>
    <row r="3265" customFormat="false" ht="15" hidden="false" customHeight="false" outlineLevel="0" collapsed="false">
      <c r="A3265" s="0" t="s">
        <v>4619</v>
      </c>
      <c r="C3265" s="0" t="s">
        <v>39</v>
      </c>
      <c r="D3265" s="7" t="n">
        <v>280</v>
      </c>
      <c r="E3265" s="8" t="n">
        <v>0.239678571428571</v>
      </c>
      <c r="F3265" s="4" t="n">
        <f aca="false">D3265*E3265</f>
        <v>67.11</v>
      </c>
      <c r="G3265" s="7" t="n">
        <v>50</v>
      </c>
      <c r="H3265" s="9" t="n">
        <f aca="false">IF(G3265&gt;0,D3265/G3265,"")</f>
        <v>5.6</v>
      </c>
      <c r="I3265" s="10" t="n">
        <v>46238</v>
      </c>
      <c r="J3265" s="3" t="s">
        <v>4620</v>
      </c>
      <c r="K3265" s="10" t="n">
        <v>45929</v>
      </c>
      <c r="L3265" s="3" t="s">
        <v>18</v>
      </c>
      <c r="M3265" s="7" t="n">
        <v>330</v>
      </c>
      <c r="N3265" s="8" t="n">
        <v>0.2397</v>
      </c>
      <c r="O3265" s="4" t="n">
        <f aca="false">M3265*N3265</f>
        <v>79.101</v>
      </c>
    </row>
    <row r="3266" customFormat="false" ht="15" hidden="false" customHeight="false" outlineLevel="0" collapsed="false">
      <c r="A3266" s="0" t="s">
        <v>4621</v>
      </c>
      <c r="C3266" s="0" t="s">
        <v>41</v>
      </c>
      <c r="D3266" s="7" t="n">
        <v>13124</v>
      </c>
      <c r="E3266" s="8" t="n">
        <v>0.00511200853398354</v>
      </c>
      <c r="F3266" s="4" t="n">
        <f aca="false">D3266*E3266</f>
        <v>67.09</v>
      </c>
      <c r="G3266" s="7" t="n">
        <v>385</v>
      </c>
      <c r="H3266" s="9" t="n">
        <f aca="false">IF(G3266&gt;0,D3266/G3266,"")</f>
        <v>34.0883116883117</v>
      </c>
      <c r="I3266" s="10" t="n">
        <v>46295</v>
      </c>
      <c r="J3266" s="3" t="s">
        <v>2385</v>
      </c>
      <c r="K3266" s="10" t="n">
        <v>45629</v>
      </c>
      <c r="L3266" s="3" t="s">
        <v>16</v>
      </c>
      <c r="M3266" s="7" t="n">
        <v>13750</v>
      </c>
      <c r="N3266" s="8" t="n">
        <v>0.0051</v>
      </c>
      <c r="O3266" s="4" t="n">
        <f aca="false">M3266*N3266</f>
        <v>70.125</v>
      </c>
    </row>
    <row r="3267" customFormat="false" ht="15" hidden="false" customHeight="false" outlineLevel="0" collapsed="false">
      <c r="A3267" s="0" t="s">
        <v>4622</v>
      </c>
      <c r="C3267" s="0" t="s">
        <v>2569</v>
      </c>
      <c r="D3267" s="7" t="n">
        <v>50</v>
      </c>
      <c r="E3267" s="8" t="n">
        <v>1.3416</v>
      </c>
      <c r="F3267" s="4" t="n">
        <f aca="false">D3267*E3267</f>
        <v>67.08</v>
      </c>
      <c r="G3267" s="7" t="n">
        <v>8</v>
      </c>
      <c r="H3267" s="9" t="n">
        <f aca="false">IF(G3267&gt;0,D3267/G3267,"")</f>
        <v>6.25</v>
      </c>
      <c r="I3267" s="10" t="n">
        <v>46156</v>
      </c>
      <c r="J3267" s="3" t="s">
        <v>680</v>
      </c>
      <c r="K3267" s="10" t="n">
        <v>46240</v>
      </c>
      <c r="L3267" s="3" t="s">
        <v>14</v>
      </c>
      <c r="M3267" s="7" t="n">
        <v>50</v>
      </c>
      <c r="N3267" s="8" t="n">
        <v>1.3416</v>
      </c>
      <c r="O3267" s="4" t="n">
        <f aca="false">M3267*N3267</f>
        <v>67.08</v>
      </c>
    </row>
    <row r="3268" customFormat="false" ht="15" hidden="false" customHeight="false" outlineLevel="0" collapsed="false">
      <c r="A3268" s="0" t="s">
        <v>4623</v>
      </c>
      <c r="C3268" s="0" t="s">
        <v>31</v>
      </c>
      <c r="D3268" s="7" t="n">
        <v>2864</v>
      </c>
      <c r="E3268" s="8" t="n">
        <v>0.0234148044692737</v>
      </c>
      <c r="F3268" s="4" t="n">
        <f aca="false">D3268*E3268</f>
        <v>67.06</v>
      </c>
      <c r="G3268" s="7" t="n">
        <v>30</v>
      </c>
      <c r="H3268" s="9" t="n">
        <f aca="false">IF(G3268&gt;0,D3268/G3268,"")</f>
        <v>95.4666666666667</v>
      </c>
      <c r="I3268" s="10" t="n">
        <v>46107</v>
      </c>
      <c r="J3268" s="3" t="s">
        <v>2719</v>
      </c>
      <c r="K3268" s="10" t="n">
        <v>46049</v>
      </c>
      <c r="L3268" s="3" t="s">
        <v>16</v>
      </c>
      <c r="M3268" s="7" t="n">
        <v>2891</v>
      </c>
      <c r="N3268" s="8" t="n">
        <v>0.0234</v>
      </c>
      <c r="O3268" s="4" t="n">
        <f aca="false">M3268*N3268</f>
        <v>67.6494</v>
      </c>
    </row>
    <row r="3269" customFormat="false" ht="15" hidden="false" customHeight="false" outlineLevel="0" collapsed="false">
      <c r="A3269" s="0" t="s">
        <v>4624</v>
      </c>
      <c r="C3269" s="0" t="s">
        <v>285</v>
      </c>
      <c r="D3269" s="7" t="n">
        <v>838</v>
      </c>
      <c r="E3269" s="8" t="n">
        <v>0.08</v>
      </c>
      <c r="F3269" s="4" t="n">
        <f aca="false">D3269*E3269</f>
        <v>67.04</v>
      </c>
      <c r="G3269" s="7" t="n">
        <v>455</v>
      </c>
      <c r="H3269" s="9" t="n">
        <f aca="false">IF(G3269&gt;0,D3269/G3269,"")</f>
        <v>1.84175824175824</v>
      </c>
      <c r="I3269" s="10" t="n">
        <v>46289</v>
      </c>
      <c r="K3269" s="10"/>
      <c r="M3269" s="7"/>
      <c r="N3269" s="8"/>
      <c r="O3269" s="4"/>
    </row>
    <row r="3270" customFormat="false" ht="15" hidden="false" customHeight="false" outlineLevel="0" collapsed="false">
      <c r="A3270" s="0" t="s">
        <v>4625</v>
      </c>
      <c r="C3270" s="0" t="s">
        <v>31</v>
      </c>
      <c r="D3270" s="7" t="n">
        <v>470</v>
      </c>
      <c r="E3270" s="8" t="n">
        <v>0.142595744680851</v>
      </c>
      <c r="F3270" s="4" t="n">
        <f aca="false">D3270*E3270</f>
        <v>67.02</v>
      </c>
      <c r="G3270" s="7" t="n">
        <v>150</v>
      </c>
      <c r="H3270" s="9" t="n">
        <f aca="false">IF(G3270&gt;0,D3270/G3270,"")</f>
        <v>3.13333333333333</v>
      </c>
      <c r="I3270" s="10" t="n">
        <v>46273</v>
      </c>
      <c r="J3270" s="3" t="s">
        <v>1318</v>
      </c>
      <c r="K3270" s="10" t="n">
        <v>46213</v>
      </c>
      <c r="L3270" s="3" t="s">
        <v>16</v>
      </c>
      <c r="M3270" s="7" t="n">
        <v>472</v>
      </c>
      <c r="N3270" s="8" t="n">
        <v>0.1426</v>
      </c>
      <c r="O3270" s="4" t="n">
        <f aca="false">M3270*N3270</f>
        <v>67.3072</v>
      </c>
    </row>
    <row r="3271" customFormat="false" ht="15" hidden="false" customHeight="false" outlineLevel="0" collapsed="false">
      <c r="A3271" s="0" t="s">
        <v>4626</v>
      </c>
      <c r="C3271" s="0" t="s">
        <v>765</v>
      </c>
      <c r="D3271" s="7" t="n">
        <v>846</v>
      </c>
      <c r="E3271" s="8" t="n">
        <v>0.0792080378250591</v>
      </c>
      <c r="F3271" s="4" t="n">
        <f aca="false">D3271*E3271</f>
        <v>67.01</v>
      </c>
      <c r="G3271" s="7" t="n">
        <v>9</v>
      </c>
      <c r="H3271" s="9" t="n">
        <f aca="false">IF(G3271&gt;0,D3271/G3271,"")</f>
        <v>94</v>
      </c>
      <c r="I3271" s="10" t="n">
        <v>46217</v>
      </c>
      <c r="J3271" s="3" t="s">
        <v>2385</v>
      </c>
      <c r="K3271" s="10" t="n">
        <v>45629</v>
      </c>
      <c r="L3271" s="3" t="s">
        <v>16</v>
      </c>
      <c r="M3271" s="7" t="n">
        <v>782</v>
      </c>
      <c r="N3271" s="8" t="n">
        <v>0.0633</v>
      </c>
      <c r="O3271" s="4" t="n">
        <f aca="false">M3271*N3271</f>
        <v>49.5006</v>
      </c>
    </row>
    <row r="3272" customFormat="false" ht="15" hidden="false" customHeight="false" outlineLevel="0" collapsed="false">
      <c r="A3272" s="0" t="s">
        <v>4627</v>
      </c>
      <c r="C3272" s="0" t="s">
        <v>39</v>
      </c>
      <c r="D3272" s="7" t="n">
        <v>517</v>
      </c>
      <c r="E3272" s="8" t="n">
        <v>0.129477756286267</v>
      </c>
      <c r="F3272" s="4" t="n">
        <f aca="false">D3272*E3272</f>
        <v>66.94</v>
      </c>
      <c r="G3272" s="7" t="n">
        <v>40</v>
      </c>
      <c r="H3272" s="9" t="n">
        <f aca="false">IF(G3272&gt;0,D3272/G3272,"")</f>
        <v>12.925</v>
      </c>
      <c r="I3272" s="10" t="n">
        <v>46217</v>
      </c>
      <c r="J3272" s="3" t="s">
        <v>4628</v>
      </c>
      <c r="K3272" s="10" t="n">
        <v>45545</v>
      </c>
      <c r="L3272" s="3" t="s">
        <v>18</v>
      </c>
      <c r="M3272" s="7" t="n">
        <v>720</v>
      </c>
      <c r="N3272" s="8" t="n">
        <v>0.1295</v>
      </c>
      <c r="O3272" s="4" t="n">
        <f aca="false">M3272*N3272</f>
        <v>93.24</v>
      </c>
    </row>
    <row r="3273" customFormat="false" ht="15" hidden="false" customHeight="false" outlineLevel="0" collapsed="false">
      <c r="A3273" s="0" t="s">
        <v>4629</v>
      </c>
      <c r="C3273" s="0" t="s">
        <v>1039</v>
      </c>
      <c r="D3273" s="7" t="n">
        <v>3616</v>
      </c>
      <c r="E3273" s="8" t="n">
        <v>0.0184983407079646</v>
      </c>
      <c r="F3273" s="4" t="n">
        <f aca="false">D3273*E3273</f>
        <v>66.89</v>
      </c>
      <c r="G3273" s="7" t="n">
        <v>68</v>
      </c>
      <c r="H3273" s="9" t="n">
        <f aca="false">IF(G3273&gt;0,D3273/G3273,"")</f>
        <v>53.1764705882353</v>
      </c>
      <c r="I3273" s="10" t="n">
        <v>46308</v>
      </c>
      <c r="K3273" s="10"/>
      <c r="M3273" s="7"/>
      <c r="N3273" s="8"/>
      <c r="O3273" s="4"/>
    </row>
    <row r="3274" customFormat="false" ht="15" hidden="false" customHeight="false" outlineLevel="0" collapsed="false">
      <c r="A3274" s="0" t="s">
        <v>4630</v>
      </c>
      <c r="C3274" s="0" t="s">
        <v>43</v>
      </c>
      <c r="D3274" s="7" t="n">
        <v>77</v>
      </c>
      <c r="E3274" s="8" t="n">
        <v>0.868181818181818</v>
      </c>
      <c r="F3274" s="4" t="n">
        <f aca="false">D3274*E3274</f>
        <v>66.85</v>
      </c>
      <c r="G3274" s="7" t="n">
        <v>35</v>
      </c>
      <c r="H3274" s="9" t="n">
        <f aca="false">IF(G3274&gt;0,D3274/G3274,"")</f>
        <v>2.2</v>
      </c>
      <c r="I3274" s="10" t="n">
        <v>46107</v>
      </c>
      <c r="K3274" s="10"/>
      <c r="M3274" s="7"/>
      <c r="N3274" s="8"/>
      <c r="O3274" s="4"/>
    </row>
    <row r="3275" customFormat="false" ht="15" hidden="false" customHeight="false" outlineLevel="0" collapsed="false">
      <c r="A3275" s="0" t="s">
        <v>4631</v>
      </c>
      <c r="C3275" s="0" t="s">
        <v>118</v>
      </c>
      <c r="D3275" s="7" t="n">
        <v>984</v>
      </c>
      <c r="E3275" s="8" t="n">
        <v>0.0679268292682927</v>
      </c>
      <c r="F3275" s="4" t="n">
        <f aca="false">D3275*E3275</f>
        <v>66.84</v>
      </c>
      <c r="G3275" s="7" t="n">
        <v>10</v>
      </c>
      <c r="H3275" s="9" t="n">
        <f aca="false">IF(G3275&gt;0,D3275/G3275,"")</f>
        <v>98.4</v>
      </c>
      <c r="I3275" s="10" t="n">
        <v>46224</v>
      </c>
      <c r="J3275" s="3" t="s">
        <v>4632</v>
      </c>
      <c r="K3275" s="10" t="n">
        <v>45552</v>
      </c>
      <c r="L3275" s="3" t="s">
        <v>16</v>
      </c>
      <c r="M3275" s="7" t="n">
        <v>1000</v>
      </c>
      <c r="N3275" s="8" t="n">
        <v>0.0676</v>
      </c>
      <c r="O3275" s="4" t="n">
        <f aca="false">M3275*N3275</f>
        <v>67.6</v>
      </c>
    </row>
    <row r="3276" customFormat="false" ht="15" hidden="false" customHeight="false" outlineLevel="0" collapsed="false">
      <c r="A3276" s="0" t="s">
        <v>4633</v>
      </c>
      <c r="D3276" s="7" t="n">
        <v>21</v>
      </c>
      <c r="E3276" s="8" t="n">
        <v>3.18285714285714</v>
      </c>
      <c r="F3276" s="4" t="n">
        <f aca="false">D3276*E3276</f>
        <v>66.84</v>
      </c>
      <c r="G3276" s="7" t="n">
        <v>2</v>
      </c>
      <c r="H3276" s="9" t="n">
        <f aca="false">IF(G3276&gt;0,D3276/G3276,"")</f>
        <v>10.5</v>
      </c>
      <c r="I3276" s="10" t="n">
        <v>46224</v>
      </c>
      <c r="J3276" s="3" t="s">
        <v>4448</v>
      </c>
      <c r="K3276" s="10" t="n">
        <v>45827</v>
      </c>
      <c r="L3276" s="3" t="s">
        <v>14</v>
      </c>
      <c r="M3276" s="7" t="n">
        <v>25</v>
      </c>
      <c r="N3276" s="8" t="n">
        <v>3.1824</v>
      </c>
      <c r="O3276" s="4" t="n">
        <f aca="false">M3276*N3276</f>
        <v>79.56</v>
      </c>
    </row>
    <row r="3277" customFormat="false" ht="15" hidden="false" customHeight="false" outlineLevel="0" collapsed="false">
      <c r="A3277" s="0" t="s">
        <v>4634</v>
      </c>
      <c r="C3277" s="0" t="s">
        <v>34</v>
      </c>
      <c r="D3277" s="7" t="n">
        <v>490</v>
      </c>
      <c r="E3277" s="8" t="n">
        <v>0.13630612244898</v>
      </c>
      <c r="F3277" s="4" t="n">
        <f aca="false">D3277*E3277</f>
        <v>66.79</v>
      </c>
      <c r="G3277" s="7" t="n">
        <v>40</v>
      </c>
      <c r="H3277" s="9" t="n">
        <f aca="false">IF(G3277&gt;0,D3277/G3277,"")</f>
        <v>12.25</v>
      </c>
      <c r="I3277" s="10" t="n">
        <v>46168</v>
      </c>
      <c r="J3277" s="3" t="s">
        <v>3860</v>
      </c>
      <c r="K3277" s="10" t="n">
        <v>44692</v>
      </c>
      <c r="L3277" s="3" t="s">
        <v>15</v>
      </c>
      <c r="M3277" s="7" t="n">
        <v>570</v>
      </c>
      <c r="N3277" s="8" t="n">
        <v>0.13632</v>
      </c>
      <c r="O3277" s="4" t="n">
        <f aca="false">M3277*N3277</f>
        <v>77.7024</v>
      </c>
    </row>
    <row r="3278" customFormat="false" ht="15" hidden="false" customHeight="false" outlineLevel="0" collapsed="false">
      <c r="A3278" s="0" t="s">
        <v>4635</v>
      </c>
      <c r="C3278" s="0" t="s">
        <v>497</v>
      </c>
      <c r="D3278" s="7" t="n">
        <v>63</v>
      </c>
      <c r="E3278" s="8" t="n">
        <v>1.05920634920635</v>
      </c>
      <c r="F3278" s="4" t="n">
        <f aca="false">D3278*E3278</f>
        <v>66.73</v>
      </c>
      <c r="G3278" s="7" t="n">
        <v>42</v>
      </c>
      <c r="H3278" s="9" t="n">
        <f aca="false">IF(G3278&gt;0,D3278/G3278,"")</f>
        <v>1.5</v>
      </c>
      <c r="I3278" s="10" t="n">
        <v>46269</v>
      </c>
      <c r="J3278" s="3" t="s">
        <v>4636</v>
      </c>
      <c r="K3278" s="10" t="n">
        <v>45119</v>
      </c>
      <c r="L3278" s="3" t="s">
        <v>14</v>
      </c>
      <c r="M3278" s="7" t="n">
        <v>200</v>
      </c>
      <c r="N3278" s="8" t="n">
        <v>1.0592</v>
      </c>
      <c r="O3278" s="4" t="n">
        <f aca="false">M3278*N3278</f>
        <v>211.84</v>
      </c>
    </row>
    <row r="3279" customFormat="false" ht="15" hidden="false" customHeight="false" outlineLevel="0" collapsed="false">
      <c r="A3279" s="0" t="s">
        <v>4637</v>
      </c>
      <c r="C3279" s="0" t="s">
        <v>31</v>
      </c>
      <c r="D3279" s="7" t="n">
        <v>4709</v>
      </c>
      <c r="E3279" s="8" t="n">
        <v>0.0141664897005734</v>
      </c>
      <c r="F3279" s="4" t="n">
        <f aca="false">D3279*E3279</f>
        <v>66.71</v>
      </c>
      <c r="G3279" s="7" t="n">
        <v>39</v>
      </c>
      <c r="H3279" s="9" t="n">
        <f aca="false">IF(G3279&gt;0,D3279/G3279,"")</f>
        <v>120.74358974359</v>
      </c>
      <c r="I3279" s="10" t="n">
        <v>46064</v>
      </c>
      <c r="K3279" s="10"/>
      <c r="M3279" s="7"/>
      <c r="N3279" s="8"/>
      <c r="O3279" s="4"/>
    </row>
    <row r="3280" customFormat="false" ht="15" hidden="false" customHeight="false" outlineLevel="0" collapsed="false">
      <c r="A3280" s="0" t="s">
        <v>4638</v>
      </c>
      <c r="C3280" s="0" t="s">
        <v>765</v>
      </c>
      <c r="D3280" s="7" t="n">
        <v>58</v>
      </c>
      <c r="E3280" s="8" t="n">
        <v>1.14862068965517</v>
      </c>
      <c r="F3280" s="4" t="n">
        <f aca="false">D3280*E3280</f>
        <v>66.62</v>
      </c>
      <c r="G3280" s="7" t="n">
        <v>6</v>
      </c>
      <c r="H3280" s="9" t="n">
        <f aca="false">IF(G3280&gt;0,D3280/G3280,"")</f>
        <v>9.66666666666667</v>
      </c>
      <c r="I3280" s="10" t="n">
        <v>46315</v>
      </c>
      <c r="J3280" s="3" t="s">
        <v>725</v>
      </c>
      <c r="K3280" s="10" t="n">
        <v>45523</v>
      </c>
      <c r="L3280" s="3" t="s">
        <v>14</v>
      </c>
      <c r="M3280" s="7" t="n">
        <v>100</v>
      </c>
      <c r="N3280" s="8" t="n">
        <v>1.1488</v>
      </c>
      <c r="O3280" s="4" t="n">
        <f aca="false">M3280*N3280</f>
        <v>114.88</v>
      </c>
    </row>
    <row r="3281" customFormat="false" ht="15" hidden="false" customHeight="false" outlineLevel="0" collapsed="false">
      <c r="A3281" s="0" t="s">
        <v>4639</v>
      </c>
      <c r="C3281" s="0" t="s">
        <v>2569</v>
      </c>
      <c r="D3281" s="7" t="n">
        <v>30</v>
      </c>
      <c r="E3281" s="8" t="n">
        <v>2.22</v>
      </c>
      <c r="F3281" s="4" t="n">
        <f aca="false">D3281*E3281</f>
        <v>66.6</v>
      </c>
      <c r="G3281" s="7" t="n">
        <v>10</v>
      </c>
      <c r="H3281" s="9" t="n">
        <f aca="false">IF(G3281&gt;0,D3281/G3281,"")</f>
        <v>3</v>
      </c>
      <c r="I3281" s="10" t="n">
        <v>46098</v>
      </c>
      <c r="J3281" s="3" t="s">
        <v>4640</v>
      </c>
      <c r="K3281" s="10" t="n">
        <v>45379</v>
      </c>
      <c r="L3281" s="3" t="s">
        <v>1175</v>
      </c>
      <c r="M3281" s="7" t="n">
        <v>20</v>
      </c>
      <c r="N3281" s="8" t="n">
        <v>3.3962</v>
      </c>
      <c r="O3281" s="4" t="n">
        <f aca="false">M3281*N3281</f>
        <v>67.924</v>
      </c>
    </row>
    <row r="3282" customFormat="false" ht="15" hidden="false" customHeight="false" outlineLevel="0" collapsed="false">
      <c r="A3282" s="0" t="s">
        <v>4641</v>
      </c>
      <c r="C3282" s="0" t="s">
        <v>360</v>
      </c>
      <c r="D3282" s="7" t="n">
        <v>5931</v>
      </c>
      <c r="E3282" s="8" t="n">
        <v>0.011212274489968</v>
      </c>
      <c r="F3282" s="4" t="n">
        <f aca="false">D3282*E3282</f>
        <v>66.5</v>
      </c>
      <c r="G3282" s="7" t="n">
        <v>1137</v>
      </c>
      <c r="H3282" s="9" t="n">
        <f aca="false">IF(G3282&gt;0,D3282/G3282,"")</f>
        <v>5.21635883905013</v>
      </c>
      <c r="I3282" s="10" t="n">
        <v>46301</v>
      </c>
      <c r="J3282" s="3" t="s">
        <v>840</v>
      </c>
      <c r="K3282" s="10" t="n">
        <v>45232</v>
      </c>
      <c r="L3282" s="3" t="s">
        <v>15</v>
      </c>
      <c r="M3282" s="7" t="n">
        <v>20315</v>
      </c>
      <c r="N3282" s="8" t="n">
        <v>0.01121</v>
      </c>
      <c r="O3282" s="4" t="n">
        <f aca="false">M3282*N3282</f>
        <v>227.73115</v>
      </c>
    </row>
    <row r="3283" customFormat="false" ht="15" hidden="false" customHeight="false" outlineLevel="0" collapsed="false">
      <c r="A3283" s="0" t="s">
        <v>4642</v>
      </c>
      <c r="C3283" s="0" t="s">
        <v>34</v>
      </c>
      <c r="D3283" s="7" t="n">
        <v>166</v>
      </c>
      <c r="E3283" s="8" t="n">
        <v>0.400542168674699</v>
      </c>
      <c r="F3283" s="4" t="n">
        <f aca="false">D3283*E3283</f>
        <v>66.49</v>
      </c>
      <c r="G3283" s="7" t="n">
        <v>6</v>
      </c>
      <c r="H3283" s="9" t="n">
        <f aca="false">IF(G3283&gt;0,D3283/G3283,"")</f>
        <v>27.6666666666667</v>
      </c>
      <c r="I3283" s="10" t="n">
        <v>46006</v>
      </c>
      <c r="J3283" s="3" t="s">
        <v>4643</v>
      </c>
      <c r="K3283" s="10" t="n">
        <v>45159</v>
      </c>
      <c r="L3283" s="3" t="s">
        <v>19</v>
      </c>
      <c r="M3283" s="7" t="n">
        <v>250</v>
      </c>
      <c r="N3283" s="8" t="n">
        <v>0.4005</v>
      </c>
      <c r="O3283" s="4" t="n">
        <f aca="false">M3283*N3283</f>
        <v>100.125</v>
      </c>
    </row>
    <row r="3284" customFormat="false" ht="15" hidden="false" customHeight="false" outlineLevel="0" collapsed="false">
      <c r="A3284" s="0" t="s">
        <v>4644</v>
      </c>
      <c r="C3284" s="0" t="s">
        <v>85</v>
      </c>
      <c r="D3284" s="7" t="n">
        <v>649</v>
      </c>
      <c r="E3284" s="8" t="n">
        <v>0.102434514637905</v>
      </c>
      <c r="F3284" s="4" t="n">
        <f aca="false">D3284*E3284</f>
        <v>66.48</v>
      </c>
      <c r="G3284" s="7" t="n">
        <v>403</v>
      </c>
      <c r="H3284" s="9" t="n">
        <f aca="false">IF(G3284&gt;0,D3284/G3284,"")</f>
        <v>1.61042183622829</v>
      </c>
      <c r="I3284" s="10" t="n">
        <v>46304</v>
      </c>
      <c r="J3284" s="3" t="s">
        <v>4645</v>
      </c>
      <c r="K3284" s="10" t="n">
        <v>46310</v>
      </c>
      <c r="L3284" s="3" t="s">
        <v>16</v>
      </c>
      <c r="M3284" s="7" t="n">
        <v>1312</v>
      </c>
      <c r="N3284" s="8" t="n">
        <v>0.06759</v>
      </c>
      <c r="O3284" s="4" t="n">
        <f aca="false">M3284*N3284</f>
        <v>88.67808</v>
      </c>
    </row>
    <row r="3285" customFormat="false" ht="15" hidden="false" customHeight="false" outlineLevel="0" collapsed="false">
      <c r="A3285" s="0" t="s">
        <v>4646</v>
      </c>
      <c r="C3285" s="0" t="s">
        <v>32</v>
      </c>
      <c r="D3285" s="7" t="n">
        <v>15823</v>
      </c>
      <c r="E3285" s="8" t="n">
        <v>0.00419958288567276</v>
      </c>
      <c r="F3285" s="4" t="n">
        <f aca="false">D3285*E3285</f>
        <v>66.45</v>
      </c>
      <c r="G3285" s="7" t="n">
        <v>9526</v>
      </c>
      <c r="H3285" s="9" t="n">
        <f aca="false">IF(G3285&gt;0,D3285/G3285,"")</f>
        <v>1.66103296241864</v>
      </c>
      <c r="I3285" s="10" t="n">
        <v>46315</v>
      </c>
      <c r="J3285" s="3" t="s">
        <v>1120</v>
      </c>
      <c r="K3285" s="10" t="n">
        <v>45960</v>
      </c>
      <c r="L3285" s="3" t="s">
        <v>18</v>
      </c>
      <c r="M3285" s="7" t="n">
        <v>21000</v>
      </c>
      <c r="N3285" s="8" t="n">
        <v>0.0042</v>
      </c>
      <c r="O3285" s="4" t="n">
        <f aca="false">M3285*N3285</f>
        <v>88.2</v>
      </c>
    </row>
    <row r="3286" customFormat="false" ht="15" hidden="false" customHeight="false" outlineLevel="0" collapsed="false">
      <c r="A3286" s="0" t="s">
        <v>4647</v>
      </c>
      <c r="C3286" s="0" t="s">
        <v>34</v>
      </c>
      <c r="D3286" s="7" t="n">
        <v>2290</v>
      </c>
      <c r="E3286" s="8" t="n">
        <v>0.029</v>
      </c>
      <c r="F3286" s="4" t="n">
        <f aca="false">D3286*E3286</f>
        <v>66.41</v>
      </c>
      <c r="G3286" s="7" t="n">
        <v>20</v>
      </c>
      <c r="H3286" s="9" t="n">
        <f aca="false">IF(G3286&gt;0,D3286/G3286,"")</f>
        <v>114.5</v>
      </c>
      <c r="I3286" s="10" t="n">
        <v>46059</v>
      </c>
      <c r="J3286" s="3" t="s">
        <v>3979</v>
      </c>
      <c r="K3286" s="10" t="n">
        <v>44286</v>
      </c>
      <c r="L3286" s="3" t="s">
        <v>19</v>
      </c>
      <c r="M3286" s="7" t="n">
        <v>2500</v>
      </c>
      <c r="N3286" s="8" t="n">
        <v>0.029</v>
      </c>
      <c r="O3286" s="4" t="n">
        <f aca="false">M3286*N3286</f>
        <v>72.5</v>
      </c>
    </row>
    <row r="3287" customFormat="false" ht="15" hidden="false" customHeight="false" outlineLevel="0" collapsed="false">
      <c r="A3287" s="0" t="s">
        <v>4648</v>
      </c>
      <c r="C3287" s="0" t="s">
        <v>855</v>
      </c>
      <c r="D3287" s="7" t="n">
        <v>916</v>
      </c>
      <c r="E3287" s="8" t="n">
        <v>0.0725</v>
      </c>
      <c r="F3287" s="4" t="n">
        <f aca="false">D3287*E3287</f>
        <v>66.41</v>
      </c>
      <c r="G3287" s="7" t="n">
        <v>130</v>
      </c>
      <c r="H3287" s="9" t="n">
        <f aca="false">IF(G3287&gt;0,D3287/G3287,"")</f>
        <v>7.04615384615385</v>
      </c>
      <c r="I3287" s="10" t="n">
        <v>46281</v>
      </c>
      <c r="K3287" s="10"/>
      <c r="M3287" s="7"/>
      <c r="N3287" s="8"/>
      <c r="O3287" s="4"/>
    </row>
    <row r="3288" customFormat="false" ht="15" hidden="false" customHeight="false" outlineLevel="0" collapsed="false">
      <c r="A3288" s="0" t="s">
        <v>4649</v>
      </c>
      <c r="C3288" s="0" t="s">
        <v>298</v>
      </c>
      <c r="D3288" s="7" t="n">
        <v>491</v>
      </c>
      <c r="E3288" s="8" t="n">
        <v>0.135173116089613</v>
      </c>
      <c r="F3288" s="4" t="n">
        <f aca="false">D3288*E3288</f>
        <v>66.37</v>
      </c>
      <c r="G3288" s="7" t="n">
        <v>75</v>
      </c>
      <c r="H3288" s="9" t="n">
        <f aca="false">IF(G3288&gt;0,D3288/G3288,"")</f>
        <v>6.54666666666667</v>
      </c>
      <c r="I3288" s="10" t="n">
        <v>46182</v>
      </c>
      <c r="J3288" s="3" t="s">
        <v>4650</v>
      </c>
      <c r="K3288" s="10" t="n">
        <v>46317</v>
      </c>
      <c r="L3288" s="3" t="s">
        <v>15</v>
      </c>
      <c r="M3288" s="7" t="n">
        <v>1093</v>
      </c>
      <c r="N3288" s="8" t="n">
        <v>0.04576</v>
      </c>
      <c r="O3288" s="4" t="n">
        <f aca="false">M3288*N3288</f>
        <v>50.01568</v>
      </c>
    </row>
    <row r="3289" customFormat="false" ht="15" hidden="false" customHeight="false" outlineLevel="0" collapsed="false">
      <c r="A3289" s="0" t="s">
        <v>4651</v>
      </c>
      <c r="C3289" s="0" t="s">
        <v>34</v>
      </c>
      <c r="D3289" s="7" t="n">
        <v>1054</v>
      </c>
      <c r="E3289" s="8" t="n">
        <v>0.0628937381404175</v>
      </c>
      <c r="F3289" s="4" t="n">
        <f aca="false">D3289*E3289</f>
        <v>66.29</v>
      </c>
      <c r="G3289" s="7" t="n">
        <v>230</v>
      </c>
      <c r="H3289" s="9" t="n">
        <f aca="false">IF(G3289&gt;0,D3289/G3289,"")</f>
        <v>4.58260869565217</v>
      </c>
      <c r="I3289" s="10" t="n">
        <v>46274</v>
      </c>
      <c r="J3289" s="3" t="s">
        <v>4652</v>
      </c>
      <c r="K3289" s="10" t="n">
        <v>44707</v>
      </c>
      <c r="L3289" s="3" t="s">
        <v>19</v>
      </c>
      <c r="M3289" s="7" t="n">
        <v>2074</v>
      </c>
      <c r="N3289" s="8" t="n">
        <v>0</v>
      </c>
      <c r="O3289" s="4" t="n">
        <v>138.6095</v>
      </c>
    </row>
    <row r="3290" customFormat="false" ht="15" hidden="false" customHeight="false" outlineLevel="0" collapsed="false">
      <c r="A3290" s="0" t="s">
        <v>4653</v>
      </c>
      <c r="C3290" s="0" t="s">
        <v>32</v>
      </c>
      <c r="D3290" s="7" t="n">
        <v>2350</v>
      </c>
      <c r="E3290" s="8" t="n">
        <v>0.0282042553191489</v>
      </c>
      <c r="F3290" s="4" t="n">
        <f aca="false">D3290*E3290</f>
        <v>66.28</v>
      </c>
      <c r="G3290" s="7" t="n">
        <v>215</v>
      </c>
      <c r="H3290" s="9" t="n">
        <f aca="false">IF(G3290&gt;0,D3290/G3290,"")</f>
        <v>10.9302325581395</v>
      </c>
      <c r="I3290" s="10" t="n">
        <v>46295</v>
      </c>
      <c r="J3290" s="3" t="s">
        <v>1497</v>
      </c>
      <c r="K3290" s="10" t="n">
        <v>45888</v>
      </c>
      <c r="L3290" s="3" t="s">
        <v>18</v>
      </c>
      <c r="M3290" s="7" t="n">
        <v>3100</v>
      </c>
      <c r="N3290" s="8" t="n">
        <v>0.0282</v>
      </c>
      <c r="O3290" s="4" t="n">
        <f aca="false">M3290*N3290</f>
        <v>87.42</v>
      </c>
    </row>
    <row r="3291" customFormat="false" ht="15" hidden="false" customHeight="false" outlineLevel="0" collapsed="false">
      <c r="A3291" s="0" t="s">
        <v>4654</v>
      </c>
      <c r="C3291" s="0" t="s">
        <v>34</v>
      </c>
      <c r="D3291" s="7" t="n">
        <v>8829</v>
      </c>
      <c r="E3291" s="8" t="n">
        <v>0.00750028315777551</v>
      </c>
      <c r="F3291" s="4" t="n">
        <f aca="false">D3291*E3291</f>
        <v>66.22</v>
      </c>
      <c r="G3291" s="7" t="n">
        <v>350</v>
      </c>
      <c r="H3291" s="9" t="n">
        <f aca="false">IF(G3291&gt;0,D3291/G3291,"")</f>
        <v>25.2257142857143</v>
      </c>
      <c r="I3291" s="10" t="n">
        <v>46251</v>
      </c>
      <c r="J3291" s="3" t="s">
        <v>1743</v>
      </c>
      <c r="K3291" s="10" t="n">
        <v>45852</v>
      </c>
      <c r="L3291" s="3" t="s">
        <v>16</v>
      </c>
      <c r="M3291" s="7" t="n">
        <v>9394</v>
      </c>
      <c r="N3291" s="8" t="n">
        <v>0.0075</v>
      </c>
      <c r="O3291" s="4" t="n">
        <f aca="false">M3291*N3291</f>
        <v>70.455</v>
      </c>
    </row>
    <row r="3292" customFormat="false" ht="15" hidden="false" customHeight="false" outlineLevel="0" collapsed="false">
      <c r="A3292" s="0" t="s">
        <v>4655</v>
      </c>
      <c r="C3292" s="0" t="s">
        <v>40</v>
      </c>
      <c r="D3292" s="7" t="n">
        <v>326</v>
      </c>
      <c r="E3292" s="8" t="n">
        <v>0.202699386503068</v>
      </c>
      <c r="F3292" s="4" t="n">
        <f aca="false">D3292*E3292</f>
        <v>66.08</v>
      </c>
      <c r="G3292" s="7" t="n">
        <v>2</v>
      </c>
      <c r="H3292" s="9" t="n">
        <f aca="false">IF(G3292&gt;0,D3292/G3292,"")</f>
        <v>163</v>
      </c>
      <c r="I3292" s="10" t="n">
        <v>46051</v>
      </c>
      <c r="J3292" s="3" t="s">
        <v>4341</v>
      </c>
      <c r="K3292" s="10" t="n">
        <v>45931</v>
      </c>
      <c r="L3292" s="3" t="s">
        <v>28</v>
      </c>
      <c r="M3292" s="7" t="n">
        <v>1891</v>
      </c>
      <c r="N3292" s="8" t="n">
        <v>0.2027</v>
      </c>
      <c r="O3292" s="4" t="n">
        <f aca="false">M3292*N3292</f>
        <v>383.3057</v>
      </c>
    </row>
    <row r="3293" customFormat="false" ht="15" hidden="false" customHeight="false" outlineLevel="0" collapsed="false">
      <c r="A3293" s="0" t="s">
        <v>4656</v>
      </c>
      <c r="C3293" s="0" t="s">
        <v>32</v>
      </c>
      <c r="D3293" s="7" t="n">
        <v>1810</v>
      </c>
      <c r="E3293" s="8" t="n">
        <v>0.0364917127071823</v>
      </c>
      <c r="F3293" s="4" t="n">
        <f aca="false">D3293*E3293</f>
        <v>66.05</v>
      </c>
      <c r="G3293" s="7" t="n">
        <v>1632</v>
      </c>
      <c r="H3293" s="9" t="n">
        <f aca="false">IF(G3293&gt;0,D3293/G3293,"")</f>
        <v>1.10906862745098</v>
      </c>
      <c r="I3293" s="10" t="n">
        <v>46314</v>
      </c>
      <c r="J3293" s="3" t="s">
        <v>410</v>
      </c>
      <c r="K3293" s="10" t="n">
        <v>46303</v>
      </c>
      <c r="L3293" s="3" t="s">
        <v>16</v>
      </c>
      <c r="M3293" s="7" t="n">
        <v>2300</v>
      </c>
      <c r="N3293" s="8" t="n">
        <v>0.0353</v>
      </c>
      <c r="O3293" s="4" t="n">
        <f aca="false">M3293*N3293</f>
        <v>81.19</v>
      </c>
    </row>
    <row r="3294" customFormat="false" ht="15" hidden="false" customHeight="false" outlineLevel="0" collapsed="false">
      <c r="A3294" s="0" t="s">
        <v>4657</v>
      </c>
      <c r="C3294" s="0" t="s">
        <v>438</v>
      </c>
      <c r="D3294" s="7" t="n">
        <v>26</v>
      </c>
      <c r="E3294" s="8" t="n">
        <v>2.54</v>
      </c>
      <c r="F3294" s="4" t="n">
        <f aca="false">D3294*E3294</f>
        <v>66.04</v>
      </c>
      <c r="G3294" s="7" t="n">
        <v>18</v>
      </c>
      <c r="H3294" s="9" t="n">
        <f aca="false">IF(G3294&gt;0,D3294/G3294,"")</f>
        <v>1.44444444444444</v>
      </c>
      <c r="I3294" s="10" t="n">
        <v>46252</v>
      </c>
      <c r="J3294" s="3" t="s">
        <v>4658</v>
      </c>
      <c r="K3294" s="10" t="n">
        <v>45517</v>
      </c>
      <c r="L3294" s="3" t="s">
        <v>27</v>
      </c>
      <c r="M3294" s="7" t="n">
        <v>50</v>
      </c>
      <c r="N3294" s="8" t="n">
        <v>2.54</v>
      </c>
      <c r="O3294" s="4" t="n">
        <f aca="false">M3294*N3294</f>
        <v>127</v>
      </c>
    </row>
    <row r="3295" customFormat="false" ht="15" hidden="false" customHeight="false" outlineLevel="0" collapsed="false">
      <c r="A3295" s="0" t="s">
        <v>4659</v>
      </c>
      <c r="C3295" s="0" t="s">
        <v>438</v>
      </c>
      <c r="D3295" s="7" t="n">
        <v>44</v>
      </c>
      <c r="E3295" s="8" t="n">
        <v>1.5</v>
      </c>
      <c r="F3295" s="4" t="n">
        <f aca="false">D3295*E3295</f>
        <v>66</v>
      </c>
      <c r="G3295" s="7" t="n">
        <v>36</v>
      </c>
      <c r="H3295" s="9" t="n">
        <f aca="false">IF(G3295&gt;0,D3295/G3295,"")</f>
        <v>1.22222222222222</v>
      </c>
      <c r="I3295" s="10" t="n">
        <v>46308</v>
      </c>
      <c r="J3295" s="3" t="s">
        <v>763</v>
      </c>
      <c r="K3295" s="10" t="n">
        <v>46231</v>
      </c>
      <c r="L3295" s="3" t="s">
        <v>14</v>
      </c>
      <c r="M3295" s="7" t="n">
        <v>50</v>
      </c>
      <c r="N3295" s="8" t="n">
        <v>1.5</v>
      </c>
      <c r="O3295" s="4" t="n">
        <f aca="false">M3295*N3295</f>
        <v>75</v>
      </c>
    </row>
    <row r="3296" customFormat="false" ht="15" hidden="false" customHeight="false" outlineLevel="0" collapsed="false">
      <c r="A3296" s="0" t="s">
        <v>4660</v>
      </c>
      <c r="C3296" s="0" t="s">
        <v>285</v>
      </c>
      <c r="D3296" s="7" t="n">
        <v>2532</v>
      </c>
      <c r="E3296" s="8" t="n">
        <v>0.0260387045813586</v>
      </c>
      <c r="F3296" s="4" t="n">
        <f aca="false">D3296*E3296</f>
        <v>65.93</v>
      </c>
      <c r="G3296" s="7" t="n">
        <v>535</v>
      </c>
      <c r="H3296" s="9" t="n">
        <f aca="false">IF(G3296&gt;0,D3296/G3296,"")</f>
        <v>4.73271028037383</v>
      </c>
      <c r="I3296" s="10" t="n">
        <v>46254</v>
      </c>
      <c r="K3296" s="10"/>
      <c r="M3296" s="7"/>
      <c r="N3296" s="8"/>
      <c r="O3296" s="4"/>
    </row>
    <row r="3297" customFormat="false" ht="15" hidden="false" customHeight="false" outlineLevel="0" collapsed="false">
      <c r="A3297" s="0" t="s">
        <v>4661</v>
      </c>
      <c r="C3297" s="0" t="s">
        <v>39</v>
      </c>
      <c r="D3297" s="7" t="n">
        <v>48</v>
      </c>
      <c r="E3297" s="8" t="n">
        <v>1.37229166666667</v>
      </c>
      <c r="F3297" s="4" t="n">
        <f aca="false">D3297*E3297</f>
        <v>65.87</v>
      </c>
      <c r="G3297" s="7" t="n">
        <v>22</v>
      </c>
      <c r="H3297" s="9" t="n">
        <f aca="false">IF(G3297&gt;0,D3297/G3297,"")</f>
        <v>2.18181818181818</v>
      </c>
      <c r="I3297" s="10" t="n">
        <v>46091</v>
      </c>
      <c r="J3297" s="3" t="s">
        <v>3524</v>
      </c>
      <c r="K3297" s="10" t="n">
        <v>46315</v>
      </c>
      <c r="L3297" s="3" t="s">
        <v>18</v>
      </c>
      <c r="M3297" s="7" t="n">
        <v>40</v>
      </c>
      <c r="N3297" s="8" t="n">
        <v>1.3614</v>
      </c>
      <c r="O3297" s="4" t="n">
        <f aca="false">M3297*N3297</f>
        <v>54.456</v>
      </c>
    </row>
    <row r="3298" customFormat="false" ht="15" hidden="false" customHeight="false" outlineLevel="0" collapsed="false">
      <c r="A3298" s="0" t="s">
        <v>4662</v>
      </c>
      <c r="C3298" s="0" t="s">
        <v>38</v>
      </c>
      <c r="D3298" s="7" t="n">
        <v>3679</v>
      </c>
      <c r="E3298" s="8" t="n">
        <v>0.0179016036966567</v>
      </c>
      <c r="F3298" s="4" t="n">
        <f aca="false">D3298*E3298</f>
        <v>65.86</v>
      </c>
      <c r="G3298" s="7" t="n">
        <v>1254</v>
      </c>
      <c r="H3298" s="9" t="n">
        <f aca="false">IF(G3298&gt;0,D3298/G3298,"")</f>
        <v>2.93381180223285</v>
      </c>
      <c r="I3298" s="10" t="n">
        <v>46282</v>
      </c>
      <c r="J3298" s="3" t="s">
        <v>3616</v>
      </c>
      <c r="K3298" s="10" t="n">
        <v>45471</v>
      </c>
      <c r="L3298" s="3" t="s">
        <v>18</v>
      </c>
      <c r="M3298" s="7" t="n">
        <v>6000</v>
      </c>
      <c r="N3298" s="8" t="n">
        <v>0.0179</v>
      </c>
      <c r="O3298" s="4" t="n">
        <f aca="false">M3298*N3298</f>
        <v>107.4</v>
      </c>
    </row>
    <row r="3299" customFormat="false" ht="15" hidden="false" customHeight="false" outlineLevel="0" collapsed="false">
      <c r="A3299" s="0" t="s">
        <v>4663</v>
      </c>
      <c r="C3299" s="0" t="s">
        <v>39</v>
      </c>
      <c r="D3299" s="7" t="n">
        <v>149</v>
      </c>
      <c r="E3299" s="8" t="n">
        <v>0.441140939597315</v>
      </c>
      <c r="F3299" s="4" t="n">
        <f aca="false">D3299*E3299</f>
        <v>65.73</v>
      </c>
      <c r="G3299" s="7" t="n">
        <v>77</v>
      </c>
      <c r="H3299" s="9" t="n">
        <f aca="false">IF(G3299&gt;0,D3299/G3299,"")</f>
        <v>1.93506493506494</v>
      </c>
      <c r="I3299" s="10" t="n">
        <v>46300</v>
      </c>
      <c r="J3299" s="3" t="s">
        <v>3533</v>
      </c>
      <c r="K3299" s="10" t="n">
        <v>45903</v>
      </c>
      <c r="L3299" s="3" t="s">
        <v>18</v>
      </c>
      <c r="M3299" s="7" t="n">
        <v>228</v>
      </c>
      <c r="N3299" s="8" t="n">
        <v>0.4411</v>
      </c>
      <c r="O3299" s="4" t="n">
        <f aca="false">M3299*N3299</f>
        <v>100.5708</v>
      </c>
    </row>
    <row r="3300" customFormat="false" ht="15" hidden="false" customHeight="false" outlineLevel="0" collapsed="false">
      <c r="A3300" s="0" t="s">
        <v>4664</v>
      </c>
      <c r="C3300" s="0" t="s">
        <v>855</v>
      </c>
      <c r="D3300" s="7" t="n">
        <v>2412</v>
      </c>
      <c r="E3300" s="8" t="n">
        <v>0.0272512437810945</v>
      </c>
      <c r="F3300" s="4" t="n">
        <f aca="false">D3300*E3300</f>
        <v>65.73</v>
      </c>
      <c r="G3300" s="7" t="n">
        <v>164</v>
      </c>
      <c r="H3300" s="9" t="n">
        <f aca="false">IF(G3300&gt;0,D3300/G3300,"")</f>
        <v>14.7073170731707</v>
      </c>
      <c r="I3300" s="10" t="n">
        <v>46183</v>
      </c>
      <c r="K3300" s="10"/>
      <c r="M3300" s="7"/>
      <c r="N3300" s="8"/>
      <c r="O3300" s="4"/>
    </row>
    <row r="3301" customFormat="false" ht="15" hidden="false" customHeight="false" outlineLevel="0" collapsed="false">
      <c r="A3301" s="0" t="s">
        <v>4665</v>
      </c>
      <c r="C3301" s="0" t="s">
        <v>715</v>
      </c>
      <c r="D3301" s="7" t="n">
        <v>1000</v>
      </c>
      <c r="E3301" s="8" t="n">
        <v>0.0657</v>
      </c>
      <c r="F3301" s="4" t="n">
        <f aca="false">D3301*E3301</f>
        <v>65.7</v>
      </c>
      <c r="G3301" s="7" t="n">
        <v>24</v>
      </c>
      <c r="H3301" s="9" t="n">
        <f aca="false">IF(G3301&gt;0,D3301/G3301,"")</f>
        <v>41.6666666666667</v>
      </c>
      <c r="I3301" s="10" t="n">
        <v>46057</v>
      </c>
      <c r="J3301" s="3" t="s">
        <v>341</v>
      </c>
      <c r="K3301" s="10" t="n">
        <v>46078</v>
      </c>
      <c r="L3301" s="3" t="s">
        <v>15</v>
      </c>
      <c r="M3301" s="7" t="n">
        <v>1000</v>
      </c>
      <c r="N3301" s="8" t="n">
        <v>0.0657</v>
      </c>
      <c r="O3301" s="4" t="n">
        <f aca="false">M3301*N3301</f>
        <v>65.7</v>
      </c>
    </row>
    <row r="3302" customFormat="false" ht="15" hidden="false" customHeight="false" outlineLevel="0" collapsed="false">
      <c r="A3302" s="0" t="s">
        <v>4666</v>
      </c>
      <c r="C3302" s="0" t="s">
        <v>39</v>
      </c>
      <c r="D3302" s="7" t="n">
        <v>810</v>
      </c>
      <c r="E3302" s="8" t="n">
        <v>0.0810864197530864</v>
      </c>
      <c r="F3302" s="4" t="n">
        <f aca="false">D3302*E3302</f>
        <v>65.68</v>
      </c>
      <c r="G3302" s="7" t="n">
        <v>200</v>
      </c>
      <c r="H3302" s="9" t="n">
        <f aca="false">IF(G3302&gt;0,D3302/G3302,"")</f>
        <v>4.05</v>
      </c>
      <c r="I3302" s="10" t="n">
        <v>46308</v>
      </c>
      <c r="J3302" s="3" t="s">
        <v>3533</v>
      </c>
      <c r="K3302" s="10" t="n">
        <v>45903</v>
      </c>
      <c r="L3302" s="3" t="s">
        <v>18</v>
      </c>
      <c r="M3302" s="7" t="n">
        <v>1100</v>
      </c>
      <c r="N3302" s="8" t="n">
        <v>0.0811</v>
      </c>
      <c r="O3302" s="4" t="n">
        <f aca="false">M3302*N3302</f>
        <v>89.21</v>
      </c>
    </row>
    <row r="3303" customFormat="false" ht="15" hidden="false" customHeight="false" outlineLevel="0" collapsed="false">
      <c r="A3303" s="0" t="s">
        <v>4667</v>
      </c>
      <c r="C3303" s="0" t="s">
        <v>35</v>
      </c>
      <c r="D3303" s="7" t="n">
        <v>69</v>
      </c>
      <c r="E3303" s="8" t="n">
        <v>0.951739130434783</v>
      </c>
      <c r="F3303" s="4" t="n">
        <f aca="false">D3303*E3303</f>
        <v>65.67</v>
      </c>
      <c r="G3303" s="7" t="n">
        <v>2</v>
      </c>
      <c r="H3303" s="9" t="n">
        <f aca="false">IF(G3303&gt;0,D3303/G3303,"")</f>
        <v>34.5</v>
      </c>
      <c r="I3303" s="10" t="n">
        <v>46171</v>
      </c>
      <c r="J3303" s="3" t="s">
        <v>3207</v>
      </c>
      <c r="K3303" s="10" t="n">
        <v>45595</v>
      </c>
      <c r="L3303" s="3" t="s">
        <v>14</v>
      </c>
      <c r="M3303" s="7" t="n">
        <v>100</v>
      </c>
      <c r="N3303" s="8" t="n">
        <v>0.9517</v>
      </c>
      <c r="O3303" s="4" t="n">
        <f aca="false">M3303*N3303</f>
        <v>95.17</v>
      </c>
    </row>
    <row r="3304" customFormat="false" ht="15" hidden="false" customHeight="false" outlineLevel="0" collapsed="false">
      <c r="A3304" s="0" t="s">
        <v>4668</v>
      </c>
      <c r="C3304" s="0" t="s">
        <v>765</v>
      </c>
      <c r="D3304" s="7" t="n">
        <v>4085</v>
      </c>
      <c r="E3304" s="8" t="n">
        <v>0.0160636474908201</v>
      </c>
      <c r="F3304" s="4" t="n">
        <f aca="false">D3304*E3304</f>
        <v>65.62</v>
      </c>
      <c r="G3304" s="7" t="n">
        <v>219</v>
      </c>
      <c r="H3304" s="9" t="n">
        <f aca="false">IF(G3304&gt;0,D3304/G3304,"")</f>
        <v>18.6529680365297</v>
      </c>
      <c r="I3304" s="10" t="n">
        <v>46301</v>
      </c>
      <c r="J3304" s="3" t="s">
        <v>2267</v>
      </c>
      <c r="K3304" s="10" t="n">
        <v>45946</v>
      </c>
      <c r="L3304" s="3" t="s">
        <v>16</v>
      </c>
      <c r="M3304" s="7" t="n">
        <v>4300</v>
      </c>
      <c r="N3304" s="8" t="n">
        <v>0.016</v>
      </c>
      <c r="O3304" s="4" t="n">
        <f aca="false">M3304*N3304</f>
        <v>68.8</v>
      </c>
    </row>
    <row r="3305" customFormat="false" ht="15" hidden="false" customHeight="false" outlineLevel="0" collapsed="false">
      <c r="A3305" s="0" t="s">
        <v>4669</v>
      </c>
      <c r="C3305" s="0" t="s">
        <v>295</v>
      </c>
      <c r="D3305" s="7" t="n">
        <v>542</v>
      </c>
      <c r="E3305" s="8" t="n">
        <v>0.121014760147602</v>
      </c>
      <c r="F3305" s="4" t="n">
        <f aca="false">D3305*E3305</f>
        <v>65.59</v>
      </c>
      <c r="G3305" s="7" t="n">
        <v>30</v>
      </c>
      <c r="H3305" s="9" t="n">
        <f aca="false">IF(G3305&gt;0,D3305/G3305,"")</f>
        <v>18.0666666666667</v>
      </c>
      <c r="I3305" s="10" t="n">
        <v>46211</v>
      </c>
      <c r="K3305" s="10"/>
      <c r="M3305" s="7"/>
      <c r="N3305" s="8"/>
      <c r="O3305" s="4"/>
    </row>
    <row r="3306" customFormat="false" ht="15" hidden="false" customHeight="false" outlineLevel="0" collapsed="false">
      <c r="A3306" s="0" t="s">
        <v>4670</v>
      </c>
      <c r="C3306" s="0" t="s">
        <v>1101</v>
      </c>
      <c r="D3306" s="7" t="n">
        <v>10</v>
      </c>
      <c r="E3306" s="8" t="n">
        <v>6.55</v>
      </c>
      <c r="F3306" s="4" t="n">
        <f aca="false">D3306*E3306</f>
        <v>65.5</v>
      </c>
      <c r="G3306" s="7" t="n">
        <v>5</v>
      </c>
      <c r="H3306" s="9" t="n">
        <f aca="false">IF(G3306&gt;0,D3306/G3306,"")</f>
        <v>2</v>
      </c>
      <c r="I3306" s="10" t="n">
        <v>46301</v>
      </c>
      <c r="J3306" s="3" t="s">
        <v>4671</v>
      </c>
      <c r="K3306" s="10" t="n">
        <v>46251</v>
      </c>
      <c r="L3306" s="3" t="s">
        <v>834</v>
      </c>
      <c r="M3306" s="7" t="n">
        <v>15</v>
      </c>
      <c r="N3306" s="8" t="n">
        <v>6.55</v>
      </c>
      <c r="O3306" s="4" t="n">
        <f aca="false">M3306*N3306</f>
        <v>98.25</v>
      </c>
    </row>
    <row r="3307" customFormat="false" ht="15" hidden="false" customHeight="false" outlineLevel="0" collapsed="false">
      <c r="A3307" s="0" t="s">
        <v>4672</v>
      </c>
      <c r="C3307" s="0" t="s">
        <v>40</v>
      </c>
      <c r="D3307" s="7" t="n">
        <v>40</v>
      </c>
      <c r="E3307" s="8" t="n">
        <v>1.63425</v>
      </c>
      <c r="F3307" s="4" t="n">
        <f aca="false">D3307*E3307</f>
        <v>65.37</v>
      </c>
      <c r="G3307" s="7" t="n">
        <v>11</v>
      </c>
      <c r="H3307" s="9" t="n">
        <f aca="false">IF(G3307&gt;0,D3307/G3307,"")</f>
        <v>3.63636363636364</v>
      </c>
      <c r="I3307" s="10" t="n">
        <v>46202</v>
      </c>
      <c r="J3307" s="3" t="s">
        <v>1910</v>
      </c>
      <c r="K3307" s="10" t="n">
        <v>46188</v>
      </c>
      <c r="L3307" s="3" t="s">
        <v>28</v>
      </c>
      <c r="M3307" s="7" t="n">
        <v>22</v>
      </c>
      <c r="N3307" s="8" t="n">
        <v>1.6253</v>
      </c>
      <c r="O3307" s="4" t="n">
        <f aca="false">M3307*N3307</f>
        <v>35.7566</v>
      </c>
    </row>
    <row r="3308" customFormat="false" ht="15" hidden="false" customHeight="false" outlineLevel="0" collapsed="false">
      <c r="A3308" s="0" t="s">
        <v>4673</v>
      </c>
      <c r="C3308" s="0" t="s">
        <v>497</v>
      </c>
      <c r="D3308" s="7" t="n">
        <v>58</v>
      </c>
      <c r="E3308" s="8" t="n">
        <v>1.12637931034483</v>
      </c>
      <c r="F3308" s="4" t="n">
        <f aca="false">D3308*E3308</f>
        <v>65.33</v>
      </c>
      <c r="G3308" s="7" t="n">
        <v>9</v>
      </c>
      <c r="H3308" s="9" t="n">
        <f aca="false">IF(G3308&gt;0,D3308/G3308,"")</f>
        <v>6.44444444444445</v>
      </c>
      <c r="I3308" s="10" t="n">
        <v>46267</v>
      </c>
      <c r="J3308" s="3" t="s">
        <v>1394</v>
      </c>
      <c r="K3308" s="10" t="n">
        <v>45180</v>
      </c>
      <c r="L3308" s="3" t="s">
        <v>14</v>
      </c>
      <c r="M3308" s="7" t="n">
        <v>100</v>
      </c>
      <c r="N3308" s="8" t="n">
        <v>1.1265</v>
      </c>
      <c r="O3308" s="4" t="n">
        <f aca="false">M3308*N3308</f>
        <v>112.65</v>
      </c>
    </row>
    <row r="3309" customFormat="false" ht="15" hidden="false" customHeight="false" outlineLevel="0" collapsed="false">
      <c r="A3309" s="0" t="s">
        <v>4674</v>
      </c>
      <c r="C3309" s="0" t="s">
        <v>38</v>
      </c>
      <c r="D3309" s="7" t="n">
        <v>3082</v>
      </c>
      <c r="E3309" s="8" t="n">
        <v>0.0211972744970798</v>
      </c>
      <c r="F3309" s="4" t="n">
        <f aca="false">D3309*E3309</f>
        <v>65.33</v>
      </c>
      <c r="G3309" s="7" t="n">
        <v>635</v>
      </c>
      <c r="H3309" s="9" t="n">
        <f aca="false">IF(G3309&gt;0,D3309/G3309,"")</f>
        <v>4.85354330708661</v>
      </c>
      <c r="I3309" s="10" t="n">
        <v>46315</v>
      </c>
      <c r="J3309" s="3" t="s">
        <v>3616</v>
      </c>
      <c r="K3309" s="10" t="n">
        <v>45471</v>
      </c>
      <c r="L3309" s="3" t="s">
        <v>18</v>
      </c>
      <c r="M3309" s="7" t="n">
        <v>4700</v>
      </c>
      <c r="N3309" s="8" t="n">
        <v>0.0212</v>
      </c>
      <c r="O3309" s="4" t="n">
        <f aca="false">M3309*N3309</f>
        <v>99.64</v>
      </c>
    </row>
    <row r="3310" customFormat="false" ht="15" hidden="false" customHeight="false" outlineLevel="0" collapsed="false">
      <c r="A3310" s="0" t="s">
        <v>4675</v>
      </c>
      <c r="C3310" s="0" t="s">
        <v>855</v>
      </c>
      <c r="D3310" s="7" t="n">
        <v>19210</v>
      </c>
      <c r="E3310" s="8" t="n">
        <v>0.00339979177511713</v>
      </c>
      <c r="F3310" s="4" t="n">
        <f aca="false">D3310*E3310</f>
        <v>65.31</v>
      </c>
      <c r="G3310" s="7" t="n">
        <v>186</v>
      </c>
      <c r="H3310" s="9" t="n">
        <f aca="false">IF(G3310&gt;0,D3310/G3310,"")</f>
        <v>103.279569892473</v>
      </c>
      <c r="I3310" s="10" t="n">
        <v>46238</v>
      </c>
      <c r="J3310" s="3" t="s">
        <v>2385</v>
      </c>
      <c r="K3310" s="10" t="n">
        <v>45629</v>
      </c>
      <c r="L3310" s="3" t="s">
        <v>16</v>
      </c>
      <c r="M3310" s="7" t="n">
        <v>19446</v>
      </c>
      <c r="N3310" s="8" t="n">
        <v>0.0034</v>
      </c>
      <c r="O3310" s="4" t="n">
        <f aca="false">M3310*N3310</f>
        <v>66.1164</v>
      </c>
    </row>
    <row r="3311" customFormat="false" ht="15" hidden="false" customHeight="false" outlineLevel="0" collapsed="false">
      <c r="A3311" s="0" t="s">
        <v>4676</v>
      </c>
      <c r="C3311" s="0" t="s">
        <v>370</v>
      </c>
      <c r="D3311" s="7" t="n">
        <v>1306</v>
      </c>
      <c r="E3311" s="8" t="n">
        <v>0.05</v>
      </c>
      <c r="F3311" s="4" t="n">
        <f aca="false">D3311*E3311</f>
        <v>65.3</v>
      </c>
      <c r="G3311" s="7" t="n">
        <v>270</v>
      </c>
      <c r="H3311" s="9" t="n">
        <f aca="false">IF(G3311&gt;0,D3311/G3311,"")</f>
        <v>4.83703703703704</v>
      </c>
      <c r="I3311" s="10" t="n">
        <v>46232</v>
      </c>
      <c r="J3311" s="3" t="s">
        <v>371</v>
      </c>
      <c r="K3311" s="10" t="n">
        <v>44291</v>
      </c>
      <c r="L3311" s="3" t="s">
        <v>21</v>
      </c>
      <c r="M3311" s="7" t="n">
        <v>5000</v>
      </c>
      <c r="N3311" s="8" t="n">
        <v>0.05</v>
      </c>
      <c r="O3311" s="4" t="n">
        <f aca="false">M3311*N3311</f>
        <v>250</v>
      </c>
    </row>
    <row r="3312" customFormat="false" ht="15" hidden="false" customHeight="false" outlineLevel="0" collapsed="false">
      <c r="A3312" s="0" t="s">
        <v>4677</v>
      </c>
      <c r="C3312" s="0" t="s">
        <v>34</v>
      </c>
      <c r="D3312" s="7" t="n">
        <v>1701</v>
      </c>
      <c r="E3312" s="8" t="n">
        <v>0.0383715461493239</v>
      </c>
      <c r="F3312" s="4" t="n">
        <f aca="false">D3312*E3312</f>
        <v>65.27</v>
      </c>
      <c r="G3312" s="7" t="n">
        <v>15</v>
      </c>
      <c r="H3312" s="9" t="n">
        <f aca="false">IF(G3312&gt;0,D3312/G3312,"")</f>
        <v>113.4</v>
      </c>
      <c r="I3312" s="10" t="n">
        <v>46273</v>
      </c>
      <c r="J3312" s="3" t="s">
        <v>1912</v>
      </c>
      <c r="K3312" s="10" t="n">
        <v>44320</v>
      </c>
      <c r="L3312" s="3" t="s">
        <v>15</v>
      </c>
      <c r="M3312" s="7" t="n">
        <v>1720</v>
      </c>
      <c r="N3312" s="8" t="n">
        <v>0.03751</v>
      </c>
      <c r="O3312" s="4" t="n">
        <f aca="false">M3312*N3312</f>
        <v>64.5172</v>
      </c>
    </row>
    <row r="3313" customFormat="false" ht="15" hidden="false" customHeight="false" outlineLevel="0" collapsed="false">
      <c r="A3313" s="0" t="s">
        <v>4678</v>
      </c>
      <c r="C3313" s="0" t="s">
        <v>34</v>
      </c>
      <c r="D3313" s="7" t="n">
        <v>362</v>
      </c>
      <c r="E3313" s="8" t="n">
        <v>0.180193370165746</v>
      </c>
      <c r="F3313" s="4" t="n">
        <f aca="false">D3313*E3313</f>
        <v>65.23</v>
      </c>
      <c r="G3313" s="7" t="n">
        <v>6</v>
      </c>
      <c r="H3313" s="9" t="n">
        <f aca="false">IF(G3313&gt;0,D3313/G3313,"")</f>
        <v>60.3333333333333</v>
      </c>
      <c r="I3313" s="10" t="n">
        <v>46302</v>
      </c>
      <c r="J3313" s="3" t="s">
        <v>2043</v>
      </c>
      <c r="K3313" s="10" t="n">
        <v>46104</v>
      </c>
      <c r="L3313" s="3" t="s">
        <v>16</v>
      </c>
      <c r="M3313" s="7" t="n">
        <v>368</v>
      </c>
      <c r="N3313" s="8" t="n">
        <v>0.1802</v>
      </c>
      <c r="O3313" s="4" t="n">
        <f aca="false">M3313*N3313</f>
        <v>66.3136</v>
      </c>
    </row>
    <row r="3314" customFormat="false" ht="15" hidden="false" customHeight="false" outlineLevel="0" collapsed="false">
      <c r="A3314" s="0" t="s">
        <v>4679</v>
      </c>
      <c r="C3314" s="0" t="s">
        <v>31</v>
      </c>
      <c r="D3314" s="7" t="n">
        <v>5476</v>
      </c>
      <c r="E3314" s="8" t="n">
        <v>0.0118991964937911</v>
      </c>
      <c r="F3314" s="4" t="n">
        <f aca="false">D3314*E3314</f>
        <v>65.16</v>
      </c>
      <c r="G3314" s="7" t="n">
        <v>89</v>
      </c>
      <c r="H3314" s="9" t="n">
        <f aca="false">IF(G3314&gt;0,D3314/G3314,"")</f>
        <v>61.5280898876405</v>
      </c>
      <c r="I3314" s="10" t="n">
        <v>46300</v>
      </c>
      <c r="J3314" s="3" t="s">
        <v>4680</v>
      </c>
      <c r="K3314" s="10" t="n">
        <v>45325</v>
      </c>
      <c r="L3314" s="3" t="s">
        <v>19</v>
      </c>
      <c r="M3314" s="7" t="n">
        <v>1000</v>
      </c>
      <c r="N3314" s="8" t="n">
        <v>0.0255</v>
      </c>
      <c r="O3314" s="4" t="n">
        <f aca="false">M3314*N3314</f>
        <v>25.5</v>
      </c>
    </row>
    <row r="3315" customFormat="false" ht="15" hidden="false" customHeight="false" outlineLevel="0" collapsed="false">
      <c r="A3315" s="0" t="s">
        <v>4681</v>
      </c>
      <c r="C3315" s="0" t="s">
        <v>1169</v>
      </c>
      <c r="D3315" s="7" t="n">
        <v>946</v>
      </c>
      <c r="E3315" s="8" t="n">
        <v>0.0688372093023256</v>
      </c>
      <c r="F3315" s="4" t="n">
        <f aca="false">D3315*E3315</f>
        <v>65.12</v>
      </c>
      <c r="G3315" s="7" t="n">
        <v>100</v>
      </c>
      <c r="H3315" s="9" t="n">
        <f aca="false">IF(G3315&gt;0,D3315/G3315,"")</f>
        <v>9.46</v>
      </c>
      <c r="I3315" s="10" t="n">
        <v>46121</v>
      </c>
      <c r="J3315" s="3" t="s">
        <v>3509</v>
      </c>
      <c r="K3315" s="10" t="n">
        <v>45917</v>
      </c>
      <c r="L3315" s="3" t="s">
        <v>21</v>
      </c>
      <c r="M3315" s="7" t="n">
        <v>1000</v>
      </c>
      <c r="N3315" s="8" t="n">
        <v>0.065</v>
      </c>
      <c r="O3315" s="4" t="n">
        <f aca="false">M3315*N3315</f>
        <v>65</v>
      </c>
    </row>
    <row r="3316" customFormat="false" ht="15" hidden="false" customHeight="false" outlineLevel="0" collapsed="false">
      <c r="A3316" s="0" t="s">
        <v>4682</v>
      </c>
      <c r="C3316" s="0" t="s">
        <v>462</v>
      </c>
      <c r="D3316" s="7" t="n">
        <v>8751</v>
      </c>
      <c r="E3316" s="8" t="n">
        <v>0.00743800708490458</v>
      </c>
      <c r="F3316" s="4" t="n">
        <f aca="false">D3316*E3316</f>
        <v>65.09</v>
      </c>
      <c r="G3316" s="7" t="n">
        <v>89</v>
      </c>
      <c r="H3316" s="9" t="n">
        <f aca="false">IF(G3316&gt;0,D3316/G3316,"")</f>
        <v>98.3258426966292</v>
      </c>
      <c r="I3316" s="10" t="n">
        <v>46315</v>
      </c>
      <c r="J3316" s="3" t="s">
        <v>302</v>
      </c>
      <c r="K3316" s="10" t="n">
        <v>45520</v>
      </c>
      <c r="L3316" s="3" t="s">
        <v>15</v>
      </c>
      <c r="M3316" s="7" t="n">
        <v>8940</v>
      </c>
      <c r="N3316" s="8" t="n">
        <v>0.00744</v>
      </c>
      <c r="O3316" s="4" t="n">
        <f aca="false">M3316*N3316</f>
        <v>66.5136</v>
      </c>
    </row>
    <row r="3317" customFormat="false" ht="15" hidden="false" customHeight="false" outlineLevel="0" collapsed="false">
      <c r="A3317" s="0" t="s">
        <v>4683</v>
      </c>
      <c r="C3317" s="0" t="s">
        <v>32</v>
      </c>
      <c r="D3317" s="7" t="n">
        <v>301</v>
      </c>
      <c r="E3317" s="8" t="n">
        <v>0.216046511627907</v>
      </c>
      <c r="F3317" s="4" t="n">
        <f aca="false">D3317*E3317</f>
        <v>65.03</v>
      </c>
      <c r="G3317" s="7" t="n">
        <v>239</v>
      </c>
      <c r="H3317" s="9" t="n">
        <f aca="false">IF(G3317&gt;0,D3317/G3317,"")</f>
        <v>1.25941422594142</v>
      </c>
      <c r="I3317" s="10" t="n">
        <v>46189</v>
      </c>
      <c r="J3317" s="3" t="s">
        <v>75</v>
      </c>
      <c r="K3317" s="10" t="n">
        <v>44385</v>
      </c>
      <c r="L3317" s="3" t="s">
        <v>15</v>
      </c>
      <c r="M3317" s="7" t="n">
        <v>153</v>
      </c>
      <c r="N3317" s="8" t="n">
        <v>0.17064</v>
      </c>
      <c r="O3317" s="4" t="n">
        <f aca="false">M3317*N3317</f>
        <v>26.10792</v>
      </c>
    </row>
    <row r="3318" customFormat="false" ht="15" hidden="false" customHeight="false" outlineLevel="0" collapsed="false">
      <c r="A3318" s="0" t="s">
        <v>4684</v>
      </c>
      <c r="C3318" s="0" t="s">
        <v>31</v>
      </c>
      <c r="D3318" s="7" t="n">
        <v>18799</v>
      </c>
      <c r="E3318" s="8" t="n">
        <v>0.00345656683866163</v>
      </c>
      <c r="F3318" s="4" t="n">
        <f aca="false">D3318*E3318</f>
        <v>64.98</v>
      </c>
      <c r="G3318" s="7" t="n">
        <v>11712</v>
      </c>
      <c r="H3318" s="9" t="n">
        <f aca="false">IF(G3318&gt;0,D3318/G3318,"")</f>
        <v>1.60510587431694</v>
      </c>
      <c r="I3318" s="10" t="n">
        <v>46310</v>
      </c>
      <c r="K3318" s="10"/>
      <c r="M3318" s="7"/>
      <c r="N3318" s="8"/>
      <c r="O3318" s="4"/>
    </row>
    <row r="3319" customFormat="false" ht="15" hidden="false" customHeight="false" outlineLevel="0" collapsed="false">
      <c r="A3319" s="0" t="s">
        <v>4685</v>
      </c>
      <c r="C3319" s="0" t="s">
        <v>40</v>
      </c>
      <c r="D3319" s="7" t="n">
        <v>16656</v>
      </c>
      <c r="E3319" s="8" t="n">
        <v>0.00389949567723343</v>
      </c>
      <c r="F3319" s="4" t="n">
        <f aca="false">D3319*E3319</f>
        <v>64.95</v>
      </c>
      <c r="G3319" s="7" t="n">
        <v>2153</v>
      </c>
      <c r="H3319" s="9" t="n">
        <f aca="false">IF(G3319&gt;0,D3319/G3319,"")</f>
        <v>7.7361820715281</v>
      </c>
      <c r="I3319" s="10" t="n">
        <v>46260</v>
      </c>
      <c r="J3319" s="3" t="s">
        <v>4686</v>
      </c>
      <c r="K3319" s="10" t="n">
        <v>44250</v>
      </c>
      <c r="L3319" s="3" t="s">
        <v>18</v>
      </c>
      <c r="M3319" s="7" t="n">
        <v>26000</v>
      </c>
      <c r="N3319" s="8" t="n">
        <v>0.0039</v>
      </c>
      <c r="O3319" s="4" t="n">
        <f aca="false">M3319*N3319</f>
        <v>101.4</v>
      </c>
    </row>
    <row r="3320" customFormat="false" ht="15" hidden="false" customHeight="false" outlineLevel="0" collapsed="false">
      <c r="A3320" s="0" t="s">
        <v>4687</v>
      </c>
      <c r="C3320" s="0" t="s">
        <v>1169</v>
      </c>
      <c r="D3320" s="7" t="n">
        <v>1584</v>
      </c>
      <c r="E3320" s="8" t="n">
        <v>0.0409974747474748</v>
      </c>
      <c r="F3320" s="4" t="n">
        <f aca="false">D3320*E3320</f>
        <v>64.94</v>
      </c>
      <c r="G3320" s="7" t="n">
        <v>346</v>
      </c>
      <c r="H3320" s="9" t="n">
        <f aca="false">IF(G3320&gt;0,D3320/G3320,"")</f>
        <v>4.57803468208093</v>
      </c>
      <c r="I3320" s="10" t="n">
        <v>46216</v>
      </c>
      <c r="J3320" s="3" t="s">
        <v>2903</v>
      </c>
      <c r="K3320" s="10" t="n">
        <v>44301</v>
      </c>
      <c r="L3320" s="3" t="s">
        <v>21</v>
      </c>
      <c r="M3320" s="7" t="n">
        <v>3000</v>
      </c>
      <c r="N3320" s="8" t="n">
        <v>0.041</v>
      </c>
      <c r="O3320" s="4" t="n">
        <f aca="false">M3320*N3320</f>
        <v>123</v>
      </c>
    </row>
    <row r="3321" customFormat="false" ht="15" hidden="false" customHeight="false" outlineLevel="0" collapsed="false">
      <c r="A3321" s="0" t="s">
        <v>4688</v>
      </c>
      <c r="C3321" s="0" t="s">
        <v>41</v>
      </c>
      <c r="D3321" s="7" t="n">
        <v>4543</v>
      </c>
      <c r="E3321" s="8" t="n">
        <v>0.0142835130970724</v>
      </c>
      <c r="F3321" s="4" t="n">
        <f aca="false">D3321*E3321</f>
        <v>64.89</v>
      </c>
      <c r="G3321" s="7" t="n">
        <v>289</v>
      </c>
      <c r="H3321" s="9" t="n">
        <f aca="false">IF(G3321&gt;0,D3321/G3321,"")</f>
        <v>15.719723183391</v>
      </c>
      <c r="I3321" s="10" t="n">
        <v>46308</v>
      </c>
      <c r="J3321" s="3" t="s">
        <v>4253</v>
      </c>
      <c r="K3321" s="10" t="n">
        <v>45705</v>
      </c>
      <c r="L3321" s="3" t="s">
        <v>26</v>
      </c>
      <c r="M3321" s="7" t="n">
        <v>5000</v>
      </c>
      <c r="N3321" s="8" t="n">
        <v>0.0143</v>
      </c>
      <c r="O3321" s="4" t="n">
        <f aca="false">M3321*N3321</f>
        <v>71.5</v>
      </c>
    </row>
    <row r="3322" customFormat="false" ht="15" hidden="false" customHeight="false" outlineLevel="0" collapsed="false">
      <c r="A3322" s="0" t="s">
        <v>4689</v>
      </c>
      <c r="D3322" s="7" t="n">
        <v>21</v>
      </c>
      <c r="E3322" s="8" t="n">
        <v>3.09</v>
      </c>
      <c r="F3322" s="4" t="n">
        <f aca="false">D3322*E3322</f>
        <v>64.89</v>
      </c>
      <c r="G3322" s="7" t="n">
        <v>2</v>
      </c>
      <c r="H3322" s="9" t="n">
        <f aca="false">IF(G3322&gt;0,D3322/G3322,"")</f>
        <v>10.5</v>
      </c>
      <c r="I3322" s="10" t="n">
        <v>46251</v>
      </c>
      <c r="J3322" s="3" t="s">
        <v>4690</v>
      </c>
      <c r="K3322" s="10" t="n">
        <v>45509</v>
      </c>
      <c r="L3322" s="3" t="s">
        <v>14</v>
      </c>
      <c r="M3322" s="7" t="n">
        <v>25</v>
      </c>
      <c r="N3322" s="8" t="n">
        <v>3.09</v>
      </c>
      <c r="O3322" s="4" t="n">
        <f aca="false">M3322*N3322</f>
        <v>77.25</v>
      </c>
    </row>
    <row r="3323" customFormat="false" ht="15" hidden="false" customHeight="false" outlineLevel="0" collapsed="false">
      <c r="A3323" s="0" t="s">
        <v>4691</v>
      </c>
      <c r="C3323" s="0" t="s">
        <v>41</v>
      </c>
      <c r="D3323" s="7" t="n">
        <v>7733</v>
      </c>
      <c r="E3323" s="8" t="n">
        <v>0.00838872365188155</v>
      </c>
      <c r="F3323" s="4" t="n">
        <f aca="false">D3323*E3323</f>
        <v>64.87</v>
      </c>
      <c r="G3323" s="7" t="n">
        <v>1554</v>
      </c>
      <c r="H3323" s="9" t="n">
        <f aca="false">IF(G3323&gt;0,D3323/G3323,"")</f>
        <v>4.97619047619048</v>
      </c>
      <c r="I3323" s="10" t="n">
        <v>46238</v>
      </c>
      <c r="J3323" s="3" t="s">
        <v>2551</v>
      </c>
      <c r="K3323" s="10" t="n">
        <v>46210</v>
      </c>
      <c r="L3323" s="3" t="s">
        <v>16</v>
      </c>
      <c r="M3323" s="7" t="n">
        <v>7300</v>
      </c>
      <c r="N3323" s="8" t="n">
        <v>0.0069</v>
      </c>
      <c r="O3323" s="4" t="n">
        <f aca="false">M3323*N3323</f>
        <v>50.37</v>
      </c>
    </row>
    <row r="3324" customFormat="false" ht="15" hidden="false" customHeight="false" outlineLevel="0" collapsed="false">
      <c r="A3324" s="0" t="s">
        <v>4692</v>
      </c>
      <c r="C3324" s="0" t="s">
        <v>41</v>
      </c>
      <c r="D3324" s="7" t="n">
        <v>4840</v>
      </c>
      <c r="E3324" s="8" t="n">
        <v>0.013400826446281</v>
      </c>
      <c r="F3324" s="4" t="n">
        <f aca="false">D3324*E3324</f>
        <v>64.86</v>
      </c>
      <c r="G3324" s="7" t="n">
        <v>79</v>
      </c>
      <c r="H3324" s="9" t="n">
        <f aca="false">IF(G3324&gt;0,D3324/G3324,"")</f>
        <v>61.2658227848101</v>
      </c>
      <c r="I3324" s="10" t="n">
        <v>46280</v>
      </c>
      <c r="K3324" s="10"/>
      <c r="M3324" s="7"/>
      <c r="N3324" s="8"/>
      <c r="O3324" s="4"/>
    </row>
    <row r="3325" customFormat="false" ht="15" hidden="false" customHeight="false" outlineLevel="0" collapsed="false">
      <c r="A3325" s="0" t="s">
        <v>4693</v>
      </c>
      <c r="C3325" s="0" t="s">
        <v>340</v>
      </c>
      <c r="D3325" s="7" t="n">
        <v>354</v>
      </c>
      <c r="E3325" s="8" t="n">
        <v>0.18319209039548</v>
      </c>
      <c r="F3325" s="4" t="n">
        <f aca="false">D3325*E3325</f>
        <v>64.85</v>
      </c>
      <c r="G3325" s="7" t="n">
        <v>10</v>
      </c>
      <c r="H3325" s="9" t="n">
        <f aca="false">IF(G3325&gt;0,D3325/G3325,"")</f>
        <v>35.4</v>
      </c>
      <c r="I3325" s="10" t="n">
        <v>46056</v>
      </c>
      <c r="J3325" s="3" t="s">
        <v>1107</v>
      </c>
      <c r="K3325" s="10" t="n">
        <v>46035</v>
      </c>
      <c r="L3325" s="3" t="s">
        <v>16</v>
      </c>
      <c r="M3325" s="7" t="n">
        <v>364</v>
      </c>
      <c r="N3325" s="8" t="n">
        <v>0.1832</v>
      </c>
      <c r="O3325" s="4" t="n">
        <f aca="false">M3325*N3325</f>
        <v>66.6848</v>
      </c>
    </row>
    <row r="3326" customFormat="false" ht="15" hidden="false" customHeight="false" outlineLevel="0" collapsed="false">
      <c r="A3326" s="0" t="s">
        <v>4694</v>
      </c>
      <c r="C3326" s="0" t="s">
        <v>799</v>
      </c>
      <c r="D3326" s="7" t="n">
        <v>14</v>
      </c>
      <c r="E3326" s="8" t="n">
        <v>4.63214285714286</v>
      </c>
      <c r="F3326" s="4" t="n">
        <f aca="false">D3326*E3326</f>
        <v>64.85</v>
      </c>
      <c r="G3326" s="7" t="n">
        <v>4</v>
      </c>
      <c r="H3326" s="9" t="n">
        <f aca="false">IF(G3326&gt;0,D3326/G3326,"")</f>
        <v>3.5</v>
      </c>
      <c r="I3326" s="10" t="n">
        <v>46133</v>
      </c>
      <c r="J3326" s="3" t="s">
        <v>4695</v>
      </c>
      <c r="K3326" s="10" t="n">
        <v>45023</v>
      </c>
      <c r="L3326" s="3" t="s">
        <v>1175</v>
      </c>
      <c r="M3326" s="7" t="n">
        <v>4</v>
      </c>
      <c r="N3326" s="8" t="n">
        <v>10.9798</v>
      </c>
      <c r="O3326" s="4" t="n">
        <f aca="false">M3326*N3326</f>
        <v>43.9192</v>
      </c>
    </row>
    <row r="3327" customFormat="false" ht="15" hidden="false" customHeight="false" outlineLevel="0" collapsed="false">
      <c r="A3327" s="0" t="s">
        <v>4696</v>
      </c>
      <c r="D3327" s="7" t="n">
        <v>425</v>
      </c>
      <c r="E3327" s="8" t="n">
        <v>0.152588235294118</v>
      </c>
      <c r="F3327" s="4" t="n">
        <f aca="false">D3327*E3327</f>
        <v>64.85</v>
      </c>
      <c r="G3327" s="7" t="n">
        <v>100</v>
      </c>
      <c r="H3327" s="9" t="n">
        <f aca="false">IF(G3327&gt;0,D3327/G3327,"")</f>
        <v>4.25</v>
      </c>
      <c r="I3327" s="10" t="n">
        <v>46308</v>
      </c>
      <c r="J3327" s="3" t="s">
        <v>3412</v>
      </c>
      <c r="K3327" s="10" t="n">
        <v>46303</v>
      </c>
      <c r="L3327" s="3" t="s">
        <v>19</v>
      </c>
      <c r="M3327" s="7" t="n">
        <v>125</v>
      </c>
      <c r="N3327" s="8" t="n">
        <v>0.557</v>
      </c>
      <c r="O3327" s="4" t="n">
        <f aca="false">M3327*N3327</f>
        <v>69.625</v>
      </c>
    </row>
    <row r="3328" customFormat="false" ht="15" hidden="false" customHeight="false" outlineLevel="0" collapsed="false">
      <c r="A3328" s="0" t="s">
        <v>4697</v>
      </c>
      <c r="C3328" s="0" t="s">
        <v>1010</v>
      </c>
      <c r="D3328" s="7" t="n">
        <v>670</v>
      </c>
      <c r="E3328" s="8" t="n">
        <v>0.0967761194029851</v>
      </c>
      <c r="F3328" s="4" t="n">
        <f aca="false">D3328*E3328</f>
        <v>64.84</v>
      </c>
      <c r="G3328" s="7" t="n">
        <v>10</v>
      </c>
      <c r="H3328" s="9" t="n">
        <f aca="false">IF(G3328&gt;0,D3328/G3328,"")</f>
        <v>67</v>
      </c>
      <c r="I3328" s="10" t="n">
        <v>46111</v>
      </c>
      <c r="K3328" s="10"/>
      <c r="M3328" s="7"/>
      <c r="N3328" s="8"/>
      <c r="O3328" s="4"/>
    </row>
    <row r="3329" customFormat="false" ht="15" hidden="false" customHeight="false" outlineLevel="0" collapsed="false">
      <c r="A3329" s="0" t="s">
        <v>4698</v>
      </c>
      <c r="C3329" s="0" t="s">
        <v>34</v>
      </c>
      <c r="D3329" s="7" t="n">
        <v>593</v>
      </c>
      <c r="E3329" s="8" t="n">
        <v>0.10929173693086</v>
      </c>
      <c r="F3329" s="4" t="n">
        <f aca="false">D3329*E3329</f>
        <v>64.81</v>
      </c>
      <c r="G3329" s="7" t="n">
        <v>250</v>
      </c>
      <c r="H3329" s="9" t="n">
        <f aca="false">IF(G3329&gt;0,D3329/G3329,"")</f>
        <v>2.372</v>
      </c>
      <c r="I3329" s="10" t="n">
        <v>46315</v>
      </c>
      <c r="J3329" s="3" t="s">
        <v>1872</v>
      </c>
      <c r="K3329" s="10" t="n">
        <v>46290</v>
      </c>
      <c r="L3329" s="3" t="s">
        <v>19</v>
      </c>
      <c r="M3329" s="7" t="n">
        <v>250</v>
      </c>
      <c r="N3329" s="8" t="n">
        <v>0.4605</v>
      </c>
      <c r="O3329" s="4" t="n">
        <f aca="false">M3329*N3329</f>
        <v>115.125</v>
      </c>
    </row>
    <row r="3330" customFormat="false" ht="15" hidden="false" customHeight="false" outlineLevel="0" collapsed="false">
      <c r="A3330" s="0" t="s">
        <v>4699</v>
      </c>
      <c r="C3330" s="0" t="s">
        <v>979</v>
      </c>
      <c r="D3330" s="7" t="n">
        <v>6610</v>
      </c>
      <c r="E3330" s="8" t="n">
        <v>0.00980030257186082</v>
      </c>
      <c r="F3330" s="4" t="n">
        <f aca="false">D3330*E3330</f>
        <v>64.78</v>
      </c>
      <c r="G3330" s="7" t="n">
        <v>2511</v>
      </c>
      <c r="H3330" s="9" t="n">
        <f aca="false">IF(G3330&gt;0,D3330/G3330,"")</f>
        <v>2.63241736360016</v>
      </c>
      <c r="I3330" s="10" t="n">
        <v>46296</v>
      </c>
      <c r="J3330" s="3" t="s">
        <v>4148</v>
      </c>
      <c r="K3330" s="10" t="n">
        <v>45814</v>
      </c>
      <c r="L3330" s="3" t="s">
        <v>18</v>
      </c>
      <c r="M3330" s="7" t="n">
        <v>10000</v>
      </c>
      <c r="N3330" s="8" t="n">
        <v>0.0098</v>
      </c>
      <c r="O3330" s="4" t="n">
        <f aca="false">M3330*N3330</f>
        <v>98</v>
      </c>
    </row>
    <row r="3331" customFormat="false" ht="15" hidden="false" customHeight="false" outlineLevel="0" collapsed="false">
      <c r="A3331" s="0" t="s">
        <v>4700</v>
      </c>
      <c r="C3331" s="0" t="s">
        <v>31</v>
      </c>
      <c r="D3331" s="7" t="n">
        <v>9522</v>
      </c>
      <c r="E3331" s="8" t="n">
        <v>0.00680109220751943</v>
      </c>
      <c r="F3331" s="4" t="n">
        <f aca="false">D3331*E3331</f>
        <v>64.76</v>
      </c>
      <c r="G3331" s="7" t="n">
        <v>134</v>
      </c>
      <c r="H3331" s="9" t="n">
        <f aca="false">IF(G3331&gt;0,D3331/G3331,"")</f>
        <v>71.0597014925373</v>
      </c>
      <c r="I3331" s="10" t="n">
        <v>46226</v>
      </c>
      <c r="K3331" s="10"/>
      <c r="M3331" s="7"/>
      <c r="N3331" s="8"/>
      <c r="O3331" s="4"/>
    </row>
    <row r="3332" customFormat="false" ht="15" hidden="false" customHeight="false" outlineLevel="0" collapsed="false">
      <c r="A3332" s="0" t="s">
        <v>4701</v>
      </c>
      <c r="C3332" s="0" t="s">
        <v>34</v>
      </c>
      <c r="D3332" s="7" t="n">
        <v>2472</v>
      </c>
      <c r="E3332" s="8" t="n">
        <v>0.0261974110032362</v>
      </c>
      <c r="F3332" s="4" t="n">
        <f aca="false">D3332*E3332</f>
        <v>64.76</v>
      </c>
      <c r="G3332" s="7" t="n">
        <v>217</v>
      </c>
      <c r="H3332" s="9" t="n">
        <f aca="false">IF(G3332&gt;0,D3332/G3332,"")</f>
        <v>11.3917050691244</v>
      </c>
      <c r="I3332" s="10" t="n">
        <v>46171</v>
      </c>
      <c r="J3332" s="3" t="s">
        <v>4260</v>
      </c>
      <c r="K3332" s="10" t="n">
        <v>45659</v>
      </c>
      <c r="L3332" s="3" t="s">
        <v>16</v>
      </c>
      <c r="M3332" s="7" t="n">
        <v>2800</v>
      </c>
      <c r="N3332" s="8" t="n">
        <v>0.0262</v>
      </c>
      <c r="O3332" s="4" t="n">
        <f aca="false">M3332*N3332</f>
        <v>73.36</v>
      </c>
    </row>
    <row r="3333" customFormat="false" ht="15" hidden="false" customHeight="false" outlineLevel="0" collapsed="false">
      <c r="A3333" s="0" t="s">
        <v>4702</v>
      </c>
      <c r="C3333" s="0" t="s">
        <v>61</v>
      </c>
      <c r="D3333" s="7" t="n">
        <v>751</v>
      </c>
      <c r="E3333" s="8" t="n">
        <v>0.0862183754993342</v>
      </c>
      <c r="F3333" s="4" t="n">
        <f aca="false">D3333*E3333</f>
        <v>64.75</v>
      </c>
      <c r="G3333" s="7" t="n">
        <v>412</v>
      </c>
      <c r="H3333" s="9" t="n">
        <f aca="false">IF(G3333&gt;0,D3333/G3333,"")</f>
        <v>1.82281553398058</v>
      </c>
      <c r="I3333" s="10" t="n">
        <v>46202</v>
      </c>
      <c r="K3333" s="10"/>
      <c r="M3333" s="7"/>
      <c r="N3333" s="8"/>
      <c r="O3333" s="4"/>
    </row>
    <row r="3334" customFormat="false" ht="15" hidden="false" customHeight="false" outlineLevel="0" collapsed="false">
      <c r="A3334" s="0" t="s">
        <v>4703</v>
      </c>
      <c r="C3334" s="0" t="s">
        <v>34</v>
      </c>
      <c r="D3334" s="7" t="n">
        <v>6125</v>
      </c>
      <c r="E3334" s="8" t="n">
        <v>0.0105665306122449</v>
      </c>
      <c r="F3334" s="4" t="n">
        <f aca="false">D3334*E3334</f>
        <v>64.72</v>
      </c>
      <c r="G3334" s="7" t="n">
        <v>569</v>
      </c>
      <c r="H3334" s="9" t="n">
        <f aca="false">IF(G3334&gt;0,D3334/G3334,"")</f>
        <v>10.7644991212654</v>
      </c>
      <c r="I3334" s="10" t="n">
        <v>46286</v>
      </c>
      <c r="J3334" s="3" t="s">
        <v>4704</v>
      </c>
      <c r="K3334" s="10" t="n">
        <v>44222</v>
      </c>
      <c r="L3334" s="3" t="s">
        <v>19</v>
      </c>
      <c r="M3334" s="7" t="n">
        <v>500</v>
      </c>
      <c r="N3334" s="8" t="n">
        <v>0.0366</v>
      </c>
      <c r="O3334" s="4" t="n">
        <f aca="false">M3334*N3334</f>
        <v>18.3</v>
      </c>
    </row>
    <row r="3335" customFormat="false" ht="15" hidden="false" customHeight="false" outlineLevel="0" collapsed="false">
      <c r="A3335" s="0" t="s">
        <v>4705</v>
      </c>
      <c r="C3335" s="0" t="s">
        <v>1169</v>
      </c>
      <c r="D3335" s="7" t="n">
        <v>1703</v>
      </c>
      <c r="E3335" s="8" t="n">
        <v>0.0379976512037581</v>
      </c>
      <c r="F3335" s="4" t="n">
        <f aca="false">D3335*E3335</f>
        <v>64.71</v>
      </c>
      <c r="G3335" s="7" t="n">
        <v>86</v>
      </c>
      <c r="H3335" s="9" t="n">
        <f aca="false">IF(G3335&gt;0,D3335/G3335,"")</f>
        <v>19.8023255813953</v>
      </c>
      <c r="I3335" s="10" t="n">
        <v>46133</v>
      </c>
      <c r="J3335" s="3" t="s">
        <v>2903</v>
      </c>
      <c r="K3335" s="10" t="n">
        <v>44301</v>
      </c>
      <c r="L3335" s="3" t="s">
        <v>21</v>
      </c>
      <c r="M3335" s="7" t="n">
        <v>3000</v>
      </c>
      <c r="N3335" s="8" t="n">
        <v>0.038</v>
      </c>
      <c r="O3335" s="4" t="n">
        <f aca="false">M3335*N3335</f>
        <v>114</v>
      </c>
    </row>
    <row r="3336" customFormat="false" ht="15" hidden="false" customHeight="false" outlineLevel="0" collapsed="false">
      <c r="A3336" s="0" t="s">
        <v>4706</v>
      </c>
      <c r="C3336" s="0" t="s">
        <v>31</v>
      </c>
      <c r="D3336" s="7" t="n">
        <v>1778</v>
      </c>
      <c r="E3336" s="8" t="n">
        <v>0.0363892013498313</v>
      </c>
      <c r="F3336" s="4" t="n">
        <f aca="false">D3336*E3336</f>
        <v>64.7</v>
      </c>
      <c r="G3336" s="7" t="n">
        <v>954</v>
      </c>
      <c r="H3336" s="9" t="n">
        <f aca="false">IF(G3336&gt;0,D3336/G3336,"")</f>
        <v>1.86373165618449</v>
      </c>
      <c r="I3336" s="10" t="n">
        <v>46111</v>
      </c>
      <c r="K3336" s="10"/>
      <c r="M3336" s="7"/>
      <c r="N3336" s="8"/>
      <c r="O3336" s="4"/>
    </row>
    <row r="3337" customFormat="false" ht="15" hidden="false" customHeight="false" outlineLevel="0" collapsed="false">
      <c r="A3337" s="0" t="s">
        <v>4707</v>
      </c>
      <c r="C3337" s="0" t="s">
        <v>298</v>
      </c>
      <c r="D3337" s="7" t="n">
        <v>330</v>
      </c>
      <c r="E3337" s="8" t="n">
        <v>0.196030303030303</v>
      </c>
      <c r="F3337" s="4" t="n">
        <f aca="false">D3337*E3337</f>
        <v>64.69</v>
      </c>
      <c r="G3337" s="7" t="n">
        <v>200</v>
      </c>
      <c r="H3337" s="9" t="n">
        <f aca="false">IF(G3337&gt;0,D3337/G3337,"")</f>
        <v>1.65</v>
      </c>
      <c r="I3337" s="10" t="n">
        <v>46205</v>
      </c>
      <c r="K3337" s="10"/>
      <c r="M3337" s="7"/>
      <c r="N3337" s="8"/>
      <c r="O3337" s="4"/>
    </row>
    <row r="3338" customFormat="false" ht="15" hidden="false" customHeight="false" outlineLevel="0" collapsed="false">
      <c r="A3338" s="0" t="s">
        <v>4708</v>
      </c>
      <c r="C3338" s="0" t="s">
        <v>497</v>
      </c>
      <c r="D3338" s="7" t="n">
        <v>414</v>
      </c>
      <c r="E3338" s="8" t="n">
        <v>0.156231884057971</v>
      </c>
      <c r="F3338" s="4" t="n">
        <f aca="false">D3338*E3338</f>
        <v>64.68</v>
      </c>
      <c r="G3338" s="7" t="n">
        <v>80</v>
      </c>
      <c r="H3338" s="9" t="n">
        <f aca="false">IF(G3338&gt;0,D3338/G3338,"")</f>
        <v>5.175</v>
      </c>
      <c r="I3338" s="10" t="n">
        <v>46253</v>
      </c>
      <c r="J3338" s="3" t="s">
        <v>4709</v>
      </c>
      <c r="K3338" s="10" t="n">
        <v>44618</v>
      </c>
      <c r="L3338" s="3" t="s">
        <v>936</v>
      </c>
      <c r="M3338" s="7" t="n">
        <v>999</v>
      </c>
      <c r="N3338" s="8" t="n">
        <v>0.1562</v>
      </c>
      <c r="O3338" s="4" t="n">
        <f aca="false">M3338*N3338</f>
        <v>156.0438</v>
      </c>
    </row>
    <row r="3339" customFormat="false" ht="15" hidden="false" customHeight="false" outlineLevel="0" collapsed="false">
      <c r="A3339" s="0" t="s">
        <v>4710</v>
      </c>
      <c r="C3339" s="0" t="s">
        <v>40</v>
      </c>
      <c r="D3339" s="7" t="n">
        <v>333</v>
      </c>
      <c r="E3339" s="8" t="n">
        <v>0.194204204204204</v>
      </c>
      <c r="F3339" s="4" t="n">
        <f aca="false">D3339*E3339</f>
        <v>64.67</v>
      </c>
      <c r="G3339" s="7" t="n">
        <v>85</v>
      </c>
      <c r="H3339" s="9" t="n">
        <f aca="false">IF(G3339&gt;0,D3339/G3339,"")</f>
        <v>3.91764705882353</v>
      </c>
      <c r="I3339" s="10" t="n">
        <v>46304</v>
      </c>
      <c r="J3339" s="3" t="s">
        <v>4711</v>
      </c>
      <c r="K3339" s="10" t="n">
        <v>45194</v>
      </c>
      <c r="L3339" s="3" t="s">
        <v>18</v>
      </c>
      <c r="M3339" s="7" t="n">
        <v>510</v>
      </c>
      <c r="N3339" s="8" t="n">
        <v>0.1942</v>
      </c>
      <c r="O3339" s="4" t="n">
        <f aca="false">M3339*N3339</f>
        <v>99.042</v>
      </c>
    </row>
    <row r="3340" customFormat="false" ht="15" hidden="false" customHeight="false" outlineLevel="0" collapsed="false">
      <c r="A3340" s="0" t="s">
        <v>4712</v>
      </c>
      <c r="C3340" s="0" t="s">
        <v>31</v>
      </c>
      <c r="D3340" s="7" t="n">
        <v>20645</v>
      </c>
      <c r="E3340" s="8" t="n">
        <v>0.00312908694599177</v>
      </c>
      <c r="F3340" s="4" t="n">
        <f aca="false">D3340*E3340</f>
        <v>64.6</v>
      </c>
      <c r="G3340" s="7" t="n">
        <v>2312</v>
      </c>
      <c r="H3340" s="9" t="n">
        <f aca="false">IF(G3340&gt;0,D3340/G3340,"")</f>
        <v>8.92949826989619</v>
      </c>
      <c r="I3340" s="10" t="n">
        <v>46265</v>
      </c>
      <c r="J3340" s="3" t="s">
        <v>1584</v>
      </c>
      <c r="K3340" s="10" t="n">
        <v>45275</v>
      </c>
      <c r="L3340" s="3" t="s">
        <v>15</v>
      </c>
      <c r="M3340" s="7" t="n">
        <v>28800</v>
      </c>
      <c r="N3340" s="8" t="n">
        <v>0.00313</v>
      </c>
      <c r="O3340" s="4" t="n">
        <f aca="false">M3340*N3340</f>
        <v>90.144</v>
      </c>
    </row>
    <row r="3341" customFormat="false" ht="15" hidden="false" customHeight="false" outlineLevel="0" collapsed="false">
      <c r="A3341" s="0" t="s">
        <v>4713</v>
      </c>
      <c r="C3341" s="0" t="s">
        <v>1161</v>
      </c>
      <c r="D3341" s="7" t="n">
        <v>485</v>
      </c>
      <c r="E3341" s="8" t="n">
        <v>0.133154639175258</v>
      </c>
      <c r="F3341" s="4" t="n">
        <f aca="false">D3341*E3341</f>
        <v>64.58</v>
      </c>
      <c r="G3341" s="7" t="n">
        <v>419</v>
      </c>
      <c r="H3341" s="9" t="n">
        <f aca="false">IF(G3341&gt;0,D3341/G3341,"")</f>
        <v>1.15751789976134</v>
      </c>
      <c r="I3341" s="10" t="n">
        <v>46273</v>
      </c>
      <c r="J3341" s="3" t="s">
        <v>4714</v>
      </c>
      <c r="K3341" s="10" t="n">
        <v>44676</v>
      </c>
      <c r="L3341" s="3" t="s">
        <v>936</v>
      </c>
      <c r="M3341" s="7" t="n">
        <v>1296</v>
      </c>
      <c r="N3341" s="8" t="n">
        <v>0.134</v>
      </c>
      <c r="O3341" s="4" t="n">
        <v>173.262</v>
      </c>
    </row>
    <row r="3342" customFormat="false" ht="15" hidden="false" customHeight="false" outlineLevel="0" collapsed="false">
      <c r="A3342" s="0" t="s">
        <v>4715</v>
      </c>
      <c r="C3342" s="0" t="s">
        <v>31</v>
      </c>
      <c r="D3342" s="7" t="n">
        <v>31464</v>
      </c>
      <c r="E3342" s="8" t="n">
        <v>0.00205218662598525</v>
      </c>
      <c r="F3342" s="4" t="n">
        <f aca="false">D3342*E3342</f>
        <v>64.57</v>
      </c>
      <c r="G3342" s="7" t="n">
        <v>21015</v>
      </c>
      <c r="H3342" s="9" t="n">
        <f aca="false">IF(G3342&gt;0,D3342/G3342,"")</f>
        <v>1.49721627408994</v>
      </c>
      <c r="I3342" s="10" t="n">
        <v>46309</v>
      </c>
      <c r="J3342" s="3" t="s">
        <v>2267</v>
      </c>
      <c r="K3342" s="10" t="n">
        <v>45946</v>
      </c>
      <c r="L3342" s="3" t="s">
        <v>16</v>
      </c>
      <c r="M3342" s="7" t="n">
        <v>50000</v>
      </c>
      <c r="N3342" s="8" t="n">
        <v>0.002</v>
      </c>
      <c r="O3342" s="4" t="n">
        <f aca="false">M3342*N3342</f>
        <v>100</v>
      </c>
    </row>
    <row r="3343" customFormat="false" ht="15" hidden="false" customHeight="false" outlineLevel="0" collapsed="false">
      <c r="A3343" s="0" t="s">
        <v>4716</v>
      </c>
      <c r="C3343" s="0" t="s">
        <v>33</v>
      </c>
      <c r="D3343" s="7" t="n">
        <v>339</v>
      </c>
      <c r="E3343" s="8" t="n">
        <v>0.19047197640118</v>
      </c>
      <c r="F3343" s="4" t="n">
        <f aca="false">D3343*E3343</f>
        <v>64.57</v>
      </c>
      <c r="G3343" s="7" t="n">
        <v>51</v>
      </c>
      <c r="H3343" s="9" t="n">
        <f aca="false">IF(G3343&gt;0,D3343/G3343,"")</f>
        <v>6.64705882352941</v>
      </c>
      <c r="I3343" s="10" t="n">
        <v>46283</v>
      </c>
      <c r="K3343" s="10"/>
      <c r="M3343" s="7"/>
      <c r="N3343" s="8"/>
      <c r="O3343" s="4"/>
    </row>
    <row r="3344" customFormat="false" ht="15" hidden="false" customHeight="false" outlineLevel="0" collapsed="false">
      <c r="A3344" s="0" t="s">
        <v>4717</v>
      </c>
      <c r="C3344" s="0" t="s">
        <v>36</v>
      </c>
      <c r="D3344" s="7" t="n">
        <v>249</v>
      </c>
      <c r="E3344" s="8" t="n">
        <v>0.259277108433735</v>
      </c>
      <c r="F3344" s="4" t="n">
        <f aca="false">D3344*E3344</f>
        <v>64.56</v>
      </c>
      <c r="G3344" s="7" t="n">
        <v>4</v>
      </c>
      <c r="H3344" s="9" t="n">
        <f aca="false">IF(G3344&gt;0,D3344/G3344,"")</f>
        <v>62.25</v>
      </c>
      <c r="I3344" s="10" t="n">
        <v>46308</v>
      </c>
      <c r="J3344" s="3" t="s">
        <v>4718</v>
      </c>
      <c r="K3344" s="10" t="n">
        <v>45364</v>
      </c>
      <c r="L3344" s="3" t="s">
        <v>18</v>
      </c>
      <c r="M3344" s="7" t="n">
        <v>260</v>
      </c>
      <c r="N3344" s="8" t="n">
        <v>0.2593</v>
      </c>
      <c r="O3344" s="4" t="n">
        <f aca="false">M3344*N3344</f>
        <v>67.418</v>
      </c>
    </row>
    <row r="3345" customFormat="false" ht="15" hidden="false" customHeight="false" outlineLevel="0" collapsed="false">
      <c r="A3345" s="0" t="s">
        <v>4719</v>
      </c>
      <c r="C3345" s="0" t="s">
        <v>41</v>
      </c>
      <c r="D3345" s="7" t="n">
        <v>3878</v>
      </c>
      <c r="E3345" s="8" t="n">
        <v>0.0166425992779783</v>
      </c>
      <c r="F3345" s="4" t="n">
        <f aca="false">D3345*E3345</f>
        <v>64.54</v>
      </c>
      <c r="G3345" s="7" t="n">
        <v>2019</v>
      </c>
      <c r="H3345" s="9" t="n">
        <f aca="false">IF(G3345&gt;0,D3345/G3345,"")</f>
        <v>1.92075284794453</v>
      </c>
      <c r="I3345" s="10" t="n">
        <v>46290</v>
      </c>
      <c r="J3345" s="3" t="s">
        <v>628</v>
      </c>
      <c r="K3345" s="10" t="n">
        <v>46128</v>
      </c>
      <c r="L3345" s="3" t="s">
        <v>16</v>
      </c>
      <c r="M3345" s="7" t="n">
        <v>4000</v>
      </c>
      <c r="N3345" s="8" t="n">
        <v>0.0157</v>
      </c>
      <c r="O3345" s="4" t="n">
        <f aca="false">M3345*N3345</f>
        <v>62.8</v>
      </c>
    </row>
    <row r="3346" customFormat="false" ht="15" hidden="false" customHeight="false" outlineLevel="0" collapsed="false">
      <c r="A3346" s="0" t="s">
        <v>4720</v>
      </c>
      <c r="C3346" s="0" t="s">
        <v>285</v>
      </c>
      <c r="D3346" s="7" t="n">
        <v>2211</v>
      </c>
      <c r="E3346" s="8" t="n">
        <v>0.0291497060153777</v>
      </c>
      <c r="F3346" s="4" t="n">
        <f aca="false">D3346*E3346</f>
        <v>64.45</v>
      </c>
      <c r="G3346" s="7" t="n">
        <v>54</v>
      </c>
      <c r="H3346" s="9" t="n">
        <f aca="false">IF(G3346&gt;0,D3346/G3346,"")</f>
        <v>40.9444444444444</v>
      </c>
      <c r="I3346" s="10" t="n">
        <v>46211</v>
      </c>
      <c r="J3346" s="3" t="s">
        <v>4721</v>
      </c>
      <c r="K3346" s="10" t="n">
        <v>45083</v>
      </c>
      <c r="L3346" s="3" t="s">
        <v>15</v>
      </c>
      <c r="M3346" s="7" t="n">
        <v>6500</v>
      </c>
      <c r="N3346" s="8" t="n">
        <v>0.0289</v>
      </c>
      <c r="O3346" s="4" t="n">
        <f aca="false">M3346*N3346</f>
        <v>187.85</v>
      </c>
    </row>
    <row r="3347" customFormat="false" ht="15" hidden="false" customHeight="false" outlineLevel="0" collapsed="false">
      <c r="A3347" s="0" t="s">
        <v>4722</v>
      </c>
      <c r="C3347" s="0" t="s">
        <v>31</v>
      </c>
      <c r="D3347" s="7" t="n">
        <v>1542</v>
      </c>
      <c r="E3347" s="8" t="n">
        <v>0.0417898832684825</v>
      </c>
      <c r="F3347" s="4" t="n">
        <f aca="false">D3347*E3347</f>
        <v>64.44</v>
      </c>
      <c r="G3347" s="7" t="n">
        <v>170</v>
      </c>
      <c r="H3347" s="9" t="n">
        <f aca="false">IF(G3347&gt;0,D3347/G3347,"")</f>
        <v>9.07058823529412</v>
      </c>
      <c r="I3347" s="10" t="n">
        <v>46308</v>
      </c>
      <c r="K3347" s="10"/>
      <c r="M3347" s="7"/>
      <c r="N3347" s="8"/>
      <c r="O3347" s="4"/>
    </row>
    <row r="3348" customFormat="false" ht="15" hidden="false" customHeight="false" outlineLevel="0" collapsed="false">
      <c r="A3348" s="0" t="s">
        <v>4723</v>
      </c>
      <c r="C3348" s="0" t="s">
        <v>34</v>
      </c>
      <c r="D3348" s="7" t="n">
        <v>26</v>
      </c>
      <c r="E3348" s="8" t="n">
        <v>2.47846153846154</v>
      </c>
      <c r="F3348" s="4" t="n">
        <f aca="false">D3348*E3348</f>
        <v>64.44</v>
      </c>
      <c r="G3348" s="7" t="n">
        <v>3</v>
      </c>
      <c r="H3348" s="9" t="n">
        <f aca="false">IF(G3348&gt;0,D3348/G3348,"")</f>
        <v>8.66666666666667</v>
      </c>
      <c r="I3348" s="10" t="n">
        <v>46237</v>
      </c>
      <c r="J3348" s="3" t="s">
        <v>4538</v>
      </c>
      <c r="K3348" s="10" t="n">
        <v>44826</v>
      </c>
      <c r="L3348" s="3" t="s">
        <v>19</v>
      </c>
      <c r="M3348" s="7" t="n">
        <v>30</v>
      </c>
      <c r="N3348" s="8" t="n">
        <v>2.4787</v>
      </c>
      <c r="O3348" s="4" t="n">
        <f aca="false">M3348*N3348</f>
        <v>74.361</v>
      </c>
    </row>
    <row r="3349" customFormat="false" ht="15" hidden="false" customHeight="false" outlineLevel="0" collapsed="false">
      <c r="A3349" s="0" t="s">
        <v>4724</v>
      </c>
      <c r="C3349" s="0" t="s">
        <v>39</v>
      </c>
      <c r="D3349" s="7" t="n">
        <v>407</v>
      </c>
      <c r="E3349" s="8" t="n">
        <v>0.158108108108108</v>
      </c>
      <c r="F3349" s="4" t="n">
        <f aca="false">D3349*E3349</f>
        <v>64.35</v>
      </c>
      <c r="G3349" s="7" t="n">
        <v>225</v>
      </c>
      <c r="H3349" s="9" t="n">
        <f aca="false">IF(G3349&gt;0,D3349/G3349,"")</f>
        <v>1.80888888888889</v>
      </c>
      <c r="I3349" s="10" t="n">
        <v>46234</v>
      </c>
      <c r="K3349" s="10"/>
      <c r="M3349" s="7"/>
      <c r="N3349" s="8"/>
      <c r="O3349" s="4"/>
    </row>
    <row r="3350" customFormat="false" ht="15" hidden="false" customHeight="false" outlineLevel="0" collapsed="false">
      <c r="A3350" s="0" t="s">
        <v>4725</v>
      </c>
      <c r="C3350" s="0" t="s">
        <v>34</v>
      </c>
      <c r="D3350" s="7" t="n">
        <v>285</v>
      </c>
      <c r="E3350" s="8" t="n">
        <v>0.225508771929825</v>
      </c>
      <c r="F3350" s="4" t="n">
        <f aca="false">D3350*E3350</f>
        <v>64.27</v>
      </c>
      <c r="G3350" s="7" t="n">
        <v>14</v>
      </c>
      <c r="H3350" s="9" t="n">
        <f aca="false">IF(G3350&gt;0,D3350/G3350,"")</f>
        <v>20.3571428571429</v>
      </c>
      <c r="I3350" s="10" t="n">
        <v>46156</v>
      </c>
      <c r="J3350" s="3" t="s">
        <v>4726</v>
      </c>
      <c r="K3350" s="10" t="n">
        <v>46149</v>
      </c>
      <c r="L3350" s="3" t="s">
        <v>19</v>
      </c>
      <c r="M3350" s="7" t="n">
        <v>25</v>
      </c>
      <c r="N3350" s="8" t="n">
        <v>0.8982</v>
      </c>
      <c r="O3350" s="4" t="n">
        <f aca="false">M3350*N3350</f>
        <v>22.455</v>
      </c>
    </row>
    <row r="3351" customFormat="false" ht="15" hidden="false" customHeight="false" outlineLevel="0" collapsed="false">
      <c r="A3351" s="0" t="s">
        <v>4727</v>
      </c>
      <c r="C3351" s="0" t="s">
        <v>1039</v>
      </c>
      <c r="D3351" s="7" t="n">
        <v>11475</v>
      </c>
      <c r="E3351" s="8" t="n">
        <v>0.00559738562091503</v>
      </c>
      <c r="F3351" s="4" t="n">
        <f aca="false">D3351*E3351</f>
        <v>64.23</v>
      </c>
      <c r="G3351" s="7" t="n">
        <v>595</v>
      </c>
      <c r="H3351" s="9" t="n">
        <f aca="false">IF(G3351&gt;0,D3351/G3351,"")</f>
        <v>19.2857142857143</v>
      </c>
      <c r="I3351" s="10" t="n">
        <v>46265</v>
      </c>
      <c r="K3351" s="10"/>
      <c r="M3351" s="7"/>
      <c r="N3351" s="8"/>
      <c r="O3351" s="4"/>
    </row>
    <row r="3352" customFormat="false" ht="15" hidden="false" customHeight="false" outlineLevel="0" collapsed="false">
      <c r="A3352" s="0" t="s">
        <v>4728</v>
      </c>
      <c r="C3352" s="0" t="s">
        <v>32</v>
      </c>
      <c r="D3352" s="7" t="n">
        <v>944</v>
      </c>
      <c r="E3352" s="8" t="n">
        <v>0.0680190677966102</v>
      </c>
      <c r="F3352" s="4" t="n">
        <f aca="false">D3352*E3352</f>
        <v>64.21</v>
      </c>
      <c r="G3352" s="7" t="n">
        <v>873</v>
      </c>
      <c r="H3352" s="9" t="n">
        <f aca="false">IF(G3352&gt;0,D3352/G3352,"")</f>
        <v>1.08132875143184</v>
      </c>
      <c r="I3352" s="10" t="n">
        <v>46234</v>
      </c>
      <c r="J3352" s="3" t="s">
        <v>410</v>
      </c>
      <c r="K3352" s="10" t="n">
        <v>46303</v>
      </c>
      <c r="L3352" s="3" t="s">
        <v>16</v>
      </c>
      <c r="M3352" s="7" t="n">
        <v>1650</v>
      </c>
      <c r="N3352" s="8" t="n">
        <v>0.0496</v>
      </c>
      <c r="O3352" s="4" t="n">
        <f aca="false">M3352*N3352</f>
        <v>81.84</v>
      </c>
    </row>
    <row r="3353" customFormat="false" ht="15" hidden="false" customHeight="false" outlineLevel="0" collapsed="false">
      <c r="A3353" s="0" t="s">
        <v>4729</v>
      </c>
      <c r="C3353" s="0" t="s">
        <v>31</v>
      </c>
      <c r="D3353" s="7" t="n">
        <v>4913</v>
      </c>
      <c r="E3353" s="8" t="n">
        <v>0.0130612660289029</v>
      </c>
      <c r="F3353" s="4" t="n">
        <f aca="false">D3353*E3353</f>
        <v>64.17</v>
      </c>
      <c r="G3353" s="7" t="n">
        <v>4712</v>
      </c>
      <c r="H3353" s="9" t="n">
        <f aca="false">IF(G3353&gt;0,D3353/G3353,"")</f>
        <v>1.04265704584041</v>
      </c>
      <c r="I3353" s="10" t="n">
        <v>46302</v>
      </c>
      <c r="J3353" s="3" t="s">
        <v>4730</v>
      </c>
      <c r="K3353" s="10" t="n">
        <v>45742</v>
      </c>
      <c r="L3353" s="3" t="s">
        <v>14</v>
      </c>
      <c r="M3353" s="7" t="n">
        <v>3344</v>
      </c>
      <c r="N3353" s="8" t="n">
        <v>0.0096</v>
      </c>
      <c r="O3353" s="4" t="n">
        <f aca="false">M3353*N3353</f>
        <v>32.1024</v>
      </c>
    </row>
    <row r="3354" customFormat="false" ht="15" hidden="false" customHeight="false" outlineLevel="0" collapsed="false">
      <c r="A3354" s="0" t="s">
        <v>4731</v>
      </c>
      <c r="C3354" s="0" t="s">
        <v>38</v>
      </c>
      <c r="D3354" s="7" t="n">
        <v>1075</v>
      </c>
      <c r="E3354" s="8" t="n">
        <v>0.059646511627907</v>
      </c>
      <c r="F3354" s="4" t="n">
        <f aca="false">D3354*E3354</f>
        <v>64.12</v>
      </c>
      <c r="G3354" s="7" t="n">
        <v>238</v>
      </c>
      <c r="H3354" s="9" t="n">
        <f aca="false">IF(G3354&gt;0,D3354/G3354,"")</f>
        <v>4.51680672268908</v>
      </c>
      <c r="I3354" s="10" t="n">
        <v>46245</v>
      </c>
      <c r="J3354" s="3" t="s">
        <v>4732</v>
      </c>
      <c r="K3354" s="10" t="n">
        <v>44301</v>
      </c>
      <c r="L3354" s="3" t="s">
        <v>465</v>
      </c>
      <c r="M3354" s="7" t="n">
        <v>2882</v>
      </c>
      <c r="N3354" s="8" t="n">
        <v>0.0595</v>
      </c>
      <c r="O3354" s="4" t="n">
        <f aca="false">M3354*N3354</f>
        <v>171.479</v>
      </c>
    </row>
    <row r="3355" customFormat="false" ht="15" hidden="false" customHeight="false" outlineLevel="0" collapsed="false">
      <c r="A3355" s="0" t="s">
        <v>4733</v>
      </c>
      <c r="C3355" s="0" t="s">
        <v>1039</v>
      </c>
      <c r="D3355" s="7" t="n">
        <v>22810</v>
      </c>
      <c r="E3355" s="8" t="n">
        <v>0.00280491012713722</v>
      </c>
      <c r="F3355" s="4" t="n">
        <f aca="false">D3355*E3355</f>
        <v>63.98</v>
      </c>
      <c r="G3355" s="7" t="n">
        <v>1480</v>
      </c>
      <c r="H3355" s="9" t="n">
        <f aca="false">IF(G3355&gt;0,D3355/G3355,"")</f>
        <v>15.4121621621622</v>
      </c>
      <c r="I3355" s="10" t="n">
        <v>46301</v>
      </c>
      <c r="J3355" s="3" t="s">
        <v>1955</v>
      </c>
      <c r="K3355" s="10" t="n">
        <v>46268</v>
      </c>
      <c r="L3355" s="3" t="s">
        <v>16</v>
      </c>
      <c r="M3355" s="7" t="n">
        <v>22610</v>
      </c>
      <c r="N3355" s="8" t="n">
        <v>0.0028</v>
      </c>
      <c r="O3355" s="4" t="n">
        <f aca="false">M3355*N3355</f>
        <v>63.308</v>
      </c>
    </row>
    <row r="3356" customFormat="false" ht="15" hidden="false" customHeight="false" outlineLevel="0" collapsed="false">
      <c r="A3356" s="0" t="s">
        <v>4734</v>
      </c>
      <c r="C3356" s="0" t="s">
        <v>39</v>
      </c>
      <c r="D3356" s="7" t="n">
        <v>125</v>
      </c>
      <c r="E3356" s="8" t="n">
        <v>0.51152</v>
      </c>
      <c r="F3356" s="4" t="n">
        <f aca="false">D3356*E3356</f>
        <v>63.94</v>
      </c>
      <c r="G3356" s="7" t="n">
        <v>40</v>
      </c>
      <c r="H3356" s="9" t="n">
        <f aca="false">IF(G3356&gt;0,D3356/G3356,"")</f>
        <v>3.125</v>
      </c>
      <c r="I3356" s="10" t="n">
        <v>46218</v>
      </c>
      <c r="J3356" s="3" t="s">
        <v>4735</v>
      </c>
      <c r="K3356" s="10" t="n">
        <v>45642</v>
      </c>
      <c r="L3356" s="3" t="s">
        <v>18</v>
      </c>
      <c r="M3356" s="7" t="n">
        <v>360</v>
      </c>
      <c r="N3356" s="8" t="n">
        <v>0.5115</v>
      </c>
      <c r="O3356" s="4" t="n">
        <f aca="false">M3356*N3356</f>
        <v>184.14</v>
      </c>
    </row>
    <row r="3357" customFormat="false" ht="15" hidden="false" customHeight="false" outlineLevel="0" collapsed="false">
      <c r="A3357" s="0" t="s">
        <v>4736</v>
      </c>
      <c r="C3357" s="0" t="s">
        <v>1161</v>
      </c>
      <c r="D3357" s="7" t="n">
        <v>460</v>
      </c>
      <c r="E3357" s="8" t="n">
        <v>0.138978260869565</v>
      </c>
      <c r="F3357" s="4" t="n">
        <f aca="false">D3357*E3357</f>
        <v>63.93</v>
      </c>
      <c r="G3357" s="7" t="n">
        <v>370</v>
      </c>
      <c r="H3357" s="9" t="n">
        <f aca="false">IF(G3357&gt;0,D3357/G3357,"")</f>
        <v>1.24324324324324</v>
      </c>
      <c r="I3357" s="10" t="n">
        <v>46308</v>
      </c>
      <c r="J3357" s="3" t="s">
        <v>4737</v>
      </c>
      <c r="K3357" s="10" t="n">
        <v>44683</v>
      </c>
      <c r="L3357" s="3" t="s">
        <v>936</v>
      </c>
      <c r="M3357" s="7" t="n">
        <v>1067</v>
      </c>
      <c r="N3357" s="8" t="n">
        <v>0.139</v>
      </c>
      <c r="O3357" s="4" t="n">
        <f aca="false">M3357*N3357</f>
        <v>148.313</v>
      </c>
    </row>
    <row r="3358" customFormat="false" ht="15" hidden="false" customHeight="false" outlineLevel="0" collapsed="false">
      <c r="A3358" s="0" t="s">
        <v>4738</v>
      </c>
      <c r="C3358" s="0" t="s">
        <v>35</v>
      </c>
      <c r="D3358" s="7" t="n">
        <v>105</v>
      </c>
      <c r="E3358" s="8" t="n">
        <v>0.608857142857143</v>
      </c>
      <c r="F3358" s="4" t="n">
        <f aca="false">D3358*E3358</f>
        <v>63.93</v>
      </c>
      <c r="G3358" s="7" t="n">
        <v>55</v>
      </c>
      <c r="H3358" s="9" t="n">
        <f aca="false">IF(G3358&gt;0,D3358/G3358,"")</f>
        <v>1.90909090909091</v>
      </c>
      <c r="I3358" s="10" t="n">
        <v>46224</v>
      </c>
      <c r="J3358" s="3" t="s">
        <v>1359</v>
      </c>
      <c r="K3358" s="10" t="n">
        <v>46079</v>
      </c>
      <c r="L3358" s="3" t="s">
        <v>14</v>
      </c>
      <c r="M3358" s="7" t="n">
        <v>112</v>
      </c>
      <c r="N3358" s="8" t="n">
        <v>0.5912</v>
      </c>
      <c r="O3358" s="4" t="n">
        <f aca="false">M3358*N3358</f>
        <v>66.2144</v>
      </c>
    </row>
    <row r="3359" customFormat="false" ht="15" hidden="false" customHeight="false" outlineLevel="0" collapsed="false">
      <c r="A3359" s="0" t="s">
        <v>4739</v>
      </c>
      <c r="C3359" s="0" t="s">
        <v>31</v>
      </c>
      <c r="D3359" s="7" t="n">
        <v>7030</v>
      </c>
      <c r="E3359" s="8" t="n">
        <v>0.0090896159317212</v>
      </c>
      <c r="F3359" s="4" t="n">
        <f aca="false">D3359*E3359</f>
        <v>63.9</v>
      </c>
      <c r="G3359" s="7" t="n">
        <v>629</v>
      </c>
      <c r="H3359" s="9" t="n">
        <f aca="false">IF(G3359&gt;0,D3359/G3359,"")</f>
        <v>11.1764705882353</v>
      </c>
      <c r="I3359" s="10" t="n">
        <v>46301</v>
      </c>
      <c r="J3359" s="3" t="s">
        <v>3385</v>
      </c>
      <c r="K3359" s="10" t="n">
        <v>45595</v>
      </c>
      <c r="L3359" s="3" t="s">
        <v>16</v>
      </c>
      <c r="M3359" s="7" t="n">
        <v>9126</v>
      </c>
      <c r="N3359" s="8" t="n">
        <v>0.0074</v>
      </c>
      <c r="O3359" s="4" t="n">
        <f aca="false">M3359*N3359</f>
        <v>67.5324</v>
      </c>
    </row>
    <row r="3360" customFormat="false" ht="15" hidden="false" customHeight="false" outlineLevel="0" collapsed="false">
      <c r="A3360" s="0" t="s">
        <v>4740</v>
      </c>
      <c r="C3360" s="0" t="s">
        <v>298</v>
      </c>
      <c r="D3360" s="7" t="n">
        <v>203</v>
      </c>
      <c r="E3360" s="8" t="n">
        <v>0.314384236453202</v>
      </c>
      <c r="F3360" s="4" t="n">
        <f aca="false">D3360*E3360</f>
        <v>63.82</v>
      </c>
      <c r="G3360" s="7" t="n">
        <v>20</v>
      </c>
      <c r="H3360" s="9" t="n">
        <f aca="false">IF(G3360&gt;0,D3360/G3360,"")</f>
        <v>10.15</v>
      </c>
      <c r="I3360" s="10" t="n">
        <v>46239</v>
      </c>
      <c r="K3360" s="10"/>
      <c r="M3360" s="7"/>
      <c r="N3360" s="8"/>
      <c r="O3360" s="4"/>
    </row>
    <row r="3361" customFormat="false" ht="15" hidden="false" customHeight="false" outlineLevel="0" collapsed="false">
      <c r="A3361" s="0" t="s">
        <v>4741</v>
      </c>
      <c r="C3361" s="0" t="s">
        <v>40</v>
      </c>
      <c r="D3361" s="7" t="n">
        <v>41</v>
      </c>
      <c r="E3361" s="8" t="n">
        <v>1.55609756097561</v>
      </c>
      <c r="F3361" s="4" t="n">
        <f aca="false">D3361*E3361</f>
        <v>63.8</v>
      </c>
      <c r="G3361" s="7" t="n">
        <v>8</v>
      </c>
      <c r="H3361" s="9" t="n">
        <f aca="false">IF(G3361&gt;0,D3361/G3361,"")</f>
        <v>5.125</v>
      </c>
      <c r="I3361" s="10" t="n">
        <v>45964</v>
      </c>
      <c r="J3361" s="3" t="s">
        <v>1028</v>
      </c>
      <c r="K3361" s="10" t="n">
        <v>45689</v>
      </c>
      <c r="L3361" s="3" t="s">
        <v>18</v>
      </c>
      <c r="M3361" s="7" t="n">
        <v>64</v>
      </c>
      <c r="N3361" s="8" t="n">
        <v>1.5562</v>
      </c>
      <c r="O3361" s="4" t="n">
        <f aca="false">M3361*N3361</f>
        <v>99.5968</v>
      </c>
    </row>
    <row r="3362" customFormat="false" ht="15" hidden="false" customHeight="false" outlineLevel="0" collapsed="false">
      <c r="A3362" s="0" t="s">
        <v>4742</v>
      </c>
      <c r="C3362" s="0" t="s">
        <v>298</v>
      </c>
      <c r="D3362" s="7" t="n">
        <v>186</v>
      </c>
      <c r="E3362" s="8" t="n">
        <v>0.342741935483871</v>
      </c>
      <c r="F3362" s="4" t="n">
        <f aca="false">D3362*E3362</f>
        <v>63.75</v>
      </c>
      <c r="G3362" s="7" t="n">
        <v>164</v>
      </c>
      <c r="H3362" s="9" t="n">
        <f aca="false">IF(G3362&gt;0,D3362/G3362,"")</f>
        <v>1.13414634146341</v>
      </c>
      <c r="I3362" s="10" t="n">
        <v>46309</v>
      </c>
      <c r="J3362" s="3" t="s">
        <v>1986</v>
      </c>
      <c r="K3362" s="10" t="n">
        <v>46052</v>
      </c>
      <c r="L3362" s="3" t="s">
        <v>16</v>
      </c>
      <c r="M3362" s="7" t="n">
        <v>350</v>
      </c>
      <c r="N3362" s="8" t="n">
        <v>0.3427</v>
      </c>
      <c r="O3362" s="4" t="n">
        <f aca="false">M3362*N3362</f>
        <v>119.945</v>
      </c>
    </row>
    <row r="3363" customFormat="false" ht="15" hidden="false" customHeight="false" outlineLevel="0" collapsed="false">
      <c r="A3363" s="0" t="s">
        <v>4743</v>
      </c>
      <c r="C3363" s="0" t="s">
        <v>31</v>
      </c>
      <c r="D3363" s="7" t="n">
        <v>2129</v>
      </c>
      <c r="E3363" s="8" t="n">
        <v>0.0299295443870362</v>
      </c>
      <c r="F3363" s="4" t="n">
        <f aca="false">D3363*E3363</f>
        <v>63.72</v>
      </c>
      <c r="G3363" s="7" t="n">
        <v>255</v>
      </c>
      <c r="H3363" s="9" t="n">
        <f aca="false">IF(G3363&gt;0,D3363/G3363,"")</f>
        <v>8.34901960784314</v>
      </c>
      <c r="I3363" s="10" t="n">
        <v>46304</v>
      </c>
      <c r="J3363" s="3" t="s">
        <v>1023</v>
      </c>
      <c r="K3363" s="10" t="n">
        <v>44666</v>
      </c>
      <c r="L3363" s="3" t="s">
        <v>25</v>
      </c>
      <c r="M3363" s="7" t="n">
        <v>3005</v>
      </c>
      <c r="N3363" s="8" t="n">
        <v>0</v>
      </c>
      <c r="O3363" s="4" t="n">
        <v>90</v>
      </c>
    </row>
    <row r="3364" customFormat="false" ht="15" hidden="false" customHeight="false" outlineLevel="0" collapsed="false">
      <c r="A3364" s="0" t="s">
        <v>4744</v>
      </c>
      <c r="C3364" s="0" t="s">
        <v>31</v>
      </c>
      <c r="D3364" s="7" t="n">
        <v>28944</v>
      </c>
      <c r="E3364" s="8" t="n">
        <v>0.00220080154781647</v>
      </c>
      <c r="F3364" s="4" t="n">
        <f aca="false">D3364*E3364</f>
        <v>63.7</v>
      </c>
      <c r="G3364" s="7" t="n">
        <v>8983</v>
      </c>
      <c r="H3364" s="9" t="n">
        <f aca="false">IF(G3364&gt;0,D3364/G3364,"")</f>
        <v>3.22208616275186</v>
      </c>
      <c r="I3364" s="10" t="n">
        <v>46308</v>
      </c>
      <c r="J3364" s="3" t="s">
        <v>628</v>
      </c>
      <c r="K3364" s="10" t="n">
        <v>46128</v>
      </c>
      <c r="L3364" s="3" t="s">
        <v>16</v>
      </c>
      <c r="M3364" s="7" t="n">
        <v>32000</v>
      </c>
      <c r="N3364" s="8" t="n">
        <v>0.0022</v>
      </c>
      <c r="O3364" s="4" t="n">
        <f aca="false">M3364*N3364</f>
        <v>70.4</v>
      </c>
    </row>
    <row r="3365" customFormat="false" ht="15" hidden="false" customHeight="false" outlineLevel="0" collapsed="false">
      <c r="A3365" s="0" t="s">
        <v>4745</v>
      </c>
      <c r="C3365" s="0" t="s">
        <v>33</v>
      </c>
      <c r="D3365" s="7" t="n">
        <v>170</v>
      </c>
      <c r="E3365" s="8" t="n">
        <v>0.374647058823529</v>
      </c>
      <c r="F3365" s="4" t="n">
        <f aca="false">D3365*E3365</f>
        <v>63.69</v>
      </c>
      <c r="G3365" s="7" t="n">
        <v>105</v>
      </c>
      <c r="H3365" s="9" t="n">
        <f aca="false">IF(G3365&gt;0,D3365/G3365,"")</f>
        <v>1.61904761904762</v>
      </c>
      <c r="I3365" s="10" t="n">
        <v>46280</v>
      </c>
      <c r="J3365" s="3" t="s">
        <v>4292</v>
      </c>
      <c r="K3365" s="10" t="n">
        <v>45917</v>
      </c>
      <c r="L3365" s="3" t="s">
        <v>18</v>
      </c>
      <c r="M3365" s="7" t="n">
        <v>230</v>
      </c>
      <c r="N3365" s="8" t="n">
        <v>0.419</v>
      </c>
      <c r="O3365" s="4" t="n">
        <f aca="false">M3365*N3365</f>
        <v>96.37</v>
      </c>
    </row>
    <row r="3366" customFormat="false" ht="15" hidden="false" customHeight="false" outlineLevel="0" collapsed="false">
      <c r="A3366" s="0" t="s">
        <v>4746</v>
      </c>
      <c r="C3366" s="0" t="s">
        <v>34</v>
      </c>
      <c r="D3366" s="7" t="n">
        <v>200</v>
      </c>
      <c r="E3366" s="8" t="n">
        <v>0.3183</v>
      </c>
      <c r="F3366" s="4" t="n">
        <f aca="false">D3366*E3366</f>
        <v>63.66</v>
      </c>
      <c r="G3366" s="7" t="n">
        <v>100</v>
      </c>
      <c r="H3366" s="9" t="n">
        <f aca="false">IF(G3366&gt;0,D3366/G3366,"")</f>
        <v>2</v>
      </c>
      <c r="I3366" s="10" t="n">
        <v>45987</v>
      </c>
      <c r="J3366" s="3" t="s">
        <v>1915</v>
      </c>
      <c r="K3366" s="10" t="n">
        <v>45736</v>
      </c>
      <c r="L3366" s="3" t="s">
        <v>19</v>
      </c>
      <c r="M3366" s="7" t="n">
        <v>100</v>
      </c>
      <c r="N3366" s="8" t="n">
        <v>1.1894</v>
      </c>
      <c r="O3366" s="4" t="n">
        <f aca="false">M3366*N3366</f>
        <v>118.94</v>
      </c>
    </row>
    <row r="3367" customFormat="false" ht="15" hidden="false" customHeight="false" outlineLevel="0" collapsed="false">
      <c r="A3367" s="0" t="s">
        <v>4747</v>
      </c>
      <c r="C3367" s="0" t="s">
        <v>398</v>
      </c>
      <c r="D3367" s="7" t="n">
        <v>16477</v>
      </c>
      <c r="E3367" s="8" t="n">
        <v>0.00385992595739516</v>
      </c>
      <c r="F3367" s="4" t="n">
        <f aca="false">D3367*E3367</f>
        <v>63.6</v>
      </c>
      <c r="G3367" s="7" t="n">
        <v>538</v>
      </c>
      <c r="H3367" s="9" t="n">
        <f aca="false">IF(G3367&gt;0,D3367/G3367,"")</f>
        <v>30.6263940520446</v>
      </c>
      <c r="I3367" s="10" t="n">
        <v>46300</v>
      </c>
      <c r="K3367" s="10"/>
      <c r="M3367" s="7"/>
      <c r="N3367" s="8"/>
      <c r="O3367" s="4"/>
    </row>
    <row r="3368" customFormat="false" ht="15" hidden="false" customHeight="false" outlineLevel="0" collapsed="false">
      <c r="A3368" s="0" t="s">
        <v>4748</v>
      </c>
      <c r="C3368" s="0" t="s">
        <v>1169</v>
      </c>
      <c r="D3368" s="7" t="n">
        <v>558</v>
      </c>
      <c r="E3368" s="8" t="n">
        <v>0.113978494623656</v>
      </c>
      <c r="F3368" s="4" t="n">
        <f aca="false">D3368*E3368</f>
        <v>63.6</v>
      </c>
      <c r="G3368" s="7" t="n">
        <v>69</v>
      </c>
      <c r="H3368" s="9" t="n">
        <f aca="false">IF(G3368&gt;0,D3368/G3368,"")</f>
        <v>8.08695652173913</v>
      </c>
      <c r="I3368" s="10" t="n">
        <v>46287</v>
      </c>
      <c r="J3368" s="3" t="s">
        <v>1442</v>
      </c>
      <c r="K3368" s="10" t="n">
        <v>44361</v>
      </c>
      <c r="L3368" s="3" t="s">
        <v>21</v>
      </c>
      <c r="M3368" s="7" t="n">
        <v>1000</v>
      </c>
      <c r="N3368" s="8" t="n">
        <v>0.114</v>
      </c>
      <c r="O3368" s="4" t="n">
        <f aca="false">M3368*N3368</f>
        <v>114</v>
      </c>
    </row>
    <row r="3369" customFormat="false" ht="15" hidden="false" customHeight="false" outlineLevel="0" collapsed="false">
      <c r="A3369" s="0" t="s">
        <v>4749</v>
      </c>
      <c r="C3369" s="0" t="s">
        <v>889</v>
      </c>
      <c r="D3369" s="7" t="n">
        <v>636</v>
      </c>
      <c r="E3369" s="8" t="n">
        <v>0.1</v>
      </c>
      <c r="F3369" s="4" t="n">
        <f aca="false">D3369*E3369</f>
        <v>63.6</v>
      </c>
      <c r="G3369" s="7" t="n">
        <v>140</v>
      </c>
      <c r="H3369" s="9" t="n">
        <f aca="false">IF(G3369&gt;0,D3369/G3369,"")</f>
        <v>4.54285714285714</v>
      </c>
      <c r="I3369" s="10" t="n">
        <v>46252</v>
      </c>
      <c r="K3369" s="10"/>
      <c r="M3369" s="7"/>
      <c r="N3369" s="8"/>
      <c r="O3369" s="4"/>
    </row>
    <row r="3370" customFormat="false" ht="15" hidden="false" customHeight="false" outlineLevel="0" collapsed="false">
      <c r="A3370" s="0" t="s">
        <v>4750</v>
      </c>
      <c r="C3370" s="0" t="s">
        <v>31</v>
      </c>
      <c r="D3370" s="7" t="n">
        <v>4198</v>
      </c>
      <c r="E3370" s="8" t="n">
        <v>0.0151405431157694</v>
      </c>
      <c r="F3370" s="4" t="n">
        <f aca="false">D3370*E3370</f>
        <v>63.56</v>
      </c>
      <c r="G3370" s="7" t="n">
        <v>47</v>
      </c>
      <c r="H3370" s="9" t="n">
        <f aca="false">IF(G3370&gt;0,D3370/G3370,"")</f>
        <v>89.3191489361702</v>
      </c>
      <c r="I3370" s="10" t="n">
        <v>46297</v>
      </c>
      <c r="J3370" s="3" t="s">
        <v>444</v>
      </c>
      <c r="K3370" s="10" t="n">
        <v>46240</v>
      </c>
      <c r="L3370" s="3" t="s">
        <v>16</v>
      </c>
      <c r="M3370" s="7" t="n">
        <v>4170</v>
      </c>
      <c r="N3370" s="8" t="n">
        <v>0.015</v>
      </c>
      <c r="O3370" s="4" t="n">
        <f aca="false">M3370*N3370</f>
        <v>62.55</v>
      </c>
    </row>
    <row r="3371" customFormat="false" ht="15" hidden="false" customHeight="false" outlineLevel="0" collapsed="false">
      <c r="A3371" s="0" t="s">
        <v>4751</v>
      </c>
      <c r="C3371" s="0" t="s">
        <v>31</v>
      </c>
      <c r="D3371" s="7" t="n">
        <v>14534</v>
      </c>
      <c r="E3371" s="8" t="n">
        <v>0.00437181780652264</v>
      </c>
      <c r="F3371" s="4" t="n">
        <f aca="false">D3371*E3371</f>
        <v>63.54</v>
      </c>
      <c r="G3371" s="7" t="n">
        <v>14010</v>
      </c>
      <c r="H3371" s="9" t="n">
        <f aca="false">IF(G3371&gt;0,D3371/G3371,"")</f>
        <v>1.03740185581727</v>
      </c>
      <c r="I3371" s="10" t="n">
        <v>46311</v>
      </c>
      <c r="K3371" s="10"/>
      <c r="M3371" s="7"/>
      <c r="N3371" s="8"/>
      <c r="O3371" s="4"/>
    </row>
    <row r="3372" customFormat="false" ht="15" hidden="false" customHeight="false" outlineLevel="0" collapsed="false">
      <c r="A3372" s="0" t="s">
        <v>4752</v>
      </c>
      <c r="C3372" s="0" t="s">
        <v>39</v>
      </c>
      <c r="D3372" s="7" t="n">
        <v>850</v>
      </c>
      <c r="E3372" s="8" t="n">
        <v>0.0747411764705882</v>
      </c>
      <c r="F3372" s="4" t="n">
        <f aca="false">D3372*E3372</f>
        <v>63.53</v>
      </c>
      <c r="G3372" s="7" t="n">
        <v>75</v>
      </c>
      <c r="H3372" s="9" t="n">
        <f aca="false">IF(G3372&gt;0,D3372/G3372,"")</f>
        <v>11.3333333333333</v>
      </c>
      <c r="I3372" s="10" t="n">
        <v>46171</v>
      </c>
      <c r="J3372" s="3" t="s">
        <v>1076</v>
      </c>
      <c r="K3372" s="10" t="n">
        <v>46191</v>
      </c>
      <c r="L3372" s="3" t="s">
        <v>18</v>
      </c>
      <c r="M3372" s="7" t="n">
        <v>800</v>
      </c>
      <c r="N3372" s="8" t="n">
        <v>0.0752</v>
      </c>
      <c r="O3372" s="4" t="n">
        <f aca="false">M3372*N3372</f>
        <v>60.16</v>
      </c>
    </row>
    <row r="3373" customFormat="false" ht="15" hidden="false" customHeight="false" outlineLevel="0" collapsed="false">
      <c r="A3373" s="0" t="s">
        <v>4753</v>
      </c>
      <c r="C3373" s="0" t="s">
        <v>32</v>
      </c>
      <c r="D3373" s="7" t="n">
        <v>267</v>
      </c>
      <c r="E3373" s="8" t="n">
        <v>0.237940074906367</v>
      </c>
      <c r="F3373" s="4" t="n">
        <f aca="false">D3373*E3373</f>
        <v>63.53</v>
      </c>
      <c r="G3373" s="7" t="n">
        <v>54</v>
      </c>
      <c r="H3373" s="9" t="n">
        <f aca="false">IF(G3373&gt;0,D3373/G3373,"")</f>
        <v>4.94444444444445</v>
      </c>
      <c r="I3373" s="10" t="n">
        <v>46174</v>
      </c>
      <c r="J3373" s="3" t="s">
        <v>4754</v>
      </c>
      <c r="K3373" s="10" t="n">
        <v>45011</v>
      </c>
      <c r="L3373" s="3" t="s">
        <v>18</v>
      </c>
      <c r="M3373" s="7" t="n">
        <v>370</v>
      </c>
      <c r="N3373" s="8" t="n">
        <v>0.2373</v>
      </c>
      <c r="O3373" s="4" t="n">
        <f aca="false">M3373*N3373</f>
        <v>87.801</v>
      </c>
    </row>
    <row r="3374" customFormat="false" ht="15" hidden="false" customHeight="false" outlineLevel="0" collapsed="false">
      <c r="A3374" s="0" t="s">
        <v>4755</v>
      </c>
      <c r="C3374" s="0" t="s">
        <v>34</v>
      </c>
      <c r="D3374" s="7" t="n">
        <v>1776</v>
      </c>
      <c r="E3374" s="8" t="n">
        <v>0.0357713963963964</v>
      </c>
      <c r="F3374" s="4" t="n">
        <f aca="false">D3374*E3374</f>
        <v>63.53</v>
      </c>
      <c r="G3374" s="7" t="n">
        <v>10</v>
      </c>
      <c r="H3374" s="9" t="n">
        <f aca="false">IF(G3374&gt;0,D3374/G3374,"")</f>
        <v>177.6</v>
      </c>
      <c r="I3374" s="10" t="n">
        <v>46006</v>
      </c>
      <c r="J3374" s="3" t="s">
        <v>1343</v>
      </c>
      <c r="K3374" s="10" t="n">
        <v>45583</v>
      </c>
      <c r="L3374" s="3" t="s">
        <v>16</v>
      </c>
      <c r="M3374" s="7" t="n">
        <v>1850</v>
      </c>
      <c r="N3374" s="8" t="n">
        <v>0.0357</v>
      </c>
      <c r="O3374" s="4" t="n">
        <f aca="false">M3374*N3374</f>
        <v>66.045</v>
      </c>
    </row>
    <row r="3375" customFormat="false" ht="15" hidden="false" customHeight="false" outlineLevel="0" collapsed="false">
      <c r="A3375" s="0" t="s">
        <v>4756</v>
      </c>
      <c r="C3375" s="0" t="s">
        <v>31</v>
      </c>
      <c r="D3375" s="7" t="n">
        <v>10761</v>
      </c>
      <c r="E3375" s="8" t="n">
        <v>0.00590000929281665</v>
      </c>
      <c r="F3375" s="4" t="n">
        <f aca="false">D3375*E3375</f>
        <v>63.49</v>
      </c>
      <c r="G3375" s="7" t="n">
        <v>2425</v>
      </c>
      <c r="H3375" s="9" t="n">
        <f aca="false">IF(G3375&gt;0,D3375/G3375,"")</f>
        <v>4.43752577319588</v>
      </c>
      <c r="I3375" s="10" t="n">
        <v>46296</v>
      </c>
      <c r="J3375" s="3" t="s">
        <v>1211</v>
      </c>
      <c r="K3375" s="10" t="n">
        <v>45750</v>
      </c>
      <c r="L3375" s="3" t="s">
        <v>26</v>
      </c>
      <c r="M3375" s="7" t="n">
        <v>2900</v>
      </c>
      <c r="N3375" s="8" t="n">
        <v>0.0145</v>
      </c>
      <c r="O3375" s="4" t="n">
        <f aca="false">M3375*N3375</f>
        <v>42.05</v>
      </c>
    </row>
    <row r="3376" customFormat="false" ht="15" hidden="false" customHeight="false" outlineLevel="0" collapsed="false">
      <c r="A3376" s="0" t="s">
        <v>4757</v>
      </c>
      <c r="C3376" s="0" t="s">
        <v>370</v>
      </c>
      <c r="D3376" s="7" t="n">
        <v>135</v>
      </c>
      <c r="E3376" s="8" t="n">
        <v>0.47</v>
      </c>
      <c r="F3376" s="4" t="n">
        <f aca="false">D3376*E3376</f>
        <v>63.45</v>
      </c>
      <c r="G3376" s="7" t="n">
        <v>2</v>
      </c>
      <c r="H3376" s="9" t="n">
        <f aca="false">IF(G3376&gt;0,D3376/G3376,"")</f>
        <v>67.5</v>
      </c>
      <c r="I3376" s="10" t="n">
        <v>46008</v>
      </c>
      <c r="J3376" s="3" t="s">
        <v>4758</v>
      </c>
      <c r="K3376" s="10" t="n">
        <v>44713</v>
      </c>
      <c r="L3376" s="3" t="s">
        <v>4759</v>
      </c>
      <c r="M3376" s="7" t="n">
        <v>1070</v>
      </c>
      <c r="N3376" s="8" t="n">
        <v>0.47</v>
      </c>
      <c r="O3376" s="4" t="n">
        <f aca="false">M3376*N3376</f>
        <v>502.9</v>
      </c>
    </row>
    <row r="3377" customFormat="false" ht="15" hidden="false" customHeight="false" outlineLevel="0" collapsed="false">
      <c r="A3377" s="0" t="s">
        <v>4760</v>
      </c>
      <c r="C3377" s="0" t="s">
        <v>979</v>
      </c>
      <c r="D3377" s="7" t="n">
        <v>3841</v>
      </c>
      <c r="E3377" s="8" t="n">
        <v>0.0165009112210362</v>
      </c>
      <c r="F3377" s="4" t="n">
        <f aca="false">D3377*E3377</f>
        <v>63.38</v>
      </c>
      <c r="G3377" s="7" t="n">
        <v>50</v>
      </c>
      <c r="H3377" s="9" t="n">
        <f aca="false">IF(G3377&gt;0,D3377/G3377,"")</f>
        <v>76.82</v>
      </c>
      <c r="I3377" s="10" t="n">
        <v>46101</v>
      </c>
      <c r="K3377" s="10"/>
      <c r="M3377" s="7"/>
      <c r="N3377" s="8"/>
      <c r="O3377" s="4"/>
    </row>
    <row r="3378" customFormat="false" ht="15" hidden="false" customHeight="false" outlineLevel="0" collapsed="false">
      <c r="A3378" s="0" t="s">
        <v>4761</v>
      </c>
      <c r="C3378" s="0" t="s">
        <v>285</v>
      </c>
      <c r="D3378" s="7" t="n">
        <v>1018</v>
      </c>
      <c r="E3378" s="8" t="n">
        <v>0.0620628683693517</v>
      </c>
      <c r="F3378" s="4" t="n">
        <f aca="false">D3378*E3378</f>
        <v>63.18</v>
      </c>
      <c r="G3378" s="7" t="n">
        <v>45</v>
      </c>
      <c r="H3378" s="9" t="n">
        <f aca="false">IF(G3378&gt;0,D3378/G3378,"")</f>
        <v>22.6222222222222</v>
      </c>
      <c r="I3378" s="10" t="n">
        <v>46211</v>
      </c>
      <c r="J3378" s="3" t="s">
        <v>1267</v>
      </c>
      <c r="K3378" s="10" t="n">
        <v>45770</v>
      </c>
      <c r="L3378" s="3" t="s">
        <v>20</v>
      </c>
      <c r="M3378" s="7" t="n">
        <v>16000</v>
      </c>
      <c r="N3378" s="8" t="n">
        <v>0.06206</v>
      </c>
      <c r="O3378" s="4" t="n">
        <f aca="false">M3378*N3378</f>
        <v>992.96</v>
      </c>
    </row>
    <row r="3379" customFormat="false" ht="15" hidden="false" customHeight="false" outlineLevel="0" collapsed="false">
      <c r="A3379" s="0" t="s">
        <v>4762</v>
      </c>
      <c r="C3379" s="0" t="s">
        <v>715</v>
      </c>
      <c r="D3379" s="7" t="n">
        <v>753</v>
      </c>
      <c r="E3379" s="8" t="n">
        <v>0.0838512616201859</v>
      </c>
      <c r="F3379" s="4" t="n">
        <f aca="false">D3379*E3379</f>
        <v>63.14</v>
      </c>
      <c r="G3379" s="7" t="n">
        <v>202</v>
      </c>
      <c r="H3379" s="9" t="n">
        <f aca="false">IF(G3379&gt;0,D3379/G3379,"")</f>
        <v>3.72772277227723</v>
      </c>
      <c r="I3379" s="10" t="n">
        <v>46140</v>
      </c>
      <c r="J3379" s="3" t="s">
        <v>4763</v>
      </c>
      <c r="K3379" s="10" t="n">
        <v>44980</v>
      </c>
      <c r="L3379" s="3" t="s">
        <v>19</v>
      </c>
      <c r="M3379" s="7" t="n">
        <v>477</v>
      </c>
      <c r="N3379" s="8" t="n">
        <v>0.1212</v>
      </c>
      <c r="O3379" s="4" t="n">
        <f aca="false">M3379*N3379</f>
        <v>57.8124</v>
      </c>
    </row>
    <row r="3380" customFormat="false" ht="15" hidden="false" customHeight="false" outlineLevel="0" collapsed="false">
      <c r="A3380" s="0" t="s">
        <v>4764</v>
      </c>
      <c r="C3380" s="0" t="s">
        <v>31</v>
      </c>
      <c r="D3380" s="7" t="n">
        <v>442</v>
      </c>
      <c r="E3380" s="8" t="n">
        <v>0.142782805429864</v>
      </c>
      <c r="F3380" s="4" t="n">
        <f aca="false">D3380*E3380</f>
        <v>63.11</v>
      </c>
      <c r="G3380" s="7" t="n">
        <v>5</v>
      </c>
      <c r="H3380" s="9" t="n">
        <f aca="false">IF(G3380&gt;0,D3380/G3380,"")</f>
        <v>88.4</v>
      </c>
      <c r="I3380" s="10" t="n">
        <v>46126</v>
      </c>
      <c r="K3380" s="10"/>
      <c r="M3380" s="7"/>
      <c r="N3380" s="8"/>
      <c r="O3380" s="4"/>
    </row>
    <row r="3381" customFormat="false" ht="15" hidden="false" customHeight="false" outlineLevel="0" collapsed="false">
      <c r="A3381" s="0" t="s">
        <v>4765</v>
      </c>
      <c r="C3381" s="0" t="s">
        <v>38</v>
      </c>
      <c r="D3381" s="7" t="n">
        <v>124</v>
      </c>
      <c r="E3381" s="8" t="n">
        <v>0.508467741935484</v>
      </c>
      <c r="F3381" s="4" t="n">
        <f aca="false">D3381*E3381</f>
        <v>63.05</v>
      </c>
      <c r="G3381" s="7" t="n">
        <v>25</v>
      </c>
      <c r="H3381" s="9" t="n">
        <f aca="false">IF(G3381&gt;0,D3381/G3381,"")</f>
        <v>4.96</v>
      </c>
      <c r="I3381" s="10" t="n">
        <v>46036</v>
      </c>
      <c r="J3381" s="3" t="s">
        <v>3616</v>
      </c>
      <c r="K3381" s="10" t="n">
        <v>45471</v>
      </c>
      <c r="L3381" s="3" t="s">
        <v>18</v>
      </c>
      <c r="M3381" s="7" t="n">
        <v>200</v>
      </c>
      <c r="N3381" s="8" t="n">
        <v>0.5085</v>
      </c>
      <c r="O3381" s="4" t="n">
        <f aca="false">M3381*N3381</f>
        <v>101.7</v>
      </c>
    </row>
    <row r="3382" customFormat="false" ht="15" hidden="false" customHeight="false" outlineLevel="0" collapsed="false">
      <c r="A3382" s="0" t="s">
        <v>4766</v>
      </c>
      <c r="C3382" s="0" t="s">
        <v>31</v>
      </c>
      <c r="D3382" s="7" t="n">
        <v>4446</v>
      </c>
      <c r="E3382" s="8" t="n">
        <v>0.014131803868646</v>
      </c>
      <c r="F3382" s="4" t="n">
        <f aca="false">D3382*E3382</f>
        <v>62.83</v>
      </c>
      <c r="G3382" s="7" t="n">
        <v>156</v>
      </c>
      <c r="H3382" s="9" t="n">
        <f aca="false">IF(G3382&gt;0,D3382/G3382,"")</f>
        <v>28.5</v>
      </c>
      <c r="I3382" s="10" t="n">
        <v>46309</v>
      </c>
      <c r="J3382" s="3" t="s">
        <v>900</v>
      </c>
      <c r="K3382" s="10" t="n">
        <v>44804</v>
      </c>
      <c r="L3382" s="3" t="s">
        <v>19</v>
      </c>
      <c r="M3382" s="7" t="n">
        <v>5022</v>
      </c>
      <c r="N3382" s="8" t="n">
        <v>0</v>
      </c>
      <c r="O3382" s="4" t="n">
        <v>71</v>
      </c>
    </row>
    <row r="3383" customFormat="false" ht="15" hidden="false" customHeight="false" outlineLevel="0" collapsed="false">
      <c r="A3383" s="0" t="s">
        <v>4767</v>
      </c>
      <c r="C3383" s="0" t="s">
        <v>31</v>
      </c>
      <c r="D3383" s="7" t="n">
        <v>19152</v>
      </c>
      <c r="E3383" s="8" t="n">
        <v>0.00327694235588973</v>
      </c>
      <c r="F3383" s="4" t="n">
        <f aca="false">D3383*E3383</f>
        <v>62.76</v>
      </c>
      <c r="G3383" s="7" t="n">
        <v>662</v>
      </c>
      <c r="H3383" s="9" t="n">
        <f aca="false">IF(G3383&gt;0,D3383/G3383,"")</f>
        <v>28.9305135951662</v>
      </c>
      <c r="I3383" s="10" t="n">
        <v>46283</v>
      </c>
      <c r="J3383" s="3" t="s">
        <v>4768</v>
      </c>
      <c r="K3383" s="10" t="n">
        <v>46224</v>
      </c>
      <c r="L3383" s="3" t="s">
        <v>19</v>
      </c>
      <c r="M3383" s="7" t="n">
        <v>1100</v>
      </c>
      <c r="N3383" s="8" t="n">
        <v>0.0149</v>
      </c>
      <c r="O3383" s="4" t="n">
        <f aca="false">M3383*N3383</f>
        <v>16.39</v>
      </c>
    </row>
    <row r="3384" customFormat="false" ht="15" hidden="false" customHeight="false" outlineLevel="0" collapsed="false">
      <c r="A3384" s="0" t="s">
        <v>4769</v>
      </c>
      <c r="C3384" s="0" t="s">
        <v>166</v>
      </c>
      <c r="D3384" s="7" t="n">
        <v>49</v>
      </c>
      <c r="E3384" s="8" t="n">
        <v>1.28081632653061</v>
      </c>
      <c r="F3384" s="4" t="n">
        <f aca="false">D3384*E3384</f>
        <v>62.76</v>
      </c>
      <c r="G3384" s="7" t="n">
        <v>1</v>
      </c>
      <c r="H3384" s="9" t="n">
        <f aca="false">IF(G3384&gt;0,D3384/G3384,"")</f>
        <v>49</v>
      </c>
      <c r="I3384" s="10" t="n">
        <v>46066</v>
      </c>
      <c r="J3384" s="3" t="s">
        <v>4770</v>
      </c>
      <c r="K3384" s="10" t="n">
        <v>45513</v>
      </c>
      <c r="L3384" s="3" t="s">
        <v>4771</v>
      </c>
      <c r="M3384" s="7" t="n">
        <v>90</v>
      </c>
      <c r="N3384" s="8" t="n">
        <v>2.25</v>
      </c>
      <c r="O3384" s="4" t="n">
        <f aca="false">M3384*N3384</f>
        <v>202.5</v>
      </c>
    </row>
    <row r="3385" customFormat="false" ht="15" hidden="false" customHeight="false" outlineLevel="0" collapsed="false">
      <c r="A3385" s="0" t="s">
        <v>4772</v>
      </c>
      <c r="C3385" s="0" t="s">
        <v>979</v>
      </c>
      <c r="D3385" s="7" t="n">
        <v>392</v>
      </c>
      <c r="E3385" s="8" t="n">
        <v>0.160102040816327</v>
      </c>
      <c r="F3385" s="4" t="n">
        <f aca="false">D3385*E3385</f>
        <v>62.76</v>
      </c>
      <c r="G3385" s="7" t="n">
        <v>238</v>
      </c>
      <c r="H3385" s="9" t="n">
        <f aca="false">IF(G3385&gt;0,D3385/G3385,"")</f>
        <v>1.64705882352941</v>
      </c>
      <c r="I3385" s="10" t="n">
        <v>46211</v>
      </c>
      <c r="J3385" s="3" t="s">
        <v>4773</v>
      </c>
      <c r="K3385" s="10" t="n">
        <v>46155</v>
      </c>
      <c r="L3385" s="3" t="s">
        <v>28</v>
      </c>
      <c r="M3385" s="7" t="n">
        <v>140</v>
      </c>
      <c r="N3385" s="8" t="n">
        <v>0.2107</v>
      </c>
      <c r="O3385" s="4" t="n">
        <f aca="false">M3385*N3385</f>
        <v>29.498</v>
      </c>
    </row>
    <row r="3386" customFormat="false" ht="15" hidden="false" customHeight="false" outlineLevel="0" collapsed="false">
      <c r="A3386" s="0" t="s">
        <v>4774</v>
      </c>
      <c r="C3386" s="0" t="s">
        <v>715</v>
      </c>
      <c r="D3386" s="7" t="n">
        <v>1560</v>
      </c>
      <c r="E3386" s="8" t="n">
        <v>0.0402115384615385</v>
      </c>
      <c r="F3386" s="4" t="n">
        <f aca="false">D3386*E3386</f>
        <v>62.73</v>
      </c>
      <c r="G3386" s="7" t="n">
        <v>132</v>
      </c>
      <c r="H3386" s="9" t="n">
        <f aca="false">IF(G3386&gt;0,D3386/G3386,"")</f>
        <v>11.8181818181818</v>
      </c>
      <c r="I3386" s="10" t="n">
        <v>46147</v>
      </c>
      <c r="J3386" s="3" t="s">
        <v>3030</v>
      </c>
      <c r="K3386" s="10" t="n">
        <v>46126</v>
      </c>
      <c r="L3386" s="3" t="s">
        <v>14</v>
      </c>
      <c r="M3386" s="7" t="n">
        <v>1514</v>
      </c>
      <c r="N3386" s="8" t="n">
        <v>0.0406</v>
      </c>
      <c r="O3386" s="4" t="n">
        <f aca="false">M3386*N3386</f>
        <v>61.4684</v>
      </c>
    </row>
    <row r="3387" customFormat="false" ht="15" hidden="false" customHeight="false" outlineLevel="0" collapsed="false">
      <c r="A3387" s="0" t="s">
        <v>4775</v>
      </c>
      <c r="C3387" s="0" t="s">
        <v>31</v>
      </c>
      <c r="D3387" s="7" t="n">
        <v>9174</v>
      </c>
      <c r="E3387" s="8" t="n">
        <v>0.00683344233703946</v>
      </c>
      <c r="F3387" s="4" t="n">
        <f aca="false">D3387*E3387</f>
        <v>62.69</v>
      </c>
      <c r="G3387" s="7" t="n">
        <v>1826</v>
      </c>
      <c r="H3387" s="9" t="n">
        <f aca="false">IF(G3387&gt;0,D3387/G3387,"")</f>
        <v>5.02409638554217</v>
      </c>
      <c r="I3387" s="10" t="n">
        <v>46202</v>
      </c>
      <c r="J3387" s="3" t="s">
        <v>478</v>
      </c>
      <c r="K3387" s="10" t="n">
        <v>46185</v>
      </c>
      <c r="L3387" s="3" t="s">
        <v>16</v>
      </c>
      <c r="M3387" s="7" t="n">
        <v>10000</v>
      </c>
      <c r="N3387" s="8" t="n">
        <v>0.0066</v>
      </c>
      <c r="O3387" s="4" t="n">
        <f aca="false">M3387*N3387</f>
        <v>66</v>
      </c>
    </row>
    <row r="3388" customFormat="false" ht="15" hidden="false" customHeight="false" outlineLevel="0" collapsed="false">
      <c r="A3388" s="0" t="s">
        <v>4776</v>
      </c>
      <c r="C3388" s="0" t="s">
        <v>979</v>
      </c>
      <c r="D3388" s="7" t="n">
        <v>47</v>
      </c>
      <c r="E3388" s="8" t="n">
        <v>1.3336170212766</v>
      </c>
      <c r="F3388" s="4" t="n">
        <f aca="false">D3388*E3388</f>
        <v>62.68</v>
      </c>
      <c r="G3388" s="7" t="n">
        <v>15</v>
      </c>
      <c r="H3388" s="9" t="n">
        <f aca="false">IF(G3388&gt;0,D3388/G3388,"")</f>
        <v>3.13333333333333</v>
      </c>
      <c r="I3388" s="10" t="n">
        <v>46252</v>
      </c>
      <c r="J3388" s="3" t="s">
        <v>1497</v>
      </c>
      <c r="K3388" s="10" t="n">
        <v>45888</v>
      </c>
      <c r="L3388" s="3" t="s">
        <v>18</v>
      </c>
      <c r="M3388" s="7" t="n">
        <v>64</v>
      </c>
      <c r="N3388" s="8" t="n">
        <v>1.3334</v>
      </c>
      <c r="O3388" s="4" t="n">
        <f aca="false">M3388*N3388</f>
        <v>85.3376</v>
      </c>
    </row>
    <row r="3389" customFormat="false" ht="15" hidden="false" customHeight="false" outlineLevel="0" collapsed="false">
      <c r="A3389" s="0" t="s">
        <v>4777</v>
      </c>
      <c r="C3389" s="0" t="s">
        <v>31</v>
      </c>
      <c r="D3389" s="7" t="n">
        <v>4351</v>
      </c>
      <c r="E3389" s="8" t="n">
        <v>0.0144035853826707</v>
      </c>
      <c r="F3389" s="4" t="n">
        <f aca="false">D3389*E3389</f>
        <v>62.67</v>
      </c>
      <c r="G3389" s="7" t="n">
        <v>260</v>
      </c>
      <c r="H3389" s="9" t="n">
        <f aca="false">IF(G3389&gt;0,D3389/G3389,"")</f>
        <v>16.7346153846154</v>
      </c>
      <c r="I3389" s="10" t="n">
        <v>46300</v>
      </c>
      <c r="K3389" s="10"/>
      <c r="M3389" s="7"/>
      <c r="N3389" s="8"/>
      <c r="O3389" s="4"/>
    </row>
    <row r="3390" customFormat="false" ht="15" hidden="false" customHeight="false" outlineLevel="0" collapsed="false">
      <c r="A3390" s="0" t="s">
        <v>4778</v>
      </c>
      <c r="C3390" s="0" t="s">
        <v>4779</v>
      </c>
      <c r="D3390" s="7" t="n">
        <v>108</v>
      </c>
      <c r="E3390" s="8" t="n">
        <v>0.58</v>
      </c>
      <c r="F3390" s="4" t="n">
        <f aca="false">D3390*E3390</f>
        <v>62.64</v>
      </c>
      <c r="G3390" s="7" t="n">
        <v>60</v>
      </c>
      <c r="H3390" s="9" t="n">
        <f aca="false">IF(G3390&gt;0,D3390/G3390,"")</f>
        <v>1.8</v>
      </c>
      <c r="I3390" s="10" t="n">
        <v>46300</v>
      </c>
      <c r="K3390" s="10"/>
      <c r="M3390" s="7"/>
      <c r="N3390" s="8"/>
      <c r="O3390" s="4"/>
    </row>
    <row r="3391" customFormat="false" ht="15" hidden="false" customHeight="false" outlineLevel="0" collapsed="false">
      <c r="A3391" s="0" t="s">
        <v>4780</v>
      </c>
      <c r="C3391" s="0" t="s">
        <v>36</v>
      </c>
      <c r="D3391" s="7" t="n">
        <v>39</v>
      </c>
      <c r="E3391" s="8" t="n">
        <v>1.60589743589744</v>
      </c>
      <c r="F3391" s="4" t="n">
        <f aca="false">D3391*E3391</f>
        <v>62.63</v>
      </c>
      <c r="G3391" s="7" t="n">
        <v>16</v>
      </c>
      <c r="H3391" s="9" t="n">
        <f aca="false">IF(G3391&gt;0,D3391/G3391,"")</f>
        <v>2.4375</v>
      </c>
      <c r="I3391" s="10" t="n">
        <v>46098</v>
      </c>
      <c r="J3391" s="3" t="s">
        <v>4781</v>
      </c>
      <c r="K3391" s="10" t="n">
        <v>45387</v>
      </c>
      <c r="L3391" s="3" t="s">
        <v>18</v>
      </c>
      <c r="M3391" s="7" t="n">
        <v>62</v>
      </c>
      <c r="N3391" s="8" t="n">
        <v>1.6058</v>
      </c>
      <c r="O3391" s="4" t="n">
        <f aca="false">M3391*N3391</f>
        <v>99.5596</v>
      </c>
    </row>
    <row r="3392" customFormat="false" ht="15" hidden="false" customHeight="false" outlineLevel="0" collapsed="false">
      <c r="A3392" s="0" t="s">
        <v>4782</v>
      </c>
      <c r="C3392" s="0" t="s">
        <v>41</v>
      </c>
      <c r="D3392" s="7" t="n">
        <v>2740</v>
      </c>
      <c r="E3392" s="8" t="n">
        <v>0.0228357664233577</v>
      </c>
      <c r="F3392" s="4" t="n">
        <f aca="false">D3392*E3392</f>
        <v>62.57</v>
      </c>
      <c r="G3392" s="7" t="n">
        <v>50</v>
      </c>
      <c r="H3392" s="9" t="n">
        <f aca="false">IF(G3392&gt;0,D3392/G3392,"")</f>
        <v>54.8</v>
      </c>
      <c r="I3392" s="10" t="n">
        <v>46226</v>
      </c>
      <c r="J3392" s="3" t="s">
        <v>4783</v>
      </c>
      <c r="K3392" s="10" t="n">
        <v>45992</v>
      </c>
      <c r="L3392" s="3" t="s">
        <v>19</v>
      </c>
      <c r="M3392" s="7" t="n">
        <v>2000</v>
      </c>
      <c r="N3392" s="8" t="n">
        <v>0.0237</v>
      </c>
      <c r="O3392" s="4" t="n">
        <f aca="false">M3392*N3392</f>
        <v>47.4</v>
      </c>
    </row>
    <row r="3393" customFormat="false" ht="15" hidden="false" customHeight="false" outlineLevel="0" collapsed="false">
      <c r="A3393" s="0" t="s">
        <v>4784</v>
      </c>
      <c r="C3393" s="0" t="s">
        <v>1039</v>
      </c>
      <c r="D3393" s="7" t="n">
        <v>11174</v>
      </c>
      <c r="E3393" s="8" t="n">
        <v>0.00559602649006623</v>
      </c>
      <c r="F3393" s="4" t="n">
        <f aca="false">D3393*E3393</f>
        <v>62.53</v>
      </c>
      <c r="G3393" s="7" t="n">
        <v>285</v>
      </c>
      <c r="H3393" s="9" t="n">
        <f aca="false">IF(G3393&gt;0,D3393/G3393,"")</f>
        <v>39.2070175438597</v>
      </c>
      <c r="I3393" s="10" t="n">
        <v>46174</v>
      </c>
      <c r="K3393" s="10"/>
      <c r="M3393" s="7"/>
      <c r="N3393" s="8"/>
      <c r="O3393" s="4"/>
    </row>
    <row r="3394" customFormat="false" ht="15" hidden="false" customHeight="false" outlineLevel="0" collapsed="false">
      <c r="A3394" s="0" t="s">
        <v>4785</v>
      </c>
      <c r="C3394" s="0" t="s">
        <v>34</v>
      </c>
      <c r="D3394" s="7" t="n">
        <v>105</v>
      </c>
      <c r="E3394" s="8" t="n">
        <v>0.595333333333333</v>
      </c>
      <c r="F3394" s="4" t="n">
        <f aca="false">D3394*E3394</f>
        <v>62.51</v>
      </c>
      <c r="G3394" s="7" t="n">
        <v>30</v>
      </c>
      <c r="H3394" s="9" t="n">
        <f aca="false">IF(G3394&gt;0,D3394/G3394,"")</f>
        <v>3.5</v>
      </c>
      <c r="I3394" s="10" t="n">
        <v>46128</v>
      </c>
      <c r="K3394" s="10"/>
      <c r="M3394" s="7"/>
      <c r="N3394" s="8"/>
      <c r="O3394" s="4"/>
    </row>
    <row r="3395" customFormat="false" ht="15" hidden="false" customHeight="false" outlineLevel="0" collapsed="false">
      <c r="A3395" s="0" t="s">
        <v>4786</v>
      </c>
      <c r="C3395" s="0" t="s">
        <v>40</v>
      </c>
      <c r="D3395" s="7" t="n">
        <v>14200</v>
      </c>
      <c r="E3395" s="8" t="n">
        <v>0.0044</v>
      </c>
      <c r="F3395" s="4" t="n">
        <f aca="false">D3395*E3395</f>
        <v>62.48</v>
      </c>
      <c r="G3395" s="7" t="n">
        <v>3400</v>
      </c>
      <c r="H3395" s="9" t="n">
        <f aca="false">IF(G3395&gt;0,D3395/G3395,"")</f>
        <v>4.17647058823529</v>
      </c>
      <c r="I3395" s="10" t="n">
        <v>46287</v>
      </c>
      <c r="J3395" s="3" t="s">
        <v>4735</v>
      </c>
      <c r="K3395" s="10" t="n">
        <v>45642</v>
      </c>
      <c r="L3395" s="3" t="s">
        <v>18</v>
      </c>
      <c r="M3395" s="7" t="n">
        <v>23000</v>
      </c>
      <c r="N3395" s="8" t="n">
        <v>0.0044</v>
      </c>
      <c r="O3395" s="4" t="n">
        <f aca="false">M3395*N3395</f>
        <v>101.2</v>
      </c>
    </row>
    <row r="3396" customFormat="false" ht="15" hidden="false" customHeight="false" outlineLevel="0" collapsed="false">
      <c r="A3396" s="0" t="s">
        <v>4787</v>
      </c>
      <c r="C3396" s="0" t="s">
        <v>32</v>
      </c>
      <c r="D3396" s="7" t="n">
        <v>1121</v>
      </c>
      <c r="E3396" s="8" t="n">
        <v>0.055700267618198</v>
      </c>
      <c r="F3396" s="4" t="n">
        <f aca="false">D3396*E3396</f>
        <v>62.44</v>
      </c>
      <c r="G3396" s="7" t="n">
        <v>422</v>
      </c>
      <c r="H3396" s="9" t="n">
        <f aca="false">IF(G3396&gt;0,D3396/G3396,"")</f>
        <v>2.6563981042654</v>
      </c>
      <c r="I3396" s="10" t="n">
        <v>46283</v>
      </c>
      <c r="J3396" s="3" t="s">
        <v>4788</v>
      </c>
      <c r="K3396" s="10" t="n">
        <v>45847</v>
      </c>
      <c r="L3396" s="3" t="s">
        <v>18</v>
      </c>
      <c r="M3396" s="7" t="n">
        <v>1000</v>
      </c>
      <c r="N3396" s="8" t="n">
        <v>0.0557</v>
      </c>
      <c r="O3396" s="4" t="n">
        <f aca="false">M3396*N3396</f>
        <v>55.7</v>
      </c>
    </row>
    <row r="3397" customFormat="false" ht="15" hidden="false" customHeight="false" outlineLevel="0" collapsed="false">
      <c r="A3397" s="0" t="s">
        <v>4789</v>
      </c>
      <c r="C3397" s="0" t="s">
        <v>118</v>
      </c>
      <c r="D3397" s="7" t="n">
        <v>4317</v>
      </c>
      <c r="E3397" s="8" t="n">
        <v>0.0144637479731295</v>
      </c>
      <c r="F3397" s="4" t="n">
        <f aca="false">D3397*E3397</f>
        <v>62.44</v>
      </c>
      <c r="G3397" s="7" t="n">
        <v>3087</v>
      </c>
      <c r="H3397" s="9" t="n">
        <f aca="false">IF(G3397&gt;0,D3397/G3397,"")</f>
        <v>1.39844509232264</v>
      </c>
      <c r="I3397" s="10" t="n">
        <v>46314</v>
      </c>
      <c r="K3397" s="10"/>
      <c r="M3397" s="7"/>
      <c r="N3397" s="8"/>
      <c r="O3397" s="4"/>
    </row>
    <row r="3398" customFormat="false" ht="15" hidden="false" customHeight="false" outlineLevel="0" collapsed="false">
      <c r="A3398" s="0" t="s">
        <v>4790</v>
      </c>
      <c r="C3398" s="0" t="s">
        <v>34</v>
      </c>
      <c r="D3398" s="7" t="n">
        <v>170</v>
      </c>
      <c r="E3398" s="8" t="n">
        <v>0.367235294117647</v>
      </c>
      <c r="F3398" s="4" t="n">
        <f aca="false">D3398*E3398</f>
        <v>62.43</v>
      </c>
      <c r="G3398" s="7" t="n">
        <v>30</v>
      </c>
      <c r="H3398" s="9" t="n">
        <f aca="false">IF(G3398&gt;0,D3398/G3398,"")</f>
        <v>5.66666666666667</v>
      </c>
      <c r="I3398" s="10" t="n">
        <v>46129</v>
      </c>
      <c r="J3398" s="3" t="s">
        <v>1233</v>
      </c>
      <c r="K3398" s="10" t="n">
        <v>46069</v>
      </c>
      <c r="L3398" s="3" t="s">
        <v>14</v>
      </c>
      <c r="M3398" s="7" t="n">
        <v>200</v>
      </c>
      <c r="N3398" s="8" t="n">
        <v>0.3672</v>
      </c>
      <c r="O3398" s="4" t="n">
        <f aca="false">M3398*N3398</f>
        <v>73.44</v>
      </c>
    </row>
    <row r="3399" customFormat="false" ht="15" hidden="false" customHeight="false" outlineLevel="0" collapsed="false">
      <c r="A3399" s="0" t="s">
        <v>4791</v>
      </c>
      <c r="C3399" s="0" t="s">
        <v>285</v>
      </c>
      <c r="D3399" s="7" t="n">
        <v>766</v>
      </c>
      <c r="E3399" s="8" t="n">
        <v>0.0814490861618799</v>
      </c>
      <c r="F3399" s="4" t="n">
        <f aca="false">D3399*E3399</f>
        <v>62.39</v>
      </c>
      <c r="G3399" s="7" t="n">
        <v>61</v>
      </c>
      <c r="H3399" s="9" t="n">
        <f aca="false">IF(G3399&gt;0,D3399/G3399,"")</f>
        <v>12.5573770491803</v>
      </c>
      <c r="I3399" s="10" t="n">
        <v>46202</v>
      </c>
      <c r="J3399" s="3" t="s">
        <v>3918</v>
      </c>
      <c r="K3399" s="10" t="n">
        <v>45182</v>
      </c>
      <c r="L3399" s="3" t="s">
        <v>15</v>
      </c>
      <c r="M3399" s="7" t="n">
        <v>935</v>
      </c>
      <c r="N3399" s="8" t="n">
        <v>0.08146</v>
      </c>
      <c r="O3399" s="4" t="n">
        <f aca="false">M3399*N3399</f>
        <v>76.1651</v>
      </c>
    </row>
    <row r="3400" customFormat="false" ht="15" hidden="false" customHeight="false" outlineLevel="0" collapsed="false">
      <c r="A3400" s="0" t="s">
        <v>4792</v>
      </c>
      <c r="C3400" s="0" t="s">
        <v>33</v>
      </c>
      <c r="D3400" s="7" t="n">
        <v>1418</v>
      </c>
      <c r="E3400" s="8" t="n">
        <v>0.0438928067700987</v>
      </c>
      <c r="F3400" s="4" t="n">
        <f aca="false">D3400*E3400</f>
        <v>62.24</v>
      </c>
      <c r="G3400" s="7" t="n">
        <v>220</v>
      </c>
      <c r="H3400" s="9" t="n">
        <f aca="false">IF(G3400&gt;0,D3400/G3400,"")</f>
        <v>6.44545454545455</v>
      </c>
      <c r="I3400" s="10" t="n">
        <v>46253</v>
      </c>
      <c r="J3400" s="3" t="s">
        <v>3681</v>
      </c>
      <c r="K3400" s="10" t="n">
        <v>45796</v>
      </c>
      <c r="L3400" s="3" t="s">
        <v>18</v>
      </c>
      <c r="M3400" s="7" t="n">
        <v>2200</v>
      </c>
      <c r="N3400" s="8" t="n">
        <v>0.0439</v>
      </c>
      <c r="O3400" s="4" t="n">
        <f aca="false">M3400*N3400</f>
        <v>96.58</v>
      </c>
    </row>
    <row r="3401" customFormat="false" ht="15" hidden="false" customHeight="false" outlineLevel="0" collapsed="false">
      <c r="A3401" s="0" t="s">
        <v>4793</v>
      </c>
      <c r="C3401" s="0" t="s">
        <v>34</v>
      </c>
      <c r="D3401" s="7" t="n">
        <v>73</v>
      </c>
      <c r="E3401" s="8" t="n">
        <v>0.852328767123288</v>
      </c>
      <c r="F3401" s="4" t="n">
        <f aca="false">D3401*E3401</f>
        <v>62.22</v>
      </c>
      <c r="G3401" s="7" t="n">
        <v>12</v>
      </c>
      <c r="H3401" s="9" t="n">
        <f aca="false">IF(G3401&gt;0,D3401/G3401,"")</f>
        <v>6.08333333333333</v>
      </c>
      <c r="I3401" s="10" t="n">
        <v>46190</v>
      </c>
      <c r="K3401" s="10"/>
      <c r="M3401" s="7"/>
      <c r="N3401" s="8"/>
      <c r="O3401" s="4"/>
    </row>
    <row r="3402" customFormat="false" ht="15" hidden="false" customHeight="false" outlineLevel="0" collapsed="false">
      <c r="A3402" s="0" t="s">
        <v>4794</v>
      </c>
      <c r="C3402" s="0" t="s">
        <v>36</v>
      </c>
      <c r="D3402" s="7" t="n">
        <v>2123</v>
      </c>
      <c r="E3402" s="8" t="n">
        <v>0.0292981629769195</v>
      </c>
      <c r="F3402" s="4" t="n">
        <f aca="false">D3402*E3402</f>
        <v>62.2</v>
      </c>
      <c r="G3402" s="7" t="n">
        <v>150</v>
      </c>
      <c r="H3402" s="9" t="n">
        <f aca="false">IF(G3402&gt;0,D3402/G3402,"")</f>
        <v>14.1533333333333</v>
      </c>
      <c r="I3402" s="10" t="n">
        <v>46191</v>
      </c>
      <c r="J3402" s="3" t="s">
        <v>1970</v>
      </c>
      <c r="K3402" s="10" t="n">
        <v>45630</v>
      </c>
      <c r="L3402" s="3" t="s">
        <v>18</v>
      </c>
      <c r="M3402" s="7" t="n">
        <v>2550</v>
      </c>
      <c r="N3402" s="8" t="n">
        <v>0.0293</v>
      </c>
      <c r="O3402" s="4" t="n">
        <f aca="false">M3402*N3402</f>
        <v>74.715</v>
      </c>
    </row>
    <row r="3403" customFormat="false" ht="15" hidden="false" customHeight="false" outlineLevel="0" collapsed="false">
      <c r="A3403" s="0" t="s">
        <v>4795</v>
      </c>
      <c r="C3403" s="0" t="s">
        <v>40</v>
      </c>
      <c r="D3403" s="7" t="n">
        <v>474</v>
      </c>
      <c r="E3403" s="8" t="n">
        <v>0.131139240506329</v>
      </c>
      <c r="F3403" s="4" t="n">
        <f aca="false">D3403*E3403</f>
        <v>62.16</v>
      </c>
      <c r="G3403" s="7" t="n">
        <v>36</v>
      </c>
      <c r="H3403" s="9" t="n">
        <f aca="false">IF(G3403&gt;0,D3403/G3403,"")</f>
        <v>13.1666666666667</v>
      </c>
      <c r="I3403" s="10" t="n">
        <v>46238</v>
      </c>
      <c r="J3403" s="3" t="s">
        <v>2397</v>
      </c>
      <c r="K3403" s="10" t="n">
        <v>44792</v>
      </c>
      <c r="L3403" s="3" t="s">
        <v>18</v>
      </c>
      <c r="M3403" s="7" t="n">
        <v>552</v>
      </c>
      <c r="N3403" s="8" t="n">
        <v>0</v>
      </c>
      <c r="O3403" s="4" t="n">
        <v>72.4456</v>
      </c>
    </row>
    <row r="3404" customFormat="false" ht="15" hidden="false" customHeight="false" outlineLevel="0" collapsed="false">
      <c r="A3404" s="0" t="s">
        <v>4796</v>
      </c>
      <c r="C3404" s="0" t="s">
        <v>43</v>
      </c>
      <c r="D3404" s="7" t="n">
        <v>32</v>
      </c>
      <c r="E3404" s="8" t="n">
        <v>1.9425</v>
      </c>
      <c r="F3404" s="4" t="n">
        <f aca="false">D3404*E3404</f>
        <v>62.16</v>
      </c>
      <c r="G3404" s="7" t="n">
        <v>2</v>
      </c>
      <c r="H3404" s="9" t="n">
        <f aca="false">IF(G3404&gt;0,D3404/G3404,"")</f>
        <v>16</v>
      </c>
      <c r="I3404" s="10" t="n">
        <v>46181</v>
      </c>
      <c r="K3404" s="10"/>
      <c r="M3404" s="7"/>
      <c r="N3404" s="8"/>
      <c r="O3404" s="4"/>
    </row>
    <row r="3405" customFormat="false" ht="15" hidden="false" customHeight="false" outlineLevel="0" collapsed="false">
      <c r="A3405" s="0" t="s">
        <v>4797</v>
      </c>
      <c r="C3405" s="0" t="s">
        <v>285</v>
      </c>
      <c r="D3405" s="7" t="n">
        <v>616</v>
      </c>
      <c r="E3405" s="8" t="n">
        <v>0.100762987012987</v>
      </c>
      <c r="F3405" s="4" t="n">
        <f aca="false">D3405*E3405</f>
        <v>62.07</v>
      </c>
      <c r="G3405" s="7" t="n">
        <v>10</v>
      </c>
      <c r="H3405" s="9" t="n">
        <f aca="false">IF(G3405&gt;0,D3405/G3405,"")</f>
        <v>61.6</v>
      </c>
      <c r="I3405" s="10" t="n">
        <v>45965</v>
      </c>
      <c r="K3405" s="10"/>
      <c r="M3405" s="7"/>
      <c r="N3405" s="8"/>
      <c r="O3405" s="4"/>
    </row>
    <row r="3406" customFormat="false" ht="15" hidden="false" customHeight="false" outlineLevel="0" collapsed="false">
      <c r="A3406" s="0" t="s">
        <v>4798</v>
      </c>
      <c r="C3406" s="0" t="s">
        <v>36</v>
      </c>
      <c r="D3406" s="7" t="n">
        <v>1390</v>
      </c>
      <c r="E3406" s="8" t="n">
        <v>0.0446546762589928</v>
      </c>
      <c r="F3406" s="4" t="n">
        <f aca="false">D3406*E3406</f>
        <v>62.07</v>
      </c>
      <c r="G3406" s="7" t="n">
        <v>10</v>
      </c>
      <c r="H3406" s="9" t="n">
        <f aca="false">IF(G3406&gt;0,D3406/G3406,"")</f>
        <v>139</v>
      </c>
      <c r="I3406" s="10" t="n">
        <v>46309</v>
      </c>
      <c r="J3406" s="3" t="s">
        <v>4799</v>
      </c>
      <c r="K3406" s="10" t="n">
        <v>44694</v>
      </c>
      <c r="L3406" s="3" t="s">
        <v>19</v>
      </c>
      <c r="M3406" s="7" t="n">
        <v>1451</v>
      </c>
      <c r="N3406" s="8" t="n">
        <v>0</v>
      </c>
      <c r="O3406" s="4" t="n">
        <v>66.1</v>
      </c>
    </row>
    <row r="3407" customFormat="false" ht="15" hidden="false" customHeight="false" outlineLevel="0" collapsed="false">
      <c r="A3407" s="0" t="s">
        <v>4800</v>
      </c>
      <c r="C3407" s="0" t="s">
        <v>31</v>
      </c>
      <c r="D3407" s="7" t="n">
        <v>2322</v>
      </c>
      <c r="E3407" s="8" t="n">
        <v>0.0267140396210164</v>
      </c>
      <c r="F3407" s="4" t="n">
        <f aca="false">D3407*E3407</f>
        <v>62.03</v>
      </c>
      <c r="G3407" s="7" t="n">
        <v>207</v>
      </c>
      <c r="H3407" s="9" t="n">
        <f aca="false">IF(G3407&gt;0,D3407/G3407,"")</f>
        <v>11.2173913043478</v>
      </c>
      <c r="I3407" s="10" t="n">
        <v>46245</v>
      </c>
      <c r="J3407" s="3" t="s">
        <v>4801</v>
      </c>
      <c r="K3407" s="10" t="n">
        <v>46290</v>
      </c>
      <c r="L3407" s="3" t="s">
        <v>16</v>
      </c>
      <c r="M3407" s="7" t="n">
        <v>9300</v>
      </c>
      <c r="N3407" s="8" t="n">
        <v>0.0162</v>
      </c>
      <c r="O3407" s="4" t="n">
        <f aca="false">M3407*N3407</f>
        <v>150.66</v>
      </c>
    </row>
    <row r="3408" customFormat="false" ht="15" hidden="false" customHeight="false" outlineLevel="0" collapsed="false">
      <c r="A3408" s="0" t="s">
        <v>4802</v>
      </c>
      <c r="C3408" s="0" t="s">
        <v>744</v>
      </c>
      <c r="D3408" s="7" t="n">
        <v>31</v>
      </c>
      <c r="E3408" s="8" t="n">
        <v>2</v>
      </c>
      <c r="F3408" s="4" t="n">
        <f aca="false">D3408*E3408</f>
        <v>62</v>
      </c>
      <c r="G3408" s="7" t="n">
        <v>5</v>
      </c>
      <c r="H3408" s="9" t="n">
        <f aca="false">IF(G3408&gt;0,D3408/G3408,"")</f>
        <v>6.2</v>
      </c>
      <c r="I3408" s="10" t="n">
        <v>46181</v>
      </c>
      <c r="J3408" s="3" t="s">
        <v>4803</v>
      </c>
      <c r="K3408" s="10" t="n">
        <v>44972</v>
      </c>
      <c r="L3408" s="3" t="s">
        <v>1878</v>
      </c>
      <c r="M3408" s="7" t="n">
        <v>38</v>
      </c>
      <c r="N3408" s="8" t="n">
        <v>2</v>
      </c>
      <c r="O3408" s="4" t="n">
        <f aca="false">M3408*N3408</f>
        <v>76</v>
      </c>
    </row>
    <row r="3409" customFormat="false" ht="15" hidden="false" customHeight="false" outlineLevel="0" collapsed="false">
      <c r="A3409" s="0" t="s">
        <v>4804</v>
      </c>
      <c r="C3409" s="0" t="s">
        <v>34</v>
      </c>
      <c r="D3409" s="7" t="n">
        <v>220</v>
      </c>
      <c r="E3409" s="8" t="n">
        <v>0.281636363636364</v>
      </c>
      <c r="F3409" s="4" t="n">
        <f aca="false">D3409*E3409</f>
        <v>61.96</v>
      </c>
      <c r="G3409" s="7" t="n">
        <v>8</v>
      </c>
      <c r="H3409" s="9" t="n">
        <f aca="false">IF(G3409&gt;0,D3409/G3409,"")</f>
        <v>27.5</v>
      </c>
      <c r="I3409" s="10" t="n">
        <v>46279</v>
      </c>
      <c r="J3409" s="3" t="s">
        <v>4805</v>
      </c>
      <c r="K3409" s="10" t="n">
        <v>44608</v>
      </c>
      <c r="L3409" s="3" t="s">
        <v>15</v>
      </c>
      <c r="M3409" s="7" t="n">
        <v>249</v>
      </c>
      <c r="N3409" s="8" t="n">
        <v>0.28166</v>
      </c>
      <c r="O3409" s="4" t="n">
        <f aca="false">M3409*N3409</f>
        <v>70.13334</v>
      </c>
    </row>
    <row r="3410" customFormat="false" ht="15" hidden="false" customHeight="false" outlineLevel="0" collapsed="false">
      <c r="A3410" s="0" t="s">
        <v>4806</v>
      </c>
      <c r="C3410" s="0" t="s">
        <v>39</v>
      </c>
      <c r="D3410" s="7" t="n">
        <v>19</v>
      </c>
      <c r="E3410" s="8" t="n">
        <v>3.25736842105263</v>
      </c>
      <c r="F3410" s="4" t="n">
        <f aca="false">D3410*E3410</f>
        <v>61.89</v>
      </c>
      <c r="G3410" s="7" t="n">
        <v>14</v>
      </c>
      <c r="H3410" s="9" t="n">
        <f aca="false">IF(G3410&gt;0,D3410/G3410,"")</f>
        <v>1.35714285714286</v>
      </c>
      <c r="I3410" s="10" t="n">
        <v>46279</v>
      </c>
      <c r="J3410" s="3" t="s">
        <v>1076</v>
      </c>
      <c r="K3410" s="10" t="n">
        <v>46191</v>
      </c>
      <c r="L3410" s="3" t="s">
        <v>18</v>
      </c>
      <c r="M3410" s="7" t="n">
        <v>20</v>
      </c>
      <c r="N3410" s="8" t="n">
        <v>3.2573</v>
      </c>
      <c r="O3410" s="4" t="n">
        <f aca="false">M3410*N3410</f>
        <v>65.146</v>
      </c>
    </row>
    <row r="3411" customFormat="false" ht="15" hidden="false" customHeight="false" outlineLevel="0" collapsed="false">
      <c r="A3411" s="0" t="s">
        <v>4807</v>
      </c>
      <c r="C3411" s="0" t="s">
        <v>285</v>
      </c>
      <c r="D3411" s="7" t="n">
        <v>3380</v>
      </c>
      <c r="E3411" s="8" t="n">
        <v>0.018301775147929</v>
      </c>
      <c r="F3411" s="4" t="n">
        <f aca="false">D3411*E3411</f>
        <v>61.86</v>
      </c>
      <c r="G3411" s="7" t="n">
        <v>225</v>
      </c>
      <c r="H3411" s="9" t="n">
        <f aca="false">IF(G3411&gt;0,D3411/G3411,"")</f>
        <v>15.0222222222222</v>
      </c>
      <c r="I3411" s="10" t="n">
        <v>46304</v>
      </c>
      <c r="K3411" s="10"/>
      <c r="M3411" s="7"/>
      <c r="N3411" s="8"/>
      <c r="O3411" s="4"/>
    </row>
    <row r="3412" customFormat="false" ht="15" hidden="false" customHeight="false" outlineLevel="0" collapsed="false">
      <c r="A3412" s="0" t="s">
        <v>4808</v>
      </c>
      <c r="C3412" s="0" t="s">
        <v>31</v>
      </c>
      <c r="D3412" s="7" t="n">
        <v>4148</v>
      </c>
      <c r="E3412" s="8" t="n">
        <v>0.0149011571841852</v>
      </c>
      <c r="F3412" s="4" t="n">
        <f aca="false">D3412*E3412</f>
        <v>61.81</v>
      </c>
      <c r="G3412" s="7" t="n">
        <v>762</v>
      </c>
      <c r="H3412" s="9" t="n">
        <f aca="false">IF(G3412&gt;0,D3412/G3412,"")</f>
        <v>5.44356955380578</v>
      </c>
      <c r="I3412" s="10" t="n">
        <v>46286</v>
      </c>
      <c r="J3412" s="3" t="s">
        <v>1915</v>
      </c>
      <c r="K3412" s="10" t="n">
        <v>45736</v>
      </c>
      <c r="L3412" s="3" t="s">
        <v>19</v>
      </c>
      <c r="M3412" s="7" t="n">
        <v>500</v>
      </c>
      <c r="N3412" s="8" t="n">
        <v>0.033</v>
      </c>
      <c r="O3412" s="4" t="n">
        <f aca="false">M3412*N3412</f>
        <v>16.5</v>
      </c>
    </row>
    <row r="3413" customFormat="false" ht="15" hidden="false" customHeight="false" outlineLevel="0" collapsed="false">
      <c r="A3413" s="0" t="s">
        <v>4809</v>
      </c>
      <c r="C3413" s="0" t="s">
        <v>38</v>
      </c>
      <c r="D3413" s="7" t="n">
        <v>2952</v>
      </c>
      <c r="E3413" s="8" t="n">
        <v>0.0209214092140921</v>
      </c>
      <c r="F3413" s="4" t="n">
        <f aca="false">D3413*E3413</f>
        <v>61.76</v>
      </c>
      <c r="G3413" s="7" t="n">
        <v>2377</v>
      </c>
      <c r="H3413" s="9" t="n">
        <f aca="false">IF(G3413&gt;0,D3413/G3413,"")</f>
        <v>1.24190155658393</v>
      </c>
      <c r="I3413" s="10" t="n">
        <v>46265</v>
      </c>
      <c r="J3413" s="3" t="s">
        <v>3852</v>
      </c>
      <c r="K3413" s="10" t="n">
        <v>46126</v>
      </c>
      <c r="L3413" s="3" t="s">
        <v>18</v>
      </c>
      <c r="M3413" s="7" t="n">
        <v>4337</v>
      </c>
      <c r="N3413" s="8" t="n">
        <v>0.021</v>
      </c>
      <c r="O3413" s="4" t="n">
        <f aca="false">M3413*N3413</f>
        <v>91.077</v>
      </c>
    </row>
    <row r="3414" customFormat="false" ht="15" hidden="false" customHeight="false" outlineLevel="0" collapsed="false">
      <c r="A3414" s="0" t="s">
        <v>4810</v>
      </c>
      <c r="C3414" s="0" t="s">
        <v>298</v>
      </c>
      <c r="D3414" s="7" t="n">
        <v>753</v>
      </c>
      <c r="E3414" s="8" t="n">
        <v>0.0820185922974768</v>
      </c>
      <c r="F3414" s="4" t="n">
        <f aca="false">D3414*E3414</f>
        <v>61.76</v>
      </c>
      <c r="G3414" s="7" t="n">
        <v>33</v>
      </c>
      <c r="H3414" s="9" t="n">
        <f aca="false">IF(G3414&gt;0,D3414/G3414,"")</f>
        <v>22.8181818181818</v>
      </c>
      <c r="I3414" s="10" t="n">
        <v>46309</v>
      </c>
      <c r="J3414" s="3" t="s">
        <v>4811</v>
      </c>
      <c r="K3414" s="10" t="n">
        <v>45763</v>
      </c>
      <c r="L3414" s="3" t="s">
        <v>15</v>
      </c>
      <c r="M3414" s="7" t="n">
        <v>850</v>
      </c>
      <c r="N3414" s="8" t="n">
        <v>0.08201</v>
      </c>
      <c r="O3414" s="4" t="n">
        <f aca="false">M3414*N3414</f>
        <v>69.7085</v>
      </c>
    </row>
    <row r="3415" customFormat="false" ht="15" hidden="false" customHeight="false" outlineLevel="0" collapsed="false">
      <c r="A3415" s="0" t="s">
        <v>4812</v>
      </c>
      <c r="C3415" s="0" t="s">
        <v>41</v>
      </c>
      <c r="D3415" s="7" t="n">
        <v>6663</v>
      </c>
      <c r="E3415" s="8" t="n">
        <v>0.00926759717844815</v>
      </c>
      <c r="F3415" s="4" t="n">
        <f aca="false">D3415*E3415</f>
        <v>61.75</v>
      </c>
      <c r="G3415" s="7" t="n">
        <v>2930</v>
      </c>
      <c r="H3415" s="9" t="n">
        <f aca="false">IF(G3415&gt;0,D3415/G3415,"")</f>
        <v>2.2740614334471</v>
      </c>
      <c r="I3415" s="10" t="n">
        <v>46314</v>
      </c>
      <c r="J3415" s="3" t="s">
        <v>1846</v>
      </c>
      <c r="K3415" s="10" t="n">
        <v>46288</v>
      </c>
      <c r="L3415" s="3" t="s">
        <v>16</v>
      </c>
      <c r="M3415" s="7" t="n">
        <v>6949</v>
      </c>
      <c r="N3415" s="8" t="n">
        <v>0.0092</v>
      </c>
      <c r="O3415" s="4" t="n">
        <f aca="false">M3415*N3415</f>
        <v>63.9308</v>
      </c>
    </row>
    <row r="3416" customFormat="false" ht="15" hidden="false" customHeight="false" outlineLevel="0" collapsed="false">
      <c r="A3416" s="0" t="s">
        <v>4813</v>
      </c>
      <c r="C3416" s="0" t="s">
        <v>40</v>
      </c>
      <c r="D3416" s="7" t="n">
        <v>1858</v>
      </c>
      <c r="E3416" s="8" t="n">
        <v>0.0332077502691066</v>
      </c>
      <c r="F3416" s="4" t="n">
        <f aca="false">D3416*E3416</f>
        <v>61.7</v>
      </c>
      <c r="G3416" s="7" t="n">
        <v>176</v>
      </c>
      <c r="H3416" s="9" t="n">
        <f aca="false">IF(G3416&gt;0,D3416/G3416,"")</f>
        <v>10.5568181818182</v>
      </c>
      <c r="I3416" s="10" t="n">
        <v>46189</v>
      </c>
      <c r="K3416" s="10"/>
      <c r="M3416" s="7"/>
      <c r="N3416" s="8"/>
      <c r="O3416" s="4"/>
    </row>
    <row r="3417" customFormat="false" ht="15" hidden="false" customHeight="false" outlineLevel="0" collapsed="false">
      <c r="A3417" s="0" t="s">
        <v>4814</v>
      </c>
      <c r="C3417" s="0" t="s">
        <v>285</v>
      </c>
      <c r="D3417" s="7" t="n">
        <v>4818</v>
      </c>
      <c r="E3417" s="8" t="n">
        <v>0.0127999169779992</v>
      </c>
      <c r="F3417" s="4" t="n">
        <f aca="false">D3417*E3417</f>
        <v>61.67</v>
      </c>
      <c r="G3417" s="7" t="n">
        <v>2305</v>
      </c>
      <c r="H3417" s="9" t="n">
        <f aca="false">IF(G3417&gt;0,D3417/G3417,"")</f>
        <v>2.09023861171367</v>
      </c>
      <c r="I3417" s="10" t="n">
        <v>46014</v>
      </c>
      <c r="K3417" s="10"/>
      <c r="M3417" s="7"/>
      <c r="N3417" s="8"/>
      <c r="O3417" s="4"/>
    </row>
    <row r="3418" customFormat="false" ht="15" hidden="false" customHeight="false" outlineLevel="0" collapsed="false">
      <c r="A3418" s="0" t="s">
        <v>4815</v>
      </c>
      <c r="C3418" s="0" t="s">
        <v>1039</v>
      </c>
      <c r="D3418" s="7" t="n">
        <v>1722</v>
      </c>
      <c r="E3418" s="8" t="n">
        <v>0.0357955865272938</v>
      </c>
      <c r="F3418" s="4" t="n">
        <f aca="false">D3418*E3418</f>
        <v>61.64</v>
      </c>
      <c r="G3418" s="7" t="n">
        <v>78</v>
      </c>
      <c r="H3418" s="9" t="n">
        <f aca="false">IF(G3418&gt;0,D3418/G3418,"")</f>
        <v>22.0769230769231</v>
      </c>
      <c r="I3418" s="10" t="n">
        <v>46293</v>
      </c>
      <c r="J3418" s="3" t="s">
        <v>3900</v>
      </c>
      <c r="K3418" s="10" t="n">
        <v>44589</v>
      </c>
      <c r="L3418" s="3" t="s">
        <v>16</v>
      </c>
      <c r="M3418" s="7" t="n">
        <v>1833</v>
      </c>
      <c r="N3418" s="8" t="n">
        <v>0.0358</v>
      </c>
      <c r="O3418" s="4" t="n">
        <f aca="false">M3418*N3418</f>
        <v>65.6214</v>
      </c>
    </row>
    <row r="3419" customFormat="false" ht="15" hidden="false" customHeight="false" outlineLevel="0" collapsed="false">
      <c r="A3419" s="0" t="s">
        <v>4816</v>
      </c>
      <c r="C3419" s="0" t="s">
        <v>1802</v>
      </c>
      <c r="D3419" s="7" t="n">
        <v>43</v>
      </c>
      <c r="E3419" s="8" t="n">
        <v>1.43255813953488</v>
      </c>
      <c r="F3419" s="4" t="n">
        <f aca="false">D3419*E3419</f>
        <v>61.6</v>
      </c>
      <c r="G3419" s="7" t="n">
        <v>22</v>
      </c>
      <c r="H3419" s="9" t="n">
        <f aca="false">IF(G3419&gt;0,D3419/G3419,"")</f>
        <v>1.95454545454545</v>
      </c>
      <c r="I3419" s="10" t="n">
        <v>46212</v>
      </c>
      <c r="J3419" s="3" t="s">
        <v>2549</v>
      </c>
      <c r="K3419" s="10" t="n">
        <v>45103</v>
      </c>
      <c r="L3419" s="3" t="s">
        <v>14</v>
      </c>
      <c r="M3419" s="7" t="n">
        <v>100</v>
      </c>
      <c r="N3419" s="8" t="n">
        <v>1.4322</v>
      </c>
      <c r="O3419" s="4" t="n">
        <f aca="false">M3419*N3419</f>
        <v>143.22</v>
      </c>
    </row>
    <row r="3420" customFormat="false" ht="15" hidden="false" customHeight="false" outlineLevel="0" collapsed="false">
      <c r="A3420" s="0" t="s">
        <v>4817</v>
      </c>
      <c r="C3420" s="0" t="s">
        <v>855</v>
      </c>
      <c r="D3420" s="7" t="n">
        <v>4247</v>
      </c>
      <c r="E3420" s="8" t="n">
        <v>0.0144996468095126</v>
      </c>
      <c r="F3420" s="4" t="n">
        <f aca="false">D3420*E3420</f>
        <v>61.58</v>
      </c>
      <c r="G3420" s="7" t="n">
        <v>650</v>
      </c>
      <c r="H3420" s="9" t="n">
        <f aca="false">IF(G3420&gt;0,D3420/G3420,"")</f>
        <v>6.53384615384615</v>
      </c>
      <c r="I3420" s="10" t="n">
        <v>46297</v>
      </c>
      <c r="K3420" s="10"/>
      <c r="M3420" s="7"/>
      <c r="N3420" s="8"/>
      <c r="O3420" s="4"/>
    </row>
    <row r="3421" customFormat="false" ht="15" hidden="false" customHeight="false" outlineLevel="0" collapsed="false">
      <c r="A3421" s="0" t="s">
        <v>4818</v>
      </c>
      <c r="C3421" s="0" t="s">
        <v>1039</v>
      </c>
      <c r="D3421" s="7" t="n">
        <v>5006</v>
      </c>
      <c r="E3421" s="8" t="n">
        <v>0.0122972433080304</v>
      </c>
      <c r="F3421" s="4" t="n">
        <f aca="false">D3421*E3421</f>
        <v>61.56</v>
      </c>
      <c r="G3421" s="7" t="n">
        <v>734</v>
      </c>
      <c r="H3421" s="9" t="n">
        <f aca="false">IF(G3421&gt;0,D3421/G3421,"")</f>
        <v>6.82016348773842</v>
      </c>
      <c r="I3421" s="10" t="n">
        <v>46314</v>
      </c>
      <c r="J3421" s="3" t="s">
        <v>4819</v>
      </c>
      <c r="K3421" s="10" t="n">
        <v>44959</v>
      </c>
      <c r="L3421" s="3" t="s">
        <v>19</v>
      </c>
      <c r="M3421" s="7" t="n">
        <v>5000</v>
      </c>
      <c r="N3421" s="8" t="n">
        <v>0.0123</v>
      </c>
      <c r="O3421" s="4" t="n">
        <f aca="false">M3421*N3421</f>
        <v>61.5</v>
      </c>
    </row>
    <row r="3422" customFormat="false" ht="15" hidden="false" customHeight="false" outlineLevel="0" collapsed="false">
      <c r="A3422" s="0" t="s">
        <v>4820</v>
      </c>
      <c r="C3422" s="0" t="s">
        <v>40</v>
      </c>
      <c r="D3422" s="7" t="n">
        <v>189</v>
      </c>
      <c r="E3422" s="8" t="n">
        <v>0.325608465608466</v>
      </c>
      <c r="F3422" s="4" t="n">
        <f aca="false">D3422*E3422</f>
        <v>61.54</v>
      </c>
      <c r="G3422" s="7" t="n">
        <v>12</v>
      </c>
      <c r="H3422" s="9" t="n">
        <f aca="false">IF(G3422&gt;0,D3422/G3422,"")</f>
        <v>15.75</v>
      </c>
      <c r="I3422" s="10" t="n">
        <v>46192</v>
      </c>
      <c r="J3422" s="3" t="s">
        <v>3625</v>
      </c>
      <c r="K3422" s="10" t="n">
        <v>45896</v>
      </c>
      <c r="L3422" s="3" t="s">
        <v>18</v>
      </c>
      <c r="M3422" s="7" t="n">
        <v>300</v>
      </c>
      <c r="N3422" s="8" t="n">
        <v>0.3291</v>
      </c>
      <c r="O3422" s="4" t="n">
        <f aca="false">M3422*N3422</f>
        <v>98.73</v>
      </c>
    </row>
    <row r="3423" customFormat="false" ht="15" hidden="false" customHeight="false" outlineLevel="0" collapsed="false">
      <c r="A3423" s="0" t="s">
        <v>4821</v>
      </c>
      <c r="C3423" s="0" t="s">
        <v>33</v>
      </c>
      <c r="D3423" s="7" t="n">
        <v>100</v>
      </c>
      <c r="E3423" s="8" t="n">
        <v>0.6152</v>
      </c>
      <c r="F3423" s="4" t="n">
        <f aca="false">D3423*E3423</f>
        <v>61.52</v>
      </c>
      <c r="G3423" s="7" t="n">
        <v>91</v>
      </c>
      <c r="H3423" s="9" t="n">
        <f aca="false">IF(G3423&gt;0,D3423/G3423,"")</f>
        <v>1.0989010989011</v>
      </c>
      <c r="I3423" s="10" t="n">
        <v>46295</v>
      </c>
      <c r="J3423" s="3" t="s">
        <v>4822</v>
      </c>
      <c r="K3423" s="10" t="n">
        <v>46085</v>
      </c>
      <c r="L3423" s="3" t="s">
        <v>18</v>
      </c>
      <c r="M3423" s="7" t="n">
        <v>175</v>
      </c>
      <c r="N3423" s="8" t="n">
        <v>0.6153</v>
      </c>
      <c r="O3423" s="4" t="n">
        <f aca="false">M3423*N3423</f>
        <v>107.6775</v>
      </c>
    </row>
    <row r="3424" customFormat="false" ht="15" hidden="false" customHeight="false" outlineLevel="0" collapsed="false">
      <c r="A3424" s="0" t="s">
        <v>4823</v>
      </c>
      <c r="C3424" s="0" t="s">
        <v>40</v>
      </c>
      <c r="D3424" s="7" t="n">
        <v>1056</v>
      </c>
      <c r="E3424" s="8" t="n">
        <v>0.0582102272727273</v>
      </c>
      <c r="F3424" s="4" t="n">
        <f aca="false">D3424*E3424</f>
        <v>61.47</v>
      </c>
      <c r="G3424" s="7" t="n">
        <v>240</v>
      </c>
      <c r="H3424" s="9" t="n">
        <f aca="false">IF(G3424&gt;0,D3424/G3424,"")</f>
        <v>4.4</v>
      </c>
      <c r="I3424" s="10" t="n">
        <v>46211</v>
      </c>
      <c r="J3424" s="3" t="s">
        <v>4824</v>
      </c>
      <c r="K3424" s="10" t="n">
        <v>45370</v>
      </c>
      <c r="L3424" s="3" t="s">
        <v>18</v>
      </c>
      <c r="M3424" s="7" t="n">
        <v>1700</v>
      </c>
      <c r="N3424" s="8" t="n">
        <v>0.0582</v>
      </c>
      <c r="O3424" s="4" t="n">
        <f aca="false">M3424*N3424</f>
        <v>98.94</v>
      </c>
    </row>
    <row r="3425" customFormat="false" ht="15" hidden="false" customHeight="false" outlineLevel="0" collapsed="false">
      <c r="A3425" s="0" t="s">
        <v>4825</v>
      </c>
      <c r="C3425" s="0" t="s">
        <v>37</v>
      </c>
      <c r="D3425" s="7" t="n">
        <v>439</v>
      </c>
      <c r="E3425" s="8" t="n">
        <v>0.14</v>
      </c>
      <c r="F3425" s="4" t="n">
        <f aca="false">D3425*E3425</f>
        <v>61.46</v>
      </c>
      <c r="G3425" s="7" t="n">
        <v>20</v>
      </c>
      <c r="H3425" s="9" t="n">
        <f aca="false">IF(G3425&gt;0,D3425/G3425,"")</f>
        <v>21.95</v>
      </c>
      <c r="I3425" s="10" t="n">
        <v>46086</v>
      </c>
      <c r="K3425" s="10"/>
      <c r="M3425" s="7"/>
      <c r="N3425" s="8"/>
      <c r="O3425" s="4"/>
    </row>
    <row r="3426" customFormat="false" ht="15" hidden="false" customHeight="false" outlineLevel="0" collapsed="false">
      <c r="A3426" s="0" t="s">
        <v>4826</v>
      </c>
      <c r="C3426" s="0" t="s">
        <v>777</v>
      </c>
      <c r="D3426" s="7" t="n">
        <v>370</v>
      </c>
      <c r="E3426" s="8" t="n">
        <v>0.166108108108108</v>
      </c>
      <c r="F3426" s="4" t="n">
        <f aca="false">D3426*E3426</f>
        <v>61.46</v>
      </c>
      <c r="G3426" s="7" t="n">
        <v>30</v>
      </c>
      <c r="H3426" s="9" t="n">
        <f aca="false">IF(G3426&gt;0,D3426/G3426,"")</f>
        <v>12.3333333333333</v>
      </c>
      <c r="I3426" s="10" t="n">
        <v>46211</v>
      </c>
      <c r="J3426" s="3" t="s">
        <v>341</v>
      </c>
      <c r="K3426" s="10" t="n">
        <v>46078</v>
      </c>
      <c r="L3426" s="3" t="s">
        <v>15</v>
      </c>
      <c r="M3426" s="7" t="n">
        <v>400</v>
      </c>
      <c r="N3426" s="8" t="n">
        <v>0.16611</v>
      </c>
      <c r="O3426" s="4" t="n">
        <f aca="false">M3426*N3426</f>
        <v>66.444</v>
      </c>
    </row>
    <row r="3427" customFormat="false" ht="15" hidden="false" customHeight="false" outlineLevel="0" collapsed="false">
      <c r="A3427" s="0" t="s">
        <v>4827</v>
      </c>
      <c r="C3427" s="0" t="s">
        <v>33</v>
      </c>
      <c r="D3427" s="7" t="n">
        <v>35</v>
      </c>
      <c r="E3427" s="8" t="n">
        <v>1.75428571428571</v>
      </c>
      <c r="F3427" s="4" t="n">
        <f aca="false">D3427*E3427</f>
        <v>61.4</v>
      </c>
      <c r="G3427" s="7" t="n">
        <v>25</v>
      </c>
      <c r="H3427" s="9" t="n">
        <f aca="false">IF(G3427&gt;0,D3427/G3427,"")</f>
        <v>1.4</v>
      </c>
      <c r="I3427" s="10" t="n">
        <v>46233</v>
      </c>
      <c r="J3427" s="3" t="s">
        <v>3583</v>
      </c>
      <c r="K3427" s="10" t="n">
        <v>46106</v>
      </c>
      <c r="L3427" s="3" t="s">
        <v>18</v>
      </c>
      <c r="M3427" s="7" t="n">
        <v>54</v>
      </c>
      <c r="N3427" s="8" t="n">
        <v>1.7541</v>
      </c>
      <c r="O3427" s="4" t="n">
        <f aca="false">M3427*N3427</f>
        <v>94.7214</v>
      </c>
    </row>
    <row r="3428" customFormat="false" ht="15" hidden="false" customHeight="false" outlineLevel="0" collapsed="false">
      <c r="A3428" s="0" t="s">
        <v>4828</v>
      </c>
      <c r="C3428" s="0" t="s">
        <v>31</v>
      </c>
      <c r="D3428" s="7" t="n">
        <v>18909</v>
      </c>
      <c r="E3428" s="8" t="n">
        <v>0.00324290020625099</v>
      </c>
      <c r="F3428" s="4" t="n">
        <f aca="false">D3428*E3428</f>
        <v>61.32</v>
      </c>
      <c r="G3428" s="7" t="n">
        <v>1204</v>
      </c>
      <c r="H3428" s="9" t="n">
        <f aca="false">IF(G3428&gt;0,D3428/G3428,"")</f>
        <v>15.7051495016611</v>
      </c>
      <c r="I3428" s="10" t="n">
        <v>46310</v>
      </c>
      <c r="J3428" s="3" t="s">
        <v>1448</v>
      </c>
      <c r="K3428" s="10" t="n">
        <v>45531</v>
      </c>
      <c r="L3428" s="3" t="s">
        <v>19</v>
      </c>
      <c r="M3428" s="7" t="n">
        <v>2203</v>
      </c>
      <c r="N3428" s="8" t="n">
        <v>0.0088</v>
      </c>
      <c r="O3428" s="4" t="n">
        <f aca="false">M3428*N3428</f>
        <v>19.3864</v>
      </c>
    </row>
    <row r="3429" customFormat="false" ht="15" hidden="false" customHeight="false" outlineLevel="0" collapsed="false">
      <c r="A3429" s="0" t="s">
        <v>4829</v>
      </c>
      <c r="C3429" s="0" t="s">
        <v>855</v>
      </c>
      <c r="D3429" s="7" t="n">
        <v>8757</v>
      </c>
      <c r="E3429" s="8" t="n">
        <v>0.0070001141943588</v>
      </c>
      <c r="F3429" s="4" t="n">
        <f aca="false">D3429*E3429</f>
        <v>61.3</v>
      </c>
      <c r="G3429" s="7" t="n">
        <v>461</v>
      </c>
      <c r="H3429" s="9" t="n">
        <f aca="false">IF(G3429&gt;0,D3429/G3429,"")</f>
        <v>18.9956616052061</v>
      </c>
      <c r="I3429" s="10" t="n">
        <v>46283</v>
      </c>
      <c r="J3429" s="3" t="s">
        <v>4830</v>
      </c>
      <c r="K3429" s="10" t="n">
        <v>44906</v>
      </c>
      <c r="L3429" s="3" t="s">
        <v>25</v>
      </c>
      <c r="M3429" s="7" t="n">
        <v>10000</v>
      </c>
      <c r="N3429" s="8" t="n">
        <v>0.007</v>
      </c>
      <c r="O3429" s="4" t="n">
        <f aca="false">M3429*N3429</f>
        <v>70</v>
      </c>
    </row>
    <row r="3430" customFormat="false" ht="15" hidden="false" customHeight="false" outlineLevel="0" collapsed="false">
      <c r="A3430" s="0" t="s">
        <v>4831</v>
      </c>
      <c r="C3430" s="0" t="s">
        <v>855</v>
      </c>
      <c r="D3430" s="7" t="n">
        <v>17263</v>
      </c>
      <c r="E3430" s="8" t="n">
        <v>0.00355036783873023</v>
      </c>
      <c r="F3430" s="4" t="n">
        <f aca="false">D3430*E3430</f>
        <v>61.29</v>
      </c>
      <c r="G3430" s="7" t="n">
        <v>896</v>
      </c>
      <c r="H3430" s="9" t="n">
        <f aca="false">IF(G3430&gt;0,D3430/G3430,"")</f>
        <v>19.2667410714286</v>
      </c>
      <c r="I3430" s="10" t="n">
        <v>46290</v>
      </c>
      <c r="J3430" s="3" t="s">
        <v>4832</v>
      </c>
      <c r="K3430" s="10" t="n">
        <v>46279</v>
      </c>
      <c r="L3430" s="3" t="s">
        <v>19</v>
      </c>
      <c r="M3430" s="7" t="n">
        <v>1000</v>
      </c>
      <c r="N3430" s="8" t="n">
        <v>0.0177</v>
      </c>
      <c r="O3430" s="4" t="n">
        <f aca="false">M3430*N3430</f>
        <v>17.7</v>
      </c>
    </row>
    <row r="3431" customFormat="false" ht="15" hidden="false" customHeight="false" outlineLevel="0" collapsed="false">
      <c r="A3431" s="0" t="s">
        <v>4833</v>
      </c>
      <c r="C3431" s="0" t="s">
        <v>31</v>
      </c>
      <c r="D3431" s="7" t="n">
        <v>5425</v>
      </c>
      <c r="E3431" s="8" t="n">
        <v>0.0112976958525346</v>
      </c>
      <c r="F3431" s="4" t="n">
        <f aca="false">D3431*E3431</f>
        <v>61.29</v>
      </c>
      <c r="G3431" s="7" t="n">
        <v>600</v>
      </c>
      <c r="H3431" s="9" t="n">
        <f aca="false">IF(G3431&gt;0,D3431/G3431,"")</f>
        <v>9.04166666666667</v>
      </c>
      <c r="I3431" s="10" t="n">
        <v>46304</v>
      </c>
      <c r="J3431" s="3" t="s">
        <v>3351</v>
      </c>
      <c r="K3431" s="10" t="n">
        <v>45358</v>
      </c>
      <c r="L3431" s="3" t="s">
        <v>16</v>
      </c>
      <c r="M3431" s="7" t="n">
        <v>6892</v>
      </c>
      <c r="N3431" s="8" t="n">
        <v>0.0113</v>
      </c>
      <c r="O3431" s="4" t="n">
        <f aca="false">M3431*N3431</f>
        <v>77.8796</v>
      </c>
    </row>
    <row r="3432" customFormat="false" ht="15" hidden="false" customHeight="false" outlineLevel="0" collapsed="false">
      <c r="A3432" s="0" t="s">
        <v>4834</v>
      </c>
      <c r="C3432" s="0" t="s">
        <v>979</v>
      </c>
      <c r="D3432" s="7" t="n">
        <v>2070</v>
      </c>
      <c r="E3432" s="8" t="n">
        <v>0.0296038647342995</v>
      </c>
      <c r="F3432" s="4" t="n">
        <f aca="false">D3432*E3432</f>
        <v>61.28</v>
      </c>
      <c r="G3432" s="7" t="n">
        <v>50</v>
      </c>
      <c r="H3432" s="9" t="n">
        <f aca="false">IF(G3432&gt;0,D3432/G3432,"")</f>
        <v>41.4</v>
      </c>
      <c r="I3432" s="10" t="n">
        <v>46120</v>
      </c>
      <c r="J3432" s="3" t="s">
        <v>4835</v>
      </c>
      <c r="K3432" s="10" t="n">
        <v>45085</v>
      </c>
      <c r="L3432" s="3" t="s">
        <v>18</v>
      </c>
      <c r="M3432" s="7" t="n">
        <v>2200</v>
      </c>
      <c r="N3432" s="8" t="n">
        <v>0.0296</v>
      </c>
      <c r="O3432" s="4" t="n">
        <f aca="false">M3432*N3432</f>
        <v>65.12</v>
      </c>
    </row>
    <row r="3433" customFormat="false" ht="15" hidden="false" customHeight="false" outlineLevel="0" collapsed="false">
      <c r="A3433" s="0" t="s">
        <v>4836</v>
      </c>
      <c r="C3433" s="0" t="s">
        <v>855</v>
      </c>
      <c r="D3433" s="7" t="n">
        <v>7919</v>
      </c>
      <c r="E3433" s="8" t="n">
        <v>0.00773077408763733</v>
      </c>
      <c r="F3433" s="4" t="n">
        <f aca="false">D3433*E3433</f>
        <v>61.22</v>
      </c>
      <c r="G3433" s="7" t="n">
        <v>170</v>
      </c>
      <c r="H3433" s="9" t="n">
        <f aca="false">IF(G3433&gt;0,D3433/G3433,"")</f>
        <v>46.5823529411765</v>
      </c>
      <c r="I3433" s="10" t="n">
        <v>46142</v>
      </c>
      <c r="K3433" s="10"/>
      <c r="M3433" s="7"/>
      <c r="N3433" s="8"/>
      <c r="O3433" s="4"/>
    </row>
    <row r="3434" customFormat="false" ht="15" hidden="false" customHeight="false" outlineLevel="0" collapsed="false">
      <c r="A3434" s="0" t="s">
        <v>4837</v>
      </c>
      <c r="C3434" s="0" t="s">
        <v>340</v>
      </c>
      <c r="D3434" s="7" t="n">
        <v>1883</v>
      </c>
      <c r="E3434" s="8" t="n">
        <v>0.0325013276686139</v>
      </c>
      <c r="F3434" s="4" t="n">
        <f aca="false">D3434*E3434</f>
        <v>61.2</v>
      </c>
      <c r="G3434" s="7" t="n">
        <v>20</v>
      </c>
      <c r="H3434" s="9" t="n">
        <f aca="false">IF(G3434&gt;0,D3434/G3434,"")</f>
        <v>94.15</v>
      </c>
      <c r="I3434" s="10" t="n">
        <v>46209</v>
      </c>
      <c r="J3434" s="3" t="s">
        <v>478</v>
      </c>
      <c r="K3434" s="10" t="n">
        <v>46185</v>
      </c>
      <c r="L3434" s="3" t="s">
        <v>16</v>
      </c>
      <c r="M3434" s="7" t="n">
        <v>1920</v>
      </c>
      <c r="N3434" s="8" t="n">
        <v>0.0325</v>
      </c>
      <c r="O3434" s="4" t="n">
        <f aca="false">M3434*N3434</f>
        <v>62.4</v>
      </c>
    </row>
    <row r="3435" customFormat="false" ht="15" hidden="false" customHeight="false" outlineLevel="0" collapsed="false">
      <c r="A3435" s="0" t="s">
        <v>4838</v>
      </c>
      <c r="C3435" s="0" t="s">
        <v>1017</v>
      </c>
      <c r="D3435" s="7" t="n">
        <v>2150</v>
      </c>
      <c r="E3435" s="8" t="n">
        <v>0.0284604651162791</v>
      </c>
      <c r="F3435" s="4" t="n">
        <f aca="false">D3435*E3435</f>
        <v>61.19</v>
      </c>
      <c r="G3435" s="7" t="n">
        <v>20</v>
      </c>
      <c r="H3435" s="9" t="n">
        <f aca="false">IF(G3435&gt;0,D3435/G3435,"")</f>
        <v>107.5</v>
      </c>
      <c r="I3435" s="10" t="n">
        <v>46183</v>
      </c>
      <c r="J3435" s="3" t="s">
        <v>341</v>
      </c>
      <c r="K3435" s="10" t="n">
        <v>46078</v>
      </c>
      <c r="L3435" s="3" t="s">
        <v>15</v>
      </c>
      <c r="M3435" s="7" t="n">
        <v>2170</v>
      </c>
      <c r="N3435" s="8" t="n">
        <v>0.02846</v>
      </c>
      <c r="O3435" s="4" t="n">
        <f aca="false">M3435*N3435</f>
        <v>61.7582</v>
      </c>
    </row>
    <row r="3436" customFormat="false" ht="15" hidden="false" customHeight="false" outlineLevel="0" collapsed="false">
      <c r="A3436" s="0" t="s">
        <v>4839</v>
      </c>
      <c r="C3436" s="0" t="s">
        <v>741</v>
      </c>
      <c r="D3436" s="7" t="n">
        <v>436</v>
      </c>
      <c r="E3436" s="8" t="n">
        <v>0.140344036697248</v>
      </c>
      <c r="F3436" s="4" t="n">
        <f aca="false">D3436*E3436</f>
        <v>61.19</v>
      </c>
      <c r="G3436" s="7" t="n">
        <v>6</v>
      </c>
      <c r="H3436" s="9" t="n">
        <f aca="false">IF(G3436&gt;0,D3436/G3436,"")</f>
        <v>72.6666666666667</v>
      </c>
      <c r="I3436" s="10" t="n">
        <v>46163</v>
      </c>
      <c r="K3436" s="10"/>
      <c r="M3436" s="7"/>
      <c r="N3436" s="8"/>
      <c r="O3436" s="4"/>
    </row>
    <row r="3437" customFormat="false" ht="15" hidden="false" customHeight="false" outlineLevel="0" collapsed="false">
      <c r="A3437" s="0" t="s">
        <v>4840</v>
      </c>
      <c r="C3437" s="0" t="s">
        <v>855</v>
      </c>
      <c r="D3437" s="7" t="n">
        <v>4400</v>
      </c>
      <c r="E3437" s="8" t="n">
        <v>0.0138977272727273</v>
      </c>
      <c r="F3437" s="4" t="n">
        <f aca="false">D3437*E3437</f>
        <v>61.15</v>
      </c>
      <c r="G3437" s="7" t="n">
        <v>9</v>
      </c>
      <c r="H3437" s="9" t="n">
        <f aca="false">IF(G3437&gt;0,D3437/G3437,"")</f>
        <v>488.888888888889</v>
      </c>
      <c r="I3437" s="10" t="n">
        <v>46078</v>
      </c>
      <c r="J3437" s="3" t="s">
        <v>4841</v>
      </c>
      <c r="K3437" s="10" t="n">
        <v>44313</v>
      </c>
      <c r="L3437" s="3" t="s">
        <v>19</v>
      </c>
      <c r="M3437" s="7" t="n">
        <v>5000</v>
      </c>
      <c r="N3437" s="8" t="n">
        <v>0.0139</v>
      </c>
      <c r="O3437" s="4" t="n">
        <f aca="false">M3437*N3437</f>
        <v>69.5</v>
      </c>
    </row>
    <row r="3438" customFormat="false" ht="15" hidden="false" customHeight="false" outlineLevel="0" collapsed="false">
      <c r="A3438" s="0" t="s">
        <v>4842</v>
      </c>
      <c r="C3438" s="0" t="s">
        <v>40</v>
      </c>
      <c r="D3438" s="7" t="n">
        <v>441</v>
      </c>
      <c r="E3438" s="8" t="n">
        <v>0.138662131519274</v>
      </c>
      <c r="F3438" s="4" t="n">
        <f aca="false">D3438*E3438</f>
        <v>61.15</v>
      </c>
      <c r="G3438" s="7" t="n">
        <v>65</v>
      </c>
      <c r="H3438" s="9" t="n">
        <f aca="false">IF(G3438&gt;0,D3438/G3438,"")</f>
        <v>6.78461538461538</v>
      </c>
      <c r="I3438" s="10" t="n">
        <v>46238</v>
      </c>
      <c r="J3438" s="3" t="s">
        <v>4843</v>
      </c>
      <c r="K3438" s="10" t="n">
        <v>44242</v>
      </c>
      <c r="L3438" s="3" t="s">
        <v>18</v>
      </c>
      <c r="M3438" s="7" t="n">
        <v>720</v>
      </c>
      <c r="N3438" s="8" t="n">
        <v>0.1387</v>
      </c>
      <c r="O3438" s="4" t="n">
        <f aca="false">M3438*N3438</f>
        <v>99.864</v>
      </c>
    </row>
    <row r="3439" customFormat="false" ht="15" hidden="false" customHeight="false" outlineLevel="0" collapsed="false">
      <c r="A3439" s="0" t="s">
        <v>4844</v>
      </c>
      <c r="C3439" s="0" t="s">
        <v>32</v>
      </c>
      <c r="D3439" s="7" t="n">
        <v>923</v>
      </c>
      <c r="E3439" s="8" t="n">
        <v>0.0662080173347779</v>
      </c>
      <c r="F3439" s="4" t="n">
        <f aca="false">D3439*E3439</f>
        <v>61.11</v>
      </c>
      <c r="G3439" s="7" t="n">
        <v>859</v>
      </c>
      <c r="H3439" s="9" t="n">
        <f aca="false">IF(G3439&gt;0,D3439/G3439,"")</f>
        <v>1.07450523864959</v>
      </c>
      <c r="I3439" s="10" t="n">
        <v>46273</v>
      </c>
      <c r="J3439" s="3" t="s">
        <v>1026</v>
      </c>
      <c r="K3439" s="10" t="n">
        <v>46090</v>
      </c>
      <c r="L3439" s="3" t="s">
        <v>18</v>
      </c>
      <c r="M3439" s="7" t="n">
        <v>1600</v>
      </c>
      <c r="N3439" s="8" t="n">
        <v>0.0662</v>
      </c>
      <c r="O3439" s="4" t="n">
        <f aca="false">M3439*N3439</f>
        <v>105.92</v>
      </c>
    </row>
    <row r="3440" customFormat="false" ht="15" hidden="false" customHeight="false" outlineLevel="0" collapsed="false">
      <c r="A3440" s="0" t="s">
        <v>4845</v>
      </c>
      <c r="C3440" s="0" t="s">
        <v>609</v>
      </c>
      <c r="D3440" s="7" t="n">
        <v>47</v>
      </c>
      <c r="E3440" s="8" t="n">
        <v>1.3</v>
      </c>
      <c r="F3440" s="4" t="n">
        <f aca="false">D3440*E3440</f>
        <v>61.1</v>
      </c>
      <c r="G3440" s="7" t="n">
        <v>9</v>
      </c>
      <c r="H3440" s="9" t="n">
        <f aca="false">IF(G3440&gt;0,D3440/G3440,"")</f>
        <v>5.22222222222222</v>
      </c>
      <c r="I3440" s="10" t="n">
        <v>46308</v>
      </c>
      <c r="J3440" s="3" t="s">
        <v>3307</v>
      </c>
      <c r="K3440" s="10" t="n">
        <v>45672</v>
      </c>
      <c r="L3440" s="3" t="s">
        <v>1878</v>
      </c>
      <c r="M3440" s="7" t="n">
        <v>100</v>
      </c>
      <c r="N3440" s="8" t="n">
        <v>1.3</v>
      </c>
      <c r="O3440" s="4" t="n">
        <f aca="false">M3440*N3440</f>
        <v>130</v>
      </c>
    </row>
    <row r="3441" customFormat="false" ht="15" hidden="false" customHeight="false" outlineLevel="0" collapsed="false">
      <c r="A3441" s="0" t="s">
        <v>4846</v>
      </c>
      <c r="C3441" s="0" t="s">
        <v>855</v>
      </c>
      <c r="D3441" s="7" t="n">
        <v>6360</v>
      </c>
      <c r="E3441" s="8" t="n">
        <v>0.00960220125786164</v>
      </c>
      <c r="F3441" s="4" t="n">
        <f aca="false">D3441*E3441</f>
        <v>61.07</v>
      </c>
      <c r="G3441" s="7" t="n">
        <v>484</v>
      </c>
      <c r="H3441" s="9" t="n">
        <f aca="false">IF(G3441&gt;0,D3441/G3441,"")</f>
        <v>13.1404958677686</v>
      </c>
      <c r="I3441" s="10" t="n">
        <v>46259</v>
      </c>
      <c r="K3441" s="10"/>
      <c r="M3441" s="7"/>
      <c r="N3441" s="8"/>
      <c r="O3441" s="4"/>
    </row>
    <row r="3442" customFormat="false" ht="15" hidden="false" customHeight="false" outlineLevel="0" collapsed="false">
      <c r="A3442" s="0" t="s">
        <v>4847</v>
      </c>
      <c r="C3442" s="0" t="s">
        <v>360</v>
      </c>
      <c r="D3442" s="7" t="n">
        <v>5613</v>
      </c>
      <c r="E3442" s="8" t="n">
        <v>0.0108800997683948</v>
      </c>
      <c r="F3442" s="4" t="n">
        <f aca="false">D3442*E3442</f>
        <v>61.07</v>
      </c>
      <c r="G3442" s="7" t="n">
        <v>150</v>
      </c>
      <c r="H3442" s="9" t="n">
        <f aca="false">IF(G3442&gt;0,D3442/G3442,"")</f>
        <v>37.42</v>
      </c>
      <c r="I3442" s="10" t="n">
        <v>46224</v>
      </c>
      <c r="J3442" s="3" t="s">
        <v>400</v>
      </c>
      <c r="K3442" s="10" t="n">
        <v>45783</v>
      </c>
      <c r="L3442" s="3" t="s">
        <v>15</v>
      </c>
      <c r="M3442" s="7" t="n">
        <v>22620</v>
      </c>
      <c r="N3442" s="8" t="n">
        <v>0.01088</v>
      </c>
      <c r="O3442" s="4" t="n">
        <f aca="false">M3442*N3442</f>
        <v>246.1056</v>
      </c>
    </row>
    <row r="3443" customFormat="false" ht="15" hidden="false" customHeight="false" outlineLevel="0" collapsed="false">
      <c r="A3443" s="0" t="s">
        <v>4848</v>
      </c>
      <c r="C3443" s="0" t="s">
        <v>340</v>
      </c>
      <c r="D3443" s="7" t="n">
        <v>602</v>
      </c>
      <c r="E3443" s="8" t="n">
        <v>0.101395348837209</v>
      </c>
      <c r="F3443" s="4" t="n">
        <f aca="false">D3443*E3443</f>
        <v>61.04</v>
      </c>
      <c r="G3443" s="7" t="n">
        <v>190</v>
      </c>
      <c r="H3443" s="9" t="n">
        <f aca="false">IF(G3443&gt;0,D3443/G3443,"")</f>
        <v>3.16842105263158</v>
      </c>
      <c r="I3443" s="10" t="n">
        <v>46197</v>
      </c>
      <c r="J3443" s="3" t="s">
        <v>90</v>
      </c>
      <c r="K3443" s="10" t="n">
        <v>46055</v>
      </c>
      <c r="L3443" s="3" t="s">
        <v>16</v>
      </c>
      <c r="M3443" s="7" t="n">
        <v>792</v>
      </c>
      <c r="N3443" s="8" t="n">
        <v>0.1014</v>
      </c>
      <c r="O3443" s="4" t="n">
        <f aca="false">M3443*N3443</f>
        <v>80.3088</v>
      </c>
    </row>
    <row r="3444" customFormat="false" ht="15" hidden="false" customHeight="false" outlineLevel="0" collapsed="false">
      <c r="A3444" s="0" t="s">
        <v>4849</v>
      </c>
      <c r="C3444" s="0" t="s">
        <v>855</v>
      </c>
      <c r="D3444" s="7" t="n">
        <v>1067</v>
      </c>
      <c r="E3444" s="8" t="n">
        <v>0.0571883786316776</v>
      </c>
      <c r="F3444" s="4" t="n">
        <f aca="false">D3444*E3444</f>
        <v>61.02</v>
      </c>
      <c r="G3444" s="7" t="n">
        <v>78</v>
      </c>
      <c r="H3444" s="9" t="n">
        <f aca="false">IF(G3444&gt;0,D3444/G3444,"")</f>
        <v>13.6794871794872</v>
      </c>
      <c r="I3444" s="10" t="n">
        <v>46282</v>
      </c>
      <c r="J3444" s="3" t="s">
        <v>2815</v>
      </c>
      <c r="K3444" s="10" t="n">
        <v>44720</v>
      </c>
      <c r="L3444" s="3" t="s">
        <v>19</v>
      </c>
      <c r="M3444" s="7" t="n">
        <v>500</v>
      </c>
      <c r="N3444" s="8" t="n">
        <v>0.0573</v>
      </c>
      <c r="O3444" s="4" t="n">
        <f aca="false">M3444*N3444</f>
        <v>28.65</v>
      </c>
    </row>
    <row r="3445" customFormat="false" ht="15" hidden="false" customHeight="false" outlineLevel="0" collapsed="false">
      <c r="A3445" s="0" t="s">
        <v>4850</v>
      </c>
      <c r="C3445" s="0" t="s">
        <v>31</v>
      </c>
      <c r="D3445" s="7" t="n">
        <v>3969</v>
      </c>
      <c r="E3445" s="8" t="n">
        <v>0.0153691106072058</v>
      </c>
      <c r="F3445" s="4" t="n">
        <f aca="false">D3445*E3445</f>
        <v>61</v>
      </c>
      <c r="G3445" s="7" t="n">
        <v>800</v>
      </c>
      <c r="H3445" s="9" t="n">
        <f aca="false">IF(G3445&gt;0,D3445/G3445,"")</f>
        <v>4.96125</v>
      </c>
      <c r="I3445" s="10" t="n">
        <v>46294</v>
      </c>
      <c r="K3445" s="10"/>
      <c r="M3445" s="7"/>
      <c r="N3445" s="8"/>
      <c r="O3445" s="4"/>
    </row>
    <row r="3446" customFormat="false" ht="15" hidden="false" customHeight="false" outlineLevel="0" collapsed="false">
      <c r="A3446" s="0" t="s">
        <v>4851</v>
      </c>
      <c r="C3446" s="0" t="s">
        <v>39</v>
      </c>
      <c r="D3446" s="7" t="n">
        <v>605</v>
      </c>
      <c r="E3446" s="8" t="n">
        <v>0.100776859504132</v>
      </c>
      <c r="F3446" s="4" t="n">
        <f aca="false">D3446*E3446</f>
        <v>60.97</v>
      </c>
      <c r="G3446" s="7" t="n">
        <v>342</v>
      </c>
      <c r="H3446" s="9" t="n">
        <f aca="false">IF(G3446&gt;0,D3446/G3446,"")</f>
        <v>1.76900584795322</v>
      </c>
      <c r="I3446" s="10" t="n">
        <v>46290</v>
      </c>
      <c r="J3446" s="3" t="s">
        <v>3533</v>
      </c>
      <c r="K3446" s="10" t="n">
        <v>45903</v>
      </c>
      <c r="L3446" s="3" t="s">
        <v>18</v>
      </c>
      <c r="M3446" s="7" t="n">
        <v>1000</v>
      </c>
      <c r="N3446" s="8" t="n">
        <v>0.1008</v>
      </c>
      <c r="O3446" s="4" t="n">
        <f aca="false">M3446*N3446</f>
        <v>100.8</v>
      </c>
    </row>
    <row r="3447" customFormat="false" ht="15" hidden="false" customHeight="false" outlineLevel="0" collapsed="false">
      <c r="A3447" s="0" t="s">
        <v>4852</v>
      </c>
      <c r="C3447" s="0" t="s">
        <v>298</v>
      </c>
      <c r="D3447" s="7" t="n">
        <v>710</v>
      </c>
      <c r="E3447" s="8" t="n">
        <v>0.0858591549295775</v>
      </c>
      <c r="F3447" s="4" t="n">
        <f aca="false">D3447*E3447</f>
        <v>60.96</v>
      </c>
      <c r="G3447" s="7" t="n">
        <v>25</v>
      </c>
      <c r="H3447" s="9" t="n">
        <f aca="false">IF(G3447&gt;0,D3447/G3447,"")</f>
        <v>28.4</v>
      </c>
      <c r="I3447" s="10" t="n">
        <v>46244</v>
      </c>
      <c r="J3447" s="3" t="s">
        <v>1018</v>
      </c>
      <c r="K3447" s="10" t="n">
        <v>45912</v>
      </c>
      <c r="L3447" s="3" t="s">
        <v>15</v>
      </c>
      <c r="M3447" s="7" t="n">
        <v>735</v>
      </c>
      <c r="N3447" s="8" t="n">
        <v>0.08587</v>
      </c>
      <c r="O3447" s="4" t="n">
        <f aca="false">M3447*N3447</f>
        <v>63.11445</v>
      </c>
    </row>
    <row r="3448" customFormat="false" ht="15" hidden="false" customHeight="false" outlineLevel="0" collapsed="false">
      <c r="A3448" s="0" t="s">
        <v>4853</v>
      </c>
      <c r="C3448" s="0" t="s">
        <v>35</v>
      </c>
      <c r="D3448" s="7" t="n">
        <v>280</v>
      </c>
      <c r="E3448" s="8" t="n">
        <v>0.217607142857143</v>
      </c>
      <c r="F3448" s="4" t="n">
        <f aca="false">D3448*E3448</f>
        <v>60.93</v>
      </c>
      <c r="G3448" s="7" t="n">
        <v>220</v>
      </c>
      <c r="H3448" s="9" t="n">
        <f aca="false">IF(G3448&gt;0,D3448/G3448,"")</f>
        <v>1.27272727272727</v>
      </c>
      <c r="I3448" s="10" t="n">
        <v>46304</v>
      </c>
      <c r="J3448" s="3" t="s">
        <v>4283</v>
      </c>
      <c r="K3448" s="10" t="n">
        <v>46276</v>
      </c>
      <c r="L3448" s="3" t="s">
        <v>16</v>
      </c>
      <c r="M3448" s="7" t="n">
        <v>500</v>
      </c>
      <c r="N3448" s="8" t="n">
        <v>0.2176</v>
      </c>
      <c r="O3448" s="4" t="n">
        <f aca="false">M3448*N3448</f>
        <v>108.8</v>
      </c>
    </row>
    <row r="3449" customFormat="false" ht="15" hidden="false" customHeight="false" outlineLevel="0" collapsed="false">
      <c r="A3449" s="0" t="s">
        <v>4854</v>
      </c>
      <c r="C3449" s="0" t="s">
        <v>1039</v>
      </c>
      <c r="D3449" s="7" t="n">
        <v>11720</v>
      </c>
      <c r="E3449" s="8" t="n">
        <v>0.00519795221843003</v>
      </c>
      <c r="F3449" s="4" t="n">
        <f aca="false">D3449*E3449</f>
        <v>60.92</v>
      </c>
      <c r="G3449" s="7" t="n">
        <v>380</v>
      </c>
      <c r="H3449" s="9" t="n">
        <f aca="false">IF(G3449&gt;0,D3449/G3449,"")</f>
        <v>30.8421052631579</v>
      </c>
      <c r="I3449" s="10" t="n">
        <v>46174</v>
      </c>
      <c r="K3449" s="10"/>
      <c r="M3449" s="7"/>
      <c r="N3449" s="8"/>
      <c r="O3449" s="4"/>
    </row>
    <row r="3450" customFormat="false" ht="15" hidden="false" customHeight="false" outlineLevel="0" collapsed="false">
      <c r="A3450" s="0" t="s">
        <v>4855</v>
      </c>
      <c r="C3450" s="0" t="s">
        <v>31</v>
      </c>
      <c r="D3450" s="7" t="n">
        <v>14853</v>
      </c>
      <c r="E3450" s="8" t="n">
        <v>0.00409950851679795</v>
      </c>
      <c r="F3450" s="4" t="n">
        <f aca="false">D3450*E3450</f>
        <v>60.89</v>
      </c>
      <c r="G3450" s="7" t="n">
        <v>5676</v>
      </c>
      <c r="H3450" s="9" t="n">
        <f aca="false">IF(G3450&gt;0,D3450/G3450,"")</f>
        <v>2.61680761099366</v>
      </c>
      <c r="I3450" s="10" t="n">
        <v>46301</v>
      </c>
      <c r="J3450" s="3" t="s">
        <v>1565</v>
      </c>
      <c r="K3450" s="10" t="n">
        <v>45516</v>
      </c>
      <c r="L3450" s="3" t="s">
        <v>16</v>
      </c>
      <c r="M3450" s="7" t="n">
        <v>17784</v>
      </c>
      <c r="N3450" s="8" t="n">
        <v>0.0041</v>
      </c>
      <c r="O3450" s="4" t="n">
        <f aca="false">M3450*N3450</f>
        <v>72.9144</v>
      </c>
    </row>
    <row r="3451" customFormat="false" ht="15" hidden="false" customHeight="false" outlineLevel="0" collapsed="false">
      <c r="A3451" s="0" t="s">
        <v>4856</v>
      </c>
      <c r="C3451" s="0" t="s">
        <v>33</v>
      </c>
      <c r="D3451" s="7" t="n">
        <v>74</v>
      </c>
      <c r="E3451" s="8" t="n">
        <v>0.822432432432433</v>
      </c>
      <c r="F3451" s="4" t="n">
        <f aca="false">D3451*E3451</f>
        <v>60.86</v>
      </c>
      <c r="G3451" s="7" t="n">
        <v>50</v>
      </c>
      <c r="H3451" s="9" t="n">
        <f aca="false">IF(G3451&gt;0,D3451/G3451,"")</f>
        <v>1.48</v>
      </c>
      <c r="I3451" s="10" t="n">
        <v>46127</v>
      </c>
      <c r="J3451" s="3" t="s">
        <v>4052</v>
      </c>
      <c r="K3451" s="10" t="n">
        <v>46014</v>
      </c>
      <c r="L3451" s="3" t="s">
        <v>18</v>
      </c>
      <c r="M3451" s="7" t="n">
        <v>120</v>
      </c>
      <c r="N3451" s="8" t="n">
        <v>0.8224</v>
      </c>
      <c r="O3451" s="4" t="n">
        <f aca="false">M3451*N3451</f>
        <v>98.688</v>
      </c>
    </row>
    <row r="3452" customFormat="false" ht="15" hidden="false" customHeight="false" outlineLevel="0" collapsed="false">
      <c r="A3452" s="0" t="s">
        <v>4857</v>
      </c>
      <c r="C3452" s="0" t="s">
        <v>715</v>
      </c>
      <c r="D3452" s="7" t="n">
        <v>516</v>
      </c>
      <c r="E3452" s="8" t="n">
        <v>0.117926356589147</v>
      </c>
      <c r="F3452" s="4" t="n">
        <f aca="false">D3452*E3452</f>
        <v>60.85</v>
      </c>
      <c r="G3452" s="7" t="n">
        <v>94</v>
      </c>
      <c r="H3452" s="9" t="n">
        <f aca="false">IF(G3452&gt;0,D3452/G3452,"")</f>
        <v>5.48936170212766</v>
      </c>
      <c r="I3452" s="10" t="n">
        <v>46119</v>
      </c>
      <c r="J3452" s="3" t="s">
        <v>3030</v>
      </c>
      <c r="K3452" s="10" t="n">
        <v>46126</v>
      </c>
      <c r="L3452" s="3" t="s">
        <v>14</v>
      </c>
      <c r="M3452" s="7" t="n">
        <v>500</v>
      </c>
      <c r="N3452" s="8" t="n">
        <v>0.1179</v>
      </c>
      <c r="O3452" s="4" t="n">
        <f aca="false">M3452*N3452</f>
        <v>58.95</v>
      </c>
    </row>
    <row r="3453" customFormat="false" ht="15" hidden="false" customHeight="false" outlineLevel="0" collapsed="false">
      <c r="A3453" s="0" t="s">
        <v>4858</v>
      </c>
      <c r="C3453" s="0" t="s">
        <v>79</v>
      </c>
      <c r="D3453" s="7" t="n">
        <v>42</v>
      </c>
      <c r="E3453" s="8" t="n">
        <v>1.44642857142857</v>
      </c>
      <c r="F3453" s="4" t="n">
        <f aca="false">D3453*E3453</f>
        <v>60.75</v>
      </c>
      <c r="G3453" s="7" t="n">
        <v>30</v>
      </c>
      <c r="H3453" s="9" t="n">
        <f aca="false">IF(G3453&gt;0,D3453/G3453,"")</f>
        <v>1.4</v>
      </c>
      <c r="I3453" s="10" t="n">
        <v>45971</v>
      </c>
      <c r="J3453" s="3" t="s">
        <v>2241</v>
      </c>
      <c r="K3453" s="10" t="n">
        <v>45946</v>
      </c>
      <c r="L3453" s="3" t="s">
        <v>14</v>
      </c>
      <c r="M3453" s="7" t="n">
        <v>50</v>
      </c>
      <c r="N3453" s="8" t="n">
        <v>1.4464</v>
      </c>
      <c r="O3453" s="4" t="n">
        <f aca="false">M3453*N3453</f>
        <v>72.32</v>
      </c>
    </row>
    <row r="3454" customFormat="false" ht="15" hidden="false" customHeight="false" outlineLevel="0" collapsed="false">
      <c r="A3454" s="0" t="s">
        <v>4859</v>
      </c>
      <c r="C3454" s="0" t="s">
        <v>41</v>
      </c>
      <c r="D3454" s="7" t="n">
        <v>1125</v>
      </c>
      <c r="E3454" s="8" t="n">
        <v>0.054</v>
      </c>
      <c r="F3454" s="4" t="n">
        <f aca="false">D3454*E3454</f>
        <v>60.75</v>
      </c>
      <c r="G3454" s="7" t="n">
        <v>140</v>
      </c>
      <c r="H3454" s="9" t="n">
        <f aca="false">IF(G3454&gt;0,D3454/G3454,"")</f>
        <v>8.03571428571429</v>
      </c>
      <c r="I3454" s="10" t="n">
        <v>46316</v>
      </c>
      <c r="J3454" s="3" t="s">
        <v>4860</v>
      </c>
      <c r="K3454" s="10" t="n">
        <v>45364</v>
      </c>
      <c r="L3454" s="3" t="s">
        <v>25</v>
      </c>
      <c r="M3454" s="7" t="n">
        <v>1500</v>
      </c>
      <c r="N3454" s="8" t="n">
        <v>0.054</v>
      </c>
      <c r="O3454" s="4" t="n">
        <f aca="false">M3454*N3454</f>
        <v>81</v>
      </c>
    </row>
    <row r="3455" customFormat="false" ht="15" hidden="false" customHeight="false" outlineLevel="0" collapsed="false">
      <c r="A3455" s="0" t="s">
        <v>4861</v>
      </c>
      <c r="C3455" s="0" t="s">
        <v>31</v>
      </c>
      <c r="D3455" s="7" t="n">
        <v>7452</v>
      </c>
      <c r="E3455" s="8" t="n">
        <v>0.00814949006977993</v>
      </c>
      <c r="F3455" s="4" t="n">
        <f aca="false">D3455*E3455</f>
        <v>60.73</v>
      </c>
      <c r="G3455" s="7" t="n">
        <v>3103</v>
      </c>
      <c r="H3455" s="9" t="n">
        <f aca="false">IF(G3455&gt;0,D3455/G3455,"")</f>
        <v>2.40154689010635</v>
      </c>
      <c r="I3455" s="10" t="n">
        <v>46269</v>
      </c>
      <c r="J3455" s="3" t="s">
        <v>4801</v>
      </c>
      <c r="K3455" s="10" t="n">
        <v>46290</v>
      </c>
      <c r="L3455" s="3" t="s">
        <v>16</v>
      </c>
      <c r="M3455" s="7" t="n">
        <v>33900</v>
      </c>
      <c r="N3455" s="8" t="n">
        <v>0.0059</v>
      </c>
      <c r="O3455" s="4" t="n">
        <f aca="false">M3455*N3455</f>
        <v>200.01</v>
      </c>
    </row>
    <row r="3456" customFormat="false" ht="15" hidden="false" customHeight="false" outlineLevel="0" collapsed="false">
      <c r="A3456" s="0" t="s">
        <v>4862</v>
      </c>
      <c r="C3456" s="0" t="s">
        <v>34</v>
      </c>
      <c r="D3456" s="7" t="n">
        <v>1051</v>
      </c>
      <c r="E3456" s="8" t="n">
        <v>0.0577735490009515</v>
      </c>
      <c r="F3456" s="4" t="n">
        <f aca="false">D3456*E3456</f>
        <v>60.72</v>
      </c>
      <c r="G3456" s="7" t="n">
        <v>207</v>
      </c>
      <c r="H3456" s="9" t="n">
        <f aca="false">IF(G3456&gt;0,D3456/G3456,"")</f>
        <v>5.07729468599034</v>
      </c>
      <c r="I3456" s="10" t="n">
        <v>46282</v>
      </c>
      <c r="J3456" s="3" t="s">
        <v>4863</v>
      </c>
      <c r="K3456" s="10" t="n">
        <v>45261</v>
      </c>
      <c r="L3456" s="3" t="s">
        <v>14</v>
      </c>
      <c r="M3456" s="7" t="n">
        <v>2227</v>
      </c>
      <c r="N3456" s="8" t="n">
        <v>0.0571</v>
      </c>
      <c r="O3456" s="4" t="n">
        <f aca="false">M3456*N3456</f>
        <v>127.1617</v>
      </c>
    </row>
    <row r="3457" customFormat="false" ht="15" hidden="false" customHeight="false" outlineLevel="0" collapsed="false">
      <c r="A3457" s="0" t="s">
        <v>4864</v>
      </c>
      <c r="D3457" s="7" t="n">
        <v>23</v>
      </c>
      <c r="E3457" s="8" t="n">
        <v>2.63913043478261</v>
      </c>
      <c r="F3457" s="4" t="n">
        <f aca="false">D3457*E3457</f>
        <v>60.7</v>
      </c>
      <c r="G3457" s="7" t="n">
        <v>2</v>
      </c>
      <c r="H3457" s="9" t="n">
        <f aca="false">IF(G3457&gt;0,D3457/G3457,"")</f>
        <v>11.5</v>
      </c>
      <c r="I3457" s="10" t="n">
        <v>46101</v>
      </c>
      <c r="J3457" s="3" t="s">
        <v>4865</v>
      </c>
      <c r="K3457" s="10" t="n">
        <v>46094</v>
      </c>
      <c r="L3457" s="3" t="s">
        <v>313</v>
      </c>
      <c r="M3457" s="7" t="n">
        <v>25</v>
      </c>
      <c r="N3457" s="8" t="n">
        <v>2.639</v>
      </c>
      <c r="O3457" s="4" t="n">
        <f aca="false">M3457*N3457</f>
        <v>65.975</v>
      </c>
    </row>
    <row r="3458" customFormat="false" ht="15" hidden="false" customHeight="false" outlineLevel="0" collapsed="false">
      <c r="A3458" s="0" t="s">
        <v>4866</v>
      </c>
      <c r="C3458" s="0" t="s">
        <v>34</v>
      </c>
      <c r="D3458" s="7" t="n">
        <v>236</v>
      </c>
      <c r="E3458" s="8" t="n">
        <v>0.257203389830509</v>
      </c>
      <c r="F3458" s="4" t="n">
        <f aca="false">D3458*E3458</f>
        <v>60.7</v>
      </c>
      <c r="G3458" s="7" t="n">
        <v>130</v>
      </c>
      <c r="H3458" s="9" t="n">
        <f aca="false">IF(G3458&gt;0,D3458/G3458,"")</f>
        <v>1.81538461538462</v>
      </c>
      <c r="I3458" s="10" t="n">
        <v>46286</v>
      </c>
      <c r="K3458" s="10"/>
      <c r="M3458" s="7"/>
      <c r="N3458" s="8"/>
      <c r="O3458" s="4"/>
    </row>
    <row r="3459" customFormat="false" ht="15" hidden="false" customHeight="false" outlineLevel="0" collapsed="false">
      <c r="A3459" s="0" t="s">
        <v>4867</v>
      </c>
      <c r="C3459" s="0" t="s">
        <v>31</v>
      </c>
      <c r="D3459" s="7" t="n">
        <v>3429</v>
      </c>
      <c r="E3459" s="8" t="n">
        <v>0.0176990376202975</v>
      </c>
      <c r="F3459" s="4" t="n">
        <f aca="false">D3459*E3459</f>
        <v>60.69</v>
      </c>
      <c r="G3459" s="7" t="n">
        <v>588</v>
      </c>
      <c r="H3459" s="9" t="n">
        <f aca="false">IF(G3459&gt;0,D3459/G3459,"")</f>
        <v>5.83163265306123</v>
      </c>
      <c r="I3459" s="10" t="n">
        <v>46304</v>
      </c>
      <c r="J3459" s="3" t="s">
        <v>3921</v>
      </c>
      <c r="K3459" s="10" t="n">
        <v>45203</v>
      </c>
      <c r="L3459" s="3" t="s">
        <v>19</v>
      </c>
      <c r="M3459" s="7" t="n">
        <v>5000</v>
      </c>
      <c r="N3459" s="8" t="n">
        <v>0.0177</v>
      </c>
      <c r="O3459" s="4" t="n">
        <f aca="false">M3459*N3459</f>
        <v>88.5</v>
      </c>
    </row>
    <row r="3460" customFormat="false" ht="15" hidden="false" customHeight="false" outlineLevel="0" collapsed="false">
      <c r="A3460" s="0" t="s">
        <v>4868</v>
      </c>
      <c r="C3460" s="0" t="s">
        <v>31</v>
      </c>
      <c r="D3460" s="7" t="n">
        <v>938</v>
      </c>
      <c r="E3460" s="8" t="n">
        <v>0.0646908315565032</v>
      </c>
      <c r="F3460" s="4" t="n">
        <f aca="false">D3460*E3460</f>
        <v>60.68</v>
      </c>
      <c r="G3460" s="7" t="n">
        <v>337</v>
      </c>
      <c r="H3460" s="9" t="n">
        <f aca="false">IF(G3460&gt;0,D3460/G3460,"")</f>
        <v>2.78338278931751</v>
      </c>
      <c r="I3460" s="10" t="n">
        <v>46259</v>
      </c>
      <c r="K3460" s="10"/>
      <c r="M3460" s="7"/>
      <c r="N3460" s="8"/>
      <c r="O3460" s="4"/>
    </row>
    <row r="3461" customFormat="false" ht="15" hidden="false" customHeight="false" outlineLevel="0" collapsed="false">
      <c r="A3461" s="0" t="s">
        <v>4869</v>
      </c>
      <c r="C3461" s="0" t="s">
        <v>934</v>
      </c>
      <c r="D3461" s="7" t="n">
        <v>73</v>
      </c>
      <c r="E3461" s="8" t="n">
        <v>0.830958904109589</v>
      </c>
      <c r="F3461" s="4" t="n">
        <f aca="false">D3461*E3461</f>
        <v>60.66</v>
      </c>
      <c r="G3461" s="7" t="n">
        <v>5</v>
      </c>
      <c r="H3461" s="9" t="n">
        <f aca="false">IF(G3461&gt;0,D3461/G3461,"")</f>
        <v>14.6</v>
      </c>
      <c r="I3461" s="10" t="n">
        <v>46217</v>
      </c>
      <c r="K3461" s="10"/>
      <c r="M3461" s="7"/>
      <c r="N3461" s="8"/>
      <c r="O3461" s="4"/>
    </row>
    <row r="3462" customFormat="false" ht="15" hidden="false" customHeight="false" outlineLevel="0" collapsed="false">
      <c r="A3462" s="0" t="s">
        <v>4870</v>
      </c>
      <c r="C3462" s="0" t="s">
        <v>34</v>
      </c>
      <c r="D3462" s="7" t="n">
        <v>820</v>
      </c>
      <c r="E3462" s="8" t="n">
        <v>0.0739756097560976</v>
      </c>
      <c r="F3462" s="4" t="n">
        <f aca="false">D3462*E3462</f>
        <v>60.66</v>
      </c>
      <c r="G3462" s="7" t="n">
        <v>150</v>
      </c>
      <c r="H3462" s="9" t="n">
        <f aca="false">IF(G3462&gt;0,D3462/G3462,"")</f>
        <v>5.46666666666667</v>
      </c>
      <c r="I3462" s="10" t="n">
        <v>46134</v>
      </c>
      <c r="J3462" s="3" t="s">
        <v>4871</v>
      </c>
      <c r="K3462" s="10" t="n">
        <v>44824</v>
      </c>
      <c r="L3462" s="3" t="s">
        <v>19</v>
      </c>
      <c r="M3462" s="7" t="n">
        <v>1003</v>
      </c>
      <c r="N3462" s="8" t="n">
        <v>0.075</v>
      </c>
      <c r="O3462" s="4" t="n">
        <v>75</v>
      </c>
    </row>
    <row r="3463" customFormat="false" ht="15" hidden="false" customHeight="false" outlineLevel="0" collapsed="false">
      <c r="A3463" s="0" t="s">
        <v>4872</v>
      </c>
      <c r="C3463" s="0" t="s">
        <v>34</v>
      </c>
      <c r="D3463" s="7" t="n">
        <v>1641</v>
      </c>
      <c r="E3463" s="8" t="n">
        <v>0.0369530773918343</v>
      </c>
      <c r="F3463" s="4" t="n">
        <f aca="false">D3463*E3463</f>
        <v>60.64</v>
      </c>
      <c r="G3463" s="7" t="n">
        <v>20</v>
      </c>
      <c r="H3463" s="9" t="n">
        <f aca="false">IF(G3463&gt;0,D3463/G3463,"")</f>
        <v>82.05</v>
      </c>
      <c r="I3463" s="10" t="n">
        <v>46069</v>
      </c>
      <c r="J3463" s="3" t="s">
        <v>2162</v>
      </c>
      <c r="K3463" s="10" t="n">
        <v>44222</v>
      </c>
      <c r="L3463" s="3" t="s">
        <v>15</v>
      </c>
      <c r="M3463" s="7" t="n">
        <v>2600</v>
      </c>
      <c r="N3463" s="8" t="n">
        <v>0.03696</v>
      </c>
      <c r="O3463" s="4" t="n">
        <f aca="false">M3463*N3463</f>
        <v>96.096</v>
      </c>
    </row>
    <row r="3464" customFormat="false" ht="15" hidden="false" customHeight="false" outlineLevel="0" collapsed="false">
      <c r="A3464" s="0" t="s">
        <v>4873</v>
      </c>
      <c r="C3464" s="0" t="s">
        <v>31</v>
      </c>
      <c r="D3464" s="7" t="n">
        <v>2398</v>
      </c>
      <c r="E3464" s="8" t="n">
        <v>0.0252835696413678</v>
      </c>
      <c r="F3464" s="4" t="n">
        <f aca="false">D3464*E3464</f>
        <v>60.63</v>
      </c>
      <c r="G3464" s="7" t="n">
        <v>183</v>
      </c>
      <c r="H3464" s="9" t="n">
        <f aca="false">IF(G3464&gt;0,D3464/G3464,"")</f>
        <v>13.103825136612</v>
      </c>
      <c r="I3464" s="10" t="n">
        <v>46258</v>
      </c>
      <c r="K3464" s="10"/>
      <c r="M3464" s="7"/>
      <c r="N3464" s="8"/>
      <c r="O3464" s="4"/>
    </row>
    <row r="3465" customFormat="false" ht="15" hidden="false" customHeight="false" outlineLevel="0" collapsed="false">
      <c r="A3465" s="0" t="s">
        <v>4874</v>
      </c>
      <c r="C3465" s="0" t="s">
        <v>1039</v>
      </c>
      <c r="D3465" s="7" t="n">
        <v>10281</v>
      </c>
      <c r="E3465" s="8" t="n">
        <v>0.00589631358817236</v>
      </c>
      <c r="F3465" s="4" t="n">
        <f aca="false">D3465*E3465</f>
        <v>60.62</v>
      </c>
      <c r="G3465" s="7" t="n">
        <v>285</v>
      </c>
      <c r="H3465" s="9" t="n">
        <f aca="false">IF(G3465&gt;0,D3465/G3465,"")</f>
        <v>36.0736842105263</v>
      </c>
      <c r="I3465" s="10" t="n">
        <v>46174</v>
      </c>
      <c r="K3465" s="10"/>
      <c r="M3465" s="7"/>
      <c r="N3465" s="8"/>
      <c r="O3465" s="4"/>
    </row>
    <row r="3466" customFormat="false" ht="15" hidden="false" customHeight="false" outlineLevel="0" collapsed="false">
      <c r="A3466" s="0" t="s">
        <v>4875</v>
      </c>
      <c r="C3466" s="0" t="s">
        <v>34</v>
      </c>
      <c r="D3466" s="7" t="n">
        <v>662</v>
      </c>
      <c r="E3466" s="8" t="n">
        <v>0.0915256797583082</v>
      </c>
      <c r="F3466" s="4" t="n">
        <f aca="false">D3466*E3466</f>
        <v>60.59</v>
      </c>
      <c r="G3466" s="7" t="n">
        <v>155</v>
      </c>
      <c r="H3466" s="9" t="n">
        <f aca="false">IF(G3466&gt;0,D3466/G3466,"")</f>
        <v>4.27096774193548</v>
      </c>
      <c r="I3466" s="10" t="n">
        <v>46251</v>
      </c>
      <c r="J3466" s="3" t="s">
        <v>167</v>
      </c>
      <c r="K3466" s="10" t="n">
        <v>44750</v>
      </c>
      <c r="L3466" s="3" t="s">
        <v>14</v>
      </c>
      <c r="M3466" s="7" t="n">
        <v>1020</v>
      </c>
      <c r="N3466" s="8" t="n">
        <v>0.0944</v>
      </c>
      <c r="O3466" s="4" t="n">
        <v>94.4</v>
      </c>
    </row>
    <row r="3467" customFormat="false" ht="15" hidden="false" customHeight="false" outlineLevel="0" collapsed="false">
      <c r="A3467" s="0" t="s">
        <v>4876</v>
      </c>
      <c r="C3467" s="0" t="s">
        <v>340</v>
      </c>
      <c r="D3467" s="7" t="n">
        <v>2500</v>
      </c>
      <c r="E3467" s="8" t="n">
        <v>0.024228</v>
      </c>
      <c r="F3467" s="4" t="n">
        <f aca="false">D3467*E3467</f>
        <v>60.57</v>
      </c>
      <c r="G3467" s="7" t="n">
        <v>300</v>
      </c>
      <c r="H3467" s="9" t="n">
        <f aca="false">IF(G3467&gt;0,D3467/G3467,"")</f>
        <v>8.33333333333333</v>
      </c>
      <c r="I3467" s="10" t="n">
        <v>46241</v>
      </c>
      <c r="J3467" s="3" t="s">
        <v>4877</v>
      </c>
      <c r="K3467" s="10" t="n">
        <v>44687</v>
      </c>
      <c r="L3467" s="3" t="s">
        <v>19</v>
      </c>
      <c r="M3467" s="7" t="n">
        <v>2890</v>
      </c>
      <c r="N3467" s="8" t="n">
        <v>0</v>
      </c>
      <c r="O3467" s="4" t="n">
        <v>71.75</v>
      </c>
    </row>
    <row r="3468" customFormat="false" ht="15" hidden="false" customHeight="false" outlineLevel="0" collapsed="false">
      <c r="A3468" s="0" t="s">
        <v>4878</v>
      </c>
      <c r="C3468" s="0" t="s">
        <v>31</v>
      </c>
      <c r="D3468" s="7" t="n">
        <v>9175</v>
      </c>
      <c r="E3468" s="8" t="n">
        <v>0.00660054495912807</v>
      </c>
      <c r="F3468" s="4" t="n">
        <f aca="false">D3468*E3468</f>
        <v>60.56</v>
      </c>
      <c r="G3468" s="7" t="n">
        <v>4061</v>
      </c>
      <c r="H3468" s="9" t="n">
        <f aca="false">IF(G3468&gt;0,D3468/G3468,"")</f>
        <v>2.25929573996553</v>
      </c>
      <c r="I3468" s="10" t="n">
        <v>46315</v>
      </c>
      <c r="J3468" s="3" t="s">
        <v>682</v>
      </c>
      <c r="K3468" s="10" t="n">
        <v>45539</v>
      </c>
      <c r="L3468" s="3" t="s">
        <v>14</v>
      </c>
      <c r="M3468" s="7" t="n">
        <v>15409</v>
      </c>
      <c r="N3468" s="8" t="n">
        <v>0.0066</v>
      </c>
      <c r="O3468" s="4" t="n">
        <f aca="false">M3468*N3468</f>
        <v>101.6994</v>
      </c>
    </row>
    <row r="3469" customFormat="false" ht="15" hidden="false" customHeight="false" outlineLevel="0" collapsed="false">
      <c r="A3469" s="0" t="s">
        <v>4879</v>
      </c>
      <c r="C3469" s="0" t="s">
        <v>844</v>
      </c>
      <c r="D3469" s="7" t="n">
        <v>16</v>
      </c>
      <c r="E3469" s="8" t="n">
        <v>3.784375</v>
      </c>
      <c r="F3469" s="4" t="n">
        <f aca="false">D3469*E3469</f>
        <v>60.55</v>
      </c>
      <c r="G3469" s="7" t="n">
        <v>10</v>
      </c>
      <c r="H3469" s="9" t="n">
        <f aca="false">IF(G3469&gt;0,D3469/G3469,"")</f>
        <v>1.6</v>
      </c>
      <c r="I3469" s="10" t="n">
        <v>46147</v>
      </c>
      <c r="J3469" s="3" t="s">
        <v>4880</v>
      </c>
      <c r="K3469" s="10" t="n">
        <v>46157</v>
      </c>
      <c r="L3469" s="3" t="s">
        <v>1878</v>
      </c>
      <c r="M3469" s="7" t="n">
        <v>15</v>
      </c>
      <c r="N3469" s="8" t="n">
        <v>3.79</v>
      </c>
      <c r="O3469" s="4" t="n">
        <f aca="false">M3469*N3469</f>
        <v>56.85</v>
      </c>
    </row>
    <row r="3470" customFormat="false" ht="15" hidden="false" customHeight="false" outlineLevel="0" collapsed="false">
      <c r="A3470" s="0" t="s">
        <v>4881</v>
      </c>
      <c r="C3470" s="0" t="s">
        <v>31</v>
      </c>
      <c r="D3470" s="7" t="n">
        <v>1345</v>
      </c>
      <c r="E3470" s="8" t="n">
        <v>0.044996282527881</v>
      </c>
      <c r="F3470" s="4" t="n">
        <f aca="false">D3470*E3470</f>
        <v>60.52</v>
      </c>
      <c r="G3470" s="7" t="n">
        <v>55</v>
      </c>
      <c r="H3470" s="9" t="n">
        <f aca="false">IF(G3470&gt;0,D3470/G3470,"")</f>
        <v>24.4545454545455</v>
      </c>
      <c r="I3470" s="10" t="n">
        <v>46202</v>
      </c>
      <c r="K3470" s="10"/>
      <c r="M3470" s="7"/>
      <c r="N3470" s="8"/>
      <c r="O3470" s="4"/>
    </row>
    <row r="3471" customFormat="false" ht="15" hidden="false" customHeight="false" outlineLevel="0" collapsed="false">
      <c r="A3471" s="0" t="s">
        <v>4882</v>
      </c>
      <c r="C3471" s="0" t="s">
        <v>31</v>
      </c>
      <c r="D3471" s="7" t="n">
        <v>3023</v>
      </c>
      <c r="E3471" s="8" t="n">
        <v>0.020003307972213</v>
      </c>
      <c r="F3471" s="4" t="n">
        <f aca="false">D3471*E3471</f>
        <v>60.47</v>
      </c>
      <c r="G3471" s="7" t="n">
        <v>1426</v>
      </c>
      <c r="H3471" s="9" t="n">
        <f aca="false">IF(G3471&gt;0,D3471/G3471,"")</f>
        <v>2.11991584852735</v>
      </c>
      <c r="I3471" s="10" t="n">
        <v>46287</v>
      </c>
      <c r="J3471" s="3" t="s">
        <v>644</v>
      </c>
      <c r="K3471" s="10" t="n">
        <v>44867</v>
      </c>
      <c r="L3471" s="3" t="s">
        <v>19</v>
      </c>
      <c r="M3471" s="7" t="n">
        <v>15000</v>
      </c>
      <c r="N3471" s="8" t="n">
        <v>0.02</v>
      </c>
      <c r="O3471" s="4" t="n">
        <f aca="false">M3471*N3471</f>
        <v>300</v>
      </c>
    </row>
    <row r="3472" customFormat="false" ht="15" hidden="false" customHeight="false" outlineLevel="0" collapsed="false">
      <c r="A3472" s="0" t="s">
        <v>4883</v>
      </c>
      <c r="C3472" s="0" t="s">
        <v>40</v>
      </c>
      <c r="D3472" s="7" t="n">
        <v>124</v>
      </c>
      <c r="E3472" s="8" t="n">
        <v>0.4875</v>
      </c>
      <c r="F3472" s="4" t="n">
        <f aca="false">D3472*E3472</f>
        <v>60.45</v>
      </c>
      <c r="G3472" s="7" t="n">
        <v>5</v>
      </c>
      <c r="H3472" s="9" t="n">
        <f aca="false">IF(G3472&gt;0,D3472/G3472,"")</f>
        <v>24.8</v>
      </c>
      <c r="I3472" s="10" t="n">
        <v>46185</v>
      </c>
      <c r="J3472" s="3" t="s">
        <v>4884</v>
      </c>
      <c r="K3472" s="10" t="n">
        <v>45390</v>
      </c>
      <c r="L3472" s="3" t="s">
        <v>28</v>
      </c>
      <c r="M3472" s="7" t="n">
        <v>200</v>
      </c>
      <c r="N3472" s="8" t="n">
        <v>0.4876</v>
      </c>
      <c r="O3472" s="4" t="n">
        <f aca="false">M3472*N3472</f>
        <v>97.52</v>
      </c>
    </row>
    <row r="3473" customFormat="false" ht="15" hidden="false" customHeight="false" outlineLevel="0" collapsed="false">
      <c r="A3473" s="0" t="s">
        <v>4885</v>
      </c>
      <c r="C3473" s="0" t="s">
        <v>118</v>
      </c>
      <c r="D3473" s="7" t="n">
        <v>247</v>
      </c>
      <c r="E3473" s="8" t="n">
        <v>0.244493927125506</v>
      </c>
      <c r="F3473" s="4" t="n">
        <f aca="false">D3473*E3473</f>
        <v>60.39</v>
      </c>
      <c r="G3473" s="7" t="n">
        <v>3</v>
      </c>
      <c r="H3473" s="9" t="n">
        <f aca="false">IF(G3473&gt;0,D3473/G3473,"")</f>
        <v>82.3333333333333</v>
      </c>
      <c r="I3473" s="10" t="n">
        <v>45987</v>
      </c>
      <c r="J3473" s="3" t="s">
        <v>1743</v>
      </c>
      <c r="K3473" s="10" t="n">
        <v>45852</v>
      </c>
      <c r="L3473" s="3" t="s">
        <v>16</v>
      </c>
      <c r="M3473" s="7" t="n">
        <v>300</v>
      </c>
      <c r="N3473" s="8" t="n">
        <v>0.2445</v>
      </c>
      <c r="O3473" s="4" t="n">
        <f aca="false">M3473*N3473</f>
        <v>73.35</v>
      </c>
    </row>
    <row r="3474" customFormat="false" ht="15" hidden="false" customHeight="false" outlineLevel="0" collapsed="false">
      <c r="A3474" s="0" t="s">
        <v>4886</v>
      </c>
      <c r="C3474" s="0" t="s">
        <v>340</v>
      </c>
      <c r="D3474" s="7" t="n">
        <v>3345</v>
      </c>
      <c r="E3474" s="8" t="n">
        <v>0.0180358744394619</v>
      </c>
      <c r="F3474" s="4" t="n">
        <f aca="false">D3474*E3474</f>
        <v>60.33</v>
      </c>
      <c r="G3474" s="7" t="n">
        <v>2070</v>
      </c>
      <c r="H3474" s="9" t="n">
        <f aca="false">IF(G3474&gt;0,D3474/G3474,"")</f>
        <v>1.61594202898551</v>
      </c>
      <c r="I3474" s="10" t="n">
        <v>46251</v>
      </c>
      <c r="J3474" s="3" t="s">
        <v>1915</v>
      </c>
      <c r="K3474" s="10" t="n">
        <v>45736</v>
      </c>
      <c r="L3474" s="3" t="s">
        <v>19</v>
      </c>
      <c r="M3474" s="7" t="n">
        <v>1000</v>
      </c>
      <c r="N3474" s="8" t="n">
        <v>0.0288</v>
      </c>
      <c r="O3474" s="4" t="n">
        <f aca="false">M3474*N3474</f>
        <v>28.8</v>
      </c>
    </row>
    <row r="3475" customFormat="false" ht="15" hidden="false" customHeight="false" outlineLevel="0" collapsed="false">
      <c r="A3475" s="0" t="s">
        <v>4887</v>
      </c>
      <c r="C3475" s="0" t="s">
        <v>41</v>
      </c>
      <c r="D3475" s="7" t="n">
        <v>1246</v>
      </c>
      <c r="E3475" s="8" t="n">
        <v>0.0484028892455859</v>
      </c>
      <c r="F3475" s="4" t="n">
        <f aca="false">D3475*E3475</f>
        <v>60.31</v>
      </c>
      <c r="G3475" s="7" t="n">
        <v>34</v>
      </c>
      <c r="H3475" s="9" t="n">
        <f aca="false">IF(G3475&gt;0,D3475/G3475,"")</f>
        <v>36.6470588235294</v>
      </c>
      <c r="I3475" s="10" t="n">
        <v>46139</v>
      </c>
      <c r="K3475" s="10"/>
      <c r="M3475" s="7"/>
      <c r="N3475" s="8"/>
      <c r="O3475" s="4"/>
    </row>
    <row r="3476" customFormat="false" ht="15" hidden="false" customHeight="false" outlineLevel="0" collapsed="false">
      <c r="A3476" s="0" t="s">
        <v>4888</v>
      </c>
      <c r="C3476" s="0" t="s">
        <v>1169</v>
      </c>
      <c r="D3476" s="7" t="n">
        <v>335</v>
      </c>
      <c r="E3476" s="8" t="n">
        <v>0.18</v>
      </c>
      <c r="F3476" s="4" t="n">
        <f aca="false">D3476*E3476</f>
        <v>60.3</v>
      </c>
      <c r="G3476" s="7" t="n">
        <v>100</v>
      </c>
      <c r="H3476" s="9" t="n">
        <f aca="false">IF(G3476&gt;0,D3476/G3476,"")</f>
        <v>3.35</v>
      </c>
      <c r="I3476" s="10" t="n">
        <v>46240</v>
      </c>
      <c r="J3476" s="3" t="s">
        <v>4889</v>
      </c>
      <c r="K3476" s="10" t="n">
        <v>45734</v>
      </c>
      <c r="L3476" s="3" t="s">
        <v>21</v>
      </c>
      <c r="M3476" s="7" t="n">
        <v>560</v>
      </c>
      <c r="N3476" s="8" t="n">
        <v>0.18</v>
      </c>
      <c r="O3476" s="4" t="n">
        <f aca="false">M3476*N3476</f>
        <v>100.8</v>
      </c>
    </row>
    <row r="3477" customFormat="false" ht="15" hidden="false" customHeight="false" outlineLevel="0" collapsed="false">
      <c r="A3477" s="0" t="s">
        <v>4890</v>
      </c>
      <c r="C3477" s="0" t="s">
        <v>44</v>
      </c>
      <c r="D3477" s="7" t="n">
        <v>7</v>
      </c>
      <c r="E3477" s="8" t="n">
        <v>8.60428571428571</v>
      </c>
      <c r="F3477" s="4" t="n">
        <f aca="false">D3477*E3477</f>
        <v>60.23</v>
      </c>
      <c r="G3477" s="7" t="n">
        <v>3</v>
      </c>
      <c r="H3477" s="9" t="n">
        <f aca="false">IF(G3477&gt;0,D3477/G3477,"")</f>
        <v>2.33333333333333</v>
      </c>
      <c r="I3477" s="10" t="n">
        <v>45987</v>
      </c>
      <c r="J3477" s="3" t="s">
        <v>984</v>
      </c>
      <c r="K3477" s="10" t="n">
        <v>45974</v>
      </c>
      <c r="L3477" s="3" t="s">
        <v>14</v>
      </c>
      <c r="M3477" s="7" t="n">
        <v>10</v>
      </c>
      <c r="N3477" s="8" t="n">
        <v>8.604</v>
      </c>
      <c r="O3477" s="4" t="n">
        <f aca="false">M3477*N3477</f>
        <v>86.04</v>
      </c>
    </row>
    <row r="3478" customFormat="false" ht="15" hidden="false" customHeight="false" outlineLevel="0" collapsed="false">
      <c r="A3478" s="0" t="s">
        <v>4891</v>
      </c>
      <c r="C3478" s="0" t="s">
        <v>40</v>
      </c>
      <c r="D3478" s="7" t="n">
        <v>289</v>
      </c>
      <c r="E3478" s="8" t="n">
        <v>0.208269896193772</v>
      </c>
      <c r="F3478" s="4" t="n">
        <f aca="false">D3478*E3478</f>
        <v>60.19</v>
      </c>
      <c r="G3478" s="7" t="n">
        <v>289</v>
      </c>
      <c r="H3478" s="9" t="n">
        <f aca="false">IF(G3478&gt;0,D3478/G3478,"")</f>
        <v>1</v>
      </c>
      <c r="I3478" s="10" t="n">
        <v>46294</v>
      </c>
      <c r="J3478" s="3" t="s">
        <v>3444</v>
      </c>
      <c r="K3478" s="10" t="n">
        <v>45925</v>
      </c>
      <c r="L3478" s="3" t="s">
        <v>18</v>
      </c>
      <c r="M3478" s="7" t="n">
        <v>560</v>
      </c>
      <c r="N3478" s="8" t="n">
        <v>0.179</v>
      </c>
      <c r="O3478" s="4" t="n">
        <f aca="false">M3478*N3478</f>
        <v>100.24</v>
      </c>
    </row>
    <row r="3479" customFormat="false" ht="15" hidden="false" customHeight="false" outlineLevel="0" collapsed="false">
      <c r="A3479" s="0" t="s">
        <v>4892</v>
      </c>
      <c r="C3479" s="0" t="s">
        <v>95</v>
      </c>
      <c r="D3479" s="7" t="n">
        <v>3167</v>
      </c>
      <c r="E3479" s="8" t="n">
        <v>0.0189990527312914</v>
      </c>
      <c r="F3479" s="4" t="n">
        <f aca="false">D3479*E3479</f>
        <v>60.17</v>
      </c>
      <c r="G3479" s="7" t="n">
        <v>38</v>
      </c>
      <c r="H3479" s="9" t="n">
        <f aca="false">IF(G3479&gt;0,D3479/G3479,"")</f>
        <v>83.3421052631579</v>
      </c>
      <c r="I3479" s="10" t="n">
        <v>46093</v>
      </c>
      <c r="J3479" s="3" t="s">
        <v>4893</v>
      </c>
      <c r="K3479" s="10" t="n">
        <v>45429</v>
      </c>
      <c r="L3479" s="3" t="s">
        <v>25</v>
      </c>
      <c r="M3479" s="7" t="n">
        <v>5000</v>
      </c>
      <c r="N3479" s="8" t="n">
        <v>0.019</v>
      </c>
      <c r="O3479" s="4" t="n">
        <f aca="false">M3479*N3479</f>
        <v>95</v>
      </c>
    </row>
    <row r="3480" customFormat="false" ht="15" hidden="false" customHeight="false" outlineLevel="0" collapsed="false">
      <c r="A3480" s="0" t="s">
        <v>4894</v>
      </c>
      <c r="C3480" s="0" t="s">
        <v>37</v>
      </c>
      <c r="D3480" s="7" t="n">
        <v>2312</v>
      </c>
      <c r="E3480" s="8" t="n">
        <v>0.0260207612456747</v>
      </c>
      <c r="F3480" s="4" t="n">
        <f aca="false">D3480*E3480</f>
        <v>60.16</v>
      </c>
      <c r="G3480" s="7" t="n">
        <v>75</v>
      </c>
      <c r="H3480" s="9" t="n">
        <f aca="false">IF(G3480&gt;0,D3480/G3480,"")</f>
        <v>30.8266666666667</v>
      </c>
      <c r="I3480" s="10" t="n">
        <v>46304</v>
      </c>
      <c r="J3480" s="3" t="s">
        <v>1369</v>
      </c>
      <c r="K3480" s="10" t="n">
        <v>44299</v>
      </c>
      <c r="L3480" s="3" t="s">
        <v>15</v>
      </c>
      <c r="M3480" s="7" t="n">
        <v>590</v>
      </c>
      <c r="N3480" s="8" t="n">
        <v>0.01713</v>
      </c>
      <c r="O3480" s="4" t="n">
        <f aca="false">M3480*N3480</f>
        <v>10.1067</v>
      </c>
    </row>
    <row r="3481" customFormat="false" ht="15" hidden="false" customHeight="false" outlineLevel="0" collapsed="false">
      <c r="A3481" s="0" t="s">
        <v>4895</v>
      </c>
      <c r="C3481" s="0" t="s">
        <v>40</v>
      </c>
      <c r="D3481" s="7" t="n">
        <v>645</v>
      </c>
      <c r="E3481" s="8" t="n">
        <v>0.0931782945736434</v>
      </c>
      <c r="F3481" s="4" t="n">
        <f aca="false">D3481*E3481</f>
        <v>60.1</v>
      </c>
      <c r="G3481" s="7" t="n">
        <v>431</v>
      </c>
      <c r="H3481" s="9" t="n">
        <f aca="false">IF(G3481&gt;0,D3481/G3481,"")</f>
        <v>1.49651972157773</v>
      </c>
      <c r="I3481" s="10" t="n">
        <v>46309</v>
      </c>
      <c r="J3481" s="3" t="s">
        <v>4686</v>
      </c>
      <c r="K3481" s="10" t="n">
        <v>44250</v>
      </c>
      <c r="L3481" s="3" t="s">
        <v>18</v>
      </c>
      <c r="M3481" s="7" t="n">
        <v>1774</v>
      </c>
      <c r="N3481" s="8" t="n">
        <v>0.0932</v>
      </c>
      <c r="O3481" s="4" t="n">
        <f aca="false">M3481*N3481</f>
        <v>165.3368</v>
      </c>
    </row>
    <row r="3482" customFormat="false" ht="15" hidden="false" customHeight="false" outlineLevel="0" collapsed="false">
      <c r="A3482" s="0" t="s">
        <v>4896</v>
      </c>
      <c r="C3482" s="0" t="s">
        <v>41</v>
      </c>
      <c r="D3482" s="7" t="n">
        <v>411</v>
      </c>
      <c r="E3482" s="8" t="n">
        <v>0.146155717761557</v>
      </c>
      <c r="F3482" s="4" t="n">
        <f aca="false">D3482*E3482</f>
        <v>60.07</v>
      </c>
      <c r="G3482" s="7" t="n">
        <v>20</v>
      </c>
      <c r="H3482" s="9" t="n">
        <f aca="false">IF(G3482&gt;0,D3482/G3482,"")</f>
        <v>20.55</v>
      </c>
      <c r="I3482" s="10" t="n">
        <v>46014</v>
      </c>
      <c r="J3482" s="3" t="s">
        <v>4221</v>
      </c>
      <c r="K3482" s="10" t="n">
        <v>44698</v>
      </c>
      <c r="L3482" s="3" t="s">
        <v>19</v>
      </c>
      <c r="M3482" s="7" t="n">
        <v>465</v>
      </c>
      <c r="N3482" s="8" t="n">
        <v>0.1524</v>
      </c>
      <c r="O3482" s="4" t="n">
        <v>68.2752</v>
      </c>
    </row>
    <row r="3483" customFormat="false" ht="15" hidden="false" customHeight="false" outlineLevel="0" collapsed="false">
      <c r="A3483" s="0" t="s">
        <v>4897</v>
      </c>
      <c r="C3483" s="0" t="s">
        <v>438</v>
      </c>
      <c r="D3483" s="7" t="n">
        <v>106</v>
      </c>
      <c r="E3483" s="8" t="n">
        <v>0.565471698113208</v>
      </c>
      <c r="F3483" s="4" t="n">
        <f aca="false">D3483*E3483</f>
        <v>59.94</v>
      </c>
      <c r="G3483" s="7" t="n">
        <v>25</v>
      </c>
      <c r="H3483" s="9" t="n">
        <f aca="false">IF(G3483&gt;0,D3483/G3483,"")</f>
        <v>4.24</v>
      </c>
      <c r="I3483" s="10" t="n">
        <v>46202</v>
      </c>
      <c r="J3483" s="3" t="s">
        <v>4898</v>
      </c>
      <c r="K3483" s="10" t="n">
        <v>46303</v>
      </c>
      <c r="L3483" s="3" t="s">
        <v>313</v>
      </c>
      <c r="M3483" s="7" t="n">
        <v>100</v>
      </c>
      <c r="N3483" s="8" t="n">
        <v>0.58</v>
      </c>
      <c r="O3483" s="4" t="n">
        <f aca="false">M3483*N3483</f>
        <v>58</v>
      </c>
    </row>
    <row r="3484" customFormat="false" ht="15" hidden="false" customHeight="false" outlineLevel="0" collapsed="false">
      <c r="A3484" s="0" t="s">
        <v>4899</v>
      </c>
      <c r="D3484" s="7" t="n">
        <v>28</v>
      </c>
      <c r="E3484" s="8" t="n">
        <v>2.14</v>
      </c>
      <c r="F3484" s="4" t="n">
        <f aca="false">D3484*E3484</f>
        <v>59.92</v>
      </c>
      <c r="G3484" s="7" t="n">
        <v>5</v>
      </c>
      <c r="H3484" s="9" t="n">
        <f aca="false">IF(G3484&gt;0,D3484/G3484,"")</f>
        <v>5.6</v>
      </c>
      <c r="I3484" s="10" t="n">
        <v>46269</v>
      </c>
      <c r="J3484" s="3" t="s">
        <v>4304</v>
      </c>
      <c r="K3484" s="10" t="n">
        <v>45632</v>
      </c>
      <c r="L3484" s="3" t="s">
        <v>1878</v>
      </c>
      <c r="M3484" s="7" t="n">
        <v>50</v>
      </c>
      <c r="N3484" s="8" t="n">
        <v>2.14</v>
      </c>
      <c r="O3484" s="4" t="n">
        <f aca="false">M3484*N3484</f>
        <v>107</v>
      </c>
    </row>
    <row r="3485" customFormat="false" ht="15" hidden="false" customHeight="false" outlineLevel="0" collapsed="false">
      <c r="A3485" s="0" t="s">
        <v>4900</v>
      </c>
      <c r="C3485" s="0" t="s">
        <v>33</v>
      </c>
      <c r="D3485" s="7" t="n">
        <v>69</v>
      </c>
      <c r="E3485" s="8" t="n">
        <v>0.868260869565217</v>
      </c>
      <c r="F3485" s="4" t="n">
        <f aca="false">D3485*E3485</f>
        <v>59.91</v>
      </c>
      <c r="G3485" s="7" t="n">
        <v>6</v>
      </c>
      <c r="H3485" s="9" t="n">
        <f aca="false">IF(G3485&gt;0,D3485/G3485,"")</f>
        <v>11.5</v>
      </c>
      <c r="I3485" s="10" t="n">
        <v>46265</v>
      </c>
      <c r="J3485" s="3" t="s">
        <v>3845</v>
      </c>
      <c r="K3485" s="10" t="n">
        <v>44238</v>
      </c>
      <c r="L3485" s="3" t="s">
        <v>18</v>
      </c>
      <c r="M3485" s="7" t="n">
        <v>105</v>
      </c>
      <c r="N3485" s="8" t="n">
        <v>0.8682</v>
      </c>
      <c r="O3485" s="4" t="n">
        <f aca="false">M3485*N3485</f>
        <v>91.161</v>
      </c>
    </row>
    <row r="3486" customFormat="false" ht="15" hidden="false" customHeight="false" outlineLevel="0" collapsed="false">
      <c r="A3486" s="0" t="s">
        <v>4901</v>
      </c>
      <c r="C3486" s="0" t="s">
        <v>741</v>
      </c>
      <c r="D3486" s="7" t="n">
        <v>397</v>
      </c>
      <c r="E3486" s="8" t="n">
        <v>0.150856423173804</v>
      </c>
      <c r="F3486" s="4" t="n">
        <f aca="false">D3486*E3486</f>
        <v>59.89</v>
      </c>
      <c r="G3486" s="7" t="n">
        <v>10</v>
      </c>
      <c r="H3486" s="9" t="n">
        <f aca="false">IF(G3486&gt;0,D3486/G3486,"")</f>
        <v>39.7</v>
      </c>
      <c r="I3486" s="10" t="n">
        <v>46296</v>
      </c>
      <c r="K3486" s="10"/>
      <c r="M3486" s="7"/>
      <c r="N3486" s="8"/>
      <c r="O3486" s="4"/>
    </row>
    <row r="3487" customFormat="false" ht="15" hidden="false" customHeight="false" outlineLevel="0" collapsed="false">
      <c r="A3487" s="0" t="s">
        <v>4902</v>
      </c>
      <c r="C3487" s="0" t="s">
        <v>34</v>
      </c>
      <c r="D3487" s="7" t="n">
        <v>7041</v>
      </c>
      <c r="E3487" s="8" t="n">
        <v>0.00849311177389575</v>
      </c>
      <c r="F3487" s="4" t="n">
        <f aca="false">D3487*E3487</f>
        <v>59.8</v>
      </c>
      <c r="G3487" s="7" t="n">
        <v>4245</v>
      </c>
      <c r="H3487" s="9" t="n">
        <f aca="false">IF(G3487&gt;0,D3487/G3487,"")</f>
        <v>1.65865724381625</v>
      </c>
      <c r="I3487" s="10" t="n">
        <v>46295</v>
      </c>
      <c r="J3487" s="3" t="s">
        <v>287</v>
      </c>
      <c r="K3487" s="10" t="n">
        <v>45922</v>
      </c>
      <c r="L3487" s="3" t="s">
        <v>16</v>
      </c>
      <c r="M3487" s="7" t="n">
        <v>11783</v>
      </c>
      <c r="N3487" s="8" t="n">
        <v>0.00833</v>
      </c>
      <c r="O3487" s="4" t="n">
        <f aca="false">M3487*N3487</f>
        <v>98.15239</v>
      </c>
    </row>
    <row r="3488" customFormat="false" ht="15" hidden="false" customHeight="false" outlineLevel="0" collapsed="false">
      <c r="A3488" s="0" t="s">
        <v>4903</v>
      </c>
      <c r="C3488" s="0" t="s">
        <v>166</v>
      </c>
      <c r="D3488" s="7" t="n">
        <v>50</v>
      </c>
      <c r="E3488" s="8" t="n">
        <v>1.1946</v>
      </c>
      <c r="F3488" s="4" t="n">
        <f aca="false">D3488*E3488</f>
        <v>59.73</v>
      </c>
      <c r="G3488" s="7" t="n">
        <v>50</v>
      </c>
      <c r="H3488" s="9" t="n">
        <f aca="false">IF(G3488&gt;0,D3488/G3488,"")</f>
        <v>1</v>
      </c>
      <c r="I3488" s="10" t="n">
        <v>46282</v>
      </c>
      <c r="J3488" s="3" t="s">
        <v>4904</v>
      </c>
      <c r="K3488" s="10" t="n">
        <v>46301</v>
      </c>
      <c r="L3488" s="3" t="s">
        <v>14</v>
      </c>
      <c r="M3488" s="7" t="n">
        <v>50</v>
      </c>
      <c r="N3488" s="8" t="n">
        <v>1.1946</v>
      </c>
      <c r="O3488" s="4" t="n">
        <f aca="false">M3488*N3488</f>
        <v>59.73</v>
      </c>
    </row>
    <row r="3489" customFormat="false" ht="15" hidden="false" customHeight="false" outlineLevel="0" collapsed="false">
      <c r="A3489" s="0" t="s">
        <v>4905</v>
      </c>
      <c r="C3489" s="0" t="s">
        <v>39</v>
      </c>
      <c r="D3489" s="7" t="n">
        <v>29</v>
      </c>
      <c r="E3489" s="8" t="n">
        <v>2.05827586206897</v>
      </c>
      <c r="F3489" s="4" t="n">
        <f aca="false">D3489*E3489</f>
        <v>59.69</v>
      </c>
      <c r="G3489" s="7" t="n">
        <v>1</v>
      </c>
      <c r="H3489" s="9" t="n">
        <f aca="false">IF(G3489&gt;0,D3489/G3489,"")</f>
        <v>29</v>
      </c>
      <c r="I3489" s="10" t="n">
        <v>46034</v>
      </c>
      <c r="K3489" s="10"/>
      <c r="M3489" s="7"/>
      <c r="N3489" s="8"/>
      <c r="O3489" s="4"/>
    </row>
    <row r="3490" customFormat="false" ht="15" hidden="false" customHeight="false" outlineLevel="0" collapsed="false">
      <c r="A3490" s="0" t="s">
        <v>4906</v>
      </c>
      <c r="C3490" s="0" t="s">
        <v>33</v>
      </c>
      <c r="D3490" s="7" t="n">
        <v>376</v>
      </c>
      <c r="E3490" s="8" t="n">
        <v>0.158723404255319</v>
      </c>
      <c r="F3490" s="4" t="n">
        <f aca="false">D3490*E3490</f>
        <v>59.68</v>
      </c>
      <c r="G3490" s="7" t="n">
        <v>354</v>
      </c>
      <c r="H3490" s="9" t="n">
        <f aca="false">IF(G3490&gt;0,D3490/G3490,"")</f>
        <v>1.06214689265537</v>
      </c>
      <c r="I3490" s="10" t="n">
        <v>46283</v>
      </c>
      <c r="J3490" s="3" t="s">
        <v>2089</v>
      </c>
      <c r="K3490" s="10" t="n">
        <v>45883</v>
      </c>
      <c r="L3490" s="3" t="s">
        <v>18</v>
      </c>
      <c r="M3490" s="7" t="n">
        <v>600</v>
      </c>
      <c r="N3490" s="8" t="n">
        <v>0.1587</v>
      </c>
      <c r="O3490" s="4" t="n">
        <f aca="false">M3490*N3490</f>
        <v>95.22</v>
      </c>
    </row>
    <row r="3491" customFormat="false" ht="15" hidden="false" customHeight="false" outlineLevel="0" collapsed="false">
      <c r="A3491" s="0" t="s">
        <v>4907</v>
      </c>
      <c r="C3491" s="0" t="s">
        <v>583</v>
      </c>
      <c r="D3491" s="7" t="n">
        <v>9675</v>
      </c>
      <c r="E3491" s="8" t="n">
        <v>0.00616227390180879</v>
      </c>
      <c r="F3491" s="4" t="n">
        <f aca="false">D3491*E3491</f>
        <v>59.62</v>
      </c>
      <c r="G3491" s="7" t="n">
        <v>2064</v>
      </c>
      <c r="H3491" s="9" t="n">
        <f aca="false">IF(G3491&gt;0,D3491/G3491,"")</f>
        <v>4.6875</v>
      </c>
      <c r="I3491" s="10" t="n">
        <v>46308</v>
      </c>
      <c r="J3491" s="3" t="s">
        <v>536</v>
      </c>
      <c r="K3491" s="10" t="n">
        <v>45531</v>
      </c>
      <c r="L3491" s="3" t="s">
        <v>16</v>
      </c>
      <c r="M3491" s="7" t="n">
        <v>10000</v>
      </c>
      <c r="N3491" s="8" t="n">
        <v>0.006</v>
      </c>
      <c r="O3491" s="4" t="n">
        <f aca="false">M3491*N3491</f>
        <v>60</v>
      </c>
    </row>
    <row r="3492" customFormat="false" ht="15" hidden="false" customHeight="false" outlineLevel="0" collapsed="false">
      <c r="A3492" s="0" t="s">
        <v>4908</v>
      </c>
      <c r="C3492" s="0" t="s">
        <v>118</v>
      </c>
      <c r="D3492" s="7" t="n">
        <v>951</v>
      </c>
      <c r="E3492" s="8" t="n">
        <v>0.0626813880126183</v>
      </c>
      <c r="F3492" s="4" t="n">
        <f aca="false">D3492*E3492</f>
        <v>59.61</v>
      </c>
      <c r="G3492" s="7" t="n">
        <v>240</v>
      </c>
      <c r="H3492" s="9" t="n">
        <f aca="false">IF(G3492&gt;0,D3492/G3492,"")</f>
        <v>3.9625</v>
      </c>
      <c r="I3492" s="10" t="n">
        <v>46252</v>
      </c>
      <c r="J3492" s="3" t="s">
        <v>1616</v>
      </c>
      <c r="K3492" s="10" t="n">
        <v>46266</v>
      </c>
      <c r="L3492" s="3" t="s">
        <v>16</v>
      </c>
      <c r="M3492" s="7" t="n">
        <v>900</v>
      </c>
      <c r="N3492" s="8" t="n">
        <v>0.056</v>
      </c>
      <c r="O3492" s="4" t="n">
        <f aca="false">M3492*N3492</f>
        <v>50.4</v>
      </c>
    </row>
    <row r="3493" customFormat="false" ht="15" hidden="false" customHeight="false" outlineLevel="0" collapsed="false">
      <c r="A3493" s="0" t="s">
        <v>4909</v>
      </c>
      <c r="C3493" s="0" t="s">
        <v>1169</v>
      </c>
      <c r="D3493" s="7" t="n">
        <v>91</v>
      </c>
      <c r="E3493" s="8" t="n">
        <v>0.655054945054945</v>
      </c>
      <c r="F3493" s="4" t="n">
        <f aca="false">D3493*E3493</f>
        <v>59.61</v>
      </c>
      <c r="G3493" s="7" t="n">
        <v>2</v>
      </c>
      <c r="H3493" s="9" t="n">
        <f aca="false">IF(G3493&gt;0,D3493/G3493,"")</f>
        <v>45.5</v>
      </c>
      <c r="I3493" s="10" t="n">
        <v>46195</v>
      </c>
      <c r="J3493" s="3" t="s">
        <v>4910</v>
      </c>
      <c r="K3493" s="10" t="n">
        <v>45411</v>
      </c>
      <c r="L3493" s="3" t="s">
        <v>14</v>
      </c>
      <c r="M3493" s="7" t="n">
        <v>100</v>
      </c>
      <c r="N3493" s="8" t="n">
        <v>0.6551</v>
      </c>
      <c r="O3493" s="4" t="n">
        <f aca="false">M3493*N3493</f>
        <v>65.51</v>
      </c>
    </row>
    <row r="3494" customFormat="false" ht="15" hidden="false" customHeight="false" outlineLevel="0" collapsed="false">
      <c r="A3494" s="0" t="s">
        <v>4911</v>
      </c>
      <c r="C3494" s="0" t="s">
        <v>33</v>
      </c>
      <c r="D3494" s="7" t="n">
        <v>835</v>
      </c>
      <c r="E3494" s="8" t="n">
        <v>0.0713892215568862</v>
      </c>
      <c r="F3494" s="4" t="n">
        <f aca="false">D3494*E3494</f>
        <v>59.61</v>
      </c>
      <c r="G3494" s="7" t="n">
        <v>15</v>
      </c>
      <c r="H3494" s="9" t="n">
        <f aca="false">IF(G3494&gt;0,D3494/G3494,"")</f>
        <v>55.6666666666667</v>
      </c>
      <c r="I3494" s="10" t="n">
        <v>46104</v>
      </c>
      <c r="J3494" s="3" t="s">
        <v>4912</v>
      </c>
      <c r="K3494" s="10" t="n">
        <v>44462</v>
      </c>
      <c r="L3494" s="3" t="s">
        <v>18</v>
      </c>
      <c r="M3494" s="7" t="n">
        <v>1400</v>
      </c>
      <c r="N3494" s="8" t="n">
        <v>0.0706</v>
      </c>
      <c r="O3494" s="4" t="n">
        <f aca="false">M3494*N3494</f>
        <v>98.84</v>
      </c>
    </row>
    <row r="3495" customFormat="false" ht="15" hidden="false" customHeight="false" outlineLevel="0" collapsed="false">
      <c r="A3495" s="0" t="s">
        <v>4913</v>
      </c>
      <c r="C3495" s="0" t="s">
        <v>39</v>
      </c>
      <c r="D3495" s="7" t="n">
        <v>6441</v>
      </c>
      <c r="E3495" s="8" t="n">
        <v>0.00925011644154634</v>
      </c>
      <c r="F3495" s="4" t="n">
        <f aca="false">D3495*E3495</f>
        <v>59.58</v>
      </c>
      <c r="G3495" s="7" t="n">
        <v>6150</v>
      </c>
      <c r="H3495" s="9" t="n">
        <f aca="false">IF(G3495&gt;0,D3495/G3495,"")</f>
        <v>1.04731707317073</v>
      </c>
      <c r="I3495" s="10" t="n">
        <v>46266</v>
      </c>
      <c r="J3495" s="3" t="s">
        <v>1955</v>
      </c>
      <c r="K3495" s="10" t="n">
        <v>46268</v>
      </c>
      <c r="L3495" s="3" t="s">
        <v>16</v>
      </c>
      <c r="M3495" s="7" t="n">
        <v>6000</v>
      </c>
      <c r="N3495" s="8" t="n">
        <v>0.0092</v>
      </c>
      <c r="O3495" s="4" t="n">
        <f aca="false">M3495*N3495</f>
        <v>55.2</v>
      </c>
    </row>
    <row r="3496" customFormat="false" ht="15" hidden="false" customHeight="false" outlineLevel="0" collapsed="false">
      <c r="A3496" s="0" t="s">
        <v>4914</v>
      </c>
      <c r="C3496" s="0" t="s">
        <v>32</v>
      </c>
      <c r="D3496" s="7" t="n">
        <v>546</v>
      </c>
      <c r="E3496" s="8" t="n">
        <v>0.109065934065934</v>
      </c>
      <c r="F3496" s="4" t="n">
        <f aca="false">D3496*E3496</f>
        <v>59.55</v>
      </c>
      <c r="G3496" s="7" t="n">
        <v>284</v>
      </c>
      <c r="H3496" s="9" t="n">
        <f aca="false">IF(G3496&gt;0,D3496/G3496,"")</f>
        <v>1.92253521126761</v>
      </c>
      <c r="I3496" s="10" t="n">
        <v>46317</v>
      </c>
      <c r="J3496" s="3" t="s">
        <v>4915</v>
      </c>
      <c r="K3496" s="10" t="n">
        <v>45988</v>
      </c>
      <c r="L3496" s="3" t="s">
        <v>18</v>
      </c>
      <c r="M3496" s="7" t="n">
        <v>640</v>
      </c>
      <c r="N3496" s="8" t="n">
        <v>0.1091</v>
      </c>
      <c r="O3496" s="4" t="n">
        <f aca="false">M3496*N3496</f>
        <v>69.824</v>
      </c>
    </row>
    <row r="3497" customFormat="false" ht="15" hidden="false" customHeight="false" outlineLevel="0" collapsed="false">
      <c r="A3497" s="0" t="s">
        <v>4916</v>
      </c>
      <c r="C3497" s="0" t="s">
        <v>1169</v>
      </c>
      <c r="D3497" s="7" t="n">
        <v>916</v>
      </c>
      <c r="E3497" s="8" t="n">
        <v>0.065</v>
      </c>
      <c r="F3497" s="4" t="n">
        <f aca="false">D3497*E3497</f>
        <v>59.54</v>
      </c>
      <c r="G3497" s="7" t="n">
        <v>120</v>
      </c>
      <c r="H3497" s="9" t="n">
        <f aca="false">IF(G3497&gt;0,D3497/G3497,"")</f>
        <v>7.63333333333333</v>
      </c>
      <c r="I3497" s="10" t="n">
        <v>46071</v>
      </c>
      <c r="J3497" s="3" t="s">
        <v>895</v>
      </c>
      <c r="K3497" s="10" t="n">
        <v>45516</v>
      </c>
      <c r="L3497" s="3" t="s">
        <v>21</v>
      </c>
      <c r="M3497" s="7" t="n">
        <v>1550</v>
      </c>
      <c r="N3497" s="8" t="n">
        <v>0.065</v>
      </c>
      <c r="O3497" s="4" t="n">
        <f aca="false">M3497*N3497</f>
        <v>100.75</v>
      </c>
    </row>
    <row r="3498" customFormat="false" ht="15" hidden="false" customHeight="false" outlineLevel="0" collapsed="false">
      <c r="A3498" s="0" t="s">
        <v>4917</v>
      </c>
      <c r="C3498" s="0" t="s">
        <v>41</v>
      </c>
      <c r="D3498" s="7" t="n">
        <v>371</v>
      </c>
      <c r="E3498" s="8" t="n">
        <v>0.160485175202156</v>
      </c>
      <c r="F3498" s="4" t="n">
        <f aca="false">D3498*E3498</f>
        <v>59.54</v>
      </c>
      <c r="G3498" s="7" t="n">
        <v>18</v>
      </c>
      <c r="H3498" s="9" t="n">
        <f aca="false">IF(G3498&gt;0,D3498/G3498,"")</f>
        <v>20.6111111111111</v>
      </c>
      <c r="I3498" s="10" t="n">
        <v>46126</v>
      </c>
      <c r="J3498" s="3" t="s">
        <v>4221</v>
      </c>
      <c r="K3498" s="10" t="n">
        <v>44698</v>
      </c>
      <c r="L3498" s="3" t="s">
        <v>19</v>
      </c>
      <c r="M3498" s="7" t="n">
        <v>394</v>
      </c>
      <c r="N3498" s="8" t="n">
        <v>0.1622</v>
      </c>
      <c r="O3498" s="4" t="n">
        <v>63.258</v>
      </c>
    </row>
    <row r="3499" customFormat="false" ht="15" hidden="false" customHeight="false" outlineLevel="0" collapsed="false">
      <c r="A3499" s="0" t="s">
        <v>4918</v>
      </c>
      <c r="C3499" s="0" t="s">
        <v>340</v>
      </c>
      <c r="D3499" s="7" t="n">
        <v>1983</v>
      </c>
      <c r="E3499" s="8" t="n">
        <v>0.0300252143217347</v>
      </c>
      <c r="F3499" s="4" t="n">
        <f aca="false">D3499*E3499</f>
        <v>59.54</v>
      </c>
      <c r="G3499" s="7" t="n">
        <v>43</v>
      </c>
      <c r="H3499" s="9" t="n">
        <f aca="false">IF(G3499&gt;0,D3499/G3499,"")</f>
        <v>46.1162790697674</v>
      </c>
      <c r="I3499" s="10" t="n">
        <v>46289</v>
      </c>
      <c r="J3499" s="3" t="s">
        <v>4801</v>
      </c>
      <c r="K3499" s="10" t="n">
        <v>46290</v>
      </c>
      <c r="L3499" s="3" t="s">
        <v>16</v>
      </c>
      <c r="M3499" s="7" t="n">
        <v>8000</v>
      </c>
      <c r="N3499" s="8" t="n">
        <v>0.02</v>
      </c>
      <c r="O3499" s="4" t="n">
        <f aca="false">M3499*N3499</f>
        <v>160</v>
      </c>
    </row>
    <row r="3500" customFormat="false" ht="15" hidden="false" customHeight="false" outlineLevel="0" collapsed="false">
      <c r="A3500" s="0" t="s">
        <v>4919</v>
      </c>
      <c r="C3500" s="0" t="s">
        <v>34</v>
      </c>
      <c r="D3500" s="7" t="n">
        <v>488</v>
      </c>
      <c r="E3500" s="8" t="n">
        <v>0.121987704918033</v>
      </c>
      <c r="F3500" s="4" t="n">
        <f aca="false">D3500*E3500</f>
        <v>59.53</v>
      </c>
      <c r="G3500" s="7" t="n">
        <v>49</v>
      </c>
      <c r="H3500" s="9" t="n">
        <f aca="false">IF(G3500&gt;0,D3500/G3500,"")</f>
        <v>9.95918367346939</v>
      </c>
      <c r="I3500" s="10" t="n">
        <v>46202</v>
      </c>
      <c r="K3500" s="10"/>
      <c r="M3500" s="7"/>
      <c r="N3500" s="8"/>
      <c r="O3500" s="4"/>
    </row>
    <row r="3501" customFormat="false" ht="15" hidden="false" customHeight="false" outlineLevel="0" collapsed="false">
      <c r="A3501" s="0" t="s">
        <v>4920</v>
      </c>
      <c r="D3501" s="7" t="n">
        <v>25</v>
      </c>
      <c r="E3501" s="8" t="n">
        <v>2.38</v>
      </c>
      <c r="F3501" s="4" t="n">
        <f aca="false">D3501*E3501</f>
        <v>59.5</v>
      </c>
      <c r="G3501" s="7" t="n">
        <v>1</v>
      </c>
      <c r="H3501" s="9" t="n">
        <f aca="false">IF(G3501&gt;0,D3501/G3501,"")</f>
        <v>25</v>
      </c>
      <c r="I3501" s="10" t="n">
        <v>46129</v>
      </c>
      <c r="J3501" s="3" t="s">
        <v>4880</v>
      </c>
      <c r="K3501" s="10" t="n">
        <v>46157</v>
      </c>
      <c r="L3501" s="3" t="s">
        <v>1878</v>
      </c>
      <c r="M3501" s="7" t="n">
        <v>25</v>
      </c>
      <c r="N3501" s="8" t="n">
        <v>2.38</v>
      </c>
      <c r="O3501" s="4" t="n">
        <f aca="false">M3501*N3501</f>
        <v>59.5</v>
      </c>
    </row>
    <row r="3502" customFormat="false" ht="15" hidden="false" customHeight="false" outlineLevel="0" collapsed="false">
      <c r="A3502" s="0" t="s">
        <v>4921</v>
      </c>
      <c r="C3502" s="0" t="s">
        <v>1039</v>
      </c>
      <c r="D3502" s="7" t="n">
        <v>1799</v>
      </c>
      <c r="E3502" s="8" t="n">
        <v>0.0330016675931073</v>
      </c>
      <c r="F3502" s="4" t="n">
        <f aca="false">D3502*E3502</f>
        <v>59.37</v>
      </c>
      <c r="G3502" s="7" t="n">
        <v>50</v>
      </c>
      <c r="H3502" s="9" t="n">
        <f aca="false">IF(G3502&gt;0,D3502/G3502,"")</f>
        <v>35.98</v>
      </c>
      <c r="I3502" s="10" t="n">
        <v>46317</v>
      </c>
      <c r="K3502" s="10"/>
      <c r="M3502" s="7"/>
      <c r="N3502" s="8"/>
      <c r="O3502" s="4"/>
    </row>
    <row r="3503" customFormat="false" ht="15" hidden="false" customHeight="false" outlineLevel="0" collapsed="false">
      <c r="A3503" s="0" t="s">
        <v>4922</v>
      </c>
      <c r="C3503" s="0" t="s">
        <v>41</v>
      </c>
      <c r="D3503" s="7" t="n">
        <v>1039</v>
      </c>
      <c r="E3503" s="8" t="n">
        <v>0.0571126082771896</v>
      </c>
      <c r="F3503" s="4" t="n">
        <f aca="false">D3503*E3503</f>
        <v>59.34</v>
      </c>
      <c r="G3503" s="7" t="n">
        <v>385</v>
      </c>
      <c r="H3503" s="9" t="n">
        <f aca="false">IF(G3503&gt;0,D3503/G3503,"")</f>
        <v>2.6987012987013</v>
      </c>
      <c r="I3503" s="10" t="n">
        <v>46317</v>
      </c>
      <c r="K3503" s="10"/>
      <c r="M3503" s="7"/>
      <c r="N3503" s="8"/>
      <c r="O3503" s="4"/>
    </row>
    <row r="3504" customFormat="false" ht="15" hidden="false" customHeight="false" outlineLevel="0" collapsed="false">
      <c r="A3504" s="0" t="s">
        <v>4923</v>
      </c>
      <c r="C3504" s="0" t="s">
        <v>41</v>
      </c>
      <c r="D3504" s="7" t="n">
        <v>4683</v>
      </c>
      <c r="E3504" s="8" t="n">
        <v>0.0126649583600256</v>
      </c>
      <c r="F3504" s="4" t="n">
        <f aca="false">D3504*E3504</f>
        <v>59.31</v>
      </c>
      <c r="G3504" s="7" t="n">
        <v>200</v>
      </c>
      <c r="H3504" s="9" t="n">
        <f aca="false">IF(G3504&gt;0,D3504/G3504,"")</f>
        <v>23.415</v>
      </c>
      <c r="I3504" s="10" t="n">
        <v>46182</v>
      </c>
      <c r="J3504" s="3" t="s">
        <v>228</v>
      </c>
      <c r="K3504" s="10" t="n">
        <v>44763</v>
      </c>
      <c r="L3504" s="3" t="s">
        <v>15</v>
      </c>
      <c r="M3504" s="7" t="n">
        <v>5063</v>
      </c>
      <c r="N3504" s="8" t="n">
        <v>0</v>
      </c>
      <c r="O3504" s="4" t="n">
        <v>64.2</v>
      </c>
    </row>
    <row r="3505" customFormat="false" ht="15" hidden="false" customHeight="false" outlineLevel="0" collapsed="false">
      <c r="A3505" s="0" t="s">
        <v>4924</v>
      </c>
      <c r="C3505" s="0" t="s">
        <v>1169</v>
      </c>
      <c r="D3505" s="7" t="n">
        <v>1647</v>
      </c>
      <c r="E3505" s="8" t="n">
        <v>0.0359987856709168</v>
      </c>
      <c r="F3505" s="4" t="n">
        <f aca="false">D3505*E3505</f>
        <v>59.29</v>
      </c>
      <c r="G3505" s="7" t="n">
        <v>1153</v>
      </c>
      <c r="H3505" s="9" t="n">
        <f aca="false">IF(G3505&gt;0,D3505/G3505,"")</f>
        <v>1.42844752818734</v>
      </c>
      <c r="I3505" s="10" t="n">
        <v>46275</v>
      </c>
      <c r="J3505" s="3" t="s">
        <v>3273</v>
      </c>
      <c r="K3505" s="10" t="n">
        <v>46043</v>
      </c>
      <c r="L3505" s="3" t="s">
        <v>21</v>
      </c>
      <c r="M3505" s="7" t="n">
        <v>2800</v>
      </c>
      <c r="N3505" s="8" t="n">
        <v>0.036</v>
      </c>
      <c r="O3505" s="4" t="n">
        <f aca="false">M3505*N3505</f>
        <v>100.8</v>
      </c>
    </row>
    <row r="3506" customFormat="false" ht="15" hidden="false" customHeight="false" outlineLevel="0" collapsed="false">
      <c r="A3506" s="0" t="s">
        <v>4925</v>
      </c>
      <c r="C3506" s="0" t="s">
        <v>31</v>
      </c>
      <c r="D3506" s="7" t="n">
        <v>2406</v>
      </c>
      <c r="E3506" s="8" t="n">
        <v>0.0246425602660017</v>
      </c>
      <c r="F3506" s="4" t="n">
        <f aca="false">D3506*E3506</f>
        <v>59.29</v>
      </c>
      <c r="G3506" s="7" t="n">
        <v>21</v>
      </c>
      <c r="H3506" s="9" t="n">
        <f aca="false">IF(G3506&gt;0,D3506/G3506,"")</f>
        <v>114.571428571429</v>
      </c>
      <c r="I3506" s="10" t="n">
        <v>46048</v>
      </c>
      <c r="K3506" s="10"/>
      <c r="M3506" s="7"/>
      <c r="N3506" s="8"/>
      <c r="O3506" s="4"/>
    </row>
    <row r="3507" customFormat="false" ht="15" hidden="false" customHeight="false" outlineLevel="0" collapsed="false">
      <c r="A3507" s="0" t="s">
        <v>4926</v>
      </c>
      <c r="C3507" s="0" t="s">
        <v>715</v>
      </c>
      <c r="D3507" s="7" t="n">
        <v>418</v>
      </c>
      <c r="E3507" s="8" t="n">
        <v>0.141794258373206</v>
      </c>
      <c r="F3507" s="4" t="n">
        <f aca="false">D3507*E3507</f>
        <v>59.27</v>
      </c>
      <c r="G3507" s="7" t="n">
        <v>10</v>
      </c>
      <c r="H3507" s="9" t="n">
        <f aca="false">IF(G3507&gt;0,D3507/G3507,"")</f>
        <v>41.8</v>
      </c>
      <c r="I3507" s="10" t="n">
        <v>46073</v>
      </c>
      <c r="J3507" s="3" t="s">
        <v>4927</v>
      </c>
      <c r="K3507" s="10" t="n">
        <v>44949</v>
      </c>
      <c r="L3507" s="3" t="s">
        <v>14</v>
      </c>
      <c r="M3507" s="7" t="n">
        <v>500</v>
      </c>
      <c r="N3507" s="8" t="n">
        <v>0.1418</v>
      </c>
      <c r="O3507" s="4" t="n">
        <f aca="false">M3507*N3507</f>
        <v>70.9</v>
      </c>
    </row>
    <row r="3508" customFormat="false" ht="15" hidden="false" customHeight="false" outlineLevel="0" collapsed="false">
      <c r="A3508" s="0" t="s">
        <v>4928</v>
      </c>
      <c r="C3508" s="0" t="s">
        <v>583</v>
      </c>
      <c r="D3508" s="7" t="n">
        <v>5490</v>
      </c>
      <c r="E3508" s="8" t="n">
        <v>0.0107959927140255</v>
      </c>
      <c r="F3508" s="4" t="n">
        <f aca="false">D3508*E3508</f>
        <v>59.27</v>
      </c>
      <c r="G3508" s="7" t="n">
        <v>1795</v>
      </c>
      <c r="H3508" s="9" t="n">
        <f aca="false">IF(G3508&gt;0,D3508/G3508,"")</f>
        <v>3.05849582172702</v>
      </c>
      <c r="I3508" s="10" t="n">
        <v>46308</v>
      </c>
      <c r="J3508" s="3" t="s">
        <v>536</v>
      </c>
      <c r="K3508" s="10" t="n">
        <v>45531</v>
      </c>
      <c r="L3508" s="3" t="s">
        <v>16</v>
      </c>
      <c r="M3508" s="7" t="n">
        <v>10000</v>
      </c>
      <c r="N3508" s="8" t="n">
        <v>0.0108</v>
      </c>
      <c r="O3508" s="4" t="n">
        <f aca="false">M3508*N3508</f>
        <v>108</v>
      </c>
    </row>
    <row r="3509" customFormat="false" ht="15" hidden="false" customHeight="false" outlineLevel="0" collapsed="false">
      <c r="A3509" s="0" t="s">
        <v>4929</v>
      </c>
      <c r="C3509" s="0" t="s">
        <v>295</v>
      </c>
      <c r="D3509" s="7" t="n">
        <v>954</v>
      </c>
      <c r="E3509" s="8" t="n">
        <v>0.0621069182389937</v>
      </c>
      <c r="F3509" s="4" t="n">
        <f aca="false">D3509*E3509</f>
        <v>59.25</v>
      </c>
      <c r="G3509" s="7" t="n">
        <v>30</v>
      </c>
      <c r="H3509" s="9" t="n">
        <f aca="false">IF(G3509&gt;0,D3509/G3509,"")</f>
        <v>31.8</v>
      </c>
      <c r="I3509" s="10" t="n">
        <v>45961</v>
      </c>
      <c r="J3509" s="3" t="s">
        <v>4930</v>
      </c>
      <c r="K3509" s="10" t="n">
        <v>44834</v>
      </c>
      <c r="L3509" s="3" t="s">
        <v>19</v>
      </c>
      <c r="M3509" s="7" t="n">
        <v>6372</v>
      </c>
      <c r="N3509" s="8" t="n">
        <v>0.0621</v>
      </c>
      <c r="O3509" s="4" t="n">
        <f aca="false">M3509*N3509</f>
        <v>395.7012</v>
      </c>
    </row>
    <row r="3510" customFormat="false" ht="15" hidden="false" customHeight="false" outlineLevel="0" collapsed="false">
      <c r="A3510" s="0" t="s">
        <v>4931</v>
      </c>
      <c r="C3510" s="0" t="s">
        <v>979</v>
      </c>
      <c r="D3510" s="7" t="n">
        <v>14</v>
      </c>
      <c r="E3510" s="8" t="n">
        <v>4.23071428571429</v>
      </c>
      <c r="F3510" s="4" t="n">
        <f aca="false">D3510*E3510</f>
        <v>59.23</v>
      </c>
      <c r="G3510" s="7" t="n">
        <v>10</v>
      </c>
      <c r="H3510" s="9" t="n">
        <f aca="false">IF(G3510&gt;0,D3510/G3510,"")</f>
        <v>1.4</v>
      </c>
      <c r="I3510" s="10" t="n">
        <v>46008</v>
      </c>
      <c r="J3510" s="3" t="s">
        <v>4411</v>
      </c>
      <c r="K3510" s="10" t="n">
        <v>45996</v>
      </c>
      <c r="L3510" s="3" t="s">
        <v>18</v>
      </c>
      <c r="M3510" s="7" t="n">
        <v>24</v>
      </c>
      <c r="N3510" s="8" t="n">
        <v>4.2311</v>
      </c>
      <c r="O3510" s="4" t="n">
        <f aca="false">M3510*N3510</f>
        <v>101.5464</v>
      </c>
    </row>
    <row r="3511" customFormat="false" ht="15" hidden="false" customHeight="false" outlineLevel="0" collapsed="false">
      <c r="A3511" s="0" t="s">
        <v>4932</v>
      </c>
      <c r="C3511" s="0" t="s">
        <v>31</v>
      </c>
      <c r="D3511" s="7" t="n">
        <v>5920</v>
      </c>
      <c r="E3511" s="8" t="n">
        <v>0.01</v>
      </c>
      <c r="F3511" s="4" t="n">
        <f aca="false">D3511*E3511</f>
        <v>59.2</v>
      </c>
      <c r="G3511" s="7" t="n">
        <v>88</v>
      </c>
      <c r="H3511" s="9" t="n">
        <f aca="false">IF(G3511&gt;0,D3511/G3511,"")</f>
        <v>67.2727272727273</v>
      </c>
      <c r="I3511" s="10" t="n">
        <v>46266</v>
      </c>
      <c r="J3511" s="3" t="s">
        <v>1198</v>
      </c>
      <c r="K3511" s="10" t="n">
        <v>45689</v>
      </c>
      <c r="L3511" s="3" t="s">
        <v>16</v>
      </c>
      <c r="M3511" s="7" t="n">
        <v>6008</v>
      </c>
      <c r="N3511" s="8" t="n">
        <v>0.01</v>
      </c>
      <c r="O3511" s="4" t="n">
        <f aca="false">M3511*N3511</f>
        <v>60.08</v>
      </c>
    </row>
    <row r="3512" customFormat="false" ht="15" hidden="false" customHeight="false" outlineLevel="0" collapsed="false">
      <c r="A3512" s="0" t="s">
        <v>4933</v>
      </c>
      <c r="C3512" s="0" t="s">
        <v>1529</v>
      </c>
      <c r="D3512" s="7" t="n">
        <v>136</v>
      </c>
      <c r="E3512" s="8" t="n">
        <v>0.434705882352941</v>
      </c>
      <c r="F3512" s="4" t="n">
        <f aca="false">D3512*E3512</f>
        <v>59.12</v>
      </c>
      <c r="G3512" s="7" t="n">
        <v>70</v>
      </c>
      <c r="H3512" s="9" t="n">
        <f aca="false">IF(G3512&gt;0,D3512/G3512,"")</f>
        <v>1.94285714285714</v>
      </c>
      <c r="I3512" s="10" t="n">
        <v>46177</v>
      </c>
      <c r="J3512" s="3" t="s">
        <v>982</v>
      </c>
      <c r="K3512" s="10" t="n">
        <v>46169</v>
      </c>
      <c r="L3512" s="3" t="s">
        <v>14</v>
      </c>
      <c r="M3512" s="7" t="n">
        <v>204</v>
      </c>
      <c r="N3512" s="8" t="n">
        <v>0.438</v>
      </c>
      <c r="O3512" s="4" t="n">
        <f aca="false">M3512*N3512</f>
        <v>89.352</v>
      </c>
    </row>
    <row r="3513" customFormat="false" ht="15" hidden="false" customHeight="false" outlineLevel="0" collapsed="false">
      <c r="A3513" s="0" t="s">
        <v>4934</v>
      </c>
      <c r="C3513" s="0" t="s">
        <v>438</v>
      </c>
      <c r="D3513" s="7" t="n">
        <v>189</v>
      </c>
      <c r="E3513" s="8" t="n">
        <v>0.312486772486773</v>
      </c>
      <c r="F3513" s="4" t="n">
        <f aca="false">D3513*E3513</f>
        <v>59.06</v>
      </c>
      <c r="G3513" s="7" t="n">
        <v>10</v>
      </c>
      <c r="H3513" s="9" t="n">
        <f aca="false">IF(G3513&gt;0,D3513/G3513,"")</f>
        <v>18.9</v>
      </c>
      <c r="I3513" s="10" t="n">
        <v>46237</v>
      </c>
      <c r="K3513" s="10"/>
      <c r="M3513" s="7"/>
      <c r="N3513" s="8"/>
      <c r="O3513" s="4"/>
    </row>
    <row r="3514" customFormat="false" ht="15" hidden="false" customHeight="false" outlineLevel="0" collapsed="false">
      <c r="A3514" s="0" t="s">
        <v>4935</v>
      </c>
      <c r="C3514" s="0" t="s">
        <v>32</v>
      </c>
      <c r="D3514" s="7" t="n">
        <v>351</v>
      </c>
      <c r="E3514" s="8" t="n">
        <v>0.168119658119658</v>
      </c>
      <c r="F3514" s="4" t="n">
        <f aca="false">D3514*E3514</f>
        <v>59.01</v>
      </c>
      <c r="G3514" s="7" t="n">
        <v>20</v>
      </c>
      <c r="H3514" s="9" t="n">
        <f aca="false">IF(G3514&gt;0,D3514/G3514,"")</f>
        <v>17.55</v>
      </c>
      <c r="I3514" s="10" t="n">
        <v>46283</v>
      </c>
      <c r="J3514" s="3" t="s">
        <v>4936</v>
      </c>
      <c r="K3514" s="10" t="n">
        <v>44231</v>
      </c>
      <c r="L3514" s="3" t="s">
        <v>18</v>
      </c>
      <c r="M3514" s="7" t="n">
        <v>692</v>
      </c>
      <c r="N3514" s="8" t="n">
        <v>0.1681</v>
      </c>
      <c r="O3514" s="4" t="n">
        <f aca="false">M3514*N3514</f>
        <v>116.3252</v>
      </c>
    </row>
    <row r="3515" customFormat="false" ht="15" hidden="false" customHeight="false" outlineLevel="0" collapsed="false">
      <c r="A3515" s="0" t="s">
        <v>4937</v>
      </c>
      <c r="C3515" s="0" t="s">
        <v>38</v>
      </c>
      <c r="D3515" s="7" t="n">
        <v>15417</v>
      </c>
      <c r="E3515" s="8" t="n">
        <v>0.00382759291690991</v>
      </c>
      <c r="F3515" s="4" t="n">
        <f aca="false">D3515*E3515</f>
        <v>59.01</v>
      </c>
      <c r="G3515" s="7" t="n">
        <v>5491</v>
      </c>
      <c r="H3515" s="9" t="n">
        <f aca="false">IF(G3515&gt;0,D3515/G3515,"")</f>
        <v>2.80768530322346</v>
      </c>
      <c r="I3515" s="10" t="n">
        <v>46287</v>
      </c>
      <c r="J3515" s="3" t="s">
        <v>1028</v>
      </c>
      <c r="K3515" s="10" t="n">
        <v>45689</v>
      </c>
      <c r="L3515" s="3" t="s">
        <v>18</v>
      </c>
      <c r="M3515" s="7" t="n">
        <v>25000</v>
      </c>
      <c r="N3515" s="8" t="n">
        <v>0.0038</v>
      </c>
      <c r="O3515" s="4" t="n">
        <f aca="false">M3515*N3515</f>
        <v>95</v>
      </c>
    </row>
    <row r="3516" customFormat="false" ht="15" hidden="false" customHeight="false" outlineLevel="0" collapsed="false">
      <c r="A3516" s="0" t="s">
        <v>4938</v>
      </c>
      <c r="C3516" s="0" t="s">
        <v>36</v>
      </c>
      <c r="D3516" s="7" t="n">
        <v>1496</v>
      </c>
      <c r="E3516" s="8" t="n">
        <v>0.0394050802139037</v>
      </c>
      <c r="F3516" s="4" t="n">
        <f aca="false">D3516*E3516</f>
        <v>58.95</v>
      </c>
      <c r="G3516" s="7" t="n">
        <v>235</v>
      </c>
      <c r="H3516" s="9" t="n">
        <f aca="false">IF(G3516&gt;0,D3516/G3516,"")</f>
        <v>6.36595744680851</v>
      </c>
      <c r="I3516" s="10" t="n">
        <v>46265</v>
      </c>
      <c r="J3516" s="3" t="s">
        <v>1905</v>
      </c>
      <c r="K3516" s="10" t="n">
        <v>45672</v>
      </c>
      <c r="L3516" s="3" t="s">
        <v>18</v>
      </c>
      <c r="M3516" s="7" t="n">
        <v>2500</v>
      </c>
      <c r="N3516" s="8" t="n">
        <v>0.0394</v>
      </c>
      <c r="O3516" s="4" t="n">
        <f aca="false">M3516*N3516</f>
        <v>98.5</v>
      </c>
    </row>
    <row r="3517" customFormat="false" ht="15" hidden="false" customHeight="false" outlineLevel="0" collapsed="false">
      <c r="A3517" s="0" t="s">
        <v>4939</v>
      </c>
      <c r="C3517" s="0" t="s">
        <v>31</v>
      </c>
      <c r="D3517" s="7" t="n">
        <v>1496</v>
      </c>
      <c r="E3517" s="8" t="n">
        <v>0.0393983957219251</v>
      </c>
      <c r="F3517" s="4" t="n">
        <f aca="false">D3517*E3517</f>
        <v>58.94</v>
      </c>
      <c r="G3517" s="7" t="n">
        <v>54</v>
      </c>
      <c r="H3517" s="9" t="n">
        <f aca="false">IF(G3517&gt;0,D3517/G3517,"")</f>
        <v>27.7037037037037</v>
      </c>
      <c r="I3517" s="10" t="n">
        <v>46246</v>
      </c>
      <c r="J3517" s="3" t="s">
        <v>4940</v>
      </c>
      <c r="K3517" s="10" t="n">
        <v>45546</v>
      </c>
      <c r="L3517" s="3" t="s">
        <v>16</v>
      </c>
      <c r="M3517" s="7" t="n">
        <v>1555</v>
      </c>
      <c r="N3517" s="8" t="n">
        <v>0.0394</v>
      </c>
      <c r="O3517" s="4" t="n">
        <f aca="false">M3517*N3517</f>
        <v>61.267</v>
      </c>
    </row>
    <row r="3518" customFormat="false" ht="15" hidden="false" customHeight="false" outlineLevel="0" collapsed="false">
      <c r="A3518" s="0" t="s">
        <v>4941</v>
      </c>
      <c r="C3518" s="0" t="s">
        <v>34</v>
      </c>
      <c r="D3518" s="7" t="n">
        <v>816</v>
      </c>
      <c r="E3518" s="8" t="n">
        <v>0.0722058823529412</v>
      </c>
      <c r="F3518" s="4" t="n">
        <f aca="false">D3518*E3518</f>
        <v>58.92</v>
      </c>
      <c r="G3518" s="7" t="n">
        <v>230</v>
      </c>
      <c r="H3518" s="9" t="n">
        <f aca="false">IF(G3518&gt;0,D3518/G3518,"")</f>
        <v>3.54782608695652</v>
      </c>
      <c r="I3518" s="10" t="n">
        <v>46202</v>
      </c>
      <c r="J3518" s="3" t="s">
        <v>628</v>
      </c>
      <c r="K3518" s="10" t="n">
        <v>46128</v>
      </c>
      <c r="L3518" s="3" t="s">
        <v>16</v>
      </c>
      <c r="M3518" s="7" t="n">
        <v>700</v>
      </c>
      <c r="N3518" s="8" t="n">
        <v>0.0722</v>
      </c>
      <c r="O3518" s="4" t="n">
        <f aca="false">M3518*N3518</f>
        <v>50.54</v>
      </c>
    </row>
    <row r="3519" customFormat="false" ht="15" hidden="false" customHeight="false" outlineLevel="0" collapsed="false">
      <c r="A3519" s="0" t="s">
        <v>4942</v>
      </c>
      <c r="C3519" s="0" t="s">
        <v>295</v>
      </c>
      <c r="D3519" s="7" t="n">
        <v>7479</v>
      </c>
      <c r="E3519" s="8" t="n">
        <v>0.00787538440968044</v>
      </c>
      <c r="F3519" s="4" t="n">
        <f aca="false">D3519*E3519</f>
        <v>58.9</v>
      </c>
      <c r="G3519" s="7" t="n">
        <v>2860</v>
      </c>
      <c r="H3519" s="9" t="n">
        <f aca="false">IF(G3519&gt;0,D3519/G3519,"")</f>
        <v>2.61503496503497</v>
      </c>
      <c r="I3519" s="10" t="n">
        <v>46231</v>
      </c>
      <c r="J3519" s="3" t="s">
        <v>1925</v>
      </c>
      <c r="K3519" s="10" t="n">
        <v>44817</v>
      </c>
      <c r="L3519" s="3" t="s">
        <v>1926</v>
      </c>
      <c r="M3519" s="7" t="n">
        <v>16525</v>
      </c>
      <c r="N3519" s="8" t="n">
        <v>0</v>
      </c>
      <c r="O3519" s="4" t="n">
        <v>130.38</v>
      </c>
    </row>
    <row r="3520" customFormat="false" ht="15" hidden="false" customHeight="false" outlineLevel="0" collapsed="false">
      <c r="A3520" s="0" t="s">
        <v>4943</v>
      </c>
      <c r="C3520" s="0" t="s">
        <v>609</v>
      </c>
      <c r="D3520" s="7" t="n">
        <v>31</v>
      </c>
      <c r="E3520" s="8" t="n">
        <v>1.9</v>
      </c>
      <c r="F3520" s="4" t="n">
        <f aca="false">D3520*E3520</f>
        <v>58.9</v>
      </c>
      <c r="G3520" s="7" t="n">
        <v>9</v>
      </c>
      <c r="H3520" s="9" t="n">
        <f aca="false">IF(G3520&gt;0,D3520/G3520,"")</f>
        <v>3.44444444444444</v>
      </c>
      <c r="I3520" s="10" t="n">
        <v>46308</v>
      </c>
      <c r="J3520" s="3" t="s">
        <v>4944</v>
      </c>
      <c r="K3520" s="10" t="n">
        <v>44278</v>
      </c>
      <c r="L3520" s="3" t="s">
        <v>1878</v>
      </c>
      <c r="M3520" s="7" t="n">
        <v>85</v>
      </c>
      <c r="N3520" s="8" t="n">
        <v>1.9</v>
      </c>
      <c r="O3520" s="4" t="n">
        <f aca="false">M3520*N3520</f>
        <v>161.5</v>
      </c>
    </row>
    <row r="3521" customFormat="false" ht="15" hidden="false" customHeight="false" outlineLevel="0" collapsed="false">
      <c r="A3521" s="0" t="s">
        <v>4945</v>
      </c>
      <c r="C3521" s="0" t="s">
        <v>34</v>
      </c>
      <c r="D3521" s="7" t="n">
        <v>400</v>
      </c>
      <c r="E3521" s="8" t="n">
        <v>0.1471</v>
      </c>
      <c r="F3521" s="4" t="n">
        <f aca="false">D3521*E3521</f>
        <v>58.84</v>
      </c>
      <c r="G3521" s="7" t="n">
        <v>140</v>
      </c>
      <c r="H3521" s="9" t="n">
        <f aca="false">IF(G3521&gt;0,D3521/G3521,"")</f>
        <v>2.85714285714286</v>
      </c>
      <c r="I3521" s="10" t="n">
        <v>46233</v>
      </c>
      <c r="J3521" s="3" t="s">
        <v>2043</v>
      </c>
      <c r="K3521" s="10" t="n">
        <v>46104</v>
      </c>
      <c r="L3521" s="3" t="s">
        <v>16</v>
      </c>
      <c r="M3521" s="7" t="n">
        <v>540</v>
      </c>
      <c r="N3521" s="8" t="n">
        <v>0.1471</v>
      </c>
      <c r="O3521" s="4" t="n">
        <f aca="false">M3521*N3521</f>
        <v>79.434</v>
      </c>
    </row>
    <row r="3522" customFormat="false" ht="15" hidden="false" customHeight="false" outlineLevel="0" collapsed="false">
      <c r="A3522" s="0" t="s">
        <v>4946</v>
      </c>
      <c r="C3522" s="0" t="s">
        <v>31</v>
      </c>
      <c r="D3522" s="7" t="n">
        <v>21005</v>
      </c>
      <c r="E3522" s="8" t="n">
        <v>0.0028002856462747</v>
      </c>
      <c r="F3522" s="4" t="n">
        <f aca="false">D3522*E3522</f>
        <v>58.82</v>
      </c>
      <c r="G3522" s="7" t="n">
        <v>7110</v>
      </c>
      <c r="H3522" s="9" t="n">
        <f aca="false">IF(G3522&gt;0,D3522/G3522,"")</f>
        <v>2.95428973277075</v>
      </c>
      <c r="I3522" s="10" t="n">
        <v>46266</v>
      </c>
      <c r="J3522" s="3" t="s">
        <v>2777</v>
      </c>
      <c r="K3522" s="10" t="n">
        <v>45763</v>
      </c>
      <c r="L3522" s="3" t="s">
        <v>16</v>
      </c>
      <c r="M3522" s="7" t="n">
        <v>100000</v>
      </c>
      <c r="N3522" s="8" t="n">
        <v>0.0028</v>
      </c>
      <c r="O3522" s="4" t="n">
        <f aca="false">M3522*N3522</f>
        <v>280</v>
      </c>
    </row>
    <row r="3523" customFormat="false" ht="15" hidden="false" customHeight="false" outlineLevel="0" collapsed="false">
      <c r="A3523" s="0" t="s">
        <v>4947</v>
      </c>
      <c r="C3523" s="0" t="s">
        <v>34</v>
      </c>
      <c r="D3523" s="7" t="n">
        <v>155</v>
      </c>
      <c r="E3523" s="8" t="n">
        <v>0.37941935483871</v>
      </c>
      <c r="F3523" s="4" t="n">
        <f aca="false">D3523*E3523</f>
        <v>58.81</v>
      </c>
      <c r="G3523" s="7" t="n">
        <v>126</v>
      </c>
      <c r="H3523" s="9" t="n">
        <f aca="false">IF(G3523&gt;0,D3523/G3523,"")</f>
        <v>1.23015873015873</v>
      </c>
      <c r="I3523" s="10" t="n">
        <v>46251</v>
      </c>
      <c r="J3523" s="3" t="s">
        <v>701</v>
      </c>
      <c r="K3523" s="10" t="n">
        <v>44748</v>
      </c>
      <c r="L3523" s="3" t="s">
        <v>14</v>
      </c>
      <c r="M3523" s="7" t="n">
        <v>878</v>
      </c>
      <c r="N3523" s="8" t="n">
        <v>0.3794</v>
      </c>
      <c r="O3523" s="4" t="n">
        <f aca="false">M3523*N3523</f>
        <v>333.1132</v>
      </c>
    </row>
    <row r="3524" customFormat="false" ht="15" hidden="false" customHeight="false" outlineLevel="0" collapsed="false">
      <c r="A3524" s="0" t="s">
        <v>4948</v>
      </c>
      <c r="C3524" s="0" t="s">
        <v>32</v>
      </c>
      <c r="D3524" s="7" t="n">
        <v>47</v>
      </c>
      <c r="E3524" s="8" t="n">
        <v>1.25127659574468</v>
      </c>
      <c r="F3524" s="4" t="n">
        <f aca="false">D3524*E3524</f>
        <v>58.81</v>
      </c>
      <c r="G3524" s="7" t="n">
        <v>10</v>
      </c>
      <c r="H3524" s="9" t="n">
        <f aca="false">IF(G3524&gt;0,D3524/G3524,"")</f>
        <v>4.7</v>
      </c>
      <c r="I3524" s="10" t="n">
        <v>46051</v>
      </c>
      <c r="J3524" s="3" t="s">
        <v>1026</v>
      </c>
      <c r="K3524" s="10" t="n">
        <v>46090</v>
      </c>
      <c r="L3524" s="3" t="s">
        <v>18</v>
      </c>
      <c r="M3524" s="7" t="n">
        <v>70</v>
      </c>
      <c r="N3524" s="8" t="n">
        <v>1.2565</v>
      </c>
      <c r="O3524" s="4" t="n">
        <f aca="false">M3524*N3524</f>
        <v>87.955</v>
      </c>
    </row>
    <row r="3525" customFormat="false" ht="15" hidden="false" customHeight="false" outlineLevel="0" collapsed="false">
      <c r="A3525" s="0" t="s">
        <v>4949</v>
      </c>
      <c r="C3525" s="0" t="s">
        <v>31</v>
      </c>
      <c r="D3525" s="7" t="n">
        <v>22621</v>
      </c>
      <c r="E3525" s="8" t="n">
        <v>0.00259847044781398</v>
      </c>
      <c r="F3525" s="4" t="n">
        <f aca="false">D3525*E3525</f>
        <v>58.78</v>
      </c>
      <c r="G3525" s="7" t="n">
        <v>2949</v>
      </c>
      <c r="H3525" s="9" t="n">
        <f aca="false">IF(G3525&gt;0,D3525/G3525,"")</f>
        <v>7.67073584265853</v>
      </c>
      <c r="I3525" s="10" t="n">
        <v>46311</v>
      </c>
      <c r="J3525" s="3" t="s">
        <v>1565</v>
      </c>
      <c r="K3525" s="10" t="n">
        <v>45516</v>
      </c>
      <c r="L3525" s="3" t="s">
        <v>16</v>
      </c>
      <c r="M3525" s="7" t="n">
        <v>18394</v>
      </c>
      <c r="N3525" s="8" t="n">
        <v>0.0027</v>
      </c>
      <c r="O3525" s="4" t="n">
        <f aca="false">M3525*N3525</f>
        <v>49.6638</v>
      </c>
    </row>
    <row r="3526" customFormat="false" ht="15" hidden="false" customHeight="false" outlineLevel="0" collapsed="false">
      <c r="A3526" s="0" t="s">
        <v>4950</v>
      </c>
      <c r="C3526" s="0" t="s">
        <v>41</v>
      </c>
      <c r="D3526" s="7" t="n">
        <v>4777</v>
      </c>
      <c r="E3526" s="8" t="n">
        <v>0.0122985137115344</v>
      </c>
      <c r="F3526" s="4" t="n">
        <f aca="false">D3526*E3526</f>
        <v>58.75</v>
      </c>
      <c r="G3526" s="7" t="n">
        <v>77</v>
      </c>
      <c r="H3526" s="9" t="n">
        <f aca="false">IF(G3526&gt;0,D3526/G3526,"")</f>
        <v>62.038961038961</v>
      </c>
      <c r="I3526" s="10" t="n">
        <v>46135</v>
      </c>
      <c r="K3526" s="10"/>
      <c r="M3526" s="7"/>
      <c r="N3526" s="8"/>
      <c r="O3526" s="4"/>
    </row>
    <row r="3527" customFormat="false" ht="15" hidden="false" customHeight="false" outlineLevel="0" collapsed="false">
      <c r="A3527" s="0" t="s">
        <v>4951</v>
      </c>
      <c r="C3527" s="0" t="s">
        <v>34</v>
      </c>
      <c r="D3527" s="7" t="n">
        <v>3741</v>
      </c>
      <c r="E3527" s="8" t="n">
        <v>0.0157043571237637</v>
      </c>
      <c r="F3527" s="4" t="n">
        <f aca="false">D3527*E3527</f>
        <v>58.75</v>
      </c>
      <c r="G3527" s="7" t="n">
        <v>55</v>
      </c>
      <c r="H3527" s="9" t="n">
        <f aca="false">IF(G3527&gt;0,D3527/G3527,"")</f>
        <v>68.0181818181818</v>
      </c>
      <c r="I3527" s="10" t="n">
        <v>46059</v>
      </c>
      <c r="J3527" s="3" t="s">
        <v>3385</v>
      </c>
      <c r="K3527" s="10" t="n">
        <v>45595</v>
      </c>
      <c r="L3527" s="3" t="s">
        <v>16</v>
      </c>
      <c r="M3527" s="7" t="n">
        <v>5000</v>
      </c>
      <c r="N3527" s="8" t="n">
        <v>0.0157</v>
      </c>
      <c r="O3527" s="4" t="n">
        <f aca="false">M3527*N3527</f>
        <v>78.5</v>
      </c>
    </row>
    <row r="3528" customFormat="false" ht="15" hidden="false" customHeight="false" outlineLevel="0" collapsed="false">
      <c r="A3528" s="0" t="s">
        <v>4952</v>
      </c>
      <c r="C3528" s="0" t="s">
        <v>31</v>
      </c>
      <c r="D3528" s="7" t="n">
        <v>9532</v>
      </c>
      <c r="E3528" s="8" t="n">
        <v>0.00616135123793538</v>
      </c>
      <c r="F3528" s="4" t="n">
        <f aca="false">D3528*E3528</f>
        <v>58.73</v>
      </c>
      <c r="G3528" s="7" t="n">
        <v>298</v>
      </c>
      <c r="H3528" s="9" t="n">
        <f aca="false">IF(G3528&gt;0,D3528/G3528,"")</f>
        <v>31.9865771812081</v>
      </c>
      <c r="I3528" s="10" t="n">
        <v>46247</v>
      </c>
      <c r="K3528" s="10"/>
      <c r="M3528" s="7"/>
      <c r="N3528" s="8"/>
      <c r="O3528" s="4"/>
    </row>
    <row r="3529" customFormat="false" ht="15" hidden="false" customHeight="false" outlineLevel="0" collapsed="false">
      <c r="A3529" s="0" t="s">
        <v>4953</v>
      </c>
      <c r="C3529" s="0" t="s">
        <v>298</v>
      </c>
      <c r="D3529" s="7" t="n">
        <v>225</v>
      </c>
      <c r="E3529" s="8" t="n">
        <v>0.260666666666667</v>
      </c>
      <c r="F3529" s="4" t="n">
        <f aca="false">D3529*E3529</f>
        <v>58.65</v>
      </c>
      <c r="G3529" s="7" t="n">
        <v>27</v>
      </c>
      <c r="H3529" s="9" t="n">
        <f aca="false">IF(G3529&gt;0,D3529/G3529,"")</f>
        <v>8.33333333333333</v>
      </c>
      <c r="I3529" s="10" t="n">
        <v>46216</v>
      </c>
      <c r="J3529" s="3" t="s">
        <v>4116</v>
      </c>
      <c r="K3529" s="10" t="n">
        <v>45895</v>
      </c>
      <c r="L3529" s="3" t="s">
        <v>16</v>
      </c>
      <c r="M3529" s="7" t="n">
        <v>127</v>
      </c>
      <c r="N3529" s="8" t="n">
        <v>0</v>
      </c>
      <c r="O3529" s="4" t="n">
        <v>0</v>
      </c>
    </row>
    <row r="3530" customFormat="false" ht="15" hidden="false" customHeight="false" outlineLevel="0" collapsed="false">
      <c r="A3530" s="0" t="s">
        <v>4954</v>
      </c>
      <c r="C3530" s="0" t="s">
        <v>31</v>
      </c>
      <c r="D3530" s="7" t="n">
        <v>8849</v>
      </c>
      <c r="E3530" s="8" t="n">
        <v>0.00661204655893321</v>
      </c>
      <c r="F3530" s="4" t="n">
        <f aca="false">D3530*E3530</f>
        <v>58.51</v>
      </c>
      <c r="G3530" s="7" t="n">
        <v>603</v>
      </c>
      <c r="H3530" s="9" t="n">
        <f aca="false">IF(G3530&gt;0,D3530/G3530,"")</f>
        <v>14.6749585406302</v>
      </c>
      <c r="I3530" s="10" t="n">
        <v>46247</v>
      </c>
      <c r="J3530" s="3" t="s">
        <v>1565</v>
      </c>
      <c r="K3530" s="10" t="n">
        <v>45516</v>
      </c>
      <c r="L3530" s="3" t="s">
        <v>16</v>
      </c>
      <c r="M3530" s="7" t="n">
        <v>7595</v>
      </c>
      <c r="N3530" s="8" t="n">
        <v>0.0031</v>
      </c>
      <c r="O3530" s="4" t="n">
        <f aca="false">M3530*N3530</f>
        <v>23.5445</v>
      </c>
    </row>
    <row r="3531" customFormat="false" ht="15" hidden="false" customHeight="false" outlineLevel="0" collapsed="false">
      <c r="A3531" s="0" t="s">
        <v>4955</v>
      </c>
      <c r="C3531" s="0" t="s">
        <v>61</v>
      </c>
      <c r="D3531" s="7" t="n">
        <v>40</v>
      </c>
      <c r="E3531" s="8" t="n">
        <v>1.4625</v>
      </c>
      <c r="F3531" s="4" t="n">
        <f aca="false">D3531*E3531</f>
        <v>58.5</v>
      </c>
      <c r="G3531" s="7" t="n">
        <v>10</v>
      </c>
      <c r="H3531" s="9" t="n">
        <f aca="false">IF(G3531&gt;0,D3531/G3531,"")</f>
        <v>4</v>
      </c>
      <c r="I3531" s="10" t="n">
        <v>46080</v>
      </c>
      <c r="J3531" s="3" t="s">
        <v>4956</v>
      </c>
      <c r="K3531" s="10" t="n">
        <v>44370</v>
      </c>
      <c r="L3531" s="3" t="s">
        <v>23</v>
      </c>
      <c r="M3531" s="7" t="n">
        <v>75</v>
      </c>
      <c r="N3531" s="8" t="n">
        <v>1.4626</v>
      </c>
      <c r="O3531" s="4" t="n">
        <f aca="false">M3531*N3531</f>
        <v>109.695</v>
      </c>
    </row>
    <row r="3532" customFormat="false" ht="15" hidden="false" customHeight="false" outlineLevel="0" collapsed="false">
      <c r="A3532" s="0" t="s">
        <v>4957</v>
      </c>
      <c r="C3532" s="0" t="s">
        <v>1169</v>
      </c>
      <c r="D3532" s="7" t="n">
        <v>1300</v>
      </c>
      <c r="E3532" s="8" t="n">
        <v>0.045</v>
      </c>
      <c r="F3532" s="4" t="n">
        <f aca="false">D3532*E3532</f>
        <v>58.5</v>
      </c>
      <c r="G3532" s="7" t="n">
        <v>1000</v>
      </c>
      <c r="H3532" s="9" t="n">
        <f aca="false">IF(G3532&gt;0,D3532/G3532,"")</f>
        <v>1.3</v>
      </c>
      <c r="I3532" s="10" t="n">
        <v>46287</v>
      </c>
      <c r="J3532" s="3" t="s">
        <v>4958</v>
      </c>
      <c r="K3532" s="10" t="n">
        <v>46129</v>
      </c>
      <c r="L3532" s="3" t="s">
        <v>21</v>
      </c>
      <c r="M3532" s="7" t="n">
        <v>2300</v>
      </c>
      <c r="N3532" s="8" t="n">
        <v>0.045</v>
      </c>
      <c r="O3532" s="4" t="n">
        <f aca="false">M3532*N3532</f>
        <v>103.5</v>
      </c>
    </row>
    <row r="3533" customFormat="false" ht="15" hidden="false" customHeight="false" outlineLevel="0" collapsed="false">
      <c r="A3533" s="0" t="s">
        <v>4959</v>
      </c>
      <c r="C3533" s="0" t="s">
        <v>34</v>
      </c>
      <c r="D3533" s="7" t="n">
        <v>8064</v>
      </c>
      <c r="E3533" s="8" t="n">
        <v>0.00724950396825397</v>
      </c>
      <c r="F3533" s="4" t="n">
        <f aca="false">D3533*E3533</f>
        <v>58.46</v>
      </c>
      <c r="G3533" s="7" t="n">
        <v>460</v>
      </c>
      <c r="H3533" s="9" t="n">
        <f aca="false">IF(G3533&gt;0,D3533/G3533,"")</f>
        <v>17.5304347826087</v>
      </c>
      <c r="I3533" s="10" t="n">
        <v>46196</v>
      </c>
      <c r="J3533" s="3" t="s">
        <v>302</v>
      </c>
      <c r="K3533" s="10" t="n">
        <v>45520</v>
      </c>
      <c r="L3533" s="3" t="s">
        <v>15</v>
      </c>
      <c r="M3533" s="7" t="n">
        <v>8850</v>
      </c>
      <c r="N3533" s="8" t="n">
        <v>0.00725</v>
      </c>
      <c r="O3533" s="4" t="n">
        <f aca="false">M3533*N3533</f>
        <v>64.1625</v>
      </c>
    </row>
    <row r="3534" customFormat="false" ht="15" hidden="false" customHeight="false" outlineLevel="0" collapsed="false">
      <c r="A3534" s="0" t="s">
        <v>4960</v>
      </c>
      <c r="C3534" s="0" t="s">
        <v>34</v>
      </c>
      <c r="D3534" s="7" t="n">
        <v>1133</v>
      </c>
      <c r="E3534" s="8" t="n">
        <v>0.0515975286849073</v>
      </c>
      <c r="F3534" s="4" t="n">
        <f aca="false">D3534*E3534</f>
        <v>58.46</v>
      </c>
      <c r="G3534" s="7" t="n">
        <v>100</v>
      </c>
      <c r="H3534" s="9" t="n">
        <f aca="false">IF(G3534&gt;0,D3534/G3534,"")</f>
        <v>11.33</v>
      </c>
      <c r="I3534" s="10" t="n">
        <v>46247</v>
      </c>
      <c r="J3534" s="3" t="s">
        <v>1054</v>
      </c>
      <c r="K3534" s="10" t="n">
        <v>46224</v>
      </c>
      <c r="L3534" s="3" t="s">
        <v>16</v>
      </c>
      <c r="M3534" s="7" t="n">
        <v>1200</v>
      </c>
      <c r="N3534" s="8" t="n">
        <v>0.0447</v>
      </c>
      <c r="O3534" s="4" t="n">
        <f aca="false">M3534*N3534</f>
        <v>53.64</v>
      </c>
    </row>
    <row r="3535" customFormat="false" ht="15" hidden="false" customHeight="false" outlineLevel="0" collapsed="false">
      <c r="A3535" s="0" t="s">
        <v>4961</v>
      </c>
      <c r="C3535" s="0" t="s">
        <v>33</v>
      </c>
      <c r="D3535" s="7" t="n">
        <v>20</v>
      </c>
      <c r="E3535" s="8" t="n">
        <v>2.923</v>
      </c>
      <c r="F3535" s="4" t="n">
        <f aca="false">D3535*E3535</f>
        <v>58.46</v>
      </c>
      <c r="G3535" s="7" t="n">
        <v>20</v>
      </c>
      <c r="H3535" s="9" t="n">
        <f aca="false">IF(G3535&gt;0,D3535/G3535,"")</f>
        <v>1</v>
      </c>
      <c r="I3535" s="10" t="n">
        <v>46279</v>
      </c>
      <c r="J3535" s="3" t="s">
        <v>240</v>
      </c>
      <c r="K3535" s="10" t="n">
        <v>46265</v>
      </c>
      <c r="L3535" s="3" t="s">
        <v>14</v>
      </c>
      <c r="M3535" s="7" t="n">
        <v>24</v>
      </c>
      <c r="N3535" s="8" t="n">
        <v>2.9229</v>
      </c>
      <c r="O3535" s="4" t="n">
        <f aca="false">M3535*N3535</f>
        <v>70.1496</v>
      </c>
    </row>
    <row r="3536" customFormat="false" ht="15" hidden="false" customHeight="false" outlineLevel="0" collapsed="false">
      <c r="A3536" s="0" t="s">
        <v>4962</v>
      </c>
      <c r="C3536" s="0" t="s">
        <v>715</v>
      </c>
      <c r="D3536" s="7" t="n">
        <v>1159</v>
      </c>
      <c r="E3536" s="8" t="n">
        <v>0.0503968938740293</v>
      </c>
      <c r="F3536" s="4" t="n">
        <f aca="false">D3536*E3536</f>
        <v>58.41</v>
      </c>
      <c r="G3536" s="7" t="n">
        <v>505</v>
      </c>
      <c r="H3536" s="9" t="n">
        <f aca="false">IF(G3536&gt;0,D3536/G3536,"")</f>
        <v>2.2950495049505</v>
      </c>
      <c r="I3536" s="10" t="n">
        <v>46275</v>
      </c>
      <c r="J3536" s="3" t="s">
        <v>1035</v>
      </c>
      <c r="K3536" s="10" t="n">
        <v>46251</v>
      </c>
      <c r="L3536" s="3" t="s">
        <v>16</v>
      </c>
      <c r="M3536" s="7" t="n">
        <v>1404</v>
      </c>
      <c r="N3536" s="8" t="n">
        <v>0.0504</v>
      </c>
      <c r="O3536" s="4" t="n">
        <f aca="false">M3536*N3536</f>
        <v>70.7616</v>
      </c>
    </row>
    <row r="3537" customFormat="false" ht="15" hidden="false" customHeight="false" outlineLevel="0" collapsed="false">
      <c r="A3537" s="0" t="s">
        <v>4963</v>
      </c>
      <c r="C3537" s="0" t="s">
        <v>855</v>
      </c>
      <c r="D3537" s="7" t="n">
        <v>6275</v>
      </c>
      <c r="E3537" s="8" t="n">
        <v>0.00929721115537849</v>
      </c>
      <c r="F3537" s="4" t="n">
        <f aca="false">D3537*E3537</f>
        <v>58.34</v>
      </c>
      <c r="G3537" s="7" t="n">
        <v>120</v>
      </c>
      <c r="H3537" s="9" t="n">
        <f aca="false">IF(G3537&gt;0,D3537/G3537,"")</f>
        <v>52.2916666666667</v>
      </c>
      <c r="I3537" s="10" t="n">
        <v>46122</v>
      </c>
      <c r="K3537" s="10"/>
      <c r="M3537" s="7"/>
      <c r="N3537" s="8"/>
      <c r="O3537" s="4"/>
    </row>
    <row r="3538" customFormat="false" ht="15" hidden="false" customHeight="false" outlineLevel="0" collapsed="false">
      <c r="A3538" s="0" t="s">
        <v>4964</v>
      </c>
      <c r="C3538" s="0" t="s">
        <v>285</v>
      </c>
      <c r="D3538" s="7" t="n">
        <v>14676</v>
      </c>
      <c r="E3538" s="8" t="n">
        <v>0.00397451621695285</v>
      </c>
      <c r="F3538" s="4" t="n">
        <f aca="false">D3538*E3538</f>
        <v>58.33</v>
      </c>
      <c r="G3538" s="7" t="n">
        <v>5650</v>
      </c>
      <c r="H3538" s="9" t="n">
        <f aca="false">IF(G3538&gt;0,D3538/G3538,"")</f>
        <v>2.59752212389381</v>
      </c>
      <c r="I3538" s="10" t="n">
        <v>46302</v>
      </c>
      <c r="K3538" s="10"/>
      <c r="M3538" s="7"/>
      <c r="N3538" s="8"/>
      <c r="O3538" s="4"/>
    </row>
    <row r="3539" customFormat="false" ht="15" hidden="false" customHeight="false" outlineLevel="0" collapsed="false">
      <c r="A3539" s="0" t="s">
        <v>4965</v>
      </c>
      <c r="C3539" s="0" t="s">
        <v>609</v>
      </c>
      <c r="D3539" s="7" t="n">
        <v>54</v>
      </c>
      <c r="E3539" s="8" t="n">
        <v>1.08</v>
      </c>
      <c r="F3539" s="4" t="n">
        <f aca="false">D3539*E3539</f>
        <v>58.32</v>
      </c>
      <c r="G3539" s="7" t="n">
        <v>14</v>
      </c>
      <c r="H3539" s="9" t="n">
        <f aca="false">IF(G3539&gt;0,D3539/G3539,"")</f>
        <v>3.85714285714286</v>
      </c>
      <c r="I3539" s="10" t="n">
        <v>46255</v>
      </c>
      <c r="J3539" s="3" t="s">
        <v>4966</v>
      </c>
      <c r="K3539" s="10" t="n">
        <v>45517</v>
      </c>
      <c r="L3539" s="3" t="s">
        <v>1878</v>
      </c>
      <c r="M3539" s="7" t="n">
        <v>100</v>
      </c>
      <c r="N3539" s="8" t="n">
        <v>1.08</v>
      </c>
      <c r="O3539" s="4" t="n">
        <f aca="false">M3539*N3539</f>
        <v>108</v>
      </c>
    </row>
    <row r="3540" customFormat="false" ht="15" hidden="false" customHeight="false" outlineLevel="0" collapsed="false">
      <c r="A3540" s="0" t="s">
        <v>4967</v>
      </c>
      <c r="C3540" s="0" t="s">
        <v>31</v>
      </c>
      <c r="D3540" s="7" t="n">
        <v>5362</v>
      </c>
      <c r="E3540" s="8" t="n">
        <v>0.0108616187989556</v>
      </c>
      <c r="F3540" s="4" t="n">
        <f aca="false">D3540*E3540</f>
        <v>58.24</v>
      </c>
      <c r="G3540" s="7" t="n">
        <v>673</v>
      </c>
      <c r="H3540" s="9" t="n">
        <f aca="false">IF(G3540&gt;0,D3540/G3540,"")</f>
        <v>7.96731054977712</v>
      </c>
      <c r="I3540" s="10" t="n">
        <v>46300</v>
      </c>
      <c r="J3540" s="3" t="s">
        <v>4968</v>
      </c>
      <c r="K3540" s="10" t="n">
        <v>46251</v>
      </c>
      <c r="L3540" s="3" t="s">
        <v>15</v>
      </c>
      <c r="M3540" s="7" t="n">
        <v>5000</v>
      </c>
      <c r="N3540" s="8" t="n">
        <v>0.00866</v>
      </c>
      <c r="O3540" s="4" t="n">
        <f aca="false">M3540*N3540</f>
        <v>43.3</v>
      </c>
    </row>
    <row r="3541" customFormat="false" ht="15" hidden="false" customHeight="false" outlineLevel="0" collapsed="false">
      <c r="A3541" s="0" t="s">
        <v>4969</v>
      </c>
      <c r="C3541" s="0" t="s">
        <v>34</v>
      </c>
      <c r="D3541" s="7" t="n">
        <v>7189</v>
      </c>
      <c r="E3541" s="8" t="n">
        <v>0.00810126582278481</v>
      </c>
      <c r="F3541" s="4" t="n">
        <f aca="false">D3541*E3541</f>
        <v>58.24</v>
      </c>
      <c r="G3541" s="7" t="n">
        <v>555</v>
      </c>
      <c r="H3541" s="9" t="n">
        <f aca="false">IF(G3541&gt;0,D3541/G3541,"")</f>
        <v>12.9531531531532</v>
      </c>
      <c r="I3541" s="10" t="n">
        <v>46288</v>
      </c>
      <c r="J3541" s="3" t="s">
        <v>4970</v>
      </c>
      <c r="K3541" s="10" t="n">
        <v>44292</v>
      </c>
      <c r="L3541" s="3" t="s">
        <v>15</v>
      </c>
      <c r="M3541" s="7" t="n">
        <v>8100</v>
      </c>
      <c r="N3541" s="8" t="n">
        <v>0.0081</v>
      </c>
      <c r="O3541" s="4" t="n">
        <f aca="false">M3541*N3541</f>
        <v>65.61</v>
      </c>
    </row>
    <row r="3542" customFormat="false" ht="15" hidden="false" customHeight="false" outlineLevel="0" collapsed="false">
      <c r="A3542" s="0" t="s">
        <v>4971</v>
      </c>
      <c r="C3542" s="0" t="s">
        <v>1039</v>
      </c>
      <c r="D3542" s="7" t="n">
        <v>345</v>
      </c>
      <c r="E3542" s="8" t="n">
        <v>0.168782608695652</v>
      </c>
      <c r="F3542" s="4" t="n">
        <f aca="false">D3542*E3542</f>
        <v>58.23</v>
      </c>
      <c r="G3542" s="7" t="n">
        <v>107</v>
      </c>
      <c r="H3542" s="9" t="n">
        <f aca="false">IF(G3542&gt;0,D3542/G3542,"")</f>
        <v>3.22429906542056</v>
      </c>
      <c r="I3542" s="10" t="n">
        <v>46311</v>
      </c>
      <c r="K3542" s="10"/>
      <c r="M3542" s="7"/>
      <c r="N3542" s="8"/>
      <c r="O3542" s="4"/>
    </row>
    <row r="3543" customFormat="false" ht="15" hidden="false" customHeight="false" outlineLevel="0" collapsed="false">
      <c r="A3543" s="0" t="s">
        <v>4972</v>
      </c>
      <c r="C3543" s="0" t="s">
        <v>41</v>
      </c>
      <c r="D3543" s="7" t="n">
        <v>497</v>
      </c>
      <c r="E3543" s="8" t="n">
        <v>0.117142857142857</v>
      </c>
      <c r="F3543" s="4" t="n">
        <f aca="false">D3543*E3543</f>
        <v>58.22</v>
      </c>
      <c r="G3543" s="7" t="n">
        <v>4</v>
      </c>
      <c r="H3543" s="9" t="n">
        <f aca="false">IF(G3543&gt;0,D3543/G3543,"")</f>
        <v>124.25</v>
      </c>
      <c r="I3543" s="10" t="n">
        <v>46254</v>
      </c>
      <c r="J3543" s="3" t="s">
        <v>4973</v>
      </c>
      <c r="K3543" s="10" t="n">
        <v>45427</v>
      </c>
      <c r="L3543" s="3" t="s">
        <v>15</v>
      </c>
      <c r="M3543" s="7" t="n">
        <v>517</v>
      </c>
      <c r="N3543" s="8" t="n">
        <v>0.11713</v>
      </c>
      <c r="O3543" s="4" t="n">
        <f aca="false">M3543*N3543</f>
        <v>60.55621</v>
      </c>
    </row>
    <row r="3544" customFormat="false" ht="15" hidden="false" customHeight="false" outlineLevel="0" collapsed="false">
      <c r="A3544" s="0" t="s">
        <v>4974</v>
      </c>
      <c r="C3544" s="0" t="s">
        <v>438</v>
      </c>
      <c r="D3544" s="7" t="n">
        <v>13</v>
      </c>
      <c r="E3544" s="8" t="n">
        <v>4.47230769230769</v>
      </c>
      <c r="F3544" s="4" t="n">
        <f aca="false">D3544*E3544</f>
        <v>58.14</v>
      </c>
      <c r="G3544" s="7" t="n">
        <v>1</v>
      </c>
      <c r="H3544" s="9" t="n">
        <f aca="false">IF(G3544&gt;0,D3544/G3544,"")</f>
        <v>13</v>
      </c>
      <c r="I3544" s="10" t="n">
        <v>46281</v>
      </c>
      <c r="K3544" s="10"/>
      <c r="M3544" s="7"/>
      <c r="N3544" s="8"/>
      <c r="O3544" s="4"/>
    </row>
    <row r="3545" customFormat="false" ht="15" hidden="false" customHeight="false" outlineLevel="0" collapsed="false">
      <c r="A3545" s="0" t="s">
        <v>4975</v>
      </c>
      <c r="C3545" s="0" t="s">
        <v>120</v>
      </c>
      <c r="D3545" s="7" t="n">
        <v>395</v>
      </c>
      <c r="E3545" s="8" t="n">
        <v>0.147139240506329</v>
      </c>
      <c r="F3545" s="4" t="n">
        <f aca="false">D3545*E3545</f>
        <v>58.12</v>
      </c>
      <c r="G3545" s="7" t="n">
        <v>10</v>
      </c>
      <c r="H3545" s="9" t="n">
        <f aca="false">IF(G3545&gt;0,D3545/G3545,"")</f>
        <v>39.5</v>
      </c>
      <c r="I3545" s="10" t="n">
        <v>46139</v>
      </c>
      <c r="J3545" s="3" t="s">
        <v>3076</v>
      </c>
      <c r="K3545" s="10" t="n">
        <v>45349</v>
      </c>
      <c r="L3545" s="3" t="s">
        <v>223</v>
      </c>
      <c r="M3545" s="7" t="n">
        <v>500</v>
      </c>
      <c r="N3545" s="8" t="n">
        <v>0.146</v>
      </c>
      <c r="O3545" s="4" t="n">
        <f aca="false">M3545*N3545</f>
        <v>73</v>
      </c>
    </row>
    <row r="3546" customFormat="false" ht="15" hidden="false" customHeight="false" outlineLevel="0" collapsed="false">
      <c r="A3546" s="0" t="s">
        <v>4976</v>
      </c>
      <c r="C3546" s="0" t="s">
        <v>340</v>
      </c>
      <c r="D3546" s="7" t="n">
        <v>3660</v>
      </c>
      <c r="E3546" s="8" t="n">
        <v>0.0158715846994536</v>
      </c>
      <c r="F3546" s="4" t="n">
        <f aca="false">D3546*E3546</f>
        <v>58.09</v>
      </c>
      <c r="G3546" s="7" t="n">
        <v>2300</v>
      </c>
      <c r="H3546" s="9" t="n">
        <f aca="false">IF(G3546&gt;0,D3546/G3546,"")</f>
        <v>1.59130434782609</v>
      </c>
      <c r="I3546" s="10" t="n">
        <v>46308</v>
      </c>
      <c r="J3546" s="3" t="s">
        <v>1411</v>
      </c>
      <c r="K3546" s="10" t="n">
        <v>46176</v>
      </c>
      <c r="L3546" s="3" t="s">
        <v>19</v>
      </c>
      <c r="M3546" s="7" t="n">
        <v>4002</v>
      </c>
      <c r="N3546" s="8" t="n">
        <v>0.0159</v>
      </c>
      <c r="O3546" s="4" t="n">
        <f aca="false">M3546*N3546</f>
        <v>63.6318</v>
      </c>
    </row>
    <row r="3547" customFormat="false" ht="15" hidden="false" customHeight="false" outlineLevel="0" collapsed="false">
      <c r="A3547" s="0" t="s">
        <v>4977</v>
      </c>
      <c r="C3547" s="0" t="s">
        <v>34</v>
      </c>
      <c r="D3547" s="7" t="n">
        <v>3524</v>
      </c>
      <c r="E3547" s="8" t="n">
        <v>0.0164727582292849</v>
      </c>
      <c r="F3547" s="4" t="n">
        <f aca="false">D3547*E3547</f>
        <v>58.05</v>
      </c>
      <c r="G3547" s="7" t="n">
        <v>100</v>
      </c>
      <c r="H3547" s="9" t="n">
        <f aca="false">IF(G3547&gt;0,D3547/G3547,"")</f>
        <v>35.24</v>
      </c>
      <c r="I3547" s="10" t="n">
        <v>46171</v>
      </c>
      <c r="J3547" s="3" t="s">
        <v>652</v>
      </c>
      <c r="K3547" s="10" t="n">
        <v>44288</v>
      </c>
      <c r="L3547" s="3" t="s">
        <v>16</v>
      </c>
      <c r="M3547" s="7" t="n">
        <v>4568</v>
      </c>
      <c r="N3547" s="8" t="n">
        <v>0.01647</v>
      </c>
      <c r="O3547" s="4" t="n">
        <f aca="false">M3547*N3547</f>
        <v>75.23496</v>
      </c>
    </row>
    <row r="3548" customFormat="false" ht="15" hidden="false" customHeight="false" outlineLevel="0" collapsed="false">
      <c r="A3548" s="0" t="s">
        <v>4978</v>
      </c>
      <c r="C3548" s="0" t="s">
        <v>889</v>
      </c>
      <c r="D3548" s="7" t="n">
        <v>433</v>
      </c>
      <c r="E3548" s="8" t="n">
        <v>0.134064665127021</v>
      </c>
      <c r="F3548" s="4" t="n">
        <f aca="false">D3548*E3548</f>
        <v>58.05</v>
      </c>
      <c r="G3548" s="7" t="n">
        <v>51</v>
      </c>
      <c r="H3548" s="9" t="n">
        <f aca="false">IF(G3548&gt;0,D3548/G3548,"")</f>
        <v>8.49019607843137</v>
      </c>
      <c r="I3548" s="10" t="n">
        <v>45961</v>
      </c>
      <c r="J3548" s="3" t="s">
        <v>1228</v>
      </c>
      <c r="K3548" s="10" t="n">
        <v>45852</v>
      </c>
      <c r="L3548" s="3" t="s">
        <v>15</v>
      </c>
      <c r="M3548" s="7" t="n">
        <v>484</v>
      </c>
      <c r="N3548" s="8" t="n">
        <v>0.13406</v>
      </c>
      <c r="O3548" s="4" t="n">
        <f aca="false">M3548*N3548</f>
        <v>64.88504</v>
      </c>
    </row>
    <row r="3549" customFormat="false" ht="15" hidden="false" customHeight="false" outlineLevel="0" collapsed="false">
      <c r="A3549" s="0" t="s">
        <v>4979</v>
      </c>
      <c r="C3549" s="0" t="s">
        <v>31</v>
      </c>
      <c r="D3549" s="7" t="n">
        <v>20278</v>
      </c>
      <c r="E3549" s="8" t="n">
        <v>0.00285827004635566</v>
      </c>
      <c r="F3549" s="4" t="n">
        <f aca="false">D3549*E3549</f>
        <v>57.96</v>
      </c>
      <c r="G3549" s="7" t="n">
        <v>2073</v>
      </c>
      <c r="H3549" s="9" t="n">
        <f aca="false">IF(G3549&gt;0,D3549/G3549,"")</f>
        <v>9.78195851423058</v>
      </c>
      <c r="I3549" s="10" t="n">
        <v>46281</v>
      </c>
      <c r="K3549" s="10"/>
      <c r="M3549" s="7"/>
      <c r="N3549" s="8"/>
      <c r="O3549" s="4"/>
    </row>
    <row r="3550" customFormat="false" ht="15" hidden="false" customHeight="false" outlineLevel="0" collapsed="false">
      <c r="A3550" s="0" t="s">
        <v>4980</v>
      </c>
      <c r="C3550" s="0" t="s">
        <v>679</v>
      </c>
      <c r="D3550" s="7" t="n">
        <v>92</v>
      </c>
      <c r="E3550" s="8" t="n">
        <v>0.63</v>
      </c>
      <c r="F3550" s="4" t="n">
        <f aca="false">D3550*E3550</f>
        <v>57.96</v>
      </c>
      <c r="G3550" s="7" t="n">
        <v>3</v>
      </c>
      <c r="H3550" s="9" t="n">
        <f aca="false">IF(G3550&gt;0,D3550/G3550,"")</f>
        <v>30.6666666666667</v>
      </c>
      <c r="I3550" s="10" t="n">
        <v>46212</v>
      </c>
      <c r="J3550" s="3" t="s">
        <v>3547</v>
      </c>
      <c r="K3550" s="10" t="n">
        <v>45471</v>
      </c>
      <c r="L3550" s="3" t="s">
        <v>1878</v>
      </c>
      <c r="M3550" s="7" t="n">
        <v>100</v>
      </c>
      <c r="N3550" s="8" t="n">
        <v>0.63</v>
      </c>
      <c r="O3550" s="4" t="n">
        <f aca="false">M3550*N3550</f>
        <v>63</v>
      </c>
    </row>
    <row r="3551" customFormat="false" ht="15" hidden="false" customHeight="false" outlineLevel="0" collapsed="false">
      <c r="A3551" s="0" t="s">
        <v>4981</v>
      </c>
      <c r="C3551" s="0" t="s">
        <v>340</v>
      </c>
      <c r="D3551" s="7" t="n">
        <v>155</v>
      </c>
      <c r="E3551" s="8" t="n">
        <v>0.373935483870968</v>
      </c>
      <c r="F3551" s="4" t="n">
        <f aca="false">D3551*E3551</f>
        <v>57.96</v>
      </c>
      <c r="G3551" s="7" t="n">
        <v>80</v>
      </c>
      <c r="H3551" s="9" t="n">
        <f aca="false">IF(G3551&gt;0,D3551/G3551,"")</f>
        <v>1.9375</v>
      </c>
      <c r="I3551" s="10" t="n">
        <v>46185</v>
      </c>
      <c r="J3551" s="3" t="s">
        <v>2321</v>
      </c>
      <c r="K3551" s="10" t="n">
        <v>46094</v>
      </c>
      <c r="L3551" s="3" t="s">
        <v>16</v>
      </c>
      <c r="M3551" s="7" t="n">
        <v>215</v>
      </c>
      <c r="N3551" s="8" t="n">
        <v>0.3739</v>
      </c>
      <c r="O3551" s="4" t="n">
        <f aca="false">M3551*N3551</f>
        <v>80.3885</v>
      </c>
    </row>
    <row r="3552" customFormat="false" ht="15" hidden="false" customHeight="false" outlineLevel="0" collapsed="false">
      <c r="A3552" s="0" t="s">
        <v>4982</v>
      </c>
      <c r="C3552" s="0" t="s">
        <v>39</v>
      </c>
      <c r="D3552" s="7" t="n">
        <v>3450</v>
      </c>
      <c r="E3552" s="8" t="n">
        <v>0.0168</v>
      </c>
      <c r="F3552" s="4" t="n">
        <f aca="false">D3552*E3552</f>
        <v>57.96</v>
      </c>
      <c r="G3552" s="7" t="n">
        <v>2775</v>
      </c>
      <c r="H3552" s="9" t="n">
        <f aca="false">IF(G3552&gt;0,D3552/G3552,"")</f>
        <v>1.24324324324324</v>
      </c>
      <c r="I3552" s="10" t="n">
        <v>46254</v>
      </c>
      <c r="J3552" s="3" t="s">
        <v>3358</v>
      </c>
      <c r="K3552" s="10" t="n">
        <v>46164</v>
      </c>
      <c r="L3552" s="3" t="s">
        <v>18</v>
      </c>
      <c r="M3552" s="7" t="n">
        <v>5500</v>
      </c>
      <c r="N3552" s="8" t="n">
        <v>0.0168</v>
      </c>
      <c r="O3552" s="4" t="n">
        <f aca="false">M3552*N3552</f>
        <v>92.4</v>
      </c>
    </row>
    <row r="3553" customFormat="false" ht="15" hidden="false" customHeight="false" outlineLevel="0" collapsed="false">
      <c r="A3553" s="0" t="s">
        <v>4983</v>
      </c>
      <c r="C3553" s="0" t="s">
        <v>33</v>
      </c>
      <c r="D3553" s="7" t="n">
        <v>183</v>
      </c>
      <c r="E3553" s="8" t="n">
        <v>0.316666666666667</v>
      </c>
      <c r="F3553" s="4" t="n">
        <f aca="false">D3553*E3553</f>
        <v>57.95</v>
      </c>
      <c r="G3553" s="7" t="n">
        <v>109</v>
      </c>
      <c r="H3553" s="9" t="n">
        <f aca="false">IF(G3553&gt;0,D3553/G3553,"")</f>
        <v>1.67889908256881</v>
      </c>
      <c r="I3553" s="10" t="n">
        <v>46283</v>
      </c>
      <c r="J3553" s="3" t="s">
        <v>3533</v>
      </c>
      <c r="K3553" s="10" t="n">
        <v>45903</v>
      </c>
      <c r="L3553" s="3" t="s">
        <v>18</v>
      </c>
      <c r="M3553" s="7" t="n">
        <v>300</v>
      </c>
      <c r="N3553" s="8" t="n">
        <v>0.3167</v>
      </c>
      <c r="O3553" s="4" t="n">
        <f aca="false">M3553*N3553</f>
        <v>95.01</v>
      </c>
    </row>
    <row r="3554" customFormat="false" ht="15" hidden="false" customHeight="false" outlineLevel="0" collapsed="false">
      <c r="A3554" s="0" t="s">
        <v>4984</v>
      </c>
      <c r="C3554" s="0" t="s">
        <v>31</v>
      </c>
      <c r="D3554" s="7" t="n">
        <v>3709</v>
      </c>
      <c r="E3554" s="8" t="n">
        <v>0.0156025882987328</v>
      </c>
      <c r="F3554" s="4" t="n">
        <f aca="false">D3554*E3554</f>
        <v>57.87</v>
      </c>
      <c r="G3554" s="7" t="n">
        <v>479</v>
      </c>
      <c r="H3554" s="9" t="n">
        <f aca="false">IF(G3554&gt;0,D3554/G3554,"")</f>
        <v>7.74321503131524</v>
      </c>
      <c r="I3554" s="10" t="n">
        <v>46309</v>
      </c>
      <c r="J3554" s="3" t="s">
        <v>1211</v>
      </c>
      <c r="K3554" s="10" t="n">
        <v>45750</v>
      </c>
      <c r="L3554" s="3" t="s">
        <v>26</v>
      </c>
      <c r="M3554" s="7" t="n">
        <v>233</v>
      </c>
      <c r="N3554" s="8" t="n">
        <v>0.035</v>
      </c>
      <c r="O3554" s="4" t="n">
        <f aca="false">M3554*N3554</f>
        <v>8.155</v>
      </c>
    </row>
    <row r="3555" customFormat="false" ht="15" hidden="false" customHeight="false" outlineLevel="0" collapsed="false">
      <c r="A3555" s="0" t="s">
        <v>4985</v>
      </c>
      <c r="C3555" s="0" t="s">
        <v>1101</v>
      </c>
      <c r="D3555" s="7" t="n">
        <v>10</v>
      </c>
      <c r="E3555" s="8" t="n">
        <v>5.78</v>
      </c>
      <c r="F3555" s="4" t="n">
        <f aca="false">D3555*E3555</f>
        <v>57.8</v>
      </c>
      <c r="G3555" s="7" t="n">
        <v>4</v>
      </c>
      <c r="H3555" s="9" t="n">
        <f aca="false">IF(G3555&gt;0,D3555/G3555,"")</f>
        <v>2.5</v>
      </c>
      <c r="I3555" s="10" t="n">
        <v>45987</v>
      </c>
      <c r="J3555" s="3" t="s">
        <v>1580</v>
      </c>
      <c r="K3555" s="10" t="n">
        <v>45967</v>
      </c>
      <c r="L3555" s="3" t="s">
        <v>834</v>
      </c>
      <c r="M3555" s="7" t="n">
        <v>14</v>
      </c>
      <c r="N3555" s="8" t="n">
        <v>5.78</v>
      </c>
      <c r="O3555" s="4" t="n">
        <f aca="false">M3555*N3555</f>
        <v>80.92</v>
      </c>
    </row>
    <row r="3556" customFormat="false" ht="15" hidden="false" customHeight="false" outlineLevel="0" collapsed="false">
      <c r="A3556" s="0" t="s">
        <v>4986</v>
      </c>
      <c r="C3556" s="0" t="s">
        <v>34</v>
      </c>
      <c r="D3556" s="7" t="n">
        <v>4696</v>
      </c>
      <c r="E3556" s="8" t="n">
        <v>0.0122998296422487</v>
      </c>
      <c r="F3556" s="4" t="n">
        <f aca="false">D3556*E3556</f>
        <v>57.76</v>
      </c>
      <c r="G3556" s="7" t="n">
        <v>1050</v>
      </c>
      <c r="H3556" s="9" t="n">
        <f aca="false">IF(G3556&gt;0,D3556/G3556,"")</f>
        <v>4.47238095238095</v>
      </c>
      <c r="I3556" s="10" t="n">
        <v>46300</v>
      </c>
      <c r="J3556" s="3" t="s">
        <v>4632</v>
      </c>
      <c r="K3556" s="10" t="n">
        <v>45552</v>
      </c>
      <c r="L3556" s="3" t="s">
        <v>16</v>
      </c>
      <c r="M3556" s="7" t="n">
        <v>10000</v>
      </c>
      <c r="N3556" s="8" t="n">
        <v>0.0123</v>
      </c>
      <c r="O3556" s="4" t="n">
        <f aca="false">M3556*N3556</f>
        <v>123</v>
      </c>
    </row>
    <row r="3557" customFormat="false" ht="15" hidden="false" customHeight="false" outlineLevel="0" collapsed="false">
      <c r="A3557" s="0" t="s">
        <v>4987</v>
      </c>
      <c r="C3557" s="0" t="s">
        <v>33</v>
      </c>
      <c r="D3557" s="7" t="n">
        <v>92</v>
      </c>
      <c r="E3557" s="8" t="n">
        <v>0.6275</v>
      </c>
      <c r="F3557" s="4" t="n">
        <f aca="false">D3557*E3557</f>
        <v>57.73</v>
      </c>
      <c r="G3557" s="7" t="n">
        <v>92</v>
      </c>
      <c r="H3557" s="9" t="n">
        <f aca="false">IF(G3557&gt;0,D3557/G3557,"")</f>
        <v>1</v>
      </c>
      <c r="I3557" s="10" t="n">
        <v>46283</v>
      </c>
      <c r="J3557" s="3" t="s">
        <v>1070</v>
      </c>
      <c r="K3557" s="10" t="n">
        <v>46080</v>
      </c>
      <c r="L3557" s="3" t="s">
        <v>18</v>
      </c>
      <c r="M3557" s="7" t="n">
        <v>150</v>
      </c>
      <c r="N3557" s="8" t="n">
        <v>0.6276</v>
      </c>
      <c r="O3557" s="4" t="n">
        <f aca="false">M3557*N3557</f>
        <v>94.14</v>
      </c>
    </row>
    <row r="3558" customFormat="false" ht="15" hidden="false" customHeight="false" outlineLevel="0" collapsed="false">
      <c r="A3558" s="0" t="s">
        <v>4988</v>
      </c>
      <c r="C3558" s="0" t="s">
        <v>39</v>
      </c>
      <c r="D3558" s="7" t="n">
        <v>84</v>
      </c>
      <c r="E3558" s="8" t="n">
        <v>0.687142857142857</v>
      </c>
      <c r="F3558" s="4" t="n">
        <f aca="false">D3558*E3558</f>
        <v>57.72</v>
      </c>
      <c r="G3558" s="7" t="n">
        <v>45</v>
      </c>
      <c r="H3558" s="9" t="n">
        <f aca="false">IF(G3558&gt;0,D3558/G3558,"")</f>
        <v>1.86666666666667</v>
      </c>
      <c r="I3558" s="10" t="n">
        <v>45985</v>
      </c>
      <c r="J3558" s="3" t="s">
        <v>1076</v>
      </c>
      <c r="K3558" s="10" t="n">
        <v>46191</v>
      </c>
      <c r="L3558" s="3" t="s">
        <v>18</v>
      </c>
      <c r="M3558" s="7" t="n">
        <v>84</v>
      </c>
      <c r="N3558" s="8" t="n">
        <v>0.6871</v>
      </c>
      <c r="O3558" s="4" t="n">
        <f aca="false">M3558*N3558</f>
        <v>57.7164</v>
      </c>
    </row>
    <row r="3559" customFormat="false" ht="15" hidden="false" customHeight="false" outlineLevel="0" collapsed="false">
      <c r="A3559" s="0" t="s">
        <v>4989</v>
      </c>
      <c r="C3559" s="0" t="s">
        <v>40</v>
      </c>
      <c r="D3559" s="7" t="n">
        <v>50</v>
      </c>
      <c r="E3559" s="8" t="n">
        <v>1.1538</v>
      </c>
      <c r="F3559" s="4" t="n">
        <f aca="false">D3559*E3559</f>
        <v>57.69</v>
      </c>
      <c r="G3559" s="7" t="n">
        <v>30</v>
      </c>
      <c r="H3559" s="9" t="n">
        <f aca="false">IF(G3559&gt;0,D3559/G3559,"")</f>
        <v>1.66666666666667</v>
      </c>
      <c r="I3559" s="10" t="n">
        <v>46036</v>
      </c>
      <c r="J3559" s="3" t="s">
        <v>4990</v>
      </c>
      <c r="K3559" s="10" t="n">
        <v>45061</v>
      </c>
      <c r="L3559" s="3" t="s">
        <v>18</v>
      </c>
      <c r="M3559" s="7" t="n">
        <v>90</v>
      </c>
      <c r="N3559" s="8" t="n">
        <v>1.154</v>
      </c>
      <c r="O3559" s="4" t="n">
        <f aca="false">M3559*N3559</f>
        <v>103.86</v>
      </c>
    </row>
    <row r="3560" customFormat="false" ht="15" hidden="false" customHeight="false" outlineLevel="0" collapsed="false">
      <c r="A3560" s="0" t="s">
        <v>4991</v>
      </c>
      <c r="C3560" s="0" t="s">
        <v>34</v>
      </c>
      <c r="D3560" s="7" t="n">
        <v>525</v>
      </c>
      <c r="E3560" s="8" t="n">
        <v>0.109885714285714</v>
      </c>
      <c r="F3560" s="4" t="n">
        <f aca="false">D3560*E3560</f>
        <v>57.69</v>
      </c>
      <c r="G3560" s="7" t="n">
        <v>193</v>
      </c>
      <c r="H3560" s="9" t="n">
        <f aca="false">IF(G3560&gt;0,D3560/G3560,"")</f>
        <v>2.72020725388601</v>
      </c>
      <c r="I3560" s="10" t="n">
        <v>46317</v>
      </c>
      <c r="J3560" s="3" t="s">
        <v>1955</v>
      </c>
      <c r="K3560" s="10" t="n">
        <v>46268</v>
      </c>
      <c r="L3560" s="3" t="s">
        <v>16</v>
      </c>
      <c r="M3560" s="7" t="n">
        <v>500</v>
      </c>
      <c r="N3560" s="8" t="n">
        <v>0.1107</v>
      </c>
      <c r="O3560" s="4" t="n">
        <f aca="false">M3560*N3560</f>
        <v>55.35</v>
      </c>
    </row>
    <row r="3561" customFormat="false" ht="15" hidden="false" customHeight="false" outlineLevel="0" collapsed="false">
      <c r="A3561" s="0" t="s">
        <v>4992</v>
      </c>
      <c r="C3561" s="0" t="s">
        <v>777</v>
      </c>
      <c r="D3561" s="7" t="n">
        <v>870</v>
      </c>
      <c r="E3561" s="8" t="n">
        <v>0.0662988505747126</v>
      </c>
      <c r="F3561" s="4" t="n">
        <f aca="false">D3561*E3561</f>
        <v>57.68</v>
      </c>
      <c r="G3561" s="7" t="n">
        <v>30</v>
      </c>
      <c r="H3561" s="9" t="n">
        <f aca="false">IF(G3561&gt;0,D3561/G3561,"")</f>
        <v>29</v>
      </c>
      <c r="I3561" s="10" t="n">
        <v>46211</v>
      </c>
      <c r="J3561" s="3" t="s">
        <v>341</v>
      </c>
      <c r="K3561" s="10" t="n">
        <v>46078</v>
      </c>
      <c r="L3561" s="3" t="s">
        <v>15</v>
      </c>
      <c r="M3561" s="7" t="n">
        <v>900</v>
      </c>
      <c r="N3561" s="8" t="n">
        <v>0.0663</v>
      </c>
      <c r="O3561" s="4" t="n">
        <f aca="false">M3561*N3561</f>
        <v>59.67</v>
      </c>
    </row>
    <row r="3562" customFormat="false" ht="15" hidden="false" customHeight="false" outlineLevel="0" collapsed="false">
      <c r="A3562" s="0" t="s">
        <v>4993</v>
      </c>
      <c r="C3562" s="0" t="s">
        <v>37</v>
      </c>
      <c r="D3562" s="7" t="n">
        <v>4269</v>
      </c>
      <c r="E3562" s="8" t="n">
        <v>0.0134996486296557</v>
      </c>
      <c r="F3562" s="4" t="n">
        <f aca="false">D3562*E3562</f>
        <v>57.63</v>
      </c>
      <c r="G3562" s="7" t="n">
        <v>450</v>
      </c>
      <c r="H3562" s="9" t="n">
        <f aca="false">IF(G3562&gt;0,D3562/G3562,"")</f>
        <v>9.48666666666667</v>
      </c>
      <c r="I3562" s="10" t="n">
        <v>46304</v>
      </c>
      <c r="J3562" s="3" t="s">
        <v>4994</v>
      </c>
      <c r="K3562" s="10" t="n">
        <v>44811</v>
      </c>
      <c r="L3562" s="3" t="s">
        <v>19</v>
      </c>
      <c r="M3562" s="7" t="n">
        <v>4969</v>
      </c>
      <c r="N3562" s="8" t="n">
        <v>0</v>
      </c>
      <c r="O3562" s="4" t="n">
        <v>0</v>
      </c>
    </row>
    <row r="3563" customFormat="false" ht="15" hidden="false" customHeight="false" outlineLevel="0" collapsed="false">
      <c r="A3563" s="0" t="s">
        <v>4995</v>
      </c>
      <c r="C3563" s="0" t="s">
        <v>40</v>
      </c>
      <c r="D3563" s="7" t="n">
        <v>2057</v>
      </c>
      <c r="E3563" s="8" t="n">
        <v>0.027997083130773</v>
      </c>
      <c r="F3563" s="4" t="n">
        <f aca="false">D3563*E3563</f>
        <v>57.59</v>
      </c>
      <c r="G3563" s="7" t="n">
        <v>839</v>
      </c>
      <c r="H3563" s="9" t="n">
        <f aca="false">IF(G3563&gt;0,D3563/G3563,"")</f>
        <v>2.45172824791418</v>
      </c>
      <c r="I3563" s="10" t="n">
        <v>46266</v>
      </c>
      <c r="J3563" s="3" t="s">
        <v>4996</v>
      </c>
      <c r="K3563" s="10" t="n">
        <v>45483</v>
      </c>
      <c r="L3563" s="3" t="s">
        <v>18</v>
      </c>
      <c r="M3563" s="7" t="n">
        <v>3600</v>
      </c>
      <c r="N3563" s="8" t="n">
        <v>0.028</v>
      </c>
      <c r="O3563" s="4" t="n">
        <f aca="false">M3563*N3563</f>
        <v>100.8</v>
      </c>
    </row>
    <row r="3564" customFormat="false" ht="15" hidden="false" customHeight="false" outlineLevel="0" collapsed="false">
      <c r="A3564" s="0" t="s">
        <v>4997</v>
      </c>
      <c r="C3564" s="0" t="s">
        <v>31</v>
      </c>
      <c r="D3564" s="7" t="n">
        <v>2989</v>
      </c>
      <c r="E3564" s="8" t="n">
        <v>0.0192639678822349</v>
      </c>
      <c r="F3564" s="4" t="n">
        <f aca="false">D3564*E3564</f>
        <v>57.58</v>
      </c>
      <c r="G3564" s="7" t="n">
        <v>154</v>
      </c>
      <c r="H3564" s="9" t="n">
        <f aca="false">IF(G3564&gt;0,D3564/G3564,"")</f>
        <v>19.4090909090909</v>
      </c>
      <c r="I3564" s="10" t="n">
        <v>46147</v>
      </c>
      <c r="K3564" s="10"/>
      <c r="M3564" s="7"/>
      <c r="N3564" s="8"/>
      <c r="O3564" s="4"/>
    </row>
    <row r="3565" customFormat="false" ht="15" hidden="false" customHeight="false" outlineLevel="0" collapsed="false">
      <c r="A3565" s="0" t="s">
        <v>4998</v>
      </c>
      <c r="C3565" s="0" t="s">
        <v>979</v>
      </c>
      <c r="D3565" s="7" t="n">
        <v>3197</v>
      </c>
      <c r="E3565" s="8" t="n">
        <v>0.0180012511729747</v>
      </c>
      <c r="F3565" s="4" t="n">
        <f aca="false">D3565*E3565</f>
        <v>57.55</v>
      </c>
      <c r="G3565" s="7" t="n">
        <v>225</v>
      </c>
      <c r="H3565" s="9" t="n">
        <f aca="false">IF(G3565&gt;0,D3565/G3565,"")</f>
        <v>14.2088888888889</v>
      </c>
      <c r="I3565" s="10" t="n">
        <v>46093</v>
      </c>
      <c r="K3565" s="10"/>
      <c r="M3565" s="7"/>
      <c r="N3565" s="8"/>
      <c r="O3565" s="4"/>
    </row>
    <row r="3566" customFormat="false" ht="15" hidden="false" customHeight="false" outlineLevel="0" collapsed="false">
      <c r="A3566" s="0" t="s">
        <v>4999</v>
      </c>
      <c r="C3566" s="0" t="s">
        <v>1039</v>
      </c>
      <c r="D3566" s="7" t="n">
        <v>567</v>
      </c>
      <c r="E3566" s="8" t="n">
        <v>0.101499118165785</v>
      </c>
      <c r="F3566" s="4" t="n">
        <f aca="false">D3566*E3566</f>
        <v>57.55</v>
      </c>
      <c r="G3566" s="7" t="n">
        <v>100</v>
      </c>
      <c r="H3566" s="9" t="n">
        <f aca="false">IF(G3566&gt;0,D3566/G3566,"")</f>
        <v>5.67</v>
      </c>
      <c r="I3566" s="10" t="n">
        <v>46189</v>
      </c>
      <c r="J3566" s="3" t="s">
        <v>2502</v>
      </c>
      <c r="K3566" s="10" t="n">
        <v>46175</v>
      </c>
      <c r="L3566" s="3" t="s">
        <v>16</v>
      </c>
      <c r="M3566" s="7" t="n">
        <v>667</v>
      </c>
      <c r="N3566" s="8" t="n">
        <v>0.1015</v>
      </c>
      <c r="O3566" s="4" t="n">
        <f aca="false">M3566*N3566</f>
        <v>67.7005</v>
      </c>
    </row>
    <row r="3567" customFormat="false" ht="15" hidden="false" customHeight="false" outlineLevel="0" collapsed="false">
      <c r="A3567" s="0" t="s">
        <v>5000</v>
      </c>
      <c r="C3567" s="0" t="s">
        <v>41</v>
      </c>
      <c r="D3567" s="7" t="n">
        <v>164</v>
      </c>
      <c r="E3567" s="8" t="n">
        <v>0.350853658536585</v>
      </c>
      <c r="F3567" s="4" t="n">
        <f aca="false">D3567*E3567</f>
        <v>57.54</v>
      </c>
      <c r="G3567" s="7" t="n">
        <v>14</v>
      </c>
      <c r="H3567" s="9" t="n">
        <f aca="false">IF(G3567&gt;0,D3567/G3567,"")</f>
        <v>11.7142857142857</v>
      </c>
      <c r="I3567" s="10" t="n">
        <v>46223</v>
      </c>
      <c r="K3567" s="10"/>
      <c r="M3567" s="7"/>
      <c r="N3567" s="8"/>
      <c r="O3567" s="4"/>
    </row>
    <row r="3568" customFormat="false" ht="15" hidden="false" customHeight="false" outlineLevel="0" collapsed="false">
      <c r="A3568" s="0" t="s">
        <v>5001</v>
      </c>
      <c r="C3568" s="0" t="s">
        <v>34</v>
      </c>
      <c r="D3568" s="7" t="n">
        <v>5046</v>
      </c>
      <c r="E3568" s="8" t="n">
        <v>0.0113872374157749</v>
      </c>
      <c r="F3568" s="4" t="n">
        <f aca="false">D3568*E3568</f>
        <v>57.46</v>
      </c>
      <c r="G3568" s="7" t="n">
        <v>237</v>
      </c>
      <c r="H3568" s="9" t="n">
        <f aca="false">IF(G3568&gt;0,D3568/G3568,"")</f>
        <v>21.2911392405063</v>
      </c>
      <c r="I3568" s="10" t="n">
        <v>46279</v>
      </c>
      <c r="J3568" s="3" t="s">
        <v>2043</v>
      </c>
      <c r="K3568" s="10" t="n">
        <v>46104</v>
      </c>
      <c r="L3568" s="3" t="s">
        <v>16</v>
      </c>
      <c r="M3568" s="7" t="n">
        <v>5000</v>
      </c>
      <c r="N3568" s="8" t="n">
        <v>0.0114</v>
      </c>
      <c r="O3568" s="4" t="n">
        <f aca="false">M3568*N3568</f>
        <v>57</v>
      </c>
    </row>
    <row r="3569" customFormat="false" ht="15" hidden="false" customHeight="false" outlineLevel="0" collapsed="false">
      <c r="A3569" s="0" t="s">
        <v>5002</v>
      </c>
      <c r="C3569" s="0" t="s">
        <v>36</v>
      </c>
      <c r="D3569" s="7" t="n">
        <v>95</v>
      </c>
      <c r="E3569" s="8" t="n">
        <v>0.604526315789474</v>
      </c>
      <c r="F3569" s="4" t="n">
        <f aca="false">D3569*E3569</f>
        <v>57.43</v>
      </c>
      <c r="G3569" s="7" t="n">
        <v>5</v>
      </c>
      <c r="H3569" s="9" t="n">
        <f aca="false">IF(G3569&gt;0,D3569/G3569,"")</f>
        <v>19</v>
      </c>
      <c r="I3569" s="10" t="n">
        <v>46253</v>
      </c>
      <c r="K3569" s="10"/>
      <c r="M3569" s="7"/>
      <c r="N3569" s="8"/>
      <c r="O3569" s="4"/>
    </row>
    <row r="3570" customFormat="false" ht="15" hidden="false" customHeight="false" outlineLevel="0" collapsed="false">
      <c r="A3570" s="0" t="s">
        <v>5003</v>
      </c>
      <c r="C3570" s="0" t="s">
        <v>31</v>
      </c>
      <c r="D3570" s="7" t="n">
        <v>947</v>
      </c>
      <c r="E3570" s="8" t="n">
        <v>0.0606019007391764</v>
      </c>
      <c r="F3570" s="4" t="n">
        <f aca="false">D3570*E3570</f>
        <v>57.39</v>
      </c>
      <c r="G3570" s="7" t="n">
        <v>43</v>
      </c>
      <c r="H3570" s="9" t="n">
        <f aca="false">IF(G3570&gt;0,D3570/G3570,"")</f>
        <v>22.0232558139535</v>
      </c>
      <c r="I3570" s="10" t="n">
        <v>46217</v>
      </c>
      <c r="J3570" s="3" t="s">
        <v>195</v>
      </c>
      <c r="K3570" s="10" t="n">
        <v>44348</v>
      </c>
      <c r="L3570" s="3" t="s">
        <v>15</v>
      </c>
      <c r="M3570" s="7" t="n">
        <v>1250</v>
      </c>
      <c r="N3570" s="8" t="n">
        <v>0.0606</v>
      </c>
      <c r="O3570" s="4" t="n">
        <f aca="false">M3570*N3570</f>
        <v>75.75</v>
      </c>
    </row>
    <row r="3571" customFormat="false" ht="15" hidden="false" customHeight="false" outlineLevel="0" collapsed="false">
      <c r="A3571" s="0" t="s">
        <v>5004</v>
      </c>
      <c r="C3571" s="0" t="s">
        <v>40</v>
      </c>
      <c r="D3571" s="7" t="n">
        <v>6760</v>
      </c>
      <c r="E3571" s="8" t="n">
        <v>0.00847041420118343</v>
      </c>
      <c r="F3571" s="4" t="n">
        <f aca="false">D3571*E3571</f>
        <v>57.26</v>
      </c>
      <c r="G3571" s="7" t="n">
        <v>361</v>
      </c>
      <c r="H3571" s="9" t="n">
        <f aca="false">IF(G3571&gt;0,D3571/G3571,"")</f>
        <v>18.7257617728532</v>
      </c>
      <c r="I3571" s="10" t="n">
        <v>46182</v>
      </c>
      <c r="J3571" s="3" t="s">
        <v>1912</v>
      </c>
      <c r="K3571" s="10" t="n">
        <v>44320</v>
      </c>
      <c r="L3571" s="3" t="s">
        <v>15</v>
      </c>
      <c r="M3571" s="7" t="n">
        <v>7760</v>
      </c>
      <c r="N3571" s="8" t="n">
        <v>0.00847</v>
      </c>
      <c r="O3571" s="4" t="n">
        <f aca="false">M3571*N3571</f>
        <v>65.7272</v>
      </c>
    </row>
    <row r="3572" customFormat="false" ht="15" hidden="false" customHeight="false" outlineLevel="0" collapsed="false">
      <c r="A3572" s="0" t="s">
        <v>5005</v>
      </c>
      <c r="C3572" s="0" t="s">
        <v>31</v>
      </c>
      <c r="D3572" s="7" t="n">
        <v>2863</v>
      </c>
      <c r="E3572" s="8" t="n">
        <v>0.02</v>
      </c>
      <c r="F3572" s="4" t="n">
        <f aca="false">D3572*E3572</f>
        <v>57.26</v>
      </c>
      <c r="G3572" s="7" t="n">
        <v>189</v>
      </c>
      <c r="H3572" s="9" t="n">
        <f aca="false">IF(G3572&gt;0,D3572/G3572,"")</f>
        <v>15.1481481481481</v>
      </c>
      <c r="I3572" s="10" t="n">
        <v>46273</v>
      </c>
      <c r="K3572" s="10"/>
      <c r="M3572" s="7"/>
      <c r="N3572" s="8"/>
      <c r="O3572" s="4"/>
    </row>
    <row r="3573" customFormat="false" ht="15" hidden="false" customHeight="false" outlineLevel="0" collapsed="false">
      <c r="A3573" s="0" t="s">
        <v>5006</v>
      </c>
      <c r="C3573" s="0" t="s">
        <v>41</v>
      </c>
      <c r="D3573" s="7" t="n">
        <v>2334</v>
      </c>
      <c r="E3573" s="8" t="n">
        <v>0.0245201371036847</v>
      </c>
      <c r="F3573" s="4" t="n">
        <f aca="false">D3573*E3573</f>
        <v>57.23</v>
      </c>
      <c r="G3573" s="7" t="n">
        <v>110</v>
      </c>
      <c r="H3573" s="9" t="n">
        <f aca="false">IF(G3573&gt;0,D3573/G3573,"")</f>
        <v>21.2181818181818</v>
      </c>
      <c r="I3573" s="10" t="n">
        <v>46174</v>
      </c>
      <c r="J3573" s="3" t="s">
        <v>5007</v>
      </c>
      <c r="K3573" s="10" t="n">
        <v>44361</v>
      </c>
      <c r="L3573" s="3" t="s">
        <v>936</v>
      </c>
      <c r="M3573" s="7" t="n">
        <v>250</v>
      </c>
      <c r="N3573" s="8" t="n">
        <v>1.0936</v>
      </c>
      <c r="O3573" s="4" t="n">
        <f aca="false">M3573*N3573</f>
        <v>273.4</v>
      </c>
    </row>
    <row r="3574" customFormat="false" ht="15" hidden="false" customHeight="false" outlineLevel="0" collapsed="false">
      <c r="A3574" s="0" t="s">
        <v>5008</v>
      </c>
      <c r="C3574" s="0" t="s">
        <v>979</v>
      </c>
      <c r="D3574" s="7" t="n">
        <v>99</v>
      </c>
      <c r="E3574" s="8" t="n">
        <v>0.577979797979798</v>
      </c>
      <c r="F3574" s="4" t="n">
        <f aca="false">D3574*E3574</f>
        <v>57.22</v>
      </c>
      <c r="G3574" s="7" t="n">
        <v>57</v>
      </c>
      <c r="H3574" s="9" t="n">
        <f aca="false">IF(G3574&gt;0,D3574/G3574,"")</f>
        <v>1.73684210526316</v>
      </c>
      <c r="I3574" s="10" t="n">
        <v>46308</v>
      </c>
      <c r="J3574" s="3" t="s">
        <v>5009</v>
      </c>
      <c r="K3574" s="10" t="n">
        <v>45098</v>
      </c>
      <c r="L3574" s="3" t="s">
        <v>18</v>
      </c>
      <c r="M3574" s="7" t="n">
        <v>260</v>
      </c>
      <c r="N3574" s="8" t="n">
        <v>0.578</v>
      </c>
      <c r="O3574" s="4" t="n">
        <f aca="false">M3574*N3574</f>
        <v>150.28</v>
      </c>
    </row>
    <row r="3575" customFormat="false" ht="15" hidden="false" customHeight="false" outlineLevel="0" collapsed="false">
      <c r="A3575" s="0" t="s">
        <v>5010</v>
      </c>
      <c r="C3575" s="0" t="s">
        <v>41</v>
      </c>
      <c r="D3575" s="7" t="n">
        <v>5145</v>
      </c>
      <c r="E3575" s="8" t="n">
        <v>0.01111175898931</v>
      </c>
      <c r="F3575" s="4" t="n">
        <f aca="false">D3575*E3575</f>
        <v>57.17</v>
      </c>
      <c r="G3575" s="7" t="n">
        <v>10</v>
      </c>
      <c r="H3575" s="9" t="n">
        <f aca="false">IF(G3575&gt;0,D3575/G3575,"")</f>
        <v>514.5</v>
      </c>
      <c r="I3575" s="10" t="n">
        <v>46076</v>
      </c>
      <c r="K3575" s="10"/>
      <c r="M3575" s="7"/>
      <c r="N3575" s="8"/>
      <c r="O3575" s="4"/>
    </row>
    <row r="3576" customFormat="false" ht="15" hidden="false" customHeight="false" outlineLevel="0" collapsed="false">
      <c r="A3576" s="0" t="s">
        <v>5011</v>
      </c>
      <c r="C3576" s="0" t="s">
        <v>34</v>
      </c>
      <c r="D3576" s="7" t="n">
        <v>2625</v>
      </c>
      <c r="E3576" s="8" t="n">
        <v>0.0217752380952381</v>
      </c>
      <c r="F3576" s="4" t="n">
        <f aca="false">D3576*E3576</f>
        <v>57.16</v>
      </c>
      <c r="G3576" s="7" t="n">
        <v>611</v>
      </c>
      <c r="H3576" s="9" t="n">
        <f aca="false">IF(G3576&gt;0,D3576/G3576,"")</f>
        <v>4.2962356792144</v>
      </c>
      <c r="I3576" s="10" t="n">
        <v>46308</v>
      </c>
      <c r="J3576" s="3" t="s">
        <v>178</v>
      </c>
      <c r="K3576" s="10" t="n">
        <v>44301</v>
      </c>
      <c r="L3576" s="3" t="s">
        <v>15</v>
      </c>
      <c r="M3576" s="7" t="n">
        <v>5240</v>
      </c>
      <c r="N3576" s="8" t="n">
        <v>0.02178</v>
      </c>
      <c r="O3576" s="4" t="n">
        <f aca="false">M3576*N3576</f>
        <v>114.1272</v>
      </c>
    </row>
    <row r="3577" customFormat="false" ht="15" hidden="false" customHeight="false" outlineLevel="0" collapsed="false">
      <c r="A3577" s="0" t="s">
        <v>5012</v>
      </c>
      <c r="C3577" s="0" t="s">
        <v>370</v>
      </c>
      <c r="D3577" s="7" t="n">
        <v>664</v>
      </c>
      <c r="E3577" s="8" t="n">
        <v>0.0860090361445783</v>
      </c>
      <c r="F3577" s="4" t="n">
        <f aca="false">D3577*E3577</f>
        <v>57.11</v>
      </c>
      <c r="G3577" s="7" t="n">
        <v>284</v>
      </c>
      <c r="H3577" s="9" t="n">
        <f aca="false">IF(G3577&gt;0,D3577/G3577,"")</f>
        <v>2.33802816901408</v>
      </c>
      <c r="I3577" s="10" t="n">
        <v>46286</v>
      </c>
      <c r="J3577" s="3" t="s">
        <v>3875</v>
      </c>
      <c r="K3577" s="10" t="n">
        <v>45629</v>
      </c>
      <c r="L3577" s="3" t="s">
        <v>21</v>
      </c>
      <c r="M3577" s="7" t="n">
        <v>1200</v>
      </c>
      <c r="N3577" s="8" t="n">
        <v>0.086</v>
      </c>
      <c r="O3577" s="4" t="n">
        <f aca="false">M3577*N3577</f>
        <v>103.2</v>
      </c>
    </row>
    <row r="3578" customFormat="false" ht="15" hidden="false" customHeight="false" outlineLevel="0" collapsed="false">
      <c r="A3578" s="0" t="s">
        <v>5013</v>
      </c>
      <c r="C3578" s="0" t="s">
        <v>33</v>
      </c>
      <c r="D3578" s="7" t="n">
        <v>920</v>
      </c>
      <c r="E3578" s="8" t="n">
        <v>0.062</v>
      </c>
      <c r="F3578" s="4" t="n">
        <f aca="false">D3578*E3578</f>
        <v>57.04</v>
      </c>
      <c r="G3578" s="7" t="n">
        <v>15</v>
      </c>
      <c r="H3578" s="9" t="n">
        <f aca="false">IF(G3578&gt;0,D3578/G3578,"")</f>
        <v>61.3333333333333</v>
      </c>
      <c r="I3578" s="10" t="n">
        <v>46104</v>
      </c>
      <c r="J3578" s="3" t="s">
        <v>4912</v>
      </c>
      <c r="K3578" s="10" t="n">
        <v>44462</v>
      </c>
      <c r="L3578" s="3" t="s">
        <v>18</v>
      </c>
      <c r="M3578" s="7" t="n">
        <v>1600</v>
      </c>
      <c r="N3578" s="8" t="n">
        <v>0.062</v>
      </c>
      <c r="O3578" s="4" t="n">
        <f aca="false">M3578*N3578</f>
        <v>99.2</v>
      </c>
    </row>
    <row r="3579" customFormat="false" ht="15" hidden="false" customHeight="false" outlineLevel="0" collapsed="false">
      <c r="A3579" s="0" t="s">
        <v>5014</v>
      </c>
      <c r="C3579" s="0" t="s">
        <v>340</v>
      </c>
      <c r="D3579" s="7" t="n">
        <v>240</v>
      </c>
      <c r="E3579" s="8" t="n">
        <v>0.237333333333333</v>
      </c>
      <c r="F3579" s="4" t="n">
        <f aca="false">D3579*E3579</f>
        <v>56.96</v>
      </c>
      <c r="G3579" s="7" t="n">
        <v>10</v>
      </c>
      <c r="H3579" s="9" t="n">
        <f aca="false">IF(G3579&gt;0,D3579/G3579,"")</f>
        <v>24</v>
      </c>
      <c r="I3579" s="10" t="n">
        <v>46304</v>
      </c>
      <c r="J3579" s="3" t="s">
        <v>4283</v>
      </c>
      <c r="K3579" s="10" t="n">
        <v>46276</v>
      </c>
      <c r="L3579" s="3" t="s">
        <v>16</v>
      </c>
      <c r="M3579" s="7" t="n">
        <v>250</v>
      </c>
      <c r="N3579" s="8" t="n">
        <v>0.2373</v>
      </c>
      <c r="O3579" s="4" t="n">
        <f aca="false">M3579*N3579</f>
        <v>59.325</v>
      </c>
    </row>
    <row r="3580" customFormat="false" ht="15" hidden="false" customHeight="false" outlineLevel="0" collapsed="false">
      <c r="A3580" s="0" t="s">
        <v>5015</v>
      </c>
      <c r="C3580" s="0" t="s">
        <v>4363</v>
      </c>
      <c r="D3580" s="7" t="n">
        <v>6</v>
      </c>
      <c r="E3580" s="8" t="n">
        <v>9.49</v>
      </c>
      <c r="F3580" s="4" t="n">
        <f aca="false">D3580*E3580</f>
        <v>56.94</v>
      </c>
      <c r="G3580" s="7" t="n">
        <v>1</v>
      </c>
      <c r="H3580" s="9" t="n">
        <f aca="false">IF(G3580&gt;0,D3580/G3580,"")</f>
        <v>6</v>
      </c>
      <c r="I3580" s="10" t="n">
        <v>46195</v>
      </c>
      <c r="J3580" s="3" t="s">
        <v>5016</v>
      </c>
      <c r="K3580" s="10" t="n">
        <v>45740</v>
      </c>
      <c r="L3580" s="3" t="s">
        <v>4365</v>
      </c>
      <c r="M3580" s="7" t="n">
        <v>5</v>
      </c>
      <c r="N3580" s="8" t="n">
        <v>9.49</v>
      </c>
      <c r="O3580" s="4" t="n">
        <f aca="false">M3580*N3580</f>
        <v>47.45</v>
      </c>
    </row>
    <row r="3581" customFormat="false" ht="15" hidden="false" customHeight="false" outlineLevel="0" collapsed="false">
      <c r="A3581" s="0" t="s">
        <v>5017</v>
      </c>
      <c r="C3581" s="0" t="s">
        <v>777</v>
      </c>
      <c r="D3581" s="7" t="n">
        <v>1185</v>
      </c>
      <c r="E3581" s="8" t="n">
        <v>0.048042194092827</v>
      </c>
      <c r="F3581" s="4" t="n">
        <f aca="false">D3581*E3581</f>
        <v>56.93</v>
      </c>
      <c r="G3581" s="7" t="n">
        <v>15</v>
      </c>
      <c r="H3581" s="9" t="n">
        <f aca="false">IF(G3581&gt;0,D3581/G3581,"")</f>
        <v>79</v>
      </c>
      <c r="I3581" s="10" t="n">
        <v>46168</v>
      </c>
      <c r="J3581" s="3" t="s">
        <v>341</v>
      </c>
      <c r="K3581" s="10" t="n">
        <v>46078</v>
      </c>
      <c r="L3581" s="3" t="s">
        <v>15</v>
      </c>
      <c r="M3581" s="7" t="n">
        <v>1200</v>
      </c>
      <c r="N3581" s="8" t="n">
        <v>0.04804</v>
      </c>
      <c r="O3581" s="4" t="n">
        <f aca="false">M3581*N3581</f>
        <v>57.648</v>
      </c>
    </row>
    <row r="3582" customFormat="false" ht="15" hidden="false" customHeight="false" outlineLevel="0" collapsed="false">
      <c r="A3582" s="0" t="s">
        <v>5018</v>
      </c>
      <c r="C3582" s="0" t="s">
        <v>2569</v>
      </c>
      <c r="D3582" s="7" t="n">
        <v>95</v>
      </c>
      <c r="E3582" s="8" t="n">
        <v>0.599157894736842</v>
      </c>
      <c r="F3582" s="4" t="n">
        <f aca="false">D3582*E3582</f>
        <v>56.92</v>
      </c>
      <c r="G3582" s="7" t="n">
        <v>12</v>
      </c>
      <c r="H3582" s="9" t="n">
        <f aca="false">IF(G3582&gt;0,D3582/G3582,"")</f>
        <v>7.91666666666667</v>
      </c>
      <c r="I3582" s="10" t="n">
        <v>46104</v>
      </c>
      <c r="J3582" s="3" t="s">
        <v>5019</v>
      </c>
      <c r="K3582" s="10" t="n">
        <v>45041</v>
      </c>
      <c r="L3582" s="3" t="s">
        <v>2571</v>
      </c>
      <c r="M3582" s="7" t="n">
        <v>125</v>
      </c>
      <c r="N3582" s="8" t="n">
        <v>0.607</v>
      </c>
      <c r="O3582" s="4" t="n">
        <f aca="false">M3582*N3582</f>
        <v>75.875</v>
      </c>
    </row>
    <row r="3583" customFormat="false" ht="15" hidden="false" customHeight="false" outlineLevel="0" collapsed="false">
      <c r="A3583" s="0" t="s">
        <v>5020</v>
      </c>
      <c r="C3583" s="0" t="s">
        <v>979</v>
      </c>
      <c r="D3583" s="7" t="n">
        <v>433</v>
      </c>
      <c r="E3583" s="8" t="n">
        <v>0.131408775981524</v>
      </c>
      <c r="F3583" s="4" t="n">
        <f aca="false">D3583*E3583</f>
        <v>56.9</v>
      </c>
      <c r="G3583" s="7" t="n">
        <v>105</v>
      </c>
      <c r="H3583" s="9" t="n">
        <f aca="false">IF(G3583&gt;0,D3583/G3583,"")</f>
        <v>4.12380952380952</v>
      </c>
      <c r="I3583" s="10" t="n">
        <v>46220</v>
      </c>
      <c r="J3583" s="3" t="s">
        <v>4471</v>
      </c>
      <c r="K3583" s="10" t="n">
        <v>45867</v>
      </c>
      <c r="L3583" s="3" t="s">
        <v>18</v>
      </c>
      <c r="M3583" s="7" t="n">
        <v>760</v>
      </c>
      <c r="N3583" s="8" t="n">
        <v>0.1314</v>
      </c>
      <c r="O3583" s="4" t="n">
        <f aca="false">M3583*N3583</f>
        <v>99.864</v>
      </c>
    </row>
    <row r="3584" customFormat="false" ht="15" hidden="false" customHeight="false" outlineLevel="0" collapsed="false">
      <c r="A3584" s="0" t="s">
        <v>5021</v>
      </c>
      <c r="C3584" s="0" t="s">
        <v>118</v>
      </c>
      <c r="D3584" s="7" t="n">
        <v>308</v>
      </c>
      <c r="E3584" s="8" t="n">
        <v>0.184707792207792</v>
      </c>
      <c r="F3584" s="4" t="n">
        <f aca="false">D3584*E3584</f>
        <v>56.89</v>
      </c>
      <c r="G3584" s="7" t="n">
        <v>198</v>
      </c>
      <c r="H3584" s="9" t="n">
        <f aca="false">IF(G3584&gt;0,D3584/G3584,"")</f>
        <v>1.55555555555556</v>
      </c>
      <c r="I3584" s="10" t="n">
        <v>46261</v>
      </c>
      <c r="J3584" s="3" t="s">
        <v>703</v>
      </c>
      <c r="K3584" s="10" t="n">
        <v>46155</v>
      </c>
      <c r="L3584" s="3" t="s">
        <v>14</v>
      </c>
      <c r="M3584" s="7" t="n">
        <v>36</v>
      </c>
      <c r="N3584" s="8" t="n">
        <v>0.6761</v>
      </c>
      <c r="O3584" s="4" t="n">
        <f aca="false">M3584*N3584</f>
        <v>24.3396</v>
      </c>
    </row>
    <row r="3585" customFormat="false" ht="15" hidden="false" customHeight="false" outlineLevel="0" collapsed="false">
      <c r="A3585" s="0" t="s">
        <v>5022</v>
      </c>
      <c r="C3585" s="0" t="s">
        <v>441</v>
      </c>
      <c r="D3585" s="7" t="n">
        <v>3</v>
      </c>
      <c r="E3585" s="8" t="n">
        <v>18.96</v>
      </c>
      <c r="F3585" s="4" t="n">
        <f aca="false">D3585*E3585</f>
        <v>56.88</v>
      </c>
      <c r="G3585" s="7" t="n">
        <v>2</v>
      </c>
      <c r="H3585" s="9" t="n">
        <f aca="false">IF(G3585&gt;0,D3585/G3585,"")</f>
        <v>1.5</v>
      </c>
      <c r="I3585" s="10" t="n">
        <v>46034</v>
      </c>
      <c r="J3585" s="3" t="s">
        <v>5023</v>
      </c>
      <c r="K3585" s="10" t="n">
        <v>46009</v>
      </c>
      <c r="L3585" s="3" t="s">
        <v>313</v>
      </c>
      <c r="M3585" s="7" t="n">
        <v>5</v>
      </c>
      <c r="N3585" s="8" t="n">
        <v>18.96</v>
      </c>
      <c r="O3585" s="4" t="n">
        <f aca="false">M3585*N3585</f>
        <v>94.8</v>
      </c>
    </row>
    <row r="3586" customFormat="false" ht="15" hidden="false" customHeight="false" outlineLevel="0" collapsed="false">
      <c r="A3586" s="0" t="s">
        <v>5024</v>
      </c>
      <c r="C3586" s="0" t="s">
        <v>715</v>
      </c>
      <c r="D3586" s="7" t="n">
        <v>3120</v>
      </c>
      <c r="E3586" s="8" t="n">
        <v>0.018198717948718</v>
      </c>
      <c r="F3586" s="4" t="n">
        <f aca="false">D3586*E3586</f>
        <v>56.78</v>
      </c>
      <c r="G3586" s="7" t="n">
        <v>200</v>
      </c>
      <c r="H3586" s="9" t="n">
        <f aca="false">IF(G3586&gt;0,D3586/G3586,"")</f>
        <v>15.6</v>
      </c>
      <c r="I3586" s="10" t="n">
        <v>46119</v>
      </c>
      <c r="J3586" s="3" t="s">
        <v>2385</v>
      </c>
      <c r="K3586" s="10" t="n">
        <v>45629</v>
      </c>
      <c r="L3586" s="3" t="s">
        <v>16</v>
      </c>
      <c r="M3586" s="7" t="n">
        <v>3570</v>
      </c>
      <c r="N3586" s="8" t="n">
        <v>0.0178</v>
      </c>
      <c r="O3586" s="4" t="n">
        <f aca="false">M3586*N3586</f>
        <v>63.546</v>
      </c>
    </row>
    <row r="3587" customFormat="false" ht="15" hidden="false" customHeight="false" outlineLevel="0" collapsed="false">
      <c r="A3587" s="0" t="s">
        <v>5025</v>
      </c>
      <c r="C3587" s="0" t="s">
        <v>40</v>
      </c>
      <c r="D3587" s="7" t="n">
        <v>5135</v>
      </c>
      <c r="E3587" s="8" t="n">
        <v>0.0110555014605648</v>
      </c>
      <c r="F3587" s="4" t="n">
        <f aca="false">D3587*E3587</f>
        <v>56.77</v>
      </c>
      <c r="G3587" s="7" t="n">
        <v>2100</v>
      </c>
      <c r="H3587" s="9" t="n">
        <f aca="false">IF(G3587&gt;0,D3587/G3587,"")</f>
        <v>2.4452380952381</v>
      </c>
      <c r="I3587" s="10" t="n">
        <v>46316</v>
      </c>
      <c r="J3587" s="3" t="s">
        <v>3583</v>
      </c>
      <c r="K3587" s="10" t="n">
        <v>46106</v>
      </c>
      <c r="L3587" s="3" t="s">
        <v>18</v>
      </c>
      <c r="M3587" s="7" t="n">
        <v>5000</v>
      </c>
      <c r="N3587" s="8" t="n">
        <v>0.0111</v>
      </c>
      <c r="O3587" s="4" t="n">
        <f aca="false">M3587*N3587</f>
        <v>55.5</v>
      </c>
    </row>
    <row r="3588" customFormat="false" ht="15" hidden="false" customHeight="false" outlineLevel="0" collapsed="false">
      <c r="A3588" s="0" t="s">
        <v>5026</v>
      </c>
      <c r="C3588" s="0" t="s">
        <v>398</v>
      </c>
      <c r="D3588" s="7" t="n">
        <v>2151</v>
      </c>
      <c r="E3588" s="8" t="n">
        <v>0.026373779637378</v>
      </c>
      <c r="F3588" s="4" t="n">
        <f aca="false">D3588*E3588</f>
        <v>56.73</v>
      </c>
      <c r="G3588" s="7" t="n">
        <v>441</v>
      </c>
      <c r="H3588" s="9" t="n">
        <f aca="false">IF(G3588&gt;0,D3588/G3588,"")</f>
        <v>4.87755102040816</v>
      </c>
      <c r="I3588" s="10" t="n">
        <v>46288</v>
      </c>
      <c r="K3588" s="10"/>
      <c r="M3588" s="7"/>
      <c r="N3588" s="8"/>
      <c r="O3588" s="4"/>
    </row>
    <row r="3589" customFormat="false" ht="15" hidden="false" customHeight="false" outlineLevel="0" collapsed="false">
      <c r="A3589" s="0" t="s">
        <v>5027</v>
      </c>
      <c r="C3589" s="0" t="s">
        <v>35</v>
      </c>
      <c r="D3589" s="7" t="n">
        <v>123</v>
      </c>
      <c r="E3589" s="8" t="n">
        <v>0.460813008130081</v>
      </c>
      <c r="F3589" s="4" t="n">
        <f aca="false">D3589*E3589</f>
        <v>56.68</v>
      </c>
      <c r="G3589" s="7" t="n">
        <v>10</v>
      </c>
      <c r="H3589" s="9" t="n">
        <f aca="false">IF(G3589&gt;0,D3589/G3589,"")</f>
        <v>12.3</v>
      </c>
      <c r="I3589" s="10" t="n">
        <v>46041</v>
      </c>
      <c r="J3589" s="3" t="s">
        <v>886</v>
      </c>
      <c r="K3589" s="10" t="n">
        <v>44293</v>
      </c>
      <c r="L3589" s="3" t="s">
        <v>15</v>
      </c>
      <c r="M3589" s="7" t="n">
        <v>200</v>
      </c>
      <c r="N3589" s="8" t="n">
        <v>0.4607</v>
      </c>
      <c r="O3589" s="4" t="n">
        <f aca="false">M3589*N3589</f>
        <v>92.14</v>
      </c>
    </row>
    <row r="3590" customFormat="false" ht="15" hidden="false" customHeight="false" outlineLevel="0" collapsed="false">
      <c r="A3590" s="0" t="s">
        <v>5028</v>
      </c>
      <c r="C3590" s="0" t="s">
        <v>715</v>
      </c>
      <c r="D3590" s="7" t="n">
        <v>5050</v>
      </c>
      <c r="E3590" s="8" t="n">
        <v>0.0112178217821782</v>
      </c>
      <c r="F3590" s="4" t="n">
        <f aca="false">D3590*E3590</f>
        <v>56.65</v>
      </c>
      <c r="G3590" s="7" t="n">
        <v>60</v>
      </c>
      <c r="H3590" s="9" t="n">
        <f aca="false">IF(G3590&gt;0,D3590/G3590,"")</f>
        <v>84.1666666666667</v>
      </c>
      <c r="I3590" s="10" t="n">
        <v>46147</v>
      </c>
      <c r="J3590" s="3" t="s">
        <v>3030</v>
      </c>
      <c r="K3590" s="10" t="n">
        <v>46126</v>
      </c>
      <c r="L3590" s="3" t="s">
        <v>14</v>
      </c>
      <c r="M3590" s="7" t="n">
        <v>5000</v>
      </c>
      <c r="N3590" s="8" t="n">
        <v>0.0112</v>
      </c>
      <c r="O3590" s="4" t="n">
        <f aca="false">M3590*N3590</f>
        <v>56</v>
      </c>
    </row>
    <row r="3591" customFormat="false" ht="15" hidden="false" customHeight="false" outlineLevel="0" collapsed="false">
      <c r="A3591" s="0" t="s">
        <v>5029</v>
      </c>
      <c r="C3591" s="0" t="s">
        <v>38</v>
      </c>
      <c r="D3591" s="7" t="n">
        <v>611</v>
      </c>
      <c r="E3591" s="8" t="n">
        <v>0.0926841243862521</v>
      </c>
      <c r="F3591" s="4" t="n">
        <f aca="false">D3591*E3591</f>
        <v>56.63</v>
      </c>
      <c r="G3591" s="7" t="n">
        <v>358</v>
      </c>
      <c r="H3591" s="9" t="n">
        <f aca="false">IF(G3591&gt;0,D3591/G3591,"")</f>
        <v>1.70670391061453</v>
      </c>
      <c r="I3591" s="10" t="n">
        <v>46301</v>
      </c>
      <c r="J3591" s="3" t="s">
        <v>3625</v>
      </c>
      <c r="K3591" s="10" t="n">
        <v>45896</v>
      </c>
      <c r="L3591" s="3" t="s">
        <v>18</v>
      </c>
      <c r="M3591" s="7" t="n">
        <v>1100</v>
      </c>
      <c r="N3591" s="8" t="n">
        <v>0.0927</v>
      </c>
      <c r="O3591" s="4" t="n">
        <f aca="false">M3591*N3591</f>
        <v>101.97</v>
      </c>
    </row>
    <row r="3592" customFormat="false" ht="15" hidden="false" customHeight="false" outlineLevel="0" collapsed="false">
      <c r="A3592" s="0" t="s">
        <v>5030</v>
      </c>
      <c r="C3592" s="0" t="s">
        <v>360</v>
      </c>
      <c r="D3592" s="7" t="n">
        <v>6990</v>
      </c>
      <c r="E3592" s="8" t="n">
        <v>0.00810014306151645</v>
      </c>
      <c r="F3592" s="4" t="n">
        <f aca="false">D3592*E3592</f>
        <v>56.62</v>
      </c>
      <c r="G3592" s="7" t="n">
        <v>5833</v>
      </c>
      <c r="H3592" s="9" t="n">
        <f aca="false">IF(G3592&gt;0,D3592/G3592,"")</f>
        <v>1.1983541916681</v>
      </c>
      <c r="I3592" s="10" t="n">
        <v>46308</v>
      </c>
      <c r="J3592" s="3" t="s">
        <v>1955</v>
      </c>
      <c r="K3592" s="10" t="n">
        <v>46268</v>
      </c>
      <c r="L3592" s="3" t="s">
        <v>16</v>
      </c>
      <c r="M3592" s="7" t="n">
        <v>7015</v>
      </c>
      <c r="N3592" s="8" t="n">
        <v>0.0081</v>
      </c>
      <c r="O3592" s="4" t="n">
        <f aca="false">M3592*N3592</f>
        <v>56.8215</v>
      </c>
    </row>
    <row r="3593" customFormat="false" ht="15" hidden="false" customHeight="false" outlineLevel="0" collapsed="false">
      <c r="A3593" s="0" t="s">
        <v>5031</v>
      </c>
      <c r="C3593" s="0" t="s">
        <v>298</v>
      </c>
      <c r="D3593" s="7" t="n">
        <v>2106</v>
      </c>
      <c r="E3593" s="8" t="n">
        <v>0.0268566001899335</v>
      </c>
      <c r="F3593" s="4" t="n">
        <f aca="false">D3593*E3593</f>
        <v>56.56</v>
      </c>
      <c r="G3593" s="7" t="n">
        <v>675</v>
      </c>
      <c r="H3593" s="9" t="n">
        <f aca="false">IF(G3593&gt;0,D3593/G3593,"")</f>
        <v>3.12</v>
      </c>
      <c r="I3593" s="10" t="n">
        <v>46294</v>
      </c>
      <c r="K3593" s="10"/>
      <c r="M3593" s="7"/>
      <c r="N3593" s="8"/>
      <c r="O3593" s="4"/>
    </row>
    <row r="3594" customFormat="false" ht="15" hidden="false" customHeight="false" outlineLevel="0" collapsed="false">
      <c r="A3594" s="0" t="s">
        <v>5032</v>
      </c>
      <c r="C3594" s="0" t="s">
        <v>34</v>
      </c>
      <c r="D3594" s="7" t="n">
        <v>1194</v>
      </c>
      <c r="E3594" s="8" t="n">
        <v>0.0473618090452261</v>
      </c>
      <c r="F3594" s="4" t="n">
        <f aca="false">D3594*E3594</f>
        <v>56.55</v>
      </c>
      <c r="G3594" s="7" t="n">
        <v>40</v>
      </c>
      <c r="H3594" s="9" t="n">
        <f aca="false">IF(G3594&gt;0,D3594/G3594,"")</f>
        <v>29.85</v>
      </c>
      <c r="I3594" s="10" t="n">
        <v>46090</v>
      </c>
      <c r="J3594" s="3" t="s">
        <v>3900</v>
      </c>
      <c r="K3594" s="10" t="n">
        <v>44589</v>
      </c>
      <c r="L3594" s="3" t="s">
        <v>16</v>
      </c>
      <c r="M3594" s="7" t="n">
        <v>1380</v>
      </c>
      <c r="N3594" s="8" t="n">
        <v>0.0478</v>
      </c>
      <c r="O3594" s="4" t="n">
        <v>65.4382</v>
      </c>
    </row>
    <row r="3595" customFormat="false" ht="15" hidden="false" customHeight="false" outlineLevel="0" collapsed="false">
      <c r="A3595" s="0" t="s">
        <v>5033</v>
      </c>
      <c r="C3595" s="0" t="s">
        <v>61</v>
      </c>
      <c r="D3595" s="7" t="n">
        <v>163</v>
      </c>
      <c r="E3595" s="8" t="n">
        <v>0.346564417177914</v>
      </c>
      <c r="F3595" s="4" t="n">
        <f aca="false">D3595*E3595</f>
        <v>56.49</v>
      </c>
      <c r="G3595" s="7" t="n">
        <v>151</v>
      </c>
      <c r="H3595" s="9" t="n">
        <f aca="false">IF(G3595&gt;0,D3595/G3595,"")</f>
        <v>1.0794701986755</v>
      </c>
      <c r="I3595" s="10" t="n">
        <v>46280</v>
      </c>
      <c r="J3595" s="3" t="s">
        <v>538</v>
      </c>
      <c r="K3595" s="10" t="n">
        <v>45832</v>
      </c>
      <c r="L3595" s="3" t="s">
        <v>14</v>
      </c>
      <c r="M3595" s="7" t="n">
        <v>1200</v>
      </c>
      <c r="N3595" s="8" t="n">
        <v>0.3466</v>
      </c>
      <c r="O3595" s="4" t="n">
        <f aca="false">M3595*N3595</f>
        <v>415.92</v>
      </c>
    </row>
    <row r="3596" customFormat="false" ht="15" hidden="false" customHeight="false" outlineLevel="0" collapsed="false">
      <c r="A3596" s="0" t="s">
        <v>5034</v>
      </c>
      <c r="C3596" s="0" t="s">
        <v>79</v>
      </c>
      <c r="D3596" s="7" t="n">
        <v>40</v>
      </c>
      <c r="E3596" s="8" t="n">
        <v>1.41175</v>
      </c>
      <c r="F3596" s="4" t="n">
        <f aca="false">D3596*E3596</f>
        <v>56.47</v>
      </c>
      <c r="G3596" s="7" t="n">
        <v>10</v>
      </c>
      <c r="H3596" s="9" t="n">
        <f aca="false">IF(G3596&gt;0,D3596/G3596,"")</f>
        <v>4</v>
      </c>
      <c r="I3596" s="10" t="n">
        <v>46308</v>
      </c>
      <c r="J3596" s="3" t="s">
        <v>2392</v>
      </c>
      <c r="K3596" s="10" t="n">
        <v>46274</v>
      </c>
      <c r="L3596" s="3" t="s">
        <v>16</v>
      </c>
      <c r="M3596" s="7" t="n">
        <v>50</v>
      </c>
      <c r="N3596" s="8" t="n">
        <v>1.4117</v>
      </c>
      <c r="O3596" s="4" t="n">
        <f aca="false">M3596*N3596</f>
        <v>70.585</v>
      </c>
    </row>
    <row r="3597" customFormat="false" ht="15" hidden="false" customHeight="false" outlineLevel="0" collapsed="false">
      <c r="A3597" s="0" t="s">
        <v>5035</v>
      </c>
      <c r="C3597" s="0" t="s">
        <v>34</v>
      </c>
      <c r="D3597" s="7" t="n">
        <v>233</v>
      </c>
      <c r="E3597" s="8" t="n">
        <v>0.242231759656652</v>
      </c>
      <c r="F3597" s="4" t="n">
        <f aca="false">D3597*E3597</f>
        <v>56.44</v>
      </c>
      <c r="G3597" s="7" t="n">
        <v>50</v>
      </c>
      <c r="H3597" s="9" t="n">
        <f aca="false">IF(G3597&gt;0,D3597/G3597,"")</f>
        <v>4.66</v>
      </c>
      <c r="I3597" s="10" t="n">
        <v>46087</v>
      </c>
      <c r="J3597" s="3" t="s">
        <v>648</v>
      </c>
      <c r="K3597" s="10" t="n">
        <v>44784</v>
      </c>
      <c r="L3597" s="3" t="s">
        <v>15</v>
      </c>
      <c r="M3597" s="7" t="n">
        <v>290</v>
      </c>
      <c r="N3597" s="8" t="n">
        <v>0.24221</v>
      </c>
      <c r="O3597" s="4" t="n">
        <f aca="false">M3597*N3597</f>
        <v>70.2409</v>
      </c>
    </row>
    <row r="3598" customFormat="false" ht="15" hidden="false" customHeight="false" outlineLevel="0" collapsed="false">
      <c r="A3598" s="0" t="s">
        <v>5036</v>
      </c>
      <c r="C3598" s="0" t="s">
        <v>31</v>
      </c>
      <c r="D3598" s="7" t="n">
        <v>3135</v>
      </c>
      <c r="E3598" s="8" t="n">
        <v>0.0179968102073365</v>
      </c>
      <c r="F3598" s="4" t="n">
        <f aca="false">D3598*E3598</f>
        <v>56.42</v>
      </c>
      <c r="G3598" s="7" t="n">
        <v>935</v>
      </c>
      <c r="H3598" s="9" t="n">
        <f aca="false">IF(G3598&gt;0,D3598/G3598,"")</f>
        <v>3.35294117647059</v>
      </c>
      <c r="I3598" s="10" t="n">
        <v>46238</v>
      </c>
      <c r="J3598" s="3" t="s">
        <v>2385</v>
      </c>
      <c r="K3598" s="10" t="n">
        <v>45629</v>
      </c>
      <c r="L3598" s="3" t="s">
        <v>16</v>
      </c>
      <c r="M3598" s="7" t="n">
        <v>4100</v>
      </c>
      <c r="N3598" s="8" t="n">
        <v>0.018</v>
      </c>
      <c r="O3598" s="4" t="n">
        <f aca="false">M3598*N3598</f>
        <v>73.8</v>
      </c>
    </row>
    <row r="3599" customFormat="false" ht="15" hidden="false" customHeight="false" outlineLevel="0" collapsed="false">
      <c r="A3599" s="0" t="s">
        <v>5037</v>
      </c>
      <c r="C3599" s="0" t="s">
        <v>298</v>
      </c>
      <c r="D3599" s="7" t="n">
        <v>30</v>
      </c>
      <c r="E3599" s="8" t="n">
        <v>1.87966666666667</v>
      </c>
      <c r="F3599" s="4" t="n">
        <f aca="false">D3599*E3599</f>
        <v>56.39</v>
      </c>
      <c r="G3599" s="7" t="n">
        <v>5</v>
      </c>
      <c r="H3599" s="9" t="n">
        <f aca="false">IF(G3599&gt;0,D3599/G3599,"")</f>
        <v>6</v>
      </c>
      <c r="I3599" s="10" t="n">
        <v>46133</v>
      </c>
      <c r="J3599" s="3" t="s">
        <v>821</v>
      </c>
      <c r="K3599" s="10" t="n">
        <v>45364</v>
      </c>
      <c r="L3599" s="3" t="s">
        <v>14</v>
      </c>
      <c r="M3599" s="7" t="n">
        <v>50</v>
      </c>
      <c r="N3599" s="8" t="n">
        <v>1.8798</v>
      </c>
      <c r="O3599" s="4" t="n">
        <f aca="false">M3599*N3599</f>
        <v>93.99</v>
      </c>
    </row>
    <row r="3600" customFormat="false" ht="15" hidden="false" customHeight="false" outlineLevel="0" collapsed="false">
      <c r="A3600" s="0" t="s">
        <v>5038</v>
      </c>
      <c r="C3600" s="0" t="s">
        <v>118</v>
      </c>
      <c r="D3600" s="7" t="n">
        <v>483</v>
      </c>
      <c r="E3600" s="8" t="n">
        <v>0.116728778467909</v>
      </c>
      <c r="F3600" s="4" t="n">
        <f aca="false">D3600*E3600</f>
        <v>56.38</v>
      </c>
      <c r="G3600" s="7" t="n">
        <v>132</v>
      </c>
      <c r="H3600" s="9" t="n">
        <f aca="false">IF(G3600&gt;0,D3600/G3600,"")</f>
        <v>3.65909090909091</v>
      </c>
      <c r="I3600" s="10" t="n">
        <v>46190</v>
      </c>
      <c r="J3600" s="3" t="s">
        <v>5039</v>
      </c>
      <c r="K3600" s="10" t="n">
        <v>45972</v>
      </c>
      <c r="L3600" s="3" t="s">
        <v>19</v>
      </c>
      <c r="M3600" s="7" t="n">
        <v>100</v>
      </c>
      <c r="N3600" s="8" t="n">
        <v>0.4629</v>
      </c>
      <c r="O3600" s="4" t="n">
        <f aca="false">M3600*N3600</f>
        <v>46.29</v>
      </c>
    </row>
    <row r="3601" customFormat="false" ht="15" hidden="false" customHeight="false" outlineLevel="0" collapsed="false">
      <c r="A3601" s="0" t="s">
        <v>5040</v>
      </c>
      <c r="C3601" s="0" t="s">
        <v>285</v>
      </c>
      <c r="D3601" s="7" t="n">
        <v>805</v>
      </c>
      <c r="E3601" s="8" t="n">
        <v>0.07</v>
      </c>
      <c r="F3601" s="4" t="n">
        <f aca="false">D3601*E3601</f>
        <v>56.35</v>
      </c>
      <c r="G3601" s="7" t="n">
        <v>486</v>
      </c>
      <c r="H3601" s="9" t="n">
        <f aca="false">IF(G3601&gt;0,D3601/G3601,"")</f>
        <v>1.65637860082305</v>
      </c>
      <c r="I3601" s="10" t="n">
        <v>46083</v>
      </c>
      <c r="K3601" s="10"/>
      <c r="M3601" s="7"/>
      <c r="N3601" s="8"/>
      <c r="O3601" s="4"/>
    </row>
    <row r="3602" customFormat="false" ht="15" hidden="false" customHeight="false" outlineLevel="0" collapsed="false">
      <c r="A3602" s="0" t="s">
        <v>5041</v>
      </c>
      <c r="C3602" s="0" t="s">
        <v>38</v>
      </c>
      <c r="D3602" s="7" t="n">
        <v>1836</v>
      </c>
      <c r="E3602" s="8" t="n">
        <v>0.0306917211328976</v>
      </c>
      <c r="F3602" s="4" t="n">
        <f aca="false">D3602*E3602</f>
        <v>56.35</v>
      </c>
      <c r="G3602" s="7" t="n">
        <v>30</v>
      </c>
      <c r="H3602" s="9" t="n">
        <f aca="false">IF(G3602&gt;0,D3602/G3602,"")</f>
        <v>61.2</v>
      </c>
      <c r="I3602" s="10" t="n">
        <v>46139</v>
      </c>
      <c r="J3602" s="3" t="s">
        <v>5042</v>
      </c>
      <c r="K3602" s="10" t="n">
        <v>44364</v>
      </c>
      <c r="L3602" s="3" t="s">
        <v>465</v>
      </c>
      <c r="M3602" s="7" t="n">
        <v>3000</v>
      </c>
      <c r="N3602" s="8" t="n">
        <v>0.0307</v>
      </c>
      <c r="O3602" s="4" t="n">
        <f aca="false">M3602*N3602</f>
        <v>92.1</v>
      </c>
    </row>
    <row r="3603" customFormat="false" ht="15" hidden="false" customHeight="false" outlineLevel="0" collapsed="false">
      <c r="A3603" s="0" t="s">
        <v>5043</v>
      </c>
      <c r="C3603" s="0" t="s">
        <v>497</v>
      </c>
      <c r="D3603" s="7" t="n">
        <v>508</v>
      </c>
      <c r="E3603" s="8" t="n">
        <v>0.110885826771654</v>
      </c>
      <c r="F3603" s="4" t="n">
        <f aca="false">D3603*E3603</f>
        <v>56.33</v>
      </c>
      <c r="G3603" s="7" t="n">
        <v>180</v>
      </c>
      <c r="H3603" s="9" t="n">
        <f aca="false">IF(G3603&gt;0,D3603/G3603,"")</f>
        <v>2.82222222222222</v>
      </c>
      <c r="I3603" s="10" t="n">
        <v>46294</v>
      </c>
      <c r="K3603" s="10"/>
      <c r="M3603" s="7"/>
      <c r="N3603" s="8"/>
      <c r="O3603" s="4"/>
    </row>
    <row r="3604" customFormat="false" ht="15" hidden="false" customHeight="false" outlineLevel="0" collapsed="false">
      <c r="A3604" s="0" t="s">
        <v>5044</v>
      </c>
      <c r="C3604" s="0" t="s">
        <v>39</v>
      </c>
      <c r="D3604" s="7" t="n">
        <v>80</v>
      </c>
      <c r="E3604" s="8" t="n">
        <v>0.70375</v>
      </c>
      <c r="F3604" s="4" t="n">
        <f aca="false">D3604*E3604</f>
        <v>56.3</v>
      </c>
      <c r="G3604" s="7" t="n">
        <v>50</v>
      </c>
      <c r="H3604" s="9" t="n">
        <f aca="false">IF(G3604&gt;0,D3604/G3604,"")</f>
        <v>1.6</v>
      </c>
      <c r="I3604" s="10" t="n">
        <v>46287</v>
      </c>
      <c r="J3604" s="3" t="s">
        <v>3583</v>
      </c>
      <c r="K3604" s="10" t="n">
        <v>46106</v>
      </c>
      <c r="L3604" s="3" t="s">
        <v>18</v>
      </c>
      <c r="M3604" s="7" t="n">
        <v>130</v>
      </c>
      <c r="N3604" s="8" t="n">
        <v>0.7037</v>
      </c>
      <c r="O3604" s="4" t="n">
        <f aca="false">M3604*N3604</f>
        <v>91.481</v>
      </c>
    </row>
    <row r="3605" customFormat="false" ht="15" hidden="false" customHeight="false" outlineLevel="0" collapsed="false">
      <c r="A3605" s="0" t="s">
        <v>5045</v>
      </c>
      <c r="C3605" s="0" t="s">
        <v>31</v>
      </c>
      <c r="D3605" s="7" t="n">
        <v>30624</v>
      </c>
      <c r="E3605" s="8" t="n">
        <v>0.00183712121212121</v>
      </c>
      <c r="F3605" s="4" t="n">
        <f aca="false">D3605*E3605</f>
        <v>56.26</v>
      </c>
      <c r="G3605" s="7" t="n">
        <v>11554</v>
      </c>
      <c r="H3605" s="9" t="n">
        <f aca="false">IF(G3605&gt;0,D3605/G3605,"")</f>
        <v>2.65051064566384</v>
      </c>
      <c r="I3605" s="10" t="n">
        <v>46265</v>
      </c>
      <c r="K3605" s="10"/>
      <c r="M3605" s="7"/>
      <c r="N3605" s="8"/>
      <c r="O3605" s="4"/>
    </row>
    <row r="3606" customFormat="false" ht="15" hidden="false" customHeight="false" outlineLevel="0" collapsed="false">
      <c r="A3606" s="0" t="s">
        <v>5046</v>
      </c>
      <c r="C3606" s="0" t="s">
        <v>370</v>
      </c>
      <c r="D3606" s="7" t="n">
        <v>380</v>
      </c>
      <c r="E3606" s="8" t="n">
        <v>0.148</v>
      </c>
      <c r="F3606" s="4" t="n">
        <f aca="false">D3606*E3606</f>
        <v>56.24</v>
      </c>
      <c r="G3606" s="7" t="n">
        <v>300</v>
      </c>
      <c r="H3606" s="9" t="n">
        <f aca="false">IF(G3606&gt;0,D3606/G3606,"")</f>
        <v>1.26666666666667</v>
      </c>
      <c r="I3606" s="10" t="n">
        <v>46279</v>
      </c>
      <c r="J3606" s="3" t="s">
        <v>3273</v>
      </c>
      <c r="K3606" s="10" t="n">
        <v>46043</v>
      </c>
      <c r="L3606" s="3" t="s">
        <v>21</v>
      </c>
      <c r="M3606" s="7" t="n">
        <v>680</v>
      </c>
      <c r="N3606" s="8" t="n">
        <v>0.148</v>
      </c>
      <c r="O3606" s="4" t="n">
        <f aca="false">M3606*N3606</f>
        <v>100.64</v>
      </c>
    </row>
    <row r="3607" customFormat="false" ht="15" hidden="false" customHeight="false" outlineLevel="0" collapsed="false">
      <c r="A3607" s="0" t="s">
        <v>5047</v>
      </c>
      <c r="C3607" s="0" t="s">
        <v>934</v>
      </c>
      <c r="D3607" s="7" t="n">
        <v>100</v>
      </c>
      <c r="E3607" s="8" t="n">
        <v>0.5621</v>
      </c>
      <c r="F3607" s="4" t="n">
        <f aca="false">D3607*E3607</f>
        <v>56.21</v>
      </c>
      <c r="G3607" s="7" t="n">
        <v>17</v>
      </c>
      <c r="H3607" s="9" t="n">
        <f aca="false">IF(G3607&gt;0,D3607/G3607,"")</f>
        <v>5.88235294117647</v>
      </c>
      <c r="I3607" s="10" t="n">
        <v>46310</v>
      </c>
      <c r="K3607" s="10"/>
      <c r="M3607" s="7"/>
      <c r="N3607" s="8"/>
      <c r="O3607" s="4"/>
    </row>
    <row r="3608" customFormat="false" ht="15" hidden="false" customHeight="false" outlineLevel="0" collapsed="false">
      <c r="A3608" s="0" t="s">
        <v>5048</v>
      </c>
      <c r="C3608" s="0" t="s">
        <v>36</v>
      </c>
      <c r="D3608" s="7" t="n">
        <v>2320</v>
      </c>
      <c r="E3608" s="8" t="n">
        <v>0.0242241379310345</v>
      </c>
      <c r="F3608" s="4" t="n">
        <f aca="false">D3608*E3608</f>
        <v>56.2</v>
      </c>
      <c r="G3608" s="7" t="n">
        <v>2200</v>
      </c>
      <c r="H3608" s="9" t="n">
        <f aca="false">IF(G3608&gt;0,D3608/G3608,"")</f>
        <v>1.05454545454545</v>
      </c>
      <c r="I3608" s="10" t="n">
        <v>46304</v>
      </c>
      <c r="J3608" s="3" t="s">
        <v>5049</v>
      </c>
      <c r="K3608" s="10" t="n">
        <v>44365</v>
      </c>
      <c r="L3608" s="3" t="s">
        <v>19</v>
      </c>
      <c r="M3608" s="7" t="n">
        <v>5000</v>
      </c>
      <c r="N3608" s="8" t="n">
        <v>0.0243</v>
      </c>
      <c r="O3608" s="4" t="n">
        <f aca="false">M3608*N3608</f>
        <v>121.5</v>
      </c>
    </row>
    <row r="3609" customFormat="false" ht="15" hidden="false" customHeight="false" outlineLevel="0" collapsed="false">
      <c r="A3609" s="0" t="s">
        <v>5050</v>
      </c>
      <c r="C3609" s="0" t="s">
        <v>41</v>
      </c>
      <c r="D3609" s="7" t="n">
        <v>1944</v>
      </c>
      <c r="E3609" s="8" t="n">
        <v>0.0288786008230453</v>
      </c>
      <c r="F3609" s="4" t="n">
        <f aca="false">D3609*E3609</f>
        <v>56.14</v>
      </c>
      <c r="G3609" s="7" t="n">
        <v>228</v>
      </c>
      <c r="H3609" s="9" t="n">
        <f aca="false">IF(G3609&gt;0,D3609/G3609,"")</f>
        <v>8.52631578947369</v>
      </c>
      <c r="I3609" s="10" t="n">
        <v>46101</v>
      </c>
      <c r="J3609" s="3" t="s">
        <v>75</v>
      </c>
      <c r="K3609" s="10" t="n">
        <v>44385</v>
      </c>
      <c r="L3609" s="3" t="s">
        <v>15</v>
      </c>
      <c r="M3609" s="7" t="n">
        <v>2330</v>
      </c>
      <c r="N3609" s="8" t="n">
        <v>0.02888</v>
      </c>
      <c r="O3609" s="4" t="n">
        <f aca="false">M3609*N3609</f>
        <v>67.2904</v>
      </c>
    </row>
    <row r="3610" customFormat="false" ht="15" hidden="false" customHeight="false" outlineLevel="0" collapsed="false">
      <c r="A3610" s="0" t="s">
        <v>5051</v>
      </c>
      <c r="C3610" s="0" t="s">
        <v>31</v>
      </c>
      <c r="D3610" s="7" t="n">
        <v>19272</v>
      </c>
      <c r="E3610" s="8" t="n">
        <v>0.00290628891656289</v>
      </c>
      <c r="F3610" s="4" t="n">
        <f aca="false">D3610*E3610</f>
        <v>56.01</v>
      </c>
      <c r="G3610" s="7" t="n">
        <v>3105</v>
      </c>
      <c r="H3610" s="9" t="n">
        <f aca="false">IF(G3610&gt;0,D3610/G3610,"")</f>
        <v>6.20676328502416</v>
      </c>
      <c r="I3610" s="10" t="n">
        <v>46302</v>
      </c>
      <c r="J3610" s="3" t="s">
        <v>2392</v>
      </c>
      <c r="K3610" s="10" t="n">
        <v>46274</v>
      </c>
      <c r="L3610" s="3" t="s">
        <v>16</v>
      </c>
      <c r="M3610" s="7" t="n">
        <v>19250</v>
      </c>
      <c r="N3610" s="8" t="n">
        <v>0.0029</v>
      </c>
      <c r="O3610" s="4" t="n">
        <f aca="false">M3610*N3610</f>
        <v>55.825</v>
      </c>
    </row>
    <row r="3611" customFormat="false" ht="15" hidden="false" customHeight="false" outlineLevel="0" collapsed="false">
      <c r="A3611" s="0" t="s">
        <v>5052</v>
      </c>
      <c r="C3611" s="0" t="s">
        <v>36</v>
      </c>
      <c r="D3611" s="7" t="n">
        <v>224</v>
      </c>
      <c r="E3611" s="8" t="n">
        <v>0.249866071428571</v>
      </c>
      <c r="F3611" s="4" t="n">
        <f aca="false">D3611*E3611</f>
        <v>55.97</v>
      </c>
      <c r="G3611" s="7" t="n">
        <v>30</v>
      </c>
      <c r="H3611" s="9" t="n">
        <f aca="false">IF(G3611&gt;0,D3611/G3611,"")</f>
        <v>7.46666666666667</v>
      </c>
      <c r="I3611" s="10" t="n">
        <v>46063</v>
      </c>
      <c r="J3611" s="3" t="s">
        <v>734</v>
      </c>
      <c r="K3611" s="10" t="n">
        <v>45351</v>
      </c>
      <c r="L3611" s="3" t="s">
        <v>18</v>
      </c>
      <c r="M3611" s="7" t="n">
        <v>270</v>
      </c>
      <c r="N3611" s="8" t="n">
        <v>0.2499</v>
      </c>
      <c r="O3611" s="4" t="n">
        <f aca="false">M3611*N3611</f>
        <v>67.473</v>
      </c>
    </row>
    <row r="3612" customFormat="false" ht="15" hidden="false" customHeight="false" outlineLevel="0" collapsed="false">
      <c r="A3612" s="0" t="s">
        <v>5053</v>
      </c>
      <c r="C3612" s="0" t="s">
        <v>35</v>
      </c>
      <c r="D3612" s="7" t="n">
        <v>164</v>
      </c>
      <c r="E3612" s="8" t="n">
        <v>0.340487804878049</v>
      </c>
      <c r="F3612" s="4" t="n">
        <f aca="false">D3612*E3612</f>
        <v>55.84</v>
      </c>
      <c r="G3612" s="7" t="n">
        <v>54</v>
      </c>
      <c r="H3612" s="9" t="n">
        <f aca="false">IF(G3612&gt;0,D3612/G3612,"")</f>
        <v>3.03703703703704</v>
      </c>
      <c r="I3612" s="10" t="n">
        <v>46265</v>
      </c>
      <c r="J3612" s="3" t="s">
        <v>1545</v>
      </c>
      <c r="K3612" s="10" t="n">
        <v>45546</v>
      </c>
      <c r="L3612" s="3" t="s">
        <v>14</v>
      </c>
      <c r="M3612" s="7" t="n">
        <v>1816</v>
      </c>
      <c r="N3612" s="8" t="n">
        <v>0.3404</v>
      </c>
      <c r="O3612" s="4" t="n">
        <f aca="false">M3612*N3612</f>
        <v>618.1664</v>
      </c>
    </row>
    <row r="3613" customFormat="false" ht="15" hidden="false" customHeight="false" outlineLevel="0" collapsed="false">
      <c r="A3613" s="0" t="s">
        <v>5054</v>
      </c>
      <c r="C3613" s="0" t="s">
        <v>2981</v>
      </c>
      <c r="D3613" s="7" t="n">
        <v>375</v>
      </c>
      <c r="E3613" s="8" t="n">
        <v>0.148693333333333</v>
      </c>
      <c r="F3613" s="4" t="n">
        <f aca="false">D3613*E3613</f>
        <v>55.76</v>
      </c>
      <c r="G3613" s="7" t="n">
        <v>56</v>
      </c>
      <c r="H3613" s="9" t="n">
        <f aca="false">IF(G3613&gt;0,D3613/G3613,"")</f>
        <v>6.69642857142857</v>
      </c>
      <c r="I3613" s="10" t="n">
        <v>46309</v>
      </c>
      <c r="J3613" s="3" t="s">
        <v>5055</v>
      </c>
      <c r="K3613" s="10" t="n">
        <v>44271</v>
      </c>
      <c r="L3613" s="3" t="s">
        <v>936</v>
      </c>
      <c r="M3613" s="7" t="n">
        <v>500</v>
      </c>
      <c r="N3613" s="8" t="n">
        <v>0.1487</v>
      </c>
      <c r="O3613" s="4" t="n">
        <f aca="false">M3613*N3613</f>
        <v>74.35</v>
      </c>
    </row>
    <row r="3614" customFormat="false" ht="15" hidden="false" customHeight="false" outlineLevel="0" collapsed="false">
      <c r="A3614" s="0" t="s">
        <v>5056</v>
      </c>
      <c r="C3614" s="0" t="s">
        <v>31</v>
      </c>
      <c r="D3614" s="7" t="n">
        <v>1159</v>
      </c>
      <c r="E3614" s="8" t="n">
        <v>0.0481018119068162</v>
      </c>
      <c r="F3614" s="4" t="n">
        <f aca="false">D3614*E3614</f>
        <v>55.75</v>
      </c>
      <c r="G3614" s="7" t="n">
        <v>100</v>
      </c>
      <c r="H3614" s="9" t="n">
        <f aca="false">IF(G3614&gt;0,D3614/G3614,"")</f>
        <v>11.59</v>
      </c>
      <c r="I3614" s="10" t="n">
        <v>46220</v>
      </c>
      <c r="K3614" s="10"/>
      <c r="M3614" s="7"/>
      <c r="N3614" s="8"/>
      <c r="O3614" s="4"/>
    </row>
    <row r="3615" customFormat="false" ht="15" hidden="false" customHeight="false" outlineLevel="0" collapsed="false">
      <c r="A3615" s="0" t="s">
        <v>5057</v>
      </c>
      <c r="C3615" s="0" t="s">
        <v>38</v>
      </c>
      <c r="D3615" s="7" t="n">
        <v>7866</v>
      </c>
      <c r="E3615" s="8" t="n">
        <v>0.0070836511568777</v>
      </c>
      <c r="F3615" s="4" t="n">
        <f aca="false">D3615*E3615</f>
        <v>55.72</v>
      </c>
      <c r="G3615" s="7" t="n">
        <v>1050</v>
      </c>
      <c r="H3615" s="9" t="n">
        <f aca="false">IF(G3615&gt;0,D3615/G3615,"")</f>
        <v>7.49142857142857</v>
      </c>
      <c r="I3615" s="10" t="n">
        <v>46274</v>
      </c>
      <c r="J3615" s="3" t="s">
        <v>884</v>
      </c>
      <c r="K3615" s="10" t="n">
        <v>45867</v>
      </c>
      <c r="L3615" s="3" t="s">
        <v>14</v>
      </c>
      <c r="M3615" s="7" t="n">
        <v>10000</v>
      </c>
      <c r="N3615" s="8" t="n">
        <v>0.0071</v>
      </c>
      <c r="O3615" s="4" t="n">
        <f aca="false">M3615*N3615</f>
        <v>71</v>
      </c>
    </row>
    <row r="3616" customFormat="false" ht="15" hidden="false" customHeight="false" outlineLevel="0" collapsed="false">
      <c r="A3616" s="0" t="s">
        <v>5058</v>
      </c>
      <c r="C3616" s="0" t="s">
        <v>741</v>
      </c>
      <c r="D3616" s="7" t="n">
        <v>413</v>
      </c>
      <c r="E3616" s="8" t="n">
        <v>0.134794188861986</v>
      </c>
      <c r="F3616" s="4" t="n">
        <f aca="false">D3616*E3616</f>
        <v>55.67</v>
      </c>
      <c r="G3616" s="7" t="n">
        <v>8</v>
      </c>
      <c r="H3616" s="9" t="n">
        <f aca="false">IF(G3616&gt;0,D3616/G3616,"")</f>
        <v>51.625</v>
      </c>
      <c r="I3616" s="10" t="n">
        <v>46161</v>
      </c>
      <c r="J3616" s="3" t="s">
        <v>5059</v>
      </c>
      <c r="K3616" s="10" t="n">
        <v>45546</v>
      </c>
      <c r="L3616" s="3" t="s">
        <v>27</v>
      </c>
      <c r="M3616" s="7" t="n">
        <v>500</v>
      </c>
      <c r="N3616" s="8" t="n">
        <v>0.1348</v>
      </c>
      <c r="O3616" s="4" t="n">
        <f aca="false">M3616*N3616</f>
        <v>67.4</v>
      </c>
    </row>
    <row r="3617" customFormat="false" ht="15" hidden="false" customHeight="false" outlineLevel="0" collapsed="false">
      <c r="A3617" s="0" t="s">
        <v>5060</v>
      </c>
      <c r="C3617" s="0" t="s">
        <v>298</v>
      </c>
      <c r="D3617" s="7" t="n">
        <v>200</v>
      </c>
      <c r="E3617" s="8" t="n">
        <v>0.2783</v>
      </c>
      <c r="F3617" s="4" t="n">
        <f aca="false">D3617*E3617</f>
        <v>55.66</v>
      </c>
      <c r="G3617" s="7" t="n">
        <v>10</v>
      </c>
      <c r="H3617" s="9" t="n">
        <f aca="false">IF(G3617&gt;0,D3617/G3617,"")</f>
        <v>20</v>
      </c>
      <c r="I3617" s="10" t="n">
        <v>46244</v>
      </c>
      <c r="J3617" s="3" t="s">
        <v>5061</v>
      </c>
      <c r="K3617" s="10" t="n">
        <v>44694</v>
      </c>
      <c r="L3617" s="3" t="s">
        <v>14</v>
      </c>
      <c r="M3617" s="7" t="n">
        <v>250</v>
      </c>
      <c r="N3617" s="8" t="n">
        <v>0.2783</v>
      </c>
      <c r="O3617" s="4" t="n">
        <f aca="false">M3617*N3617</f>
        <v>69.575</v>
      </c>
    </row>
    <row r="3618" customFormat="false" ht="15" hidden="false" customHeight="false" outlineLevel="0" collapsed="false">
      <c r="A3618" s="0" t="s">
        <v>5062</v>
      </c>
      <c r="C3618" s="0" t="s">
        <v>402</v>
      </c>
      <c r="D3618" s="7" t="n">
        <v>21</v>
      </c>
      <c r="E3618" s="8" t="n">
        <v>2.65</v>
      </c>
      <c r="F3618" s="4" t="n">
        <f aca="false">D3618*E3618</f>
        <v>55.65</v>
      </c>
      <c r="G3618" s="7" t="n">
        <v>4</v>
      </c>
      <c r="H3618" s="9" t="n">
        <f aca="false">IF(G3618&gt;0,D3618/G3618,"")</f>
        <v>5.25</v>
      </c>
      <c r="I3618" s="10" t="n">
        <v>46247</v>
      </c>
      <c r="K3618" s="10"/>
      <c r="M3618" s="7"/>
      <c r="N3618" s="8"/>
      <c r="O3618" s="4"/>
    </row>
    <row r="3619" customFormat="false" ht="15" hidden="false" customHeight="false" outlineLevel="0" collapsed="false">
      <c r="A3619" s="0" t="s">
        <v>5063</v>
      </c>
      <c r="C3619" s="0" t="s">
        <v>298</v>
      </c>
      <c r="D3619" s="7" t="n">
        <v>278</v>
      </c>
      <c r="E3619" s="8" t="n">
        <v>0.200143884892086</v>
      </c>
      <c r="F3619" s="4" t="n">
        <f aca="false">D3619*E3619</f>
        <v>55.64</v>
      </c>
      <c r="G3619" s="7" t="n">
        <v>40</v>
      </c>
      <c r="H3619" s="9" t="n">
        <f aca="false">IF(G3619&gt;0,D3619/G3619,"")</f>
        <v>6.95</v>
      </c>
      <c r="I3619" s="10" t="n">
        <v>46287</v>
      </c>
      <c r="J3619" s="3" t="s">
        <v>2509</v>
      </c>
      <c r="K3619" s="10" t="n">
        <v>44988</v>
      </c>
      <c r="L3619" s="3" t="s">
        <v>19</v>
      </c>
      <c r="M3619" s="7" t="n">
        <v>120</v>
      </c>
      <c r="N3619" s="8" t="n">
        <v>0.3177</v>
      </c>
      <c r="O3619" s="4" t="n">
        <f aca="false">M3619*N3619</f>
        <v>38.124</v>
      </c>
    </row>
    <row r="3620" customFormat="false" ht="15" hidden="false" customHeight="false" outlineLevel="0" collapsed="false">
      <c r="A3620" s="0" t="s">
        <v>5064</v>
      </c>
      <c r="C3620" s="0" t="s">
        <v>31</v>
      </c>
      <c r="D3620" s="7" t="n">
        <v>865</v>
      </c>
      <c r="E3620" s="8" t="n">
        <v>0.0643005780346821</v>
      </c>
      <c r="F3620" s="4" t="n">
        <f aca="false">D3620*E3620</f>
        <v>55.62</v>
      </c>
      <c r="G3620" s="7" t="n">
        <v>10</v>
      </c>
      <c r="H3620" s="9" t="n">
        <f aca="false">IF(G3620&gt;0,D3620/G3620,"")</f>
        <v>86.5</v>
      </c>
      <c r="I3620" s="10" t="n">
        <v>46314</v>
      </c>
      <c r="J3620" s="3" t="s">
        <v>1846</v>
      </c>
      <c r="K3620" s="10" t="n">
        <v>46288</v>
      </c>
      <c r="L3620" s="3" t="s">
        <v>16</v>
      </c>
      <c r="M3620" s="7" t="n">
        <v>875</v>
      </c>
      <c r="N3620" s="8" t="n">
        <v>0.0643</v>
      </c>
      <c r="O3620" s="4" t="n">
        <f aca="false">M3620*N3620</f>
        <v>56.2625</v>
      </c>
    </row>
    <row r="3621" customFormat="false" ht="15" hidden="false" customHeight="false" outlineLevel="0" collapsed="false">
      <c r="A3621" s="0" t="s">
        <v>5065</v>
      </c>
      <c r="C3621" s="0" t="s">
        <v>38</v>
      </c>
      <c r="D3621" s="7" t="n">
        <v>784</v>
      </c>
      <c r="E3621" s="8" t="n">
        <v>0.0708801020408163</v>
      </c>
      <c r="F3621" s="4" t="n">
        <f aca="false">D3621*E3621</f>
        <v>55.57</v>
      </c>
      <c r="G3621" s="7" t="n">
        <v>36</v>
      </c>
      <c r="H3621" s="9" t="n">
        <f aca="false">IF(G3621&gt;0,D3621/G3621,"")</f>
        <v>21.7777777777778</v>
      </c>
      <c r="I3621" s="10" t="n">
        <v>46205</v>
      </c>
      <c r="J3621" s="3" t="s">
        <v>5066</v>
      </c>
      <c r="K3621" s="10" t="n">
        <v>45167</v>
      </c>
      <c r="L3621" s="3" t="s">
        <v>14</v>
      </c>
      <c r="M3621" s="7" t="n">
        <v>1000</v>
      </c>
      <c r="N3621" s="8" t="n">
        <v>0.0709</v>
      </c>
      <c r="O3621" s="4" t="n">
        <f aca="false">M3621*N3621</f>
        <v>70.9</v>
      </c>
    </row>
    <row r="3622" customFormat="false" ht="15" hidden="false" customHeight="false" outlineLevel="0" collapsed="false">
      <c r="A3622" s="0" t="s">
        <v>5067</v>
      </c>
      <c r="C3622" s="0" t="s">
        <v>777</v>
      </c>
      <c r="D3622" s="7" t="n">
        <v>345</v>
      </c>
      <c r="E3622" s="8" t="n">
        <v>0.16104347826087</v>
      </c>
      <c r="F3622" s="4" t="n">
        <f aca="false">D3622*E3622</f>
        <v>55.56</v>
      </c>
      <c r="G3622" s="7" t="n">
        <v>30</v>
      </c>
      <c r="H3622" s="9" t="n">
        <f aca="false">IF(G3622&gt;0,D3622/G3622,"")</f>
        <v>11.5</v>
      </c>
      <c r="I3622" s="10" t="n">
        <v>46259</v>
      </c>
      <c r="J3622" s="3" t="s">
        <v>341</v>
      </c>
      <c r="K3622" s="10" t="n">
        <v>46078</v>
      </c>
      <c r="L3622" s="3" t="s">
        <v>15</v>
      </c>
      <c r="M3622" s="7" t="n">
        <v>375</v>
      </c>
      <c r="N3622" s="8" t="n">
        <v>0.16105</v>
      </c>
      <c r="O3622" s="4" t="n">
        <f aca="false">M3622*N3622</f>
        <v>60.39375</v>
      </c>
    </row>
    <row r="3623" customFormat="false" ht="15" hidden="false" customHeight="false" outlineLevel="0" collapsed="false">
      <c r="A3623" s="0" t="s">
        <v>5068</v>
      </c>
      <c r="C3623" s="0" t="s">
        <v>275</v>
      </c>
      <c r="D3623" s="7" t="n">
        <v>6</v>
      </c>
      <c r="E3623" s="8" t="n">
        <v>9.25833333333333</v>
      </c>
      <c r="F3623" s="4" t="n">
        <f aca="false">D3623*E3623</f>
        <v>55.55</v>
      </c>
      <c r="G3623" s="7" t="n">
        <v>4</v>
      </c>
      <c r="H3623" s="9" t="n">
        <f aca="false">IF(G3623&gt;0,D3623/G3623,"")</f>
        <v>1.5</v>
      </c>
      <c r="I3623" s="10" t="n">
        <v>46291</v>
      </c>
      <c r="J3623" s="3" t="s">
        <v>405</v>
      </c>
      <c r="K3623" s="10" t="n">
        <v>46280</v>
      </c>
      <c r="L3623" s="3" t="s">
        <v>14</v>
      </c>
      <c r="M3623" s="7" t="n">
        <v>10</v>
      </c>
      <c r="N3623" s="8" t="n">
        <v>9.258</v>
      </c>
      <c r="O3623" s="4" t="n">
        <f aca="false">M3623*N3623</f>
        <v>92.58</v>
      </c>
    </row>
    <row r="3624" customFormat="false" ht="15" hidden="false" customHeight="false" outlineLevel="0" collapsed="false">
      <c r="A3624" s="0" t="s">
        <v>5069</v>
      </c>
      <c r="C3624" s="0" t="s">
        <v>765</v>
      </c>
      <c r="D3624" s="7" t="n">
        <v>374</v>
      </c>
      <c r="E3624" s="8" t="n">
        <v>0.148502673796791</v>
      </c>
      <c r="F3624" s="4" t="n">
        <f aca="false">D3624*E3624</f>
        <v>55.54</v>
      </c>
      <c r="G3624" s="7" t="n">
        <v>92</v>
      </c>
      <c r="H3624" s="9" t="n">
        <f aca="false">IF(G3624&gt;0,D3624/G3624,"")</f>
        <v>4.06521739130435</v>
      </c>
      <c r="I3624" s="10" t="n">
        <v>46097</v>
      </c>
      <c r="K3624" s="10"/>
      <c r="M3624" s="7"/>
      <c r="N3624" s="8"/>
      <c r="O3624" s="4"/>
    </row>
    <row r="3625" customFormat="false" ht="15" hidden="false" customHeight="false" outlineLevel="0" collapsed="false">
      <c r="A3625" s="0" t="s">
        <v>5070</v>
      </c>
      <c r="C3625" s="0" t="s">
        <v>31</v>
      </c>
      <c r="D3625" s="7" t="n">
        <v>2314</v>
      </c>
      <c r="E3625" s="8" t="n">
        <v>0.0239930855661193</v>
      </c>
      <c r="F3625" s="4" t="n">
        <f aca="false">D3625*E3625</f>
        <v>55.52</v>
      </c>
      <c r="G3625" s="7" t="n">
        <v>845</v>
      </c>
      <c r="H3625" s="9" t="n">
        <f aca="false">IF(G3625&gt;0,D3625/G3625,"")</f>
        <v>2.73846153846154</v>
      </c>
      <c r="I3625" s="10" t="n">
        <v>46310</v>
      </c>
      <c r="J3625" s="3" t="s">
        <v>1211</v>
      </c>
      <c r="K3625" s="10" t="n">
        <v>45750</v>
      </c>
      <c r="L3625" s="3" t="s">
        <v>26</v>
      </c>
      <c r="M3625" s="7" t="n">
        <v>20</v>
      </c>
      <c r="N3625" s="8" t="n">
        <v>0.25</v>
      </c>
      <c r="O3625" s="4" t="n">
        <f aca="false">M3625*N3625</f>
        <v>5</v>
      </c>
    </row>
    <row r="3626" customFormat="false" ht="15" hidden="false" customHeight="false" outlineLevel="0" collapsed="false">
      <c r="A3626" s="0" t="s">
        <v>5071</v>
      </c>
      <c r="C3626" s="0" t="s">
        <v>31</v>
      </c>
      <c r="D3626" s="7" t="n">
        <v>871</v>
      </c>
      <c r="E3626" s="8" t="n">
        <v>0.0637083811710677</v>
      </c>
      <c r="F3626" s="4" t="n">
        <f aca="false">D3626*E3626</f>
        <v>55.49</v>
      </c>
      <c r="G3626" s="7" t="n">
        <v>494</v>
      </c>
      <c r="H3626" s="9" t="n">
        <f aca="false">IF(G3626&gt;0,D3626/G3626,"")</f>
        <v>1.76315789473684</v>
      </c>
      <c r="I3626" s="10" t="n">
        <v>46202</v>
      </c>
      <c r="K3626" s="10"/>
      <c r="M3626" s="7"/>
      <c r="N3626" s="8"/>
      <c r="O3626" s="4"/>
    </row>
    <row r="3627" customFormat="false" ht="15" hidden="false" customHeight="false" outlineLevel="0" collapsed="false">
      <c r="A3627" s="0" t="s">
        <v>5072</v>
      </c>
      <c r="C3627" s="0" t="s">
        <v>31</v>
      </c>
      <c r="D3627" s="7" t="n">
        <v>7308</v>
      </c>
      <c r="E3627" s="8" t="n">
        <v>0.00759304871373837</v>
      </c>
      <c r="F3627" s="4" t="n">
        <f aca="false">D3627*E3627</f>
        <v>55.49</v>
      </c>
      <c r="G3627" s="7" t="n">
        <v>714</v>
      </c>
      <c r="H3627" s="9" t="n">
        <f aca="false">IF(G3627&gt;0,D3627/G3627,"")</f>
        <v>10.2352941176471</v>
      </c>
      <c r="I3627" s="10" t="n">
        <v>46267</v>
      </c>
      <c r="K3627" s="10"/>
      <c r="M3627" s="7"/>
      <c r="N3627" s="8"/>
      <c r="O3627" s="4"/>
    </row>
    <row r="3628" customFormat="false" ht="15" hidden="false" customHeight="false" outlineLevel="0" collapsed="false">
      <c r="A3628" s="0" t="s">
        <v>5073</v>
      </c>
      <c r="C3628" s="0" t="s">
        <v>37</v>
      </c>
      <c r="D3628" s="7" t="n">
        <v>3800</v>
      </c>
      <c r="E3628" s="8" t="n">
        <v>0.0146</v>
      </c>
      <c r="F3628" s="4" t="n">
        <f aca="false">D3628*E3628</f>
        <v>55.48</v>
      </c>
      <c r="G3628" s="7" t="n">
        <v>825</v>
      </c>
      <c r="H3628" s="9" t="n">
        <f aca="false">IF(G3628&gt;0,D3628/G3628,"")</f>
        <v>4.60606060606061</v>
      </c>
      <c r="I3628" s="10" t="n">
        <v>46224</v>
      </c>
      <c r="K3628" s="10"/>
      <c r="M3628" s="7"/>
      <c r="N3628" s="8"/>
      <c r="O3628" s="4"/>
    </row>
    <row r="3629" customFormat="false" ht="15" hidden="false" customHeight="false" outlineLevel="0" collapsed="false">
      <c r="A3629" s="0" t="s">
        <v>5074</v>
      </c>
      <c r="C3629" s="0" t="s">
        <v>31</v>
      </c>
      <c r="D3629" s="7" t="n">
        <v>985</v>
      </c>
      <c r="E3629" s="8" t="n">
        <v>0.0563045685279188</v>
      </c>
      <c r="F3629" s="4" t="n">
        <f aca="false">D3629*E3629</f>
        <v>55.46</v>
      </c>
      <c r="G3629" s="7" t="n">
        <v>15</v>
      </c>
      <c r="H3629" s="9" t="n">
        <f aca="false">IF(G3629&gt;0,D3629/G3629,"")</f>
        <v>65.6666666666667</v>
      </c>
      <c r="I3629" s="10" t="n">
        <v>46314</v>
      </c>
      <c r="J3629" s="3" t="s">
        <v>1846</v>
      </c>
      <c r="K3629" s="10" t="n">
        <v>46288</v>
      </c>
      <c r="L3629" s="3" t="s">
        <v>16</v>
      </c>
      <c r="M3629" s="7" t="n">
        <v>1000</v>
      </c>
      <c r="N3629" s="8" t="n">
        <v>0.0563</v>
      </c>
      <c r="O3629" s="4" t="n">
        <f aca="false">M3629*N3629</f>
        <v>56.3</v>
      </c>
    </row>
    <row r="3630" customFormat="false" ht="15" hidden="false" customHeight="false" outlineLevel="0" collapsed="false">
      <c r="A3630" s="0" t="s">
        <v>5075</v>
      </c>
      <c r="C3630" s="0" t="s">
        <v>855</v>
      </c>
      <c r="D3630" s="7" t="n">
        <v>2792</v>
      </c>
      <c r="E3630" s="8" t="n">
        <v>0.0198567335243553</v>
      </c>
      <c r="F3630" s="4" t="n">
        <f aca="false">D3630*E3630</f>
        <v>55.44</v>
      </c>
      <c r="G3630" s="7" t="n">
        <v>1455</v>
      </c>
      <c r="H3630" s="9" t="n">
        <f aca="false">IF(G3630&gt;0,D3630/G3630,"")</f>
        <v>1.91890034364261</v>
      </c>
      <c r="I3630" s="10" t="n">
        <v>46311</v>
      </c>
      <c r="J3630" s="3" t="s">
        <v>4559</v>
      </c>
      <c r="K3630" s="10" t="n">
        <v>46171</v>
      </c>
      <c r="L3630" s="3" t="s">
        <v>16</v>
      </c>
      <c r="M3630" s="7" t="n">
        <v>2625</v>
      </c>
      <c r="N3630" s="8" t="n">
        <v>0.0191</v>
      </c>
      <c r="O3630" s="4" t="n">
        <f aca="false">M3630*N3630</f>
        <v>50.1375</v>
      </c>
    </row>
    <row r="3631" customFormat="false" ht="15" hidden="false" customHeight="false" outlineLevel="0" collapsed="false">
      <c r="A3631" s="0" t="s">
        <v>5076</v>
      </c>
      <c r="C3631" s="0" t="s">
        <v>31</v>
      </c>
      <c r="D3631" s="7" t="n">
        <v>1381</v>
      </c>
      <c r="E3631" s="8" t="n">
        <v>0.040130340333092</v>
      </c>
      <c r="F3631" s="4" t="n">
        <f aca="false">D3631*E3631</f>
        <v>55.42</v>
      </c>
      <c r="G3631" s="7" t="n">
        <v>50</v>
      </c>
      <c r="H3631" s="9" t="n">
        <f aca="false">IF(G3631&gt;0,D3631/G3631,"")</f>
        <v>27.62</v>
      </c>
      <c r="I3631" s="10" t="n">
        <v>46197</v>
      </c>
      <c r="J3631" s="3" t="s">
        <v>1480</v>
      </c>
      <c r="K3631" s="10" t="n">
        <v>46121</v>
      </c>
      <c r="L3631" s="3" t="s">
        <v>16</v>
      </c>
      <c r="M3631" s="7" t="n">
        <v>1420</v>
      </c>
      <c r="N3631" s="8" t="n">
        <v>0.0396</v>
      </c>
      <c r="O3631" s="4" t="n">
        <f aca="false">M3631*N3631</f>
        <v>56.232</v>
      </c>
    </row>
    <row r="3632" customFormat="false" ht="15" hidden="false" customHeight="false" outlineLevel="0" collapsed="false">
      <c r="A3632" s="0" t="s">
        <v>5077</v>
      </c>
      <c r="C3632" s="0" t="s">
        <v>34</v>
      </c>
      <c r="D3632" s="7" t="n">
        <v>289</v>
      </c>
      <c r="E3632" s="8" t="n">
        <v>0.191730103806228</v>
      </c>
      <c r="F3632" s="4" t="n">
        <f aca="false">D3632*E3632</f>
        <v>55.41</v>
      </c>
      <c r="G3632" s="7" t="n">
        <v>66</v>
      </c>
      <c r="H3632" s="9" t="n">
        <f aca="false">IF(G3632&gt;0,D3632/G3632,"")</f>
        <v>4.37878787878788</v>
      </c>
      <c r="I3632" s="10" t="n">
        <v>46295</v>
      </c>
      <c r="J3632" s="3" t="s">
        <v>3247</v>
      </c>
      <c r="K3632" s="10" t="n">
        <v>44552</v>
      </c>
      <c r="L3632" s="3" t="s">
        <v>25</v>
      </c>
      <c r="M3632" s="7" t="n">
        <v>354</v>
      </c>
      <c r="N3632" s="8" t="n">
        <v>0</v>
      </c>
      <c r="O3632" s="4" t="n">
        <v>63.54</v>
      </c>
    </row>
    <row r="3633" customFormat="false" ht="15" hidden="false" customHeight="false" outlineLevel="0" collapsed="false">
      <c r="A3633" s="0" t="s">
        <v>5078</v>
      </c>
      <c r="C3633" s="0" t="s">
        <v>33</v>
      </c>
      <c r="D3633" s="7" t="n">
        <v>414</v>
      </c>
      <c r="E3633" s="8" t="n">
        <v>0.133743961352657</v>
      </c>
      <c r="F3633" s="4" t="n">
        <f aca="false">D3633*E3633</f>
        <v>55.37</v>
      </c>
      <c r="G3633" s="7" t="n">
        <v>240</v>
      </c>
      <c r="H3633" s="9" t="n">
        <f aca="false">IF(G3633&gt;0,D3633/G3633,"")</f>
        <v>1.725</v>
      </c>
      <c r="I3633" s="10" t="n">
        <v>46202</v>
      </c>
      <c r="J3633" s="3" t="s">
        <v>1076</v>
      </c>
      <c r="K3633" s="10" t="n">
        <v>46191</v>
      </c>
      <c r="L3633" s="3" t="s">
        <v>18</v>
      </c>
      <c r="M3633" s="7" t="n">
        <v>400</v>
      </c>
      <c r="N3633" s="8" t="n">
        <v>0.1367</v>
      </c>
      <c r="O3633" s="4" t="n">
        <f aca="false">M3633*N3633</f>
        <v>54.68</v>
      </c>
    </row>
    <row r="3634" customFormat="false" ht="15" hidden="false" customHeight="false" outlineLevel="0" collapsed="false">
      <c r="A3634" s="0" t="s">
        <v>5079</v>
      </c>
      <c r="C3634" s="0" t="s">
        <v>41</v>
      </c>
      <c r="D3634" s="7" t="n">
        <v>8688</v>
      </c>
      <c r="E3634" s="8" t="n">
        <v>0.00637200736648251</v>
      </c>
      <c r="F3634" s="4" t="n">
        <f aca="false">D3634*E3634</f>
        <v>55.36</v>
      </c>
      <c r="G3634" s="7" t="n">
        <v>4646</v>
      </c>
      <c r="H3634" s="9" t="n">
        <f aca="false">IF(G3634&gt;0,D3634/G3634,"")</f>
        <v>1.8699956952217</v>
      </c>
      <c r="I3634" s="10" t="n">
        <v>46188</v>
      </c>
      <c r="J3634" s="3" t="s">
        <v>2743</v>
      </c>
      <c r="K3634" s="10" t="n">
        <v>46084</v>
      </c>
      <c r="L3634" s="3" t="s">
        <v>16</v>
      </c>
      <c r="M3634" s="7" t="n">
        <v>12020</v>
      </c>
      <c r="N3634" s="8" t="n">
        <v>0.0063</v>
      </c>
      <c r="O3634" s="4" t="n">
        <f aca="false">M3634*N3634</f>
        <v>75.726</v>
      </c>
    </row>
    <row r="3635" customFormat="false" ht="15" hidden="false" customHeight="false" outlineLevel="0" collapsed="false">
      <c r="A3635" s="0" t="s">
        <v>5080</v>
      </c>
      <c r="C3635" s="0" t="s">
        <v>39</v>
      </c>
      <c r="D3635" s="7" t="n">
        <v>33</v>
      </c>
      <c r="E3635" s="8" t="n">
        <v>1.6769696969697</v>
      </c>
      <c r="F3635" s="4" t="n">
        <f aca="false">D3635*E3635</f>
        <v>55.34</v>
      </c>
      <c r="G3635" s="7" t="n">
        <v>10</v>
      </c>
      <c r="H3635" s="9" t="n">
        <f aca="false">IF(G3635&gt;0,D3635/G3635,"")</f>
        <v>3.3</v>
      </c>
      <c r="I3635" s="10" t="n">
        <v>46211</v>
      </c>
      <c r="K3635" s="10"/>
      <c r="M3635" s="7"/>
      <c r="N3635" s="8"/>
      <c r="O3635" s="4"/>
    </row>
    <row r="3636" customFormat="false" ht="15" hidden="false" customHeight="false" outlineLevel="0" collapsed="false">
      <c r="A3636" s="0" t="s">
        <v>5081</v>
      </c>
      <c r="C3636" s="0" t="s">
        <v>34</v>
      </c>
      <c r="D3636" s="7" t="n">
        <v>1440</v>
      </c>
      <c r="E3636" s="8" t="n">
        <v>0.0384027777777778</v>
      </c>
      <c r="F3636" s="4" t="n">
        <f aca="false">D3636*E3636</f>
        <v>55.3</v>
      </c>
      <c r="G3636" s="7" t="n">
        <v>222</v>
      </c>
      <c r="H3636" s="9" t="n">
        <f aca="false">IF(G3636&gt;0,D3636/G3636,"")</f>
        <v>6.48648648648649</v>
      </c>
      <c r="I3636" s="10" t="n">
        <v>46268</v>
      </c>
      <c r="J3636" s="3" t="s">
        <v>2914</v>
      </c>
      <c r="K3636" s="10" t="n">
        <v>45562</v>
      </c>
      <c r="L3636" s="3" t="s">
        <v>16</v>
      </c>
      <c r="M3636" s="7" t="n">
        <v>2000</v>
      </c>
      <c r="N3636" s="8" t="n">
        <v>0.0384</v>
      </c>
      <c r="O3636" s="4" t="n">
        <f aca="false">M3636*N3636</f>
        <v>76.8</v>
      </c>
    </row>
    <row r="3637" customFormat="false" ht="15" hidden="false" customHeight="false" outlineLevel="0" collapsed="false">
      <c r="A3637" s="0" t="s">
        <v>5082</v>
      </c>
      <c r="C3637" s="0" t="s">
        <v>38</v>
      </c>
      <c r="D3637" s="7" t="n">
        <v>888</v>
      </c>
      <c r="E3637" s="8" t="n">
        <v>0.0622297297297297</v>
      </c>
      <c r="F3637" s="4" t="n">
        <f aca="false">D3637*E3637</f>
        <v>55.26</v>
      </c>
      <c r="G3637" s="7" t="n">
        <v>527</v>
      </c>
      <c r="H3637" s="9" t="n">
        <f aca="false">IF(G3637&gt;0,D3637/G3637,"")</f>
        <v>1.68500948766603</v>
      </c>
      <c r="I3637" s="10" t="n">
        <v>46295</v>
      </c>
      <c r="J3637" s="3" t="s">
        <v>3616</v>
      </c>
      <c r="K3637" s="10" t="n">
        <v>45471</v>
      </c>
      <c r="L3637" s="3" t="s">
        <v>18</v>
      </c>
      <c r="M3637" s="7" t="n">
        <v>1500</v>
      </c>
      <c r="N3637" s="8" t="n">
        <v>0.0646</v>
      </c>
      <c r="O3637" s="4" t="n">
        <f aca="false">M3637*N3637</f>
        <v>96.9</v>
      </c>
    </row>
    <row r="3638" customFormat="false" ht="15" hidden="false" customHeight="false" outlineLevel="0" collapsed="false">
      <c r="A3638" s="0" t="s">
        <v>5083</v>
      </c>
      <c r="C3638" s="0" t="s">
        <v>40</v>
      </c>
      <c r="D3638" s="7" t="n">
        <v>2938</v>
      </c>
      <c r="E3638" s="8" t="n">
        <v>0.0188019060585432</v>
      </c>
      <c r="F3638" s="4" t="n">
        <f aca="false">D3638*E3638</f>
        <v>55.24</v>
      </c>
      <c r="G3638" s="7" t="n">
        <v>714</v>
      </c>
      <c r="H3638" s="9" t="n">
        <f aca="false">IF(G3638&gt;0,D3638/G3638,"")</f>
        <v>4.11484593837535</v>
      </c>
      <c r="I3638" s="10" t="n">
        <v>46281</v>
      </c>
      <c r="J3638" s="3" t="s">
        <v>2346</v>
      </c>
      <c r="K3638" s="10" t="n">
        <v>45265</v>
      </c>
      <c r="L3638" s="3" t="s">
        <v>18</v>
      </c>
      <c r="M3638" s="7" t="n">
        <v>5300</v>
      </c>
      <c r="N3638" s="8" t="n">
        <v>0.0188</v>
      </c>
      <c r="O3638" s="4" t="n">
        <f aca="false">M3638*N3638</f>
        <v>99.64</v>
      </c>
    </row>
    <row r="3639" customFormat="false" ht="15" hidden="false" customHeight="false" outlineLevel="0" collapsed="false">
      <c r="A3639" s="0" t="s">
        <v>5084</v>
      </c>
      <c r="C3639" s="0" t="s">
        <v>855</v>
      </c>
      <c r="D3639" s="7" t="n">
        <v>799</v>
      </c>
      <c r="E3639" s="8" t="n">
        <v>0.0690863579474343</v>
      </c>
      <c r="F3639" s="4" t="n">
        <f aca="false">D3639*E3639</f>
        <v>55.2</v>
      </c>
      <c r="G3639" s="7" t="n">
        <v>42</v>
      </c>
      <c r="H3639" s="9" t="n">
        <f aca="false">IF(G3639&gt;0,D3639/G3639,"")</f>
        <v>19.0238095238095</v>
      </c>
      <c r="I3639" s="10" t="n">
        <v>46210</v>
      </c>
      <c r="J3639" s="3" t="s">
        <v>2239</v>
      </c>
      <c r="K3639" s="10" t="n">
        <v>44281</v>
      </c>
      <c r="L3639" s="3" t="s">
        <v>19</v>
      </c>
      <c r="M3639" s="7" t="n">
        <v>2500</v>
      </c>
      <c r="N3639" s="8" t="n">
        <v>0.0691</v>
      </c>
      <c r="O3639" s="4" t="n">
        <f aca="false">M3639*N3639</f>
        <v>172.75</v>
      </c>
    </row>
    <row r="3640" customFormat="false" ht="15" hidden="false" customHeight="false" outlineLevel="0" collapsed="false">
      <c r="A3640" s="0" t="s">
        <v>5085</v>
      </c>
      <c r="C3640" s="0" t="s">
        <v>33</v>
      </c>
      <c r="D3640" s="7" t="n">
        <v>58</v>
      </c>
      <c r="E3640" s="8" t="n">
        <v>0.951551724137931</v>
      </c>
      <c r="F3640" s="4" t="n">
        <f aca="false">D3640*E3640</f>
        <v>55.19</v>
      </c>
      <c r="G3640" s="7" t="n">
        <v>23</v>
      </c>
      <c r="H3640" s="9" t="n">
        <f aca="false">IF(G3640&gt;0,D3640/G3640,"")</f>
        <v>2.52173913043478</v>
      </c>
      <c r="I3640" s="10" t="n">
        <v>46288</v>
      </c>
      <c r="J3640" s="3" t="s">
        <v>5086</v>
      </c>
      <c r="K3640" s="10" t="n">
        <v>45429</v>
      </c>
      <c r="L3640" s="3" t="s">
        <v>18</v>
      </c>
      <c r="M3640" s="7" t="n">
        <v>157</v>
      </c>
      <c r="N3640" s="8" t="n">
        <v>0.9516</v>
      </c>
      <c r="O3640" s="4" t="n">
        <f aca="false">M3640*N3640</f>
        <v>149.4012</v>
      </c>
    </row>
    <row r="3641" customFormat="false" ht="15" hidden="false" customHeight="false" outlineLevel="0" collapsed="false">
      <c r="A3641" s="0" t="s">
        <v>5087</v>
      </c>
      <c r="C3641" s="0" t="s">
        <v>285</v>
      </c>
      <c r="D3641" s="7" t="n">
        <v>2410</v>
      </c>
      <c r="E3641" s="8" t="n">
        <v>0.022896265560166</v>
      </c>
      <c r="F3641" s="4" t="n">
        <f aca="false">D3641*E3641</f>
        <v>55.18</v>
      </c>
      <c r="G3641" s="7" t="n">
        <v>550</v>
      </c>
      <c r="H3641" s="9" t="n">
        <f aca="false">IF(G3641&gt;0,D3641/G3641,"")</f>
        <v>4.38181818181818</v>
      </c>
      <c r="I3641" s="10" t="n">
        <v>46255</v>
      </c>
      <c r="K3641" s="10"/>
      <c r="M3641" s="7"/>
      <c r="N3641" s="8"/>
      <c r="O3641" s="4"/>
    </row>
    <row r="3642" customFormat="false" ht="15" hidden="false" customHeight="false" outlineLevel="0" collapsed="false">
      <c r="A3642" s="0" t="s">
        <v>5088</v>
      </c>
      <c r="C3642" s="0" t="s">
        <v>39</v>
      </c>
      <c r="D3642" s="7" t="n">
        <v>38</v>
      </c>
      <c r="E3642" s="8" t="n">
        <v>1.4521052631579</v>
      </c>
      <c r="F3642" s="4" t="n">
        <f aca="false">D3642*E3642</f>
        <v>55.18</v>
      </c>
      <c r="G3642" s="7" t="n">
        <v>38</v>
      </c>
      <c r="H3642" s="9" t="n">
        <f aca="false">IF(G3642&gt;0,D3642/G3642,"")</f>
        <v>1</v>
      </c>
      <c r="I3642" s="10" t="n">
        <v>46301</v>
      </c>
      <c r="J3642" s="3" t="s">
        <v>5089</v>
      </c>
      <c r="K3642" s="10" t="n">
        <v>46043</v>
      </c>
      <c r="L3642" s="3" t="s">
        <v>18</v>
      </c>
      <c r="M3642" s="7" t="n">
        <v>64</v>
      </c>
      <c r="N3642" s="8" t="n">
        <v>1.4521</v>
      </c>
      <c r="O3642" s="4" t="n">
        <f aca="false">M3642*N3642</f>
        <v>92.9344</v>
      </c>
    </row>
    <row r="3643" customFormat="false" ht="15" hidden="false" customHeight="false" outlineLevel="0" collapsed="false">
      <c r="A3643" s="0" t="s">
        <v>5090</v>
      </c>
      <c r="C3643" s="0" t="s">
        <v>5091</v>
      </c>
      <c r="D3643" s="7" t="n">
        <v>38</v>
      </c>
      <c r="E3643" s="8" t="n">
        <v>1.45</v>
      </c>
      <c r="F3643" s="4" t="n">
        <f aca="false">D3643*E3643</f>
        <v>55.1</v>
      </c>
      <c r="G3643" s="7" t="n">
        <v>6</v>
      </c>
      <c r="H3643" s="9" t="n">
        <f aca="false">IF(G3643&gt;0,D3643/G3643,"")</f>
        <v>6.33333333333333</v>
      </c>
      <c r="I3643" s="10" t="n">
        <v>46309</v>
      </c>
      <c r="J3643" s="3" t="s">
        <v>2496</v>
      </c>
      <c r="K3643" s="10" t="n">
        <v>45978</v>
      </c>
      <c r="L3643" s="3" t="s">
        <v>14</v>
      </c>
      <c r="M3643" s="7" t="n">
        <v>40</v>
      </c>
      <c r="N3643" s="8" t="n">
        <v>1.45</v>
      </c>
      <c r="O3643" s="4" t="n">
        <f aca="false">M3643*N3643</f>
        <v>58</v>
      </c>
    </row>
    <row r="3644" customFormat="false" ht="15" hidden="false" customHeight="false" outlineLevel="0" collapsed="false">
      <c r="A3644" s="0" t="s">
        <v>5092</v>
      </c>
      <c r="C3644" s="0" t="s">
        <v>34</v>
      </c>
      <c r="D3644" s="7" t="n">
        <v>3758</v>
      </c>
      <c r="E3644" s="8" t="n">
        <v>0.0146593932943055</v>
      </c>
      <c r="F3644" s="4" t="n">
        <f aca="false">D3644*E3644</f>
        <v>55.09</v>
      </c>
      <c r="G3644" s="7" t="n">
        <v>1146</v>
      </c>
      <c r="H3644" s="9" t="n">
        <f aca="false">IF(G3644&gt;0,D3644/G3644,"")</f>
        <v>3.27923211169284</v>
      </c>
      <c r="I3644" s="10" t="n">
        <v>46237</v>
      </c>
      <c r="J3644" s="3" t="s">
        <v>1396</v>
      </c>
      <c r="K3644" s="10" t="n">
        <v>45398</v>
      </c>
      <c r="L3644" s="3" t="s">
        <v>15</v>
      </c>
      <c r="M3644" s="7" t="n">
        <v>6080</v>
      </c>
      <c r="N3644" s="8" t="n">
        <v>0.01465</v>
      </c>
      <c r="O3644" s="4" t="n">
        <f aca="false">M3644*N3644</f>
        <v>89.072</v>
      </c>
    </row>
    <row r="3645" customFormat="false" ht="15" hidden="false" customHeight="false" outlineLevel="0" collapsed="false">
      <c r="A3645" s="0" t="s">
        <v>5093</v>
      </c>
      <c r="C3645" s="0" t="s">
        <v>1169</v>
      </c>
      <c r="D3645" s="7" t="n">
        <v>1530</v>
      </c>
      <c r="E3645" s="8" t="n">
        <v>0.036</v>
      </c>
      <c r="F3645" s="4" t="n">
        <f aca="false">D3645*E3645</f>
        <v>55.08</v>
      </c>
      <c r="G3645" s="7" t="n">
        <v>1009</v>
      </c>
      <c r="H3645" s="9" t="n">
        <f aca="false">IF(G3645&gt;0,D3645/G3645,"")</f>
        <v>1.51635282457879</v>
      </c>
      <c r="I3645" s="10" t="n">
        <v>46273</v>
      </c>
      <c r="J3645" s="3" t="s">
        <v>2900</v>
      </c>
      <c r="K3645" s="10" t="n">
        <v>45468</v>
      </c>
      <c r="L3645" s="3" t="s">
        <v>21</v>
      </c>
      <c r="M3645" s="7" t="n">
        <v>3000</v>
      </c>
      <c r="N3645" s="8" t="n">
        <v>0.036</v>
      </c>
      <c r="O3645" s="4" t="n">
        <f aca="false">M3645*N3645</f>
        <v>108</v>
      </c>
    </row>
    <row r="3646" customFormat="false" ht="15" hidden="false" customHeight="false" outlineLevel="0" collapsed="false">
      <c r="A3646" s="0" t="s">
        <v>5094</v>
      </c>
      <c r="C3646" s="0" t="s">
        <v>1039</v>
      </c>
      <c r="D3646" s="7" t="n">
        <v>912</v>
      </c>
      <c r="E3646" s="8" t="n">
        <v>0.0603947368421053</v>
      </c>
      <c r="F3646" s="4" t="n">
        <f aca="false">D3646*E3646</f>
        <v>55.08</v>
      </c>
      <c r="G3646" s="7" t="n">
        <v>100</v>
      </c>
      <c r="H3646" s="9" t="n">
        <f aca="false">IF(G3646&gt;0,D3646/G3646,"")</f>
        <v>9.12</v>
      </c>
      <c r="I3646" s="10" t="n">
        <v>46189</v>
      </c>
      <c r="J3646" s="3" t="s">
        <v>2502</v>
      </c>
      <c r="K3646" s="10" t="n">
        <v>46175</v>
      </c>
      <c r="L3646" s="3" t="s">
        <v>16</v>
      </c>
      <c r="M3646" s="7" t="n">
        <v>1012</v>
      </c>
      <c r="N3646" s="8" t="n">
        <v>0.0604</v>
      </c>
      <c r="O3646" s="4" t="n">
        <f aca="false">M3646*N3646</f>
        <v>61.1248</v>
      </c>
    </row>
    <row r="3647" customFormat="false" ht="15" hidden="false" customHeight="false" outlineLevel="0" collapsed="false">
      <c r="A3647" s="0" t="s">
        <v>5095</v>
      </c>
      <c r="C3647" s="0" t="s">
        <v>32</v>
      </c>
      <c r="D3647" s="7" t="n">
        <v>2166</v>
      </c>
      <c r="E3647" s="8" t="n">
        <v>0.0253970452446907</v>
      </c>
      <c r="F3647" s="4" t="n">
        <f aca="false">D3647*E3647</f>
        <v>55.01</v>
      </c>
      <c r="G3647" s="7" t="n">
        <v>715</v>
      </c>
      <c r="H3647" s="9" t="n">
        <f aca="false">IF(G3647&gt;0,D3647/G3647,"")</f>
        <v>3.02937062937063</v>
      </c>
      <c r="I3647" s="10" t="n">
        <v>46301</v>
      </c>
      <c r="K3647" s="10"/>
      <c r="M3647" s="7"/>
      <c r="N3647" s="8"/>
      <c r="O3647" s="4"/>
    </row>
    <row r="3648" customFormat="false" ht="15" hidden="false" customHeight="false" outlineLevel="0" collapsed="false">
      <c r="A3648" s="0" t="s">
        <v>5096</v>
      </c>
      <c r="C3648" s="0" t="s">
        <v>35</v>
      </c>
      <c r="D3648" s="7" t="n">
        <v>15</v>
      </c>
      <c r="E3648" s="8" t="n">
        <v>3.66466666666667</v>
      </c>
      <c r="F3648" s="4" t="n">
        <f aca="false">D3648*E3648</f>
        <v>54.97</v>
      </c>
      <c r="G3648" s="7" t="n">
        <v>5</v>
      </c>
      <c r="H3648" s="9" t="n">
        <f aca="false">IF(G3648&gt;0,D3648/G3648,"")</f>
        <v>3</v>
      </c>
      <c r="I3648" s="10" t="n">
        <v>46311</v>
      </c>
      <c r="J3648" s="3" t="s">
        <v>873</v>
      </c>
      <c r="K3648" s="10" t="n">
        <v>45984</v>
      </c>
      <c r="L3648" s="3" t="s">
        <v>14</v>
      </c>
      <c r="M3648" s="7" t="n">
        <v>20</v>
      </c>
      <c r="N3648" s="8" t="n">
        <v>3.665</v>
      </c>
      <c r="O3648" s="4" t="n">
        <f aca="false">M3648*N3648</f>
        <v>73.3</v>
      </c>
    </row>
    <row r="3649" customFormat="false" ht="15" hidden="false" customHeight="false" outlineLevel="0" collapsed="false">
      <c r="A3649" s="0" t="s">
        <v>5097</v>
      </c>
      <c r="C3649" s="0" t="s">
        <v>777</v>
      </c>
      <c r="D3649" s="7" t="n">
        <v>570</v>
      </c>
      <c r="E3649" s="8" t="n">
        <v>0.0964385964912281</v>
      </c>
      <c r="F3649" s="4" t="n">
        <f aca="false">D3649*E3649</f>
        <v>54.97</v>
      </c>
      <c r="G3649" s="7" t="n">
        <v>30</v>
      </c>
      <c r="H3649" s="9" t="n">
        <f aca="false">IF(G3649&gt;0,D3649/G3649,"")</f>
        <v>19</v>
      </c>
      <c r="I3649" s="10" t="n">
        <v>46211</v>
      </c>
      <c r="J3649" s="3" t="s">
        <v>341</v>
      </c>
      <c r="K3649" s="10" t="n">
        <v>46078</v>
      </c>
      <c r="L3649" s="3" t="s">
        <v>15</v>
      </c>
      <c r="M3649" s="7" t="n">
        <v>600</v>
      </c>
      <c r="N3649" s="8" t="n">
        <v>0.09643</v>
      </c>
      <c r="O3649" s="4" t="n">
        <f aca="false">M3649*N3649</f>
        <v>57.858</v>
      </c>
    </row>
    <row r="3650" customFormat="false" ht="15" hidden="false" customHeight="false" outlineLevel="0" collapsed="false">
      <c r="A3650" s="0" t="s">
        <v>5098</v>
      </c>
      <c r="C3650" s="0" t="s">
        <v>118</v>
      </c>
      <c r="D3650" s="7" t="n">
        <v>3544</v>
      </c>
      <c r="E3650" s="8" t="n">
        <v>0.015505079006772</v>
      </c>
      <c r="F3650" s="4" t="n">
        <f aca="false">D3650*E3650</f>
        <v>54.95</v>
      </c>
      <c r="G3650" s="7" t="n">
        <v>1108</v>
      </c>
      <c r="H3650" s="9" t="n">
        <f aca="false">IF(G3650&gt;0,D3650/G3650,"")</f>
        <v>3.1985559566787</v>
      </c>
      <c r="I3650" s="10" t="n">
        <v>46314</v>
      </c>
      <c r="J3650" s="3" t="s">
        <v>5099</v>
      </c>
      <c r="K3650" s="10" t="n">
        <v>44680</v>
      </c>
      <c r="L3650" s="3" t="s">
        <v>20</v>
      </c>
      <c r="M3650" s="7" t="n">
        <v>6490</v>
      </c>
      <c r="N3650" s="8" t="n">
        <v>0.0155</v>
      </c>
      <c r="O3650" s="4" t="n">
        <f aca="false">M3650*N3650</f>
        <v>100.595</v>
      </c>
    </row>
    <row r="3651" customFormat="false" ht="15" hidden="false" customHeight="false" outlineLevel="0" collapsed="false">
      <c r="A3651" s="0" t="s">
        <v>5100</v>
      </c>
      <c r="C3651" s="0" t="s">
        <v>31</v>
      </c>
      <c r="D3651" s="7" t="n">
        <v>2149</v>
      </c>
      <c r="E3651" s="8" t="n">
        <v>0.0255607259190321</v>
      </c>
      <c r="F3651" s="4" t="n">
        <f aca="false">D3651*E3651</f>
        <v>54.93</v>
      </c>
      <c r="G3651" s="7" t="n">
        <v>479</v>
      </c>
      <c r="H3651" s="9" t="n">
        <f aca="false">IF(G3651&gt;0,D3651/G3651,"")</f>
        <v>4.48643006263048</v>
      </c>
      <c r="I3651" s="10" t="n">
        <v>46304</v>
      </c>
      <c r="J3651" s="3" t="s">
        <v>2392</v>
      </c>
      <c r="K3651" s="10" t="n">
        <v>46274</v>
      </c>
      <c r="L3651" s="3" t="s">
        <v>16</v>
      </c>
      <c r="M3651" s="7" t="n">
        <v>2200</v>
      </c>
      <c r="N3651" s="8" t="n">
        <v>0.0231</v>
      </c>
      <c r="O3651" s="4" t="n">
        <f aca="false">M3651*N3651</f>
        <v>50.82</v>
      </c>
    </row>
    <row r="3652" customFormat="false" ht="15" hidden="false" customHeight="false" outlineLevel="0" collapsed="false">
      <c r="A3652" s="0" t="s">
        <v>5101</v>
      </c>
      <c r="C3652" s="0" t="s">
        <v>40</v>
      </c>
      <c r="D3652" s="7" t="n">
        <v>282</v>
      </c>
      <c r="E3652" s="8" t="n">
        <v>0.194574468085106</v>
      </c>
      <c r="F3652" s="4" t="n">
        <f aca="false">D3652*E3652</f>
        <v>54.87</v>
      </c>
      <c r="G3652" s="7" t="n">
        <v>45</v>
      </c>
      <c r="H3652" s="9" t="n">
        <f aca="false">IF(G3652&gt;0,D3652/G3652,"")</f>
        <v>6.26666666666667</v>
      </c>
      <c r="I3652" s="10" t="n">
        <v>46288</v>
      </c>
      <c r="J3652" s="3" t="s">
        <v>1440</v>
      </c>
      <c r="K3652" s="10" t="n">
        <v>46280</v>
      </c>
      <c r="L3652" s="3" t="s">
        <v>18</v>
      </c>
      <c r="M3652" s="7" t="n">
        <v>296</v>
      </c>
      <c r="N3652" s="8" t="n">
        <v>0.1946</v>
      </c>
      <c r="O3652" s="4" t="n">
        <f aca="false">M3652*N3652</f>
        <v>57.6016</v>
      </c>
    </row>
    <row r="3653" customFormat="false" ht="15" hidden="false" customHeight="false" outlineLevel="0" collapsed="false">
      <c r="A3653" s="0" t="s">
        <v>5102</v>
      </c>
      <c r="C3653" s="0" t="s">
        <v>4363</v>
      </c>
      <c r="D3653" s="7" t="n">
        <v>6</v>
      </c>
      <c r="E3653" s="8" t="n">
        <v>9.14</v>
      </c>
      <c r="F3653" s="4" t="n">
        <f aca="false">D3653*E3653</f>
        <v>54.84</v>
      </c>
      <c r="G3653" s="7" t="n">
        <v>4</v>
      </c>
      <c r="H3653" s="9" t="n">
        <f aca="false">IF(G3653&gt;0,D3653/G3653,"")</f>
        <v>1.5</v>
      </c>
      <c r="I3653" s="10" t="n">
        <v>46119</v>
      </c>
      <c r="J3653" s="3" t="s">
        <v>5103</v>
      </c>
      <c r="K3653" s="10" t="n">
        <v>46155</v>
      </c>
      <c r="L3653" s="3" t="s">
        <v>4365</v>
      </c>
      <c r="M3653" s="7" t="n">
        <v>5</v>
      </c>
      <c r="N3653" s="8" t="n">
        <v>9.14</v>
      </c>
      <c r="O3653" s="4" t="n">
        <f aca="false">M3653*N3653</f>
        <v>45.7</v>
      </c>
    </row>
    <row r="3654" customFormat="false" ht="15" hidden="false" customHeight="false" outlineLevel="0" collapsed="false">
      <c r="A3654" s="0" t="s">
        <v>5104</v>
      </c>
      <c r="C3654" s="0" t="s">
        <v>36</v>
      </c>
      <c r="D3654" s="7" t="n">
        <v>275</v>
      </c>
      <c r="E3654" s="8" t="n">
        <v>0.199381818181818</v>
      </c>
      <c r="F3654" s="4" t="n">
        <f aca="false">D3654*E3654</f>
        <v>54.83</v>
      </c>
      <c r="G3654" s="7" t="n">
        <v>117</v>
      </c>
      <c r="H3654" s="9" t="n">
        <f aca="false">IF(G3654&gt;0,D3654/G3654,"")</f>
        <v>2.35042735042735</v>
      </c>
      <c r="I3654" s="10" t="n">
        <v>46288</v>
      </c>
      <c r="J3654" s="3" t="s">
        <v>4012</v>
      </c>
      <c r="K3654" s="10" t="n">
        <v>45733</v>
      </c>
      <c r="L3654" s="3" t="s">
        <v>18</v>
      </c>
      <c r="M3654" s="7" t="n">
        <v>400</v>
      </c>
      <c r="N3654" s="8" t="n">
        <v>0.1994</v>
      </c>
      <c r="O3654" s="4" t="n">
        <f aca="false">M3654*N3654</f>
        <v>79.76</v>
      </c>
    </row>
    <row r="3655" customFormat="false" ht="15" hidden="false" customHeight="false" outlineLevel="0" collapsed="false">
      <c r="A3655" s="0" t="s">
        <v>5105</v>
      </c>
      <c r="C3655" s="0" t="s">
        <v>340</v>
      </c>
      <c r="D3655" s="7" t="n">
        <v>26107</v>
      </c>
      <c r="E3655" s="8" t="n">
        <v>0.00209981997165511</v>
      </c>
      <c r="F3655" s="4" t="n">
        <f aca="false">D3655*E3655</f>
        <v>54.82</v>
      </c>
      <c r="G3655" s="7" t="n">
        <v>6512</v>
      </c>
      <c r="H3655" s="9" t="n">
        <f aca="false">IF(G3655&gt;0,D3655/G3655,"")</f>
        <v>4.0090601965602</v>
      </c>
      <c r="I3655" s="10" t="n">
        <v>46293</v>
      </c>
      <c r="K3655" s="10"/>
      <c r="M3655" s="7"/>
      <c r="N3655" s="8"/>
      <c r="O3655" s="4"/>
    </row>
    <row r="3656" customFormat="false" ht="15" hidden="false" customHeight="false" outlineLevel="0" collapsed="false">
      <c r="A3656" s="0" t="s">
        <v>5106</v>
      </c>
      <c r="C3656" s="0" t="s">
        <v>765</v>
      </c>
      <c r="D3656" s="7" t="n">
        <v>63</v>
      </c>
      <c r="E3656" s="8" t="n">
        <v>0.86984126984127</v>
      </c>
      <c r="F3656" s="4" t="n">
        <f aca="false">D3656*E3656</f>
        <v>54.8</v>
      </c>
      <c r="G3656" s="7" t="n">
        <v>40</v>
      </c>
      <c r="H3656" s="9" t="n">
        <f aca="false">IF(G3656&gt;0,D3656/G3656,"")</f>
        <v>1.575</v>
      </c>
      <c r="I3656" s="10" t="n">
        <v>46150</v>
      </c>
      <c r="J3656" s="3" t="s">
        <v>4419</v>
      </c>
      <c r="K3656" s="10" t="n">
        <v>46141</v>
      </c>
      <c r="L3656" s="3" t="s">
        <v>14</v>
      </c>
      <c r="M3656" s="7" t="n">
        <v>100</v>
      </c>
      <c r="N3656" s="8" t="n">
        <v>0.8699</v>
      </c>
      <c r="O3656" s="4" t="n">
        <f aca="false">M3656*N3656</f>
        <v>86.99</v>
      </c>
    </row>
    <row r="3657" customFormat="false" ht="15" hidden="false" customHeight="false" outlineLevel="0" collapsed="false">
      <c r="A3657" s="0" t="s">
        <v>5107</v>
      </c>
      <c r="C3657" s="0" t="s">
        <v>33</v>
      </c>
      <c r="D3657" s="7" t="n">
        <v>188</v>
      </c>
      <c r="E3657" s="8" t="n">
        <v>0.291489361702128</v>
      </c>
      <c r="F3657" s="4" t="n">
        <f aca="false">D3657*E3657</f>
        <v>54.8</v>
      </c>
      <c r="G3657" s="7" t="n">
        <v>90</v>
      </c>
      <c r="H3657" s="9" t="n">
        <f aca="false">IF(G3657&gt;0,D3657/G3657,"")</f>
        <v>2.08888888888889</v>
      </c>
      <c r="I3657" s="10" t="n">
        <v>46233</v>
      </c>
      <c r="J3657" s="3" t="s">
        <v>5108</v>
      </c>
      <c r="K3657" s="10" t="n">
        <v>44819</v>
      </c>
      <c r="L3657" s="3" t="s">
        <v>18</v>
      </c>
      <c r="M3657" s="7" t="n">
        <v>329</v>
      </c>
      <c r="N3657" s="8" t="n">
        <v>0</v>
      </c>
      <c r="O3657" s="4" t="n">
        <v>101.376</v>
      </c>
    </row>
    <row r="3658" customFormat="false" ht="15" hidden="false" customHeight="false" outlineLevel="0" collapsed="false">
      <c r="A3658" s="0" t="s">
        <v>5109</v>
      </c>
      <c r="C3658" s="0" t="s">
        <v>1101</v>
      </c>
      <c r="D3658" s="7" t="n">
        <v>14</v>
      </c>
      <c r="E3658" s="8" t="n">
        <v>3.91</v>
      </c>
      <c r="F3658" s="4" t="n">
        <f aca="false">D3658*E3658</f>
        <v>54.74</v>
      </c>
      <c r="G3658" s="7" t="n">
        <v>6</v>
      </c>
      <c r="H3658" s="9" t="n">
        <f aca="false">IF(G3658&gt;0,D3658/G3658,"")</f>
        <v>2.33333333333333</v>
      </c>
      <c r="I3658" s="10" t="n">
        <v>46139</v>
      </c>
      <c r="J3658" s="3" t="s">
        <v>5110</v>
      </c>
      <c r="K3658" s="10" t="n">
        <v>46114</v>
      </c>
      <c r="L3658" s="3" t="s">
        <v>834</v>
      </c>
      <c r="M3658" s="7" t="n">
        <v>20</v>
      </c>
      <c r="N3658" s="8" t="n">
        <v>3.91</v>
      </c>
      <c r="O3658" s="4" t="n">
        <f aca="false">M3658*N3658</f>
        <v>78.2</v>
      </c>
    </row>
    <row r="3659" customFormat="false" ht="15" hidden="false" customHeight="false" outlineLevel="0" collapsed="false">
      <c r="A3659" s="0" t="s">
        <v>5111</v>
      </c>
      <c r="C3659" s="0" t="s">
        <v>33</v>
      </c>
      <c r="D3659" s="7" t="n">
        <v>79</v>
      </c>
      <c r="E3659" s="8" t="n">
        <v>0.692784810126582</v>
      </c>
      <c r="F3659" s="4" t="n">
        <f aca="false">D3659*E3659</f>
        <v>54.73</v>
      </c>
      <c r="G3659" s="7" t="n">
        <v>67</v>
      </c>
      <c r="H3659" s="9" t="n">
        <f aca="false">IF(G3659&gt;0,D3659/G3659,"")</f>
        <v>1.17910447761194</v>
      </c>
      <c r="I3659" s="10" t="n">
        <v>46281</v>
      </c>
      <c r="J3659" s="3" t="s">
        <v>3533</v>
      </c>
      <c r="K3659" s="10" t="n">
        <v>45903</v>
      </c>
      <c r="L3659" s="3" t="s">
        <v>18</v>
      </c>
      <c r="M3659" s="7" t="n">
        <v>140</v>
      </c>
      <c r="N3659" s="8" t="n">
        <v>0.6928</v>
      </c>
      <c r="O3659" s="4" t="n">
        <f aca="false">M3659*N3659</f>
        <v>96.992</v>
      </c>
    </row>
    <row r="3660" customFormat="false" ht="15" hidden="false" customHeight="false" outlineLevel="0" collapsed="false">
      <c r="A3660" s="0" t="s">
        <v>5112</v>
      </c>
      <c r="C3660" s="0" t="s">
        <v>38</v>
      </c>
      <c r="D3660" s="7" t="n">
        <v>101</v>
      </c>
      <c r="E3660" s="8" t="n">
        <v>0.541584158415842</v>
      </c>
      <c r="F3660" s="4" t="n">
        <f aca="false">D3660*E3660</f>
        <v>54.7</v>
      </c>
      <c r="G3660" s="7" t="n">
        <v>11</v>
      </c>
      <c r="H3660" s="9" t="n">
        <f aca="false">IF(G3660&gt;0,D3660/G3660,"")</f>
        <v>9.18181818181818</v>
      </c>
      <c r="I3660" s="10" t="n">
        <v>46149</v>
      </c>
      <c r="J3660" s="3" t="s">
        <v>5113</v>
      </c>
      <c r="K3660" s="10" t="n">
        <v>45551</v>
      </c>
      <c r="L3660" s="3" t="s">
        <v>14</v>
      </c>
      <c r="M3660" s="7" t="n">
        <v>10</v>
      </c>
      <c r="N3660" s="8" t="n">
        <v>0.859</v>
      </c>
      <c r="O3660" s="4" t="n">
        <f aca="false">M3660*N3660</f>
        <v>8.59</v>
      </c>
    </row>
    <row r="3661" customFormat="false" ht="15" hidden="false" customHeight="false" outlineLevel="0" collapsed="false">
      <c r="A3661" s="0" t="s">
        <v>5114</v>
      </c>
      <c r="C3661" s="0" t="s">
        <v>1039</v>
      </c>
      <c r="D3661" s="7" t="n">
        <v>597</v>
      </c>
      <c r="E3661" s="8" t="n">
        <v>0.091608040201005</v>
      </c>
      <c r="F3661" s="4" t="n">
        <f aca="false">D3661*E3661</f>
        <v>54.69</v>
      </c>
      <c r="G3661" s="7" t="n">
        <v>14</v>
      </c>
      <c r="H3661" s="9" t="n">
        <f aca="false">IF(G3661&gt;0,D3661/G3661,"")</f>
        <v>42.6428571428571</v>
      </c>
      <c r="I3661" s="10" t="n">
        <v>46316</v>
      </c>
      <c r="K3661" s="10"/>
      <c r="M3661" s="7"/>
      <c r="N3661" s="8"/>
      <c r="O3661" s="4"/>
    </row>
    <row r="3662" customFormat="false" ht="15" hidden="false" customHeight="false" outlineLevel="0" collapsed="false">
      <c r="A3662" s="0" t="s">
        <v>5115</v>
      </c>
      <c r="C3662" s="0" t="s">
        <v>4136</v>
      </c>
      <c r="D3662" s="7" t="n">
        <v>975</v>
      </c>
      <c r="E3662" s="8" t="n">
        <v>0.0560102564102564</v>
      </c>
      <c r="F3662" s="4" t="n">
        <f aca="false">D3662*E3662</f>
        <v>54.61</v>
      </c>
      <c r="G3662" s="7" t="n">
        <v>18</v>
      </c>
      <c r="H3662" s="9" t="n">
        <f aca="false">IF(G3662&gt;0,D3662/G3662,"")</f>
        <v>54.1666666666667</v>
      </c>
      <c r="I3662" s="10" t="n">
        <v>46133</v>
      </c>
      <c r="K3662" s="10"/>
      <c r="M3662" s="7"/>
      <c r="N3662" s="8"/>
      <c r="O3662" s="4"/>
    </row>
    <row r="3663" customFormat="false" ht="15" hidden="false" customHeight="false" outlineLevel="0" collapsed="false">
      <c r="A3663" s="0" t="s">
        <v>5116</v>
      </c>
      <c r="C3663" s="0" t="s">
        <v>34</v>
      </c>
      <c r="D3663" s="7" t="n">
        <v>666</v>
      </c>
      <c r="E3663" s="8" t="n">
        <v>0.081996996996997</v>
      </c>
      <c r="F3663" s="4" t="n">
        <f aca="false">D3663*E3663</f>
        <v>54.61</v>
      </c>
      <c r="G3663" s="7" t="n">
        <v>13</v>
      </c>
      <c r="H3663" s="9" t="n">
        <f aca="false">IF(G3663&gt;0,D3663/G3663,"")</f>
        <v>51.2307692307692</v>
      </c>
      <c r="I3663" s="10" t="n">
        <v>46150</v>
      </c>
      <c r="J3663" s="3" t="s">
        <v>5117</v>
      </c>
      <c r="K3663" s="10" t="n">
        <v>44232</v>
      </c>
      <c r="L3663" s="3" t="s">
        <v>19</v>
      </c>
      <c r="M3663" s="7" t="n">
        <v>50</v>
      </c>
      <c r="N3663" s="8" t="n">
        <v>0.2956</v>
      </c>
      <c r="O3663" s="4" t="n">
        <f aca="false">M3663*N3663</f>
        <v>14.78</v>
      </c>
    </row>
    <row r="3664" customFormat="false" ht="15" hidden="false" customHeight="false" outlineLevel="0" collapsed="false">
      <c r="A3664" s="0" t="s">
        <v>5118</v>
      </c>
      <c r="C3664" s="0" t="s">
        <v>1039</v>
      </c>
      <c r="D3664" s="7" t="n">
        <v>1154</v>
      </c>
      <c r="E3664" s="8" t="n">
        <v>0.0471923743500867</v>
      </c>
      <c r="F3664" s="4" t="n">
        <f aca="false">D3664*E3664</f>
        <v>54.46</v>
      </c>
      <c r="G3664" s="7" t="n">
        <v>109</v>
      </c>
      <c r="H3664" s="9" t="n">
        <f aca="false">IF(G3664&gt;0,D3664/G3664,"")</f>
        <v>10.5871559633028</v>
      </c>
      <c r="I3664" s="10" t="n">
        <v>46317</v>
      </c>
      <c r="J3664" s="3" t="s">
        <v>5119</v>
      </c>
      <c r="K3664" s="10" t="n">
        <v>46164</v>
      </c>
      <c r="L3664" s="3" t="s">
        <v>16</v>
      </c>
      <c r="M3664" s="7" t="n">
        <v>1263</v>
      </c>
      <c r="N3664" s="8" t="n">
        <v>0.0472</v>
      </c>
      <c r="O3664" s="4" t="n">
        <f aca="false">M3664*N3664</f>
        <v>59.6136</v>
      </c>
    </row>
    <row r="3665" customFormat="false" ht="15" hidden="false" customHeight="false" outlineLevel="0" collapsed="false">
      <c r="A3665" s="0" t="s">
        <v>5120</v>
      </c>
      <c r="C3665" s="0" t="s">
        <v>100</v>
      </c>
      <c r="D3665" s="7" t="n">
        <v>30</v>
      </c>
      <c r="E3665" s="8" t="n">
        <v>1.81533333333333</v>
      </c>
      <c r="F3665" s="4" t="n">
        <f aca="false">D3665*E3665</f>
        <v>54.46</v>
      </c>
      <c r="G3665" s="7" t="n">
        <v>10</v>
      </c>
      <c r="H3665" s="9" t="n">
        <f aca="false">IF(G3665&gt;0,D3665/G3665,"")</f>
        <v>3</v>
      </c>
      <c r="I3665" s="10" t="n">
        <v>45974</v>
      </c>
      <c r="J3665" s="3" t="s">
        <v>1371</v>
      </c>
      <c r="K3665" s="10" t="n">
        <v>45509</v>
      </c>
      <c r="L3665" s="3" t="s">
        <v>16</v>
      </c>
      <c r="M3665" s="7" t="n">
        <v>50</v>
      </c>
      <c r="N3665" s="8" t="n">
        <v>1.8152</v>
      </c>
      <c r="O3665" s="4" t="n">
        <f aca="false">M3665*N3665</f>
        <v>90.76</v>
      </c>
    </row>
    <row r="3666" customFormat="false" ht="15" hidden="false" customHeight="false" outlineLevel="0" collapsed="false">
      <c r="A3666" s="0" t="s">
        <v>5121</v>
      </c>
      <c r="C3666" s="0" t="s">
        <v>34</v>
      </c>
      <c r="D3666" s="7" t="n">
        <v>49</v>
      </c>
      <c r="E3666" s="8" t="n">
        <v>1.11</v>
      </c>
      <c r="F3666" s="4" t="n">
        <f aca="false">D3666*E3666</f>
        <v>54.39</v>
      </c>
      <c r="G3666" s="7" t="n">
        <v>22</v>
      </c>
      <c r="H3666" s="9" t="n">
        <f aca="false">IF(G3666&gt;0,D3666/G3666,"")</f>
        <v>2.22727272727273</v>
      </c>
      <c r="I3666" s="10" t="n">
        <v>46163</v>
      </c>
      <c r="K3666" s="10"/>
      <c r="M3666" s="7"/>
      <c r="N3666" s="8"/>
      <c r="O3666" s="4"/>
    </row>
    <row r="3667" customFormat="false" ht="15" hidden="false" customHeight="false" outlineLevel="0" collapsed="false">
      <c r="A3667" s="0" t="s">
        <v>5122</v>
      </c>
      <c r="C3667" s="0" t="s">
        <v>40</v>
      </c>
      <c r="D3667" s="7" t="n">
        <v>9374</v>
      </c>
      <c r="E3667" s="8" t="n">
        <v>0.00580008534243653</v>
      </c>
      <c r="F3667" s="4" t="n">
        <f aca="false">D3667*E3667</f>
        <v>54.37</v>
      </c>
      <c r="G3667" s="7" t="n">
        <v>1875</v>
      </c>
      <c r="H3667" s="9" t="n">
        <f aca="false">IF(G3667&gt;0,D3667/G3667,"")</f>
        <v>4.99946666666667</v>
      </c>
      <c r="I3667" s="10" t="n">
        <v>46300</v>
      </c>
      <c r="J3667" s="3" t="s">
        <v>5123</v>
      </c>
      <c r="K3667" s="10" t="n">
        <v>45574</v>
      </c>
      <c r="L3667" s="3" t="s">
        <v>18</v>
      </c>
      <c r="M3667" s="7" t="n">
        <v>11485</v>
      </c>
      <c r="N3667" s="8" t="n">
        <v>0.0058</v>
      </c>
      <c r="O3667" s="4" t="n">
        <f aca="false">M3667*N3667</f>
        <v>66.613</v>
      </c>
    </row>
    <row r="3668" customFormat="false" ht="15" hidden="false" customHeight="false" outlineLevel="0" collapsed="false">
      <c r="A3668" s="0" t="s">
        <v>5124</v>
      </c>
      <c r="C3668" s="0" t="s">
        <v>32</v>
      </c>
      <c r="D3668" s="7" t="n">
        <v>153</v>
      </c>
      <c r="E3668" s="8" t="n">
        <v>0.355294117647059</v>
      </c>
      <c r="F3668" s="4" t="n">
        <f aca="false">D3668*E3668</f>
        <v>54.36</v>
      </c>
      <c r="G3668" s="7" t="n">
        <v>132</v>
      </c>
      <c r="H3668" s="9" t="n">
        <f aca="false">IF(G3668&gt;0,D3668/G3668,"")</f>
        <v>1.15909090909091</v>
      </c>
      <c r="I3668" s="10" t="n">
        <v>46174</v>
      </c>
      <c r="J3668" s="3" t="s">
        <v>1120</v>
      </c>
      <c r="K3668" s="10" t="n">
        <v>45960</v>
      </c>
      <c r="L3668" s="3" t="s">
        <v>18</v>
      </c>
      <c r="M3668" s="7" t="n">
        <v>250</v>
      </c>
      <c r="N3668" s="8" t="n">
        <v>0.3553</v>
      </c>
      <c r="O3668" s="4" t="n">
        <f aca="false">M3668*N3668</f>
        <v>88.825</v>
      </c>
    </row>
    <row r="3669" customFormat="false" ht="15" hidden="false" customHeight="false" outlineLevel="0" collapsed="false">
      <c r="A3669" s="0" t="s">
        <v>5125</v>
      </c>
      <c r="C3669" s="0" t="s">
        <v>844</v>
      </c>
      <c r="D3669" s="7" t="n">
        <v>29</v>
      </c>
      <c r="E3669" s="8" t="n">
        <v>1.87448275862069</v>
      </c>
      <c r="F3669" s="4" t="n">
        <f aca="false">D3669*E3669</f>
        <v>54.36</v>
      </c>
      <c r="G3669" s="7" t="n">
        <v>5</v>
      </c>
      <c r="H3669" s="9" t="n">
        <f aca="false">IF(G3669&gt;0,D3669/G3669,"")</f>
        <v>5.8</v>
      </c>
      <c r="I3669" s="10" t="n">
        <v>46175</v>
      </c>
      <c r="J3669" s="3" t="s">
        <v>5126</v>
      </c>
      <c r="K3669" s="10" t="n">
        <v>45429</v>
      </c>
      <c r="L3669" s="3" t="s">
        <v>1878</v>
      </c>
      <c r="M3669" s="7" t="n">
        <v>25</v>
      </c>
      <c r="N3669" s="8" t="n">
        <v>1.66</v>
      </c>
      <c r="O3669" s="4" t="n">
        <f aca="false">M3669*N3669</f>
        <v>41.5</v>
      </c>
    </row>
    <row r="3670" customFormat="false" ht="15" hidden="false" customHeight="false" outlineLevel="0" collapsed="false">
      <c r="A3670" s="0" t="s">
        <v>5127</v>
      </c>
      <c r="C3670" s="0" t="s">
        <v>31</v>
      </c>
      <c r="D3670" s="7" t="n">
        <v>1309</v>
      </c>
      <c r="E3670" s="8" t="n">
        <v>0.0415049656226127</v>
      </c>
      <c r="F3670" s="4" t="n">
        <f aca="false">D3670*E3670</f>
        <v>54.33</v>
      </c>
      <c r="G3670" s="7" t="n">
        <v>917</v>
      </c>
      <c r="H3670" s="9" t="n">
        <f aca="false">IF(G3670&gt;0,D3670/G3670,"")</f>
        <v>1.42748091603053</v>
      </c>
      <c r="I3670" s="10" t="n">
        <v>46314</v>
      </c>
      <c r="J3670" s="3" t="s">
        <v>5128</v>
      </c>
      <c r="K3670" s="10" t="n">
        <v>45011</v>
      </c>
      <c r="L3670" s="3" t="s">
        <v>25</v>
      </c>
      <c r="M3670" s="7" t="n">
        <v>2500</v>
      </c>
      <c r="N3670" s="8" t="n">
        <v>0.0415</v>
      </c>
      <c r="O3670" s="4" t="n">
        <f aca="false">M3670*N3670</f>
        <v>103.75</v>
      </c>
    </row>
    <row r="3671" customFormat="false" ht="15" hidden="false" customHeight="false" outlineLevel="0" collapsed="false">
      <c r="A3671" s="0" t="s">
        <v>5129</v>
      </c>
      <c r="C3671" s="0" t="s">
        <v>34</v>
      </c>
      <c r="D3671" s="7" t="n">
        <v>5122</v>
      </c>
      <c r="E3671" s="8" t="n">
        <v>0.0106013276064038</v>
      </c>
      <c r="F3671" s="4" t="n">
        <f aca="false">D3671*E3671</f>
        <v>54.3</v>
      </c>
      <c r="G3671" s="7" t="n">
        <v>640</v>
      </c>
      <c r="H3671" s="9" t="n">
        <f aca="false">IF(G3671&gt;0,D3671/G3671,"")</f>
        <v>8.003125</v>
      </c>
      <c r="I3671" s="10" t="n">
        <v>46288</v>
      </c>
      <c r="J3671" s="3" t="s">
        <v>1343</v>
      </c>
      <c r="K3671" s="10" t="n">
        <v>45583</v>
      </c>
      <c r="L3671" s="3" t="s">
        <v>16</v>
      </c>
      <c r="M3671" s="7" t="n">
        <v>6200</v>
      </c>
      <c r="N3671" s="8" t="n">
        <v>0.0106</v>
      </c>
      <c r="O3671" s="4" t="n">
        <f aca="false">M3671*N3671</f>
        <v>65.72</v>
      </c>
    </row>
    <row r="3672" customFormat="false" ht="15" hidden="false" customHeight="false" outlineLevel="0" collapsed="false">
      <c r="A3672" s="0" t="s">
        <v>5130</v>
      </c>
      <c r="C3672" s="0" t="s">
        <v>79</v>
      </c>
      <c r="D3672" s="7" t="n">
        <v>580</v>
      </c>
      <c r="E3672" s="8" t="n">
        <v>0.0936206896551724</v>
      </c>
      <c r="F3672" s="4" t="n">
        <f aca="false">D3672*E3672</f>
        <v>54.3</v>
      </c>
      <c r="G3672" s="7" t="n">
        <v>25</v>
      </c>
      <c r="H3672" s="9" t="n">
        <f aca="false">IF(G3672&gt;0,D3672/G3672,"")</f>
        <v>23.2</v>
      </c>
      <c r="I3672" s="10" t="n">
        <v>46122</v>
      </c>
      <c r="K3672" s="10"/>
      <c r="M3672" s="7"/>
      <c r="N3672" s="8"/>
      <c r="O3672" s="4"/>
    </row>
    <row r="3673" customFormat="false" ht="15" hidden="false" customHeight="false" outlineLevel="0" collapsed="false">
      <c r="A3673" s="0" t="s">
        <v>5131</v>
      </c>
      <c r="C3673" s="0" t="s">
        <v>34</v>
      </c>
      <c r="D3673" s="7" t="n">
        <v>968</v>
      </c>
      <c r="E3673" s="8" t="n">
        <v>0.0560847107438017</v>
      </c>
      <c r="F3673" s="4" t="n">
        <f aca="false">D3673*E3673</f>
        <v>54.29</v>
      </c>
      <c r="G3673" s="7" t="n">
        <v>715</v>
      </c>
      <c r="H3673" s="9" t="n">
        <f aca="false">IF(G3673&gt;0,D3673/G3673,"")</f>
        <v>1.35384615384615</v>
      </c>
      <c r="I3673" s="10" t="n">
        <v>46295</v>
      </c>
      <c r="K3673" s="10"/>
      <c r="M3673" s="7"/>
      <c r="N3673" s="8"/>
      <c r="O3673" s="4"/>
    </row>
    <row r="3674" customFormat="false" ht="15" hidden="false" customHeight="false" outlineLevel="0" collapsed="false">
      <c r="A3674" s="0" t="s">
        <v>5132</v>
      </c>
      <c r="C3674" s="0" t="s">
        <v>31</v>
      </c>
      <c r="D3674" s="7" t="n">
        <v>2339</v>
      </c>
      <c r="E3674" s="8" t="n">
        <v>0.023206498503634</v>
      </c>
      <c r="F3674" s="4" t="n">
        <f aca="false">D3674*E3674</f>
        <v>54.28</v>
      </c>
      <c r="G3674" s="7" t="n">
        <v>399</v>
      </c>
      <c r="H3674" s="9" t="n">
        <f aca="false">IF(G3674&gt;0,D3674/G3674,"")</f>
        <v>5.86215538847118</v>
      </c>
      <c r="I3674" s="10" t="n">
        <v>46314</v>
      </c>
      <c r="J3674" s="3" t="s">
        <v>1198</v>
      </c>
      <c r="K3674" s="10" t="n">
        <v>45689</v>
      </c>
      <c r="L3674" s="3" t="s">
        <v>16</v>
      </c>
      <c r="M3674" s="7" t="n">
        <v>5000</v>
      </c>
      <c r="N3674" s="8" t="n">
        <v>0.0232</v>
      </c>
      <c r="O3674" s="4" t="n">
        <f aca="false">M3674*N3674</f>
        <v>116</v>
      </c>
    </row>
    <row r="3675" customFormat="false" ht="15" hidden="false" customHeight="false" outlineLevel="0" collapsed="false">
      <c r="A3675" s="0" t="s">
        <v>5133</v>
      </c>
      <c r="C3675" s="0" t="s">
        <v>34</v>
      </c>
      <c r="D3675" s="7" t="n">
        <v>499</v>
      </c>
      <c r="E3675" s="8" t="n">
        <v>0.10877755511022</v>
      </c>
      <c r="F3675" s="4" t="n">
        <f aca="false">D3675*E3675</f>
        <v>54.28</v>
      </c>
      <c r="G3675" s="7" t="n">
        <v>20</v>
      </c>
      <c r="H3675" s="9" t="n">
        <f aca="false">IF(G3675&gt;0,D3675/G3675,"")</f>
        <v>24.95</v>
      </c>
      <c r="I3675" s="10" t="n">
        <v>45986</v>
      </c>
      <c r="J3675" s="3" t="s">
        <v>3458</v>
      </c>
      <c r="K3675" s="10" t="n">
        <v>45971</v>
      </c>
      <c r="L3675" s="3" t="s">
        <v>2203</v>
      </c>
      <c r="M3675" s="7" t="n">
        <v>150</v>
      </c>
      <c r="N3675" s="8" t="n">
        <v>0.2357</v>
      </c>
      <c r="O3675" s="4" t="n">
        <f aca="false">M3675*N3675</f>
        <v>35.355</v>
      </c>
    </row>
    <row r="3676" customFormat="false" ht="15" hidden="false" customHeight="false" outlineLevel="0" collapsed="false">
      <c r="A3676" s="0" t="s">
        <v>5134</v>
      </c>
      <c r="C3676" s="0" t="s">
        <v>855</v>
      </c>
      <c r="D3676" s="7" t="n">
        <v>10001</v>
      </c>
      <c r="E3676" s="8" t="n">
        <v>0.00542445755424458</v>
      </c>
      <c r="F3676" s="4" t="n">
        <f aca="false">D3676*E3676</f>
        <v>54.25</v>
      </c>
      <c r="G3676" s="7" t="n">
        <v>363</v>
      </c>
      <c r="H3676" s="9" t="n">
        <f aca="false">IF(G3676&gt;0,D3676/G3676,"")</f>
        <v>27.5509641873278</v>
      </c>
      <c r="I3676" s="10" t="n">
        <v>46297</v>
      </c>
      <c r="J3676" s="3" t="s">
        <v>249</v>
      </c>
      <c r="K3676" s="10" t="n">
        <v>44314</v>
      </c>
      <c r="L3676" s="3" t="s">
        <v>15</v>
      </c>
      <c r="M3676" s="7" t="n">
        <v>11100</v>
      </c>
      <c r="N3676" s="8" t="n">
        <v>0.00535</v>
      </c>
      <c r="O3676" s="4" t="n">
        <f aca="false">M3676*N3676</f>
        <v>59.385</v>
      </c>
    </row>
    <row r="3677" customFormat="false" ht="15" hidden="false" customHeight="false" outlineLevel="0" collapsed="false">
      <c r="A3677" s="0" t="s">
        <v>5135</v>
      </c>
      <c r="C3677" s="0" t="s">
        <v>31</v>
      </c>
      <c r="D3677" s="7" t="n">
        <v>6508</v>
      </c>
      <c r="E3677" s="8" t="n">
        <v>0.00833435771358328</v>
      </c>
      <c r="F3677" s="4" t="n">
        <f aca="false">D3677*E3677</f>
        <v>54.24</v>
      </c>
      <c r="G3677" s="7" t="n">
        <v>1508</v>
      </c>
      <c r="H3677" s="9" t="n">
        <f aca="false">IF(G3677&gt;0,D3677/G3677,"")</f>
        <v>4.31564986737401</v>
      </c>
      <c r="I3677" s="10" t="n">
        <v>46230</v>
      </c>
      <c r="K3677" s="10"/>
      <c r="M3677" s="7"/>
      <c r="N3677" s="8"/>
      <c r="O3677" s="4"/>
    </row>
    <row r="3678" customFormat="false" ht="15" hidden="false" customHeight="false" outlineLevel="0" collapsed="false">
      <c r="A3678" s="0" t="s">
        <v>5136</v>
      </c>
      <c r="C3678" s="0" t="s">
        <v>3835</v>
      </c>
      <c r="D3678" s="7" t="n">
        <v>493</v>
      </c>
      <c r="E3678" s="8" t="n">
        <v>0.11</v>
      </c>
      <c r="F3678" s="4" t="n">
        <f aca="false">D3678*E3678</f>
        <v>54.23</v>
      </c>
      <c r="G3678" s="7" t="n">
        <v>30</v>
      </c>
      <c r="H3678" s="9" t="n">
        <f aca="false">IF(G3678&gt;0,D3678/G3678,"")</f>
        <v>16.4333333333333</v>
      </c>
      <c r="I3678" s="10" t="n">
        <v>46310</v>
      </c>
      <c r="J3678" s="3" t="s">
        <v>5137</v>
      </c>
      <c r="K3678" s="10" t="n">
        <v>44302</v>
      </c>
      <c r="L3678" s="3" t="s">
        <v>223</v>
      </c>
      <c r="M3678" s="7" t="n">
        <v>1000</v>
      </c>
      <c r="N3678" s="8" t="n">
        <v>0.111</v>
      </c>
      <c r="O3678" s="4" t="n">
        <f aca="false">M3678*N3678</f>
        <v>111</v>
      </c>
    </row>
    <row r="3679" customFormat="false" ht="15" hidden="false" customHeight="false" outlineLevel="0" collapsed="false">
      <c r="A3679" s="0" t="s">
        <v>5138</v>
      </c>
      <c r="C3679" s="0" t="s">
        <v>33</v>
      </c>
      <c r="D3679" s="7" t="n">
        <v>5156</v>
      </c>
      <c r="E3679" s="8" t="n">
        <v>0.0105139643134213</v>
      </c>
      <c r="F3679" s="4" t="n">
        <f aca="false">D3679*E3679</f>
        <v>54.21</v>
      </c>
      <c r="G3679" s="7" t="n">
        <v>250</v>
      </c>
      <c r="H3679" s="9" t="n">
        <f aca="false">IF(G3679&gt;0,D3679/G3679,"")</f>
        <v>20.624</v>
      </c>
      <c r="I3679" s="10" t="n">
        <v>46189</v>
      </c>
      <c r="K3679" s="10"/>
      <c r="M3679" s="7"/>
      <c r="N3679" s="8"/>
      <c r="O3679" s="4"/>
    </row>
    <row r="3680" customFormat="false" ht="15" hidden="false" customHeight="false" outlineLevel="0" collapsed="false">
      <c r="A3680" s="0" t="s">
        <v>5139</v>
      </c>
      <c r="C3680" s="0" t="s">
        <v>38</v>
      </c>
      <c r="D3680" s="7" t="n">
        <v>549</v>
      </c>
      <c r="E3680" s="8" t="n">
        <v>0.0986520947176685</v>
      </c>
      <c r="F3680" s="4" t="n">
        <f aca="false">D3680*E3680</f>
        <v>54.16</v>
      </c>
      <c r="G3680" s="7" t="n">
        <v>477</v>
      </c>
      <c r="H3680" s="9" t="n">
        <f aca="false">IF(G3680&gt;0,D3680/G3680,"")</f>
        <v>1.15094339622642</v>
      </c>
      <c r="I3680" s="10" t="n">
        <v>46265</v>
      </c>
      <c r="J3680" s="3" t="s">
        <v>3478</v>
      </c>
      <c r="K3680" s="10" t="n">
        <v>46122</v>
      </c>
      <c r="L3680" s="3" t="s">
        <v>18</v>
      </c>
      <c r="M3680" s="7" t="n">
        <v>965</v>
      </c>
      <c r="N3680" s="8" t="n">
        <v>0.0988</v>
      </c>
      <c r="O3680" s="4" t="n">
        <f aca="false">M3680*N3680</f>
        <v>95.342</v>
      </c>
    </row>
    <row r="3681" customFormat="false" ht="15" hidden="false" customHeight="false" outlineLevel="0" collapsed="false">
      <c r="A3681" s="0" t="s">
        <v>5140</v>
      </c>
      <c r="C3681" s="0" t="s">
        <v>609</v>
      </c>
      <c r="D3681" s="7" t="n">
        <v>50</v>
      </c>
      <c r="E3681" s="8" t="n">
        <v>1.0808</v>
      </c>
      <c r="F3681" s="4" t="n">
        <f aca="false">D3681*E3681</f>
        <v>54.04</v>
      </c>
      <c r="G3681" s="7" t="n">
        <v>40</v>
      </c>
      <c r="H3681" s="9" t="n">
        <f aca="false">IF(G3681&gt;0,D3681/G3681,"")</f>
        <v>1.25</v>
      </c>
      <c r="I3681" s="10" t="n">
        <v>46139</v>
      </c>
      <c r="J3681" s="3" t="s">
        <v>784</v>
      </c>
      <c r="K3681" s="10" t="n">
        <v>46119</v>
      </c>
      <c r="L3681" s="3" t="s">
        <v>14</v>
      </c>
      <c r="M3681" s="7" t="n">
        <v>50</v>
      </c>
      <c r="N3681" s="8" t="n">
        <v>1.0808</v>
      </c>
      <c r="O3681" s="4" t="n">
        <f aca="false">M3681*N3681</f>
        <v>54.04</v>
      </c>
    </row>
    <row r="3682" customFormat="false" ht="15" hidden="false" customHeight="false" outlineLevel="0" collapsed="false">
      <c r="A3682" s="0" t="s">
        <v>5141</v>
      </c>
      <c r="C3682" s="0" t="s">
        <v>36</v>
      </c>
      <c r="D3682" s="7" t="n">
        <v>1047</v>
      </c>
      <c r="E3682" s="8" t="n">
        <v>0.051585482330468</v>
      </c>
      <c r="F3682" s="4" t="n">
        <f aca="false">D3682*E3682</f>
        <v>54.01</v>
      </c>
      <c r="G3682" s="7" t="n">
        <v>260</v>
      </c>
      <c r="H3682" s="9" t="n">
        <f aca="false">IF(G3682&gt;0,D3682/G3682,"")</f>
        <v>4.02692307692308</v>
      </c>
      <c r="I3682" s="10" t="n">
        <v>46161</v>
      </c>
      <c r="J3682" s="3" t="s">
        <v>4250</v>
      </c>
      <c r="K3682" s="10" t="n">
        <v>45659</v>
      </c>
      <c r="L3682" s="3" t="s">
        <v>18</v>
      </c>
      <c r="M3682" s="7" t="n">
        <v>1300</v>
      </c>
      <c r="N3682" s="8" t="n">
        <v>0.0518</v>
      </c>
      <c r="O3682" s="4" t="n">
        <f aca="false">M3682*N3682</f>
        <v>67.34</v>
      </c>
    </row>
    <row r="3683" customFormat="false" ht="15" hidden="false" customHeight="false" outlineLevel="0" collapsed="false">
      <c r="A3683" s="0" t="s">
        <v>5142</v>
      </c>
      <c r="C3683" s="0" t="s">
        <v>31</v>
      </c>
      <c r="D3683" s="7" t="n">
        <v>2020</v>
      </c>
      <c r="E3683" s="8" t="n">
        <v>0.0267079207920792</v>
      </c>
      <c r="F3683" s="4" t="n">
        <f aca="false">D3683*E3683</f>
        <v>53.95</v>
      </c>
      <c r="G3683" s="7" t="n">
        <v>46</v>
      </c>
      <c r="H3683" s="9" t="n">
        <f aca="false">IF(G3683&gt;0,D3683/G3683,"")</f>
        <v>43.9130434782609</v>
      </c>
      <c r="I3683" s="10" t="n">
        <v>46217</v>
      </c>
      <c r="J3683" s="3" t="s">
        <v>1315</v>
      </c>
      <c r="K3683" s="10" t="n">
        <v>45904</v>
      </c>
      <c r="L3683" s="3" t="s">
        <v>16</v>
      </c>
      <c r="M3683" s="7" t="n">
        <v>80</v>
      </c>
      <c r="N3683" s="8" t="n">
        <v>0.25</v>
      </c>
      <c r="O3683" s="4" t="n">
        <f aca="false">M3683*N3683</f>
        <v>20</v>
      </c>
    </row>
    <row r="3684" customFormat="false" ht="15" hidden="false" customHeight="false" outlineLevel="0" collapsed="false">
      <c r="A3684" s="0" t="s">
        <v>5143</v>
      </c>
      <c r="C3684" s="0" t="s">
        <v>32</v>
      </c>
      <c r="D3684" s="7" t="n">
        <v>435</v>
      </c>
      <c r="E3684" s="8" t="n">
        <v>0.123954022988506</v>
      </c>
      <c r="F3684" s="4" t="n">
        <f aca="false">D3684*E3684</f>
        <v>53.92</v>
      </c>
      <c r="G3684" s="7" t="n">
        <v>8</v>
      </c>
      <c r="H3684" s="9" t="n">
        <f aca="false">IF(G3684&gt;0,D3684/G3684,"")</f>
        <v>54.375</v>
      </c>
      <c r="I3684" s="10" t="n">
        <v>46196</v>
      </c>
      <c r="J3684" s="3" t="s">
        <v>5144</v>
      </c>
      <c r="K3684" s="10" t="n">
        <v>45119</v>
      </c>
      <c r="L3684" s="3" t="s">
        <v>15</v>
      </c>
      <c r="M3684" s="7" t="n">
        <v>500</v>
      </c>
      <c r="N3684" s="8" t="n">
        <v>0.12396</v>
      </c>
      <c r="O3684" s="4" t="n">
        <f aca="false">M3684*N3684</f>
        <v>61.98</v>
      </c>
    </row>
    <row r="3685" customFormat="false" ht="15" hidden="false" customHeight="false" outlineLevel="0" collapsed="false">
      <c r="A3685" s="0" t="s">
        <v>5145</v>
      </c>
      <c r="C3685" s="0" t="s">
        <v>35</v>
      </c>
      <c r="D3685" s="7" t="n">
        <v>90</v>
      </c>
      <c r="E3685" s="8" t="n">
        <v>0.598888888888889</v>
      </c>
      <c r="F3685" s="4" t="n">
        <f aca="false">D3685*E3685</f>
        <v>53.9</v>
      </c>
      <c r="G3685" s="7" t="n">
        <v>7</v>
      </c>
      <c r="H3685" s="9" t="n">
        <f aca="false">IF(G3685&gt;0,D3685/G3685,"")</f>
        <v>12.8571428571429</v>
      </c>
      <c r="I3685" s="10" t="n">
        <v>46119</v>
      </c>
      <c r="K3685" s="10"/>
      <c r="M3685" s="7"/>
      <c r="N3685" s="8"/>
      <c r="O3685" s="4"/>
    </row>
    <row r="3686" customFormat="false" ht="15" hidden="false" customHeight="false" outlineLevel="0" collapsed="false">
      <c r="A3686" s="0" t="s">
        <v>5146</v>
      </c>
      <c r="C3686" s="0" t="s">
        <v>38</v>
      </c>
      <c r="D3686" s="7" t="n">
        <v>186</v>
      </c>
      <c r="E3686" s="8" t="n">
        <v>0.289784946236559</v>
      </c>
      <c r="F3686" s="4" t="n">
        <f aca="false">D3686*E3686</f>
        <v>53.9</v>
      </c>
      <c r="G3686" s="7" t="n">
        <v>8</v>
      </c>
      <c r="H3686" s="9" t="n">
        <f aca="false">IF(G3686&gt;0,D3686/G3686,"")</f>
        <v>23.25</v>
      </c>
      <c r="I3686" s="10" t="n">
        <v>46136</v>
      </c>
      <c r="J3686" s="3" t="s">
        <v>5147</v>
      </c>
      <c r="K3686" s="10" t="n">
        <v>44517</v>
      </c>
      <c r="L3686" s="3" t="s">
        <v>465</v>
      </c>
      <c r="M3686" s="7" t="n">
        <v>250</v>
      </c>
      <c r="N3686" s="8" t="n">
        <v>0.2898</v>
      </c>
      <c r="O3686" s="4" t="n">
        <f aca="false">M3686*N3686</f>
        <v>72.45</v>
      </c>
    </row>
    <row r="3687" customFormat="false" ht="15" hidden="false" customHeight="false" outlineLevel="0" collapsed="false">
      <c r="A3687" s="0" t="s">
        <v>5148</v>
      </c>
      <c r="C3687" s="0" t="s">
        <v>31</v>
      </c>
      <c r="D3687" s="7" t="n">
        <v>5188</v>
      </c>
      <c r="E3687" s="8" t="n">
        <v>0.010387432536623</v>
      </c>
      <c r="F3687" s="4" t="n">
        <f aca="false">D3687*E3687</f>
        <v>53.89</v>
      </c>
      <c r="G3687" s="7" t="n">
        <v>940</v>
      </c>
      <c r="H3687" s="9" t="n">
        <f aca="false">IF(G3687&gt;0,D3687/G3687,"")</f>
        <v>5.51914893617021</v>
      </c>
      <c r="I3687" s="10" t="n">
        <v>46265</v>
      </c>
      <c r="J3687" s="3" t="s">
        <v>701</v>
      </c>
      <c r="K3687" s="10" t="n">
        <v>44748</v>
      </c>
      <c r="L3687" s="3" t="s">
        <v>14</v>
      </c>
      <c r="M3687" s="7" t="n">
        <v>14622</v>
      </c>
      <c r="N3687" s="8" t="n">
        <v>0</v>
      </c>
      <c r="O3687" s="4" t="n">
        <v>152.0064</v>
      </c>
    </row>
    <row r="3688" customFormat="false" ht="15" hidden="false" customHeight="false" outlineLevel="0" collapsed="false">
      <c r="A3688" s="0" t="s">
        <v>5149</v>
      </c>
      <c r="C3688" s="0" t="s">
        <v>1039</v>
      </c>
      <c r="D3688" s="7" t="n">
        <v>7693</v>
      </c>
      <c r="E3688" s="8" t="n">
        <v>0.00699987001169895</v>
      </c>
      <c r="F3688" s="4" t="n">
        <f aca="false">D3688*E3688</f>
        <v>53.85</v>
      </c>
      <c r="G3688" s="7" t="n">
        <v>485</v>
      </c>
      <c r="H3688" s="9" t="n">
        <f aca="false">IF(G3688&gt;0,D3688/G3688,"")</f>
        <v>15.8618556701031</v>
      </c>
      <c r="I3688" s="10" t="n">
        <v>46174</v>
      </c>
      <c r="K3688" s="10"/>
      <c r="M3688" s="7"/>
      <c r="N3688" s="8"/>
      <c r="O3688" s="4"/>
    </row>
    <row r="3689" customFormat="false" ht="15" hidden="false" customHeight="false" outlineLevel="0" collapsed="false">
      <c r="A3689" s="0" t="s">
        <v>5150</v>
      </c>
      <c r="C3689" s="0" t="s">
        <v>40</v>
      </c>
      <c r="D3689" s="7" t="n">
        <v>194</v>
      </c>
      <c r="E3689" s="8" t="n">
        <v>0.277422680412371</v>
      </c>
      <c r="F3689" s="4" t="n">
        <f aca="false">D3689*E3689</f>
        <v>53.82</v>
      </c>
      <c r="G3689" s="7" t="n">
        <v>3</v>
      </c>
      <c r="H3689" s="9" t="n">
        <f aca="false">IF(G3689&gt;0,D3689/G3689,"")</f>
        <v>64.6666666666667</v>
      </c>
      <c r="I3689" s="10" t="n">
        <v>46098</v>
      </c>
      <c r="J3689" s="3" t="s">
        <v>4735</v>
      </c>
      <c r="K3689" s="10" t="n">
        <v>45642</v>
      </c>
      <c r="L3689" s="3" t="s">
        <v>18</v>
      </c>
      <c r="M3689" s="7" t="n">
        <v>360</v>
      </c>
      <c r="N3689" s="8" t="n">
        <v>0.2774</v>
      </c>
      <c r="O3689" s="4" t="n">
        <f aca="false">M3689*N3689</f>
        <v>99.864</v>
      </c>
    </row>
    <row r="3690" customFormat="false" ht="15" hidden="false" customHeight="false" outlineLevel="0" collapsed="false">
      <c r="A3690" s="0" t="s">
        <v>5151</v>
      </c>
      <c r="C3690" s="0" t="s">
        <v>31</v>
      </c>
      <c r="D3690" s="7" t="n">
        <v>489</v>
      </c>
      <c r="E3690" s="8" t="n">
        <v>0.11</v>
      </c>
      <c r="F3690" s="4" t="n">
        <f aca="false">D3690*E3690</f>
        <v>53.79</v>
      </c>
      <c r="G3690" s="7" t="n">
        <v>60</v>
      </c>
      <c r="H3690" s="9" t="n">
        <f aca="false">IF(G3690&gt;0,D3690/G3690,"")</f>
        <v>8.15</v>
      </c>
      <c r="I3690" s="10" t="n">
        <v>46154</v>
      </c>
      <c r="K3690" s="10"/>
      <c r="M3690" s="7"/>
      <c r="N3690" s="8"/>
      <c r="O3690" s="4"/>
    </row>
    <row r="3691" customFormat="false" ht="15" hidden="false" customHeight="false" outlineLevel="0" collapsed="false">
      <c r="A3691" s="0" t="s">
        <v>5152</v>
      </c>
      <c r="C3691" s="0" t="s">
        <v>118</v>
      </c>
      <c r="D3691" s="7" t="n">
        <v>325</v>
      </c>
      <c r="E3691" s="8" t="n">
        <v>0.165384615384615</v>
      </c>
      <c r="F3691" s="4" t="n">
        <f aca="false">D3691*E3691</f>
        <v>53.75</v>
      </c>
      <c r="G3691" s="7" t="n">
        <v>39</v>
      </c>
      <c r="H3691" s="9" t="n">
        <f aca="false">IF(G3691&gt;0,D3691/G3691,"")</f>
        <v>8.33333333333333</v>
      </c>
      <c r="I3691" s="10" t="n">
        <v>46293</v>
      </c>
      <c r="J3691" s="3" t="s">
        <v>1054</v>
      </c>
      <c r="K3691" s="10" t="n">
        <v>46224</v>
      </c>
      <c r="L3691" s="3" t="s">
        <v>16</v>
      </c>
      <c r="M3691" s="7" t="n">
        <v>350</v>
      </c>
      <c r="N3691" s="8" t="n">
        <v>0.1647</v>
      </c>
      <c r="O3691" s="4" t="n">
        <f aca="false">M3691*N3691</f>
        <v>57.645</v>
      </c>
    </row>
    <row r="3692" customFormat="false" ht="15" hidden="false" customHeight="false" outlineLevel="0" collapsed="false">
      <c r="A3692" s="0" t="s">
        <v>5153</v>
      </c>
      <c r="C3692" s="0" t="s">
        <v>31</v>
      </c>
      <c r="D3692" s="7" t="n">
        <v>665</v>
      </c>
      <c r="E3692" s="8" t="n">
        <v>0.080812030075188</v>
      </c>
      <c r="F3692" s="4" t="n">
        <f aca="false">D3692*E3692</f>
        <v>53.74</v>
      </c>
      <c r="G3692" s="7" t="n">
        <v>20</v>
      </c>
      <c r="H3692" s="9" t="n">
        <f aca="false">IF(G3692&gt;0,D3692/G3692,"")</f>
        <v>33.25</v>
      </c>
      <c r="I3692" s="10" t="n">
        <v>46101</v>
      </c>
      <c r="J3692" s="3" t="s">
        <v>5154</v>
      </c>
      <c r="K3692" s="10" t="n">
        <v>45334</v>
      </c>
      <c r="L3692" s="3" t="s">
        <v>19</v>
      </c>
      <c r="M3692" s="7" t="n">
        <v>1250</v>
      </c>
      <c r="N3692" s="8" t="n">
        <v>0.0808</v>
      </c>
      <c r="O3692" s="4" t="n">
        <f aca="false">M3692*N3692</f>
        <v>101</v>
      </c>
    </row>
    <row r="3693" customFormat="false" ht="15" hidden="false" customHeight="false" outlineLevel="0" collapsed="false">
      <c r="A3693" s="0" t="s">
        <v>5155</v>
      </c>
      <c r="C3693" s="0" t="s">
        <v>855</v>
      </c>
      <c r="D3693" s="7" t="n">
        <v>7140</v>
      </c>
      <c r="E3693" s="8" t="n">
        <v>0.00752380952380952</v>
      </c>
      <c r="F3693" s="4" t="n">
        <f aca="false">D3693*E3693</f>
        <v>53.72</v>
      </c>
      <c r="G3693" s="7" t="n">
        <v>183</v>
      </c>
      <c r="H3693" s="9" t="n">
        <f aca="false">IF(G3693&gt;0,D3693/G3693,"")</f>
        <v>39.016393442623</v>
      </c>
      <c r="I3693" s="10" t="n">
        <v>46314</v>
      </c>
      <c r="J3693" s="3" t="s">
        <v>1846</v>
      </c>
      <c r="K3693" s="10" t="n">
        <v>46288</v>
      </c>
      <c r="L3693" s="3" t="s">
        <v>16</v>
      </c>
      <c r="M3693" s="7" t="n">
        <v>7200</v>
      </c>
      <c r="N3693" s="8" t="n">
        <v>0.0074</v>
      </c>
      <c r="O3693" s="4" t="n">
        <f aca="false">M3693*N3693</f>
        <v>53.28</v>
      </c>
    </row>
    <row r="3694" customFormat="false" ht="15" hidden="false" customHeight="false" outlineLevel="0" collapsed="false">
      <c r="A3694" s="0" t="s">
        <v>5156</v>
      </c>
      <c r="C3694" s="0" t="s">
        <v>438</v>
      </c>
      <c r="D3694" s="7" t="n">
        <v>48</v>
      </c>
      <c r="E3694" s="8" t="n">
        <v>1.11854166666667</v>
      </c>
      <c r="F3694" s="4" t="n">
        <f aca="false">D3694*E3694</f>
        <v>53.69</v>
      </c>
      <c r="G3694" s="7" t="n">
        <v>2</v>
      </c>
      <c r="H3694" s="9" t="n">
        <f aca="false">IF(G3694&gt;0,D3694/G3694,"")</f>
        <v>24</v>
      </c>
      <c r="I3694" s="10" t="n">
        <v>46302</v>
      </c>
      <c r="J3694" s="3" t="s">
        <v>1284</v>
      </c>
      <c r="K3694" s="10" t="n">
        <v>46295</v>
      </c>
      <c r="L3694" s="3" t="s">
        <v>14</v>
      </c>
      <c r="M3694" s="7" t="n">
        <v>50</v>
      </c>
      <c r="N3694" s="8" t="n">
        <v>1.1186</v>
      </c>
      <c r="O3694" s="4" t="n">
        <f aca="false">M3694*N3694</f>
        <v>55.93</v>
      </c>
    </row>
    <row r="3695" customFormat="false" ht="15" hidden="false" customHeight="false" outlineLevel="0" collapsed="false">
      <c r="A3695" s="0" t="s">
        <v>5157</v>
      </c>
      <c r="D3695" s="7" t="n">
        <v>72</v>
      </c>
      <c r="E3695" s="8" t="n">
        <v>0.745416666666667</v>
      </c>
      <c r="F3695" s="4" t="n">
        <f aca="false">D3695*E3695</f>
        <v>53.67</v>
      </c>
      <c r="G3695" s="7" t="n">
        <v>15</v>
      </c>
      <c r="H3695" s="9" t="n">
        <f aca="false">IF(G3695&gt;0,D3695/G3695,"")</f>
        <v>4.8</v>
      </c>
      <c r="I3695" s="10" t="n">
        <v>46209</v>
      </c>
      <c r="J3695" s="3" t="s">
        <v>2509</v>
      </c>
      <c r="K3695" s="10" t="n">
        <v>44988</v>
      </c>
      <c r="L3695" s="3" t="s">
        <v>19</v>
      </c>
      <c r="M3695" s="7" t="n">
        <v>100</v>
      </c>
      <c r="N3695" s="8" t="n">
        <v>0.7455</v>
      </c>
      <c r="O3695" s="4" t="n">
        <f aca="false">M3695*N3695</f>
        <v>74.55</v>
      </c>
    </row>
    <row r="3696" customFormat="false" ht="15" hidden="false" customHeight="false" outlineLevel="0" collapsed="false">
      <c r="A3696" s="0" t="s">
        <v>5158</v>
      </c>
      <c r="C3696" s="0" t="s">
        <v>777</v>
      </c>
      <c r="D3696" s="7" t="n">
        <v>1400</v>
      </c>
      <c r="E3696" s="8" t="n">
        <v>0.0383</v>
      </c>
      <c r="F3696" s="4" t="n">
        <f aca="false">D3696*E3696</f>
        <v>53.62</v>
      </c>
      <c r="G3696" s="7" t="n">
        <v>100</v>
      </c>
      <c r="H3696" s="9" t="n">
        <f aca="false">IF(G3696&gt;0,D3696/G3696,"")</f>
        <v>14</v>
      </c>
      <c r="I3696" s="10" t="n">
        <v>46260</v>
      </c>
      <c r="J3696" s="3" t="s">
        <v>341</v>
      </c>
      <c r="K3696" s="10" t="n">
        <v>46078</v>
      </c>
      <c r="L3696" s="3" t="s">
        <v>15</v>
      </c>
      <c r="M3696" s="7" t="n">
        <v>1500</v>
      </c>
      <c r="N3696" s="8" t="n">
        <v>0.0383</v>
      </c>
      <c r="O3696" s="4" t="n">
        <f aca="false">M3696*N3696</f>
        <v>57.45</v>
      </c>
    </row>
    <row r="3697" customFormat="false" ht="15" hidden="false" customHeight="false" outlineLevel="0" collapsed="false">
      <c r="A3697" s="0" t="s">
        <v>5159</v>
      </c>
      <c r="C3697" s="0" t="s">
        <v>38</v>
      </c>
      <c r="D3697" s="7" t="n">
        <v>6470</v>
      </c>
      <c r="E3697" s="8" t="n">
        <v>0.00828438948995363</v>
      </c>
      <c r="F3697" s="4" t="n">
        <f aca="false">D3697*E3697</f>
        <v>53.6</v>
      </c>
      <c r="G3697" s="7" t="n">
        <v>2990</v>
      </c>
      <c r="H3697" s="9" t="n">
        <f aca="false">IF(G3697&gt;0,D3697/G3697,"")</f>
        <v>2.16387959866221</v>
      </c>
      <c r="I3697" s="10" t="n">
        <v>46316</v>
      </c>
      <c r="J3697" s="3" t="s">
        <v>5160</v>
      </c>
      <c r="K3697" s="10" t="n">
        <v>46296</v>
      </c>
      <c r="L3697" s="3" t="s">
        <v>18</v>
      </c>
      <c r="M3697" s="7" t="n">
        <v>5000</v>
      </c>
      <c r="N3697" s="8" t="n">
        <v>0.0083</v>
      </c>
      <c r="O3697" s="4" t="n">
        <f aca="false">M3697*N3697</f>
        <v>41.5</v>
      </c>
    </row>
    <row r="3698" customFormat="false" ht="15" hidden="false" customHeight="false" outlineLevel="0" collapsed="false">
      <c r="A3698" s="0" t="s">
        <v>5161</v>
      </c>
      <c r="C3698" s="0" t="s">
        <v>31</v>
      </c>
      <c r="D3698" s="7" t="n">
        <v>5358</v>
      </c>
      <c r="E3698" s="8" t="n">
        <v>0.01</v>
      </c>
      <c r="F3698" s="4" t="n">
        <f aca="false">D3698*E3698</f>
        <v>53.58</v>
      </c>
      <c r="G3698" s="7" t="n">
        <v>4422</v>
      </c>
      <c r="H3698" s="9" t="n">
        <f aca="false">IF(G3698&gt;0,D3698/G3698,"")</f>
        <v>1.21166892808684</v>
      </c>
      <c r="I3698" s="10" t="n">
        <v>46308</v>
      </c>
      <c r="J3698" s="3" t="s">
        <v>5162</v>
      </c>
      <c r="K3698" s="10" t="n">
        <v>46231</v>
      </c>
      <c r="L3698" s="3" t="s">
        <v>19</v>
      </c>
      <c r="M3698" s="7" t="n">
        <v>500</v>
      </c>
      <c r="N3698" s="8" t="n">
        <v>0.0328</v>
      </c>
      <c r="O3698" s="4" t="n">
        <f aca="false">M3698*N3698</f>
        <v>16.4</v>
      </c>
    </row>
    <row r="3699" customFormat="false" ht="15" hidden="false" customHeight="false" outlineLevel="0" collapsed="false">
      <c r="A3699" s="0" t="s">
        <v>5163</v>
      </c>
      <c r="C3699" s="0" t="s">
        <v>844</v>
      </c>
      <c r="D3699" s="7" t="n">
        <v>19</v>
      </c>
      <c r="E3699" s="8" t="n">
        <v>2.82</v>
      </c>
      <c r="F3699" s="4" t="n">
        <f aca="false">D3699*E3699</f>
        <v>53.58</v>
      </c>
      <c r="G3699" s="7" t="n">
        <v>6</v>
      </c>
      <c r="H3699" s="9" t="n">
        <f aca="false">IF(G3699&gt;0,D3699/G3699,"")</f>
        <v>3.16666666666667</v>
      </c>
      <c r="I3699" s="10" t="n">
        <v>46309</v>
      </c>
      <c r="J3699" s="3" t="s">
        <v>5164</v>
      </c>
      <c r="K3699" s="10" t="n">
        <v>45175</v>
      </c>
      <c r="L3699" s="3" t="s">
        <v>1878</v>
      </c>
      <c r="M3699" s="7" t="n">
        <v>50</v>
      </c>
      <c r="N3699" s="8" t="n">
        <v>2.82</v>
      </c>
      <c r="O3699" s="4" t="n">
        <f aca="false">M3699*N3699</f>
        <v>141</v>
      </c>
    </row>
    <row r="3700" customFormat="false" ht="15" hidden="false" customHeight="false" outlineLevel="0" collapsed="false">
      <c r="A3700" s="0" t="s">
        <v>5165</v>
      </c>
      <c r="C3700" s="0" t="s">
        <v>855</v>
      </c>
      <c r="D3700" s="7" t="n">
        <v>4821</v>
      </c>
      <c r="E3700" s="8" t="n">
        <v>0.0110993569798797</v>
      </c>
      <c r="F3700" s="4" t="n">
        <f aca="false">D3700*E3700</f>
        <v>53.51</v>
      </c>
      <c r="G3700" s="7" t="n">
        <v>125</v>
      </c>
      <c r="H3700" s="9" t="n">
        <f aca="false">IF(G3700&gt;0,D3700/G3700,"")</f>
        <v>38.568</v>
      </c>
      <c r="I3700" s="10" t="n">
        <v>46239</v>
      </c>
      <c r="K3700" s="10"/>
      <c r="M3700" s="7"/>
      <c r="N3700" s="8"/>
      <c r="O3700" s="4"/>
    </row>
    <row r="3701" customFormat="false" ht="15" hidden="false" customHeight="false" outlineLevel="0" collapsed="false">
      <c r="A3701" s="0" t="s">
        <v>5166</v>
      </c>
      <c r="C3701" s="0" t="s">
        <v>118</v>
      </c>
      <c r="D3701" s="7" t="n">
        <v>2066</v>
      </c>
      <c r="E3701" s="8" t="n">
        <v>0.0259002904162633</v>
      </c>
      <c r="F3701" s="4" t="n">
        <f aca="false">D3701*E3701</f>
        <v>53.51</v>
      </c>
      <c r="G3701" s="7" t="n">
        <v>669</v>
      </c>
      <c r="H3701" s="9" t="n">
        <f aca="false">IF(G3701&gt;0,D3701/G3701,"")</f>
        <v>3.0881913303438</v>
      </c>
      <c r="I3701" s="10" t="n">
        <v>46297</v>
      </c>
      <c r="J3701" s="3" t="s">
        <v>1791</v>
      </c>
      <c r="K3701" s="10" t="n">
        <v>45475</v>
      </c>
      <c r="L3701" s="3" t="s">
        <v>16</v>
      </c>
      <c r="M3701" s="7" t="n">
        <v>5000</v>
      </c>
      <c r="N3701" s="8" t="n">
        <v>0.0259</v>
      </c>
      <c r="O3701" s="4" t="n">
        <f aca="false">M3701*N3701</f>
        <v>129.5</v>
      </c>
    </row>
    <row r="3702" customFormat="false" ht="15" hidden="false" customHeight="false" outlineLevel="0" collapsed="false">
      <c r="A3702" s="0" t="s">
        <v>5167</v>
      </c>
      <c r="C3702" s="0" t="s">
        <v>40</v>
      </c>
      <c r="D3702" s="7" t="n">
        <v>1419</v>
      </c>
      <c r="E3702" s="8" t="n">
        <v>0.0377026074700493</v>
      </c>
      <c r="F3702" s="4" t="n">
        <f aca="false">D3702*E3702</f>
        <v>53.5</v>
      </c>
      <c r="G3702" s="7" t="n">
        <v>1370</v>
      </c>
      <c r="H3702" s="9" t="n">
        <f aca="false">IF(G3702&gt;0,D3702/G3702,"")</f>
        <v>1.03576642335766</v>
      </c>
      <c r="I3702" s="10" t="n">
        <v>46266</v>
      </c>
      <c r="J3702" s="3" t="s">
        <v>3583</v>
      </c>
      <c r="K3702" s="10" t="n">
        <v>46106</v>
      </c>
      <c r="L3702" s="3" t="s">
        <v>18</v>
      </c>
      <c r="M3702" s="7" t="n">
        <v>1500</v>
      </c>
      <c r="N3702" s="8" t="n">
        <v>0.0377</v>
      </c>
      <c r="O3702" s="4" t="n">
        <f aca="false">M3702*N3702</f>
        <v>56.55</v>
      </c>
    </row>
    <row r="3703" customFormat="false" ht="15" hidden="false" customHeight="false" outlineLevel="0" collapsed="false">
      <c r="A3703" s="0" t="s">
        <v>5168</v>
      </c>
      <c r="C3703" s="0" t="s">
        <v>855</v>
      </c>
      <c r="D3703" s="7" t="n">
        <v>3791</v>
      </c>
      <c r="E3703" s="8" t="n">
        <v>0.0141070957530995</v>
      </c>
      <c r="F3703" s="4" t="n">
        <f aca="false">D3703*E3703</f>
        <v>53.48</v>
      </c>
      <c r="G3703" s="7" t="n">
        <v>44</v>
      </c>
      <c r="H3703" s="9" t="n">
        <f aca="false">IF(G3703&gt;0,D3703/G3703,"")</f>
        <v>86.1590909090909</v>
      </c>
      <c r="I3703" s="10" t="n">
        <v>46071</v>
      </c>
      <c r="K3703" s="10"/>
      <c r="M3703" s="7"/>
      <c r="N3703" s="8"/>
      <c r="O3703" s="4"/>
    </row>
    <row r="3704" customFormat="false" ht="15" hidden="false" customHeight="false" outlineLevel="0" collapsed="false">
      <c r="A3704" s="0" t="s">
        <v>5169</v>
      </c>
      <c r="C3704" s="0" t="s">
        <v>777</v>
      </c>
      <c r="D3704" s="7" t="n">
        <v>2665</v>
      </c>
      <c r="E3704" s="8" t="n">
        <v>0.0200600375234522</v>
      </c>
      <c r="F3704" s="4" t="n">
        <f aca="false">D3704*E3704</f>
        <v>53.46</v>
      </c>
      <c r="G3704" s="7" t="n">
        <v>135</v>
      </c>
      <c r="H3704" s="9" t="n">
        <f aca="false">IF(G3704&gt;0,D3704/G3704,"")</f>
        <v>19.7407407407407</v>
      </c>
      <c r="I3704" s="10" t="n">
        <v>46224</v>
      </c>
      <c r="J3704" s="3" t="s">
        <v>341</v>
      </c>
      <c r="K3704" s="10" t="n">
        <v>46078</v>
      </c>
      <c r="L3704" s="3" t="s">
        <v>15</v>
      </c>
      <c r="M3704" s="7" t="n">
        <v>2800</v>
      </c>
      <c r="N3704" s="8" t="n">
        <v>0.02006</v>
      </c>
      <c r="O3704" s="4" t="n">
        <f aca="false">M3704*N3704</f>
        <v>56.168</v>
      </c>
    </row>
    <row r="3705" customFormat="false" ht="15" hidden="false" customHeight="false" outlineLevel="0" collapsed="false">
      <c r="A3705" s="0" t="s">
        <v>5170</v>
      </c>
      <c r="C3705" s="0" t="s">
        <v>4363</v>
      </c>
      <c r="D3705" s="7" t="n">
        <v>5</v>
      </c>
      <c r="E3705" s="8" t="n">
        <v>10.68</v>
      </c>
      <c r="F3705" s="4" t="n">
        <f aca="false">D3705*E3705</f>
        <v>53.4</v>
      </c>
      <c r="G3705" s="7" t="n">
        <v>1</v>
      </c>
      <c r="H3705" s="9" t="n">
        <f aca="false">IF(G3705&gt;0,D3705/G3705,"")</f>
        <v>5</v>
      </c>
      <c r="I3705" s="10" t="n">
        <v>46008</v>
      </c>
      <c r="J3705" s="3" t="s">
        <v>5171</v>
      </c>
      <c r="K3705" s="10" t="n">
        <v>45917</v>
      </c>
      <c r="L3705" s="3" t="s">
        <v>4365</v>
      </c>
      <c r="M3705" s="7" t="n">
        <v>5</v>
      </c>
      <c r="N3705" s="8" t="n">
        <v>10.68</v>
      </c>
      <c r="O3705" s="4" t="n">
        <f aca="false">M3705*N3705</f>
        <v>53.4</v>
      </c>
    </row>
    <row r="3706" customFormat="false" ht="15" hidden="false" customHeight="false" outlineLevel="0" collapsed="false">
      <c r="A3706" s="0" t="s">
        <v>5172</v>
      </c>
      <c r="C3706" s="0" t="s">
        <v>4363</v>
      </c>
      <c r="D3706" s="7" t="n">
        <v>10</v>
      </c>
      <c r="E3706" s="8" t="n">
        <v>5.34</v>
      </c>
      <c r="F3706" s="4" t="n">
        <f aca="false">D3706*E3706</f>
        <v>53.4</v>
      </c>
      <c r="G3706" s="7" t="n">
        <v>3</v>
      </c>
      <c r="H3706" s="9" t="n">
        <f aca="false">IF(G3706&gt;0,D3706/G3706,"")</f>
        <v>3.33333333333333</v>
      </c>
      <c r="I3706" s="10" t="n">
        <v>46286</v>
      </c>
      <c r="J3706" s="3" t="s">
        <v>5173</v>
      </c>
      <c r="K3706" s="10" t="n">
        <v>46296</v>
      </c>
      <c r="L3706" s="3" t="s">
        <v>4365</v>
      </c>
      <c r="M3706" s="7" t="n">
        <v>10</v>
      </c>
      <c r="N3706" s="8" t="n">
        <v>5.34</v>
      </c>
      <c r="O3706" s="4" t="n">
        <f aca="false">M3706*N3706</f>
        <v>53.4</v>
      </c>
    </row>
    <row r="3707" customFormat="false" ht="15" hidden="false" customHeight="false" outlineLevel="0" collapsed="false">
      <c r="A3707" s="0" t="s">
        <v>5174</v>
      </c>
      <c r="C3707" s="0" t="s">
        <v>31</v>
      </c>
      <c r="D3707" s="7" t="n">
        <v>1262</v>
      </c>
      <c r="E3707" s="8" t="n">
        <v>0.0422820919175911</v>
      </c>
      <c r="F3707" s="4" t="n">
        <f aca="false">D3707*E3707</f>
        <v>53.36</v>
      </c>
      <c r="G3707" s="7" t="n">
        <v>455</v>
      </c>
      <c r="H3707" s="9" t="n">
        <f aca="false">IF(G3707&gt;0,D3707/G3707,"")</f>
        <v>2.77362637362637</v>
      </c>
      <c r="I3707" s="10" t="n">
        <v>46246</v>
      </c>
      <c r="J3707" s="3" t="s">
        <v>2303</v>
      </c>
      <c r="K3707" s="10" t="n">
        <v>46098</v>
      </c>
      <c r="L3707" s="3" t="s">
        <v>16</v>
      </c>
      <c r="M3707" s="7" t="n">
        <v>1510</v>
      </c>
      <c r="N3707" s="8" t="n">
        <v>0.0421</v>
      </c>
      <c r="O3707" s="4" t="n">
        <f aca="false">M3707*N3707</f>
        <v>63.571</v>
      </c>
    </row>
    <row r="3708" customFormat="false" ht="15" hidden="false" customHeight="false" outlineLevel="0" collapsed="false">
      <c r="A3708" s="0" t="s">
        <v>5175</v>
      </c>
      <c r="C3708" s="0" t="s">
        <v>31</v>
      </c>
      <c r="D3708" s="7" t="n">
        <v>2271</v>
      </c>
      <c r="E3708" s="8" t="n">
        <v>0.0234302069572875</v>
      </c>
      <c r="F3708" s="4" t="n">
        <f aca="false">D3708*E3708</f>
        <v>53.21</v>
      </c>
      <c r="G3708" s="7" t="n">
        <v>150</v>
      </c>
      <c r="H3708" s="9" t="n">
        <f aca="false">IF(G3708&gt;0,D3708/G3708,"")</f>
        <v>15.14</v>
      </c>
      <c r="I3708" s="10" t="n">
        <v>46247</v>
      </c>
      <c r="J3708" s="3" t="s">
        <v>4968</v>
      </c>
      <c r="K3708" s="10" t="n">
        <v>46251</v>
      </c>
      <c r="L3708" s="3" t="s">
        <v>15</v>
      </c>
      <c r="M3708" s="7" t="n">
        <v>2271</v>
      </c>
      <c r="N3708" s="8" t="n">
        <v>0.02343</v>
      </c>
      <c r="O3708" s="4" t="n">
        <f aca="false">M3708*N3708</f>
        <v>53.20953</v>
      </c>
    </row>
    <row r="3709" customFormat="false" ht="15" hidden="false" customHeight="false" outlineLevel="0" collapsed="false">
      <c r="A3709" s="0" t="s">
        <v>5176</v>
      </c>
      <c r="C3709" s="0" t="s">
        <v>32</v>
      </c>
      <c r="D3709" s="7" t="n">
        <v>86</v>
      </c>
      <c r="E3709" s="8" t="n">
        <v>0.618139534883721</v>
      </c>
      <c r="F3709" s="4" t="n">
        <f aca="false">D3709*E3709</f>
        <v>53.16</v>
      </c>
      <c r="G3709" s="7" t="n">
        <v>27</v>
      </c>
      <c r="H3709" s="9" t="n">
        <f aca="false">IF(G3709&gt;0,D3709/G3709,"")</f>
        <v>3.18518518518519</v>
      </c>
      <c r="I3709" s="10" t="n">
        <v>46273</v>
      </c>
      <c r="J3709" s="3" t="s">
        <v>5177</v>
      </c>
      <c r="K3709" s="10" t="n">
        <v>45233</v>
      </c>
      <c r="L3709" s="3" t="s">
        <v>18</v>
      </c>
      <c r="M3709" s="7" t="n">
        <v>140</v>
      </c>
      <c r="N3709" s="8" t="n">
        <v>0.6179</v>
      </c>
      <c r="O3709" s="4" t="n">
        <f aca="false">M3709*N3709</f>
        <v>86.506</v>
      </c>
    </row>
    <row r="3710" customFormat="false" ht="15" hidden="false" customHeight="false" outlineLevel="0" collapsed="false">
      <c r="A3710" s="0" t="s">
        <v>5178</v>
      </c>
      <c r="C3710" s="0" t="s">
        <v>39</v>
      </c>
      <c r="D3710" s="7" t="n">
        <v>117</v>
      </c>
      <c r="E3710" s="8" t="n">
        <v>0.454017094017094</v>
      </c>
      <c r="F3710" s="4" t="n">
        <f aca="false">D3710*E3710</f>
        <v>53.12</v>
      </c>
      <c r="G3710" s="7" t="n">
        <v>56</v>
      </c>
      <c r="H3710" s="9" t="n">
        <f aca="false">IF(G3710&gt;0,D3710/G3710,"")</f>
        <v>2.08928571428571</v>
      </c>
      <c r="I3710" s="10" t="n">
        <v>46265</v>
      </c>
      <c r="J3710" s="3" t="s">
        <v>5179</v>
      </c>
      <c r="K3710" s="10" t="n">
        <v>45791</v>
      </c>
      <c r="L3710" s="3" t="s">
        <v>18</v>
      </c>
      <c r="M3710" s="7" t="n">
        <v>195</v>
      </c>
      <c r="N3710" s="8" t="n">
        <v>0.454</v>
      </c>
      <c r="O3710" s="4" t="n">
        <f aca="false">M3710*N3710</f>
        <v>88.53</v>
      </c>
    </row>
    <row r="3711" customFormat="false" ht="15" hidden="false" customHeight="false" outlineLevel="0" collapsed="false">
      <c r="A3711" s="0" t="s">
        <v>5180</v>
      </c>
      <c r="C3711" s="0" t="s">
        <v>31</v>
      </c>
      <c r="D3711" s="7" t="n">
        <v>59</v>
      </c>
      <c r="E3711" s="8" t="n">
        <v>0.9</v>
      </c>
      <c r="F3711" s="4" t="n">
        <f aca="false">D3711*E3711</f>
        <v>53.1</v>
      </c>
      <c r="G3711" s="7" t="n">
        <v>22</v>
      </c>
      <c r="H3711" s="9" t="n">
        <f aca="false">IF(G3711&gt;0,D3711/G3711,"")</f>
        <v>2.68181818181818</v>
      </c>
      <c r="I3711" s="10" t="n">
        <v>46266</v>
      </c>
      <c r="K3711" s="10"/>
      <c r="M3711" s="7"/>
      <c r="N3711" s="8"/>
      <c r="O3711" s="4"/>
    </row>
    <row r="3712" customFormat="false" ht="15" hidden="false" customHeight="false" outlineLevel="0" collapsed="false">
      <c r="A3712" s="0" t="s">
        <v>5181</v>
      </c>
      <c r="C3712" s="0" t="s">
        <v>765</v>
      </c>
      <c r="D3712" s="7" t="n">
        <v>6323</v>
      </c>
      <c r="E3712" s="8" t="n">
        <v>0.00839633085560652</v>
      </c>
      <c r="F3712" s="4" t="n">
        <f aca="false">D3712*E3712</f>
        <v>53.09</v>
      </c>
      <c r="G3712" s="7" t="n">
        <v>840</v>
      </c>
      <c r="H3712" s="9" t="n">
        <f aca="false">IF(G3712&gt;0,D3712/G3712,"")</f>
        <v>7.52738095238095</v>
      </c>
      <c r="I3712" s="10" t="n">
        <v>46304</v>
      </c>
      <c r="J3712" s="3" t="s">
        <v>2232</v>
      </c>
      <c r="K3712" s="10" t="n">
        <v>45734</v>
      </c>
      <c r="L3712" s="3" t="s">
        <v>19</v>
      </c>
      <c r="M3712" s="7" t="n">
        <v>618</v>
      </c>
      <c r="N3712" s="8" t="n">
        <v>0.0254</v>
      </c>
      <c r="O3712" s="4" t="n">
        <f aca="false">M3712*N3712</f>
        <v>15.6972</v>
      </c>
    </row>
    <row r="3713" customFormat="false" ht="15" hidden="false" customHeight="false" outlineLevel="0" collapsed="false">
      <c r="A3713" s="0" t="s">
        <v>5182</v>
      </c>
      <c r="C3713" s="0" t="s">
        <v>34</v>
      </c>
      <c r="D3713" s="7" t="n">
        <v>1414</v>
      </c>
      <c r="E3713" s="8" t="n">
        <v>0.0375459688826026</v>
      </c>
      <c r="F3713" s="4" t="n">
        <f aca="false">D3713*E3713</f>
        <v>53.09</v>
      </c>
      <c r="G3713" s="7" t="n">
        <v>49</v>
      </c>
      <c r="H3713" s="9" t="n">
        <f aca="false">IF(G3713&gt;0,D3713/G3713,"")</f>
        <v>28.8571428571429</v>
      </c>
      <c r="I3713" s="10" t="n">
        <v>46168</v>
      </c>
      <c r="J3713" s="3" t="s">
        <v>623</v>
      </c>
      <c r="K3713" s="10" t="n">
        <v>46294</v>
      </c>
      <c r="L3713" s="3" t="s">
        <v>16</v>
      </c>
      <c r="M3713" s="7" t="n">
        <v>1400</v>
      </c>
      <c r="N3713" s="8" t="n">
        <v>0.0369</v>
      </c>
      <c r="O3713" s="4" t="n">
        <f aca="false">M3713*N3713</f>
        <v>51.66</v>
      </c>
    </row>
    <row r="3714" customFormat="false" ht="15" hidden="false" customHeight="false" outlineLevel="0" collapsed="false">
      <c r="A3714" s="0" t="s">
        <v>5183</v>
      </c>
      <c r="C3714" s="0" t="s">
        <v>31</v>
      </c>
      <c r="D3714" s="7" t="n">
        <v>7591</v>
      </c>
      <c r="E3714" s="8" t="n">
        <v>0.00699249110789092</v>
      </c>
      <c r="F3714" s="4" t="n">
        <f aca="false">D3714*E3714</f>
        <v>53.08</v>
      </c>
      <c r="G3714" s="7" t="n">
        <v>924</v>
      </c>
      <c r="H3714" s="9" t="n">
        <f aca="false">IF(G3714&gt;0,D3714/G3714,"")</f>
        <v>8.21536796536797</v>
      </c>
      <c r="I3714" s="10" t="n">
        <v>46314</v>
      </c>
      <c r="J3714" s="3" t="s">
        <v>1731</v>
      </c>
      <c r="K3714" s="10" t="n">
        <v>44356</v>
      </c>
      <c r="L3714" s="3" t="s">
        <v>19</v>
      </c>
      <c r="M3714" s="7" t="n">
        <v>10110</v>
      </c>
      <c r="N3714" s="8" t="n">
        <v>0.0071</v>
      </c>
      <c r="O3714" s="4" t="n">
        <v>71</v>
      </c>
    </row>
    <row r="3715" customFormat="false" ht="15" hidden="false" customHeight="false" outlineLevel="0" collapsed="false">
      <c r="A3715" s="0" t="s">
        <v>5184</v>
      </c>
      <c r="C3715" s="0" t="s">
        <v>38</v>
      </c>
      <c r="D3715" s="7" t="n">
        <v>1160</v>
      </c>
      <c r="E3715" s="8" t="n">
        <v>0.04575</v>
      </c>
      <c r="F3715" s="4" t="n">
        <f aca="false">D3715*E3715</f>
        <v>53.07</v>
      </c>
      <c r="G3715" s="7" t="n">
        <v>791</v>
      </c>
      <c r="H3715" s="9" t="n">
        <f aca="false">IF(G3715&gt;0,D3715/G3715,"")</f>
        <v>1.46649810366625</v>
      </c>
      <c r="I3715" s="10" t="n">
        <v>46300</v>
      </c>
      <c r="J3715" s="3" t="s">
        <v>2162</v>
      </c>
      <c r="K3715" s="10" t="n">
        <v>44222</v>
      </c>
      <c r="L3715" s="3" t="s">
        <v>15</v>
      </c>
      <c r="M3715" s="7" t="n">
        <v>2766</v>
      </c>
      <c r="N3715" s="8" t="n">
        <v>0.04573</v>
      </c>
      <c r="O3715" s="4" t="n">
        <f aca="false">M3715*N3715</f>
        <v>126.48918</v>
      </c>
    </row>
    <row r="3716" customFormat="false" ht="15" hidden="false" customHeight="false" outlineLevel="0" collapsed="false">
      <c r="A3716" s="0" t="s">
        <v>5185</v>
      </c>
      <c r="C3716" s="0" t="s">
        <v>41</v>
      </c>
      <c r="D3716" s="7" t="n">
        <v>3402</v>
      </c>
      <c r="E3716" s="8" t="n">
        <v>0.01559670781893</v>
      </c>
      <c r="F3716" s="4" t="n">
        <f aca="false">D3716*E3716</f>
        <v>53.06</v>
      </c>
      <c r="G3716" s="7" t="n">
        <v>86</v>
      </c>
      <c r="H3716" s="9" t="n">
        <f aca="false">IF(G3716&gt;0,D3716/G3716,"")</f>
        <v>39.5581395348837</v>
      </c>
      <c r="I3716" s="10" t="n">
        <v>46280</v>
      </c>
      <c r="K3716" s="10"/>
      <c r="M3716" s="7"/>
      <c r="N3716" s="8"/>
      <c r="O3716" s="4"/>
    </row>
    <row r="3717" customFormat="false" ht="15" hidden="false" customHeight="false" outlineLevel="0" collapsed="false">
      <c r="A3717" s="0" t="s">
        <v>5186</v>
      </c>
      <c r="C3717" s="0" t="s">
        <v>61</v>
      </c>
      <c r="D3717" s="7" t="n">
        <v>156</v>
      </c>
      <c r="E3717" s="8" t="n">
        <v>0.34</v>
      </c>
      <c r="F3717" s="4" t="n">
        <f aca="false">D3717*E3717</f>
        <v>53.04</v>
      </c>
      <c r="G3717" s="7" t="n">
        <v>5</v>
      </c>
      <c r="H3717" s="9" t="n">
        <f aca="false">IF(G3717&gt;0,D3717/G3717,"")</f>
        <v>31.2</v>
      </c>
      <c r="I3717" s="10" t="n">
        <v>46111</v>
      </c>
      <c r="J3717" s="3" t="s">
        <v>5187</v>
      </c>
      <c r="K3717" s="10" t="n">
        <v>44228</v>
      </c>
      <c r="L3717" s="3" t="s">
        <v>23</v>
      </c>
      <c r="M3717" s="7" t="n">
        <v>600</v>
      </c>
      <c r="N3717" s="8" t="n">
        <v>0.3387</v>
      </c>
      <c r="O3717" s="4" t="n">
        <f aca="false">M3717*N3717</f>
        <v>203.22</v>
      </c>
    </row>
    <row r="3718" customFormat="false" ht="15" hidden="false" customHeight="false" outlineLevel="0" collapsed="false">
      <c r="A3718" s="0" t="s">
        <v>5188</v>
      </c>
      <c r="C3718" s="0" t="s">
        <v>855</v>
      </c>
      <c r="D3718" s="7" t="n">
        <v>16071</v>
      </c>
      <c r="E3718" s="8" t="n">
        <v>0.00329973243730944</v>
      </c>
      <c r="F3718" s="4" t="n">
        <f aca="false">D3718*E3718</f>
        <v>53.03</v>
      </c>
      <c r="G3718" s="7" t="n">
        <v>805</v>
      </c>
      <c r="H3718" s="9" t="n">
        <f aca="false">IF(G3718&gt;0,D3718/G3718,"")</f>
        <v>19.9639751552795</v>
      </c>
      <c r="I3718" s="10" t="n">
        <v>46232</v>
      </c>
      <c r="J3718" s="3" t="s">
        <v>1576</v>
      </c>
      <c r="K3718" s="10" t="n">
        <v>46196</v>
      </c>
      <c r="L3718" s="3" t="s">
        <v>16</v>
      </c>
      <c r="M3718" s="7" t="n">
        <v>16177</v>
      </c>
      <c r="N3718" s="8" t="n">
        <v>0.0033</v>
      </c>
      <c r="O3718" s="4" t="n">
        <f aca="false">M3718*N3718</f>
        <v>53.3841</v>
      </c>
    </row>
    <row r="3719" customFormat="false" ht="15" hidden="false" customHeight="false" outlineLevel="0" collapsed="false">
      <c r="A3719" s="0" t="s">
        <v>5189</v>
      </c>
      <c r="C3719" s="0" t="s">
        <v>340</v>
      </c>
      <c r="D3719" s="7" t="n">
        <v>4041</v>
      </c>
      <c r="E3719" s="8" t="n">
        <v>0.0131180400890869</v>
      </c>
      <c r="F3719" s="4" t="n">
        <f aca="false">D3719*E3719</f>
        <v>53.01</v>
      </c>
      <c r="G3719" s="7" t="n">
        <v>180</v>
      </c>
      <c r="H3719" s="9" t="n">
        <f aca="false">IF(G3719&gt;0,D3719/G3719,"")</f>
        <v>22.45</v>
      </c>
      <c r="I3719" s="10" t="n">
        <v>46147</v>
      </c>
      <c r="J3719" s="3" t="s">
        <v>1756</v>
      </c>
      <c r="K3719" s="10" t="n">
        <v>44405</v>
      </c>
      <c r="L3719" s="3" t="s">
        <v>15</v>
      </c>
      <c r="M3719" s="7" t="n">
        <v>3192</v>
      </c>
      <c r="N3719" s="8" t="n">
        <v>0</v>
      </c>
      <c r="O3719" s="4" t="n">
        <v>35.8976</v>
      </c>
    </row>
    <row r="3720" customFormat="false" ht="15" hidden="false" customHeight="false" outlineLevel="0" collapsed="false">
      <c r="A3720" s="0" t="s">
        <v>5190</v>
      </c>
      <c r="C3720" s="0" t="s">
        <v>31</v>
      </c>
      <c r="D3720" s="7" t="n">
        <v>507</v>
      </c>
      <c r="E3720" s="8" t="n">
        <v>0.104516765285996</v>
      </c>
      <c r="F3720" s="4" t="n">
        <f aca="false">D3720*E3720</f>
        <v>52.99</v>
      </c>
      <c r="G3720" s="7" t="n">
        <v>143</v>
      </c>
      <c r="H3720" s="9" t="n">
        <f aca="false">IF(G3720&gt;0,D3720/G3720,"")</f>
        <v>3.54545454545455</v>
      </c>
      <c r="I3720" s="10" t="n">
        <v>46255</v>
      </c>
      <c r="K3720" s="10"/>
      <c r="M3720" s="7"/>
      <c r="N3720" s="8"/>
      <c r="O3720" s="4"/>
    </row>
    <row r="3721" customFormat="false" ht="15" hidden="false" customHeight="false" outlineLevel="0" collapsed="false">
      <c r="A3721" s="0" t="s">
        <v>5191</v>
      </c>
      <c r="C3721" s="0" t="s">
        <v>34</v>
      </c>
      <c r="D3721" s="7" t="n">
        <v>3051</v>
      </c>
      <c r="E3721" s="8" t="n">
        <v>0.0173582431989512</v>
      </c>
      <c r="F3721" s="4" t="n">
        <f aca="false">D3721*E3721</f>
        <v>52.96</v>
      </c>
      <c r="G3721" s="7" t="n">
        <v>1098</v>
      </c>
      <c r="H3721" s="9" t="n">
        <f aca="false">IF(G3721&gt;0,D3721/G3721,"")</f>
        <v>2.77868852459016</v>
      </c>
      <c r="I3721" s="10" t="n">
        <v>46315</v>
      </c>
      <c r="J3721" s="3" t="s">
        <v>1480</v>
      </c>
      <c r="K3721" s="10" t="n">
        <v>46121</v>
      </c>
      <c r="L3721" s="3" t="s">
        <v>16</v>
      </c>
      <c r="M3721" s="7" t="n">
        <v>3221</v>
      </c>
      <c r="N3721" s="8" t="n">
        <v>0.0161</v>
      </c>
      <c r="O3721" s="4" t="n">
        <f aca="false">M3721*N3721</f>
        <v>51.8581</v>
      </c>
    </row>
    <row r="3722" customFormat="false" ht="15" hidden="false" customHeight="false" outlineLevel="0" collapsed="false">
      <c r="A3722" s="0" t="s">
        <v>5192</v>
      </c>
      <c r="C3722" s="0" t="s">
        <v>32</v>
      </c>
      <c r="D3722" s="7" t="n">
        <v>758</v>
      </c>
      <c r="E3722" s="8" t="n">
        <v>0.069802110817942</v>
      </c>
      <c r="F3722" s="4" t="n">
        <f aca="false">D3722*E3722</f>
        <v>52.91</v>
      </c>
      <c r="G3722" s="7" t="n">
        <v>592</v>
      </c>
      <c r="H3722" s="9" t="n">
        <f aca="false">IF(G3722&gt;0,D3722/G3722,"")</f>
        <v>1.28040540540541</v>
      </c>
      <c r="I3722" s="10" t="n">
        <v>46314</v>
      </c>
      <c r="J3722" s="3" t="s">
        <v>410</v>
      </c>
      <c r="K3722" s="10" t="n">
        <v>46303</v>
      </c>
      <c r="L3722" s="3" t="s">
        <v>16</v>
      </c>
      <c r="M3722" s="7" t="n">
        <v>1600</v>
      </c>
      <c r="N3722" s="8" t="n">
        <v>0.0505</v>
      </c>
      <c r="O3722" s="4" t="n">
        <f aca="false">M3722*N3722</f>
        <v>80.8</v>
      </c>
    </row>
    <row r="3723" customFormat="false" ht="15" hidden="false" customHeight="false" outlineLevel="0" collapsed="false">
      <c r="A3723" s="0" t="s">
        <v>5193</v>
      </c>
      <c r="C3723" s="0" t="s">
        <v>31</v>
      </c>
      <c r="D3723" s="7" t="n">
        <v>147</v>
      </c>
      <c r="E3723" s="8" t="n">
        <v>0.359455782312925</v>
      </c>
      <c r="F3723" s="4" t="n">
        <f aca="false">D3723*E3723</f>
        <v>52.84</v>
      </c>
      <c r="G3723" s="7" t="n">
        <v>133</v>
      </c>
      <c r="H3723" s="9" t="n">
        <f aca="false">IF(G3723&gt;0,D3723/G3723,"")</f>
        <v>1.10526315789474</v>
      </c>
      <c r="I3723" s="10" t="n">
        <v>46160</v>
      </c>
      <c r="K3723" s="10"/>
      <c r="M3723" s="7"/>
      <c r="N3723" s="8"/>
      <c r="O3723" s="4"/>
    </row>
    <row r="3724" customFormat="false" ht="15" hidden="false" customHeight="false" outlineLevel="0" collapsed="false">
      <c r="A3724" s="0" t="s">
        <v>5194</v>
      </c>
      <c r="C3724" s="0" t="s">
        <v>31</v>
      </c>
      <c r="D3724" s="7" t="n">
        <v>7660</v>
      </c>
      <c r="E3724" s="8" t="n">
        <v>0.00689817232375979</v>
      </c>
      <c r="F3724" s="4" t="n">
        <f aca="false">D3724*E3724</f>
        <v>52.84</v>
      </c>
      <c r="G3724" s="7" t="n">
        <v>3234</v>
      </c>
      <c r="H3724" s="9" t="n">
        <f aca="false">IF(G3724&gt;0,D3724/G3724,"")</f>
        <v>2.36858379715523</v>
      </c>
      <c r="I3724" s="10" t="n">
        <v>46309</v>
      </c>
      <c r="J3724" s="3" t="s">
        <v>366</v>
      </c>
      <c r="K3724" s="10" t="n">
        <v>45721</v>
      </c>
      <c r="L3724" s="3" t="s">
        <v>16</v>
      </c>
      <c r="M3724" s="7" t="n">
        <v>13783</v>
      </c>
      <c r="N3724" s="8" t="n">
        <v>0.0069</v>
      </c>
      <c r="O3724" s="4" t="n">
        <f aca="false">M3724*N3724</f>
        <v>95.1027</v>
      </c>
    </row>
    <row r="3725" customFormat="false" ht="15" hidden="false" customHeight="false" outlineLevel="0" collapsed="false">
      <c r="A3725" s="0" t="s">
        <v>5195</v>
      </c>
      <c r="C3725" s="0" t="s">
        <v>31</v>
      </c>
      <c r="D3725" s="7" t="n">
        <v>1231</v>
      </c>
      <c r="E3725" s="8" t="n">
        <v>0.0429082047116166</v>
      </c>
      <c r="F3725" s="4" t="n">
        <f aca="false">D3725*E3725</f>
        <v>52.82</v>
      </c>
      <c r="G3725" s="7" t="n">
        <v>246</v>
      </c>
      <c r="H3725" s="9" t="n">
        <f aca="false">IF(G3725&gt;0,D3725/G3725,"")</f>
        <v>5.00406504065041</v>
      </c>
      <c r="I3725" s="10" t="n">
        <v>46233</v>
      </c>
      <c r="J3725" s="3" t="s">
        <v>5196</v>
      </c>
      <c r="K3725" s="10" t="n">
        <v>44208</v>
      </c>
      <c r="L3725" s="3" t="s">
        <v>19</v>
      </c>
      <c r="M3725" s="7" t="n">
        <v>5000</v>
      </c>
      <c r="N3725" s="8" t="n">
        <v>0.0429</v>
      </c>
      <c r="O3725" s="4" t="n">
        <f aca="false">M3725*N3725</f>
        <v>214.5</v>
      </c>
    </row>
    <row r="3726" customFormat="false" ht="15" hidden="false" customHeight="false" outlineLevel="0" collapsed="false">
      <c r="A3726" s="0" t="s">
        <v>5197</v>
      </c>
      <c r="C3726" s="0" t="s">
        <v>41</v>
      </c>
      <c r="D3726" s="7" t="n">
        <v>1413</v>
      </c>
      <c r="E3726" s="8" t="n">
        <v>0.0373531493276716</v>
      </c>
      <c r="F3726" s="4" t="n">
        <f aca="false">D3726*E3726</f>
        <v>52.78</v>
      </c>
      <c r="G3726" s="7" t="n">
        <v>210</v>
      </c>
      <c r="H3726" s="9" t="n">
        <f aca="false">IF(G3726&gt;0,D3726/G3726,"")</f>
        <v>6.72857142857143</v>
      </c>
      <c r="I3726" s="10" t="n">
        <v>46189</v>
      </c>
      <c r="J3726" s="3" t="s">
        <v>2716</v>
      </c>
      <c r="K3726" s="10" t="n">
        <v>46160</v>
      </c>
      <c r="L3726" s="3" t="s">
        <v>16</v>
      </c>
      <c r="M3726" s="7" t="n">
        <v>1500</v>
      </c>
      <c r="N3726" s="8" t="n">
        <v>0.0335</v>
      </c>
      <c r="O3726" s="4" t="n">
        <f aca="false">M3726*N3726</f>
        <v>50.25</v>
      </c>
    </row>
    <row r="3727" customFormat="false" ht="15" hidden="false" customHeight="false" outlineLevel="0" collapsed="false">
      <c r="A3727" s="0" t="s">
        <v>5198</v>
      </c>
      <c r="C3727" s="0" t="s">
        <v>31</v>
      </c>
      <c r="D3727" s="7" t="n">
        <v>14519</v>
      </c>
      <c r="E3727" s="8" t="n">
        <v>0.00363523658654177</v>
      </c>
      <c r="F3727" s="4" t="n">
        <f aca="false">D3727*E3727</f>
        <v>52.78</v>
      </c>
      <c r="G3727" s="7" t="n">
        <v>2313</v>
      </c>
      <c r="H3727" s="9" t="n">
        <f aca="false">IF(G3727&gt;0,D3727/G3727,"")</f>
        <v>6.27712926934717</v>
      </c>
      <c r="I3727" s="10" t="n">
        <v>46293</v>
      </c>
      <c r="J3727" s="3" t="s">
        <v>1318</v>
      </c>
      <c r="K3727" s="10" t="n">
        <v>46213</v>
      </c>
      <c r="L3727" s="3" t="s">
        <v>16</v>
      </c>
      <c r="M3727" s="7" t="n">
        <v>15625</v>
      </c>
      <c r="N3727" s="8" t="n">
        <v>0.0032</v>
      </c>
      <c r="O3727" s="4" t="n">
        <f aca="false">M3727*N3727</f>
        <v>50</v>
      </c>
    </row>
    <row r="3728" customFormat="false" ht="15" hidden="false" customHeight="false" outlineLevel="0" collapsed="false">
      <c r="A3728" s="0" t="s">
        <v>5199</v>
      </c>
      <c r="C3728" s="0" t="s">
        <v>79</v>
      </c>
      <c r="D3728" s="7" t="n">
        <v>43</v>
      </c>
      <c r="E3728" s="8" t="n">
        <v>1.22511627906977</v>
      </c>
      <c r="F3728" s="4" t="n">
        <f aca="false">D3728*E3728</f>
        <v>52.68</v>
      </c>
      <c r="G3728" s="7" t="n">
        <v>12</v>
      </c>
      <c r="H3728" s="9" t="n">
        <f aca="false">IF(G3728&gt;0,D3728/G3728,"")</f>
        <v>3.58333333333333</v>
      </c>
      <c r="I3728" s="10" t="n">
        <v>46139</v>
      </c>
      <c r="K3728" s="10"/>
      <c r="M3728" s="7"/>
      <c r="N3728" s="8"/>
      <c r="O3728" s="4"/>
    </row>
    <row r="3729" customFormat="false" ht="15" hidden="false" customHeight="false" outlineLevel="0" collapsed="false">
      <c r="A3729" s="0" t="s">
        <v>5200</v>
      </c>
      <c r="C3729" s="0" t="s">
        <v>31</v>
      </c>
      <c r="D3729" s="7" t="n">
        <v>773</v>
      </c>
      <c r="E3729" s="8" t="n">
        <v>0.068111254851229</v>
      </c>
      <c r="F3729" s="4" t="n">
        <f aca="false">D3729*E3729</f>
        <v>52.65</v>
      </c>
      <c r="G3729" s="7" t="n">
        <v>225</v>
      </c>
      <c r="H3729" s="9" t="n">
        <f aca="false">IF(G3729&gt;0,D3729/G3729,"")</f>
        <v>3.43555555555556</v>
      </c>
      <c r="I3729" s="10" t="n">
        <v>46266</v>
      </c>
      <c r="J3729" s="3" t="s">
        <v>5201</v>
      </c>
      <c r="K3729" s="10" t="n">
        <v>44866</v>
      </c>
      <c r="L3729" s="3" t="s">
        <v>2203</v>
      </c>
      <c r="M3729" s="7" t="n">
        <v>250</v>
      </c>
      <c r="N3729" s="8" t="n">
        <v>0.153</v>
      </c>
      <c r="O3729" s="4" t="n">
        <f aca="false">M3729*N3729</f>
        <v>38.25</v>
      </c>
    </row>
    <row r="3730" customFormat="false" ht="15" hidden="false" customHeight="false" outlineLevel="0" collapsed="false">
      <c r="A3730" s="0" t="s">
        <v>5202</v>
      </c>
      <c r="C3730" s="0" t="s">
        <v>1010</v>
      </c>
      <c r="D3730" s="7" t="n">
        <v>715</v>
      </c>
      <c r="E3730" s="8" t="n">
        <v>0.0736363636363636</v>
      </c>
      <c r="F3730" s="4" t="n">
        <f aca="false">D3730*E3730</f>
        <v>52.65</v>
      </c>
      <c r="G3730" s="7" t="n">
        <v>20</v>
      </c>
      <c r="H3730" s="9" t="n">
        <f aca="false">IF(G3730&gt;0,D3730/G3730,"")</f>
        <v>35.75</v>
      </c>
      <c r="I3730" s="10" t="n">
        <v>46111</v>
      </c>
      <c r="J3730" s="3" t="s">
        <v>4397</v>
      </c>
      <c r="K3730" s="10" t="n">
        <v>44628</v>
      </c>
      <c r="L3730" s="3" t="s">
        <v>14</v>
      </c>
      <c r="M3730" s="7" t="n">
        <v>525</v>
      </c>
      <c r="N3730" s="8" t="n">
        <v>0.1349</v>
      </c>
      <c r="O3730" s="4" t="n">
        <v>67.45</v>
      </c>
    </row>
    <row r="3731" customFormat="false" ht="15" hidden="false" customHeight="false" outlineLevel="0" collapsed="false">
      <c r="A3731" s="0" t="s">
        <v>5203</v>
      </c>
      <c r="C3731" s="0" t="s">
        <v>31</v>
      </c>
      <c r="D3731" s="7" t="n">
        <v>6667</v>
      </c>
      <c r="E3731" s="8" t="n">
        <v>0.00789560521973901</v>
      </c>
      <c r="F3731" s="4" t="n">
        <f aca="false">D3731*E3731</f>
        <v>52.64</v>
      </c>
      <c r="G3731" s="7" t="n">
        <v>332</v>
      </c>
      <c r="H3731" s="9" t="n">
        <f aca="false">IF(G3731&gt;0,D3731/G3731,"")</f>
        <v>20.0813253012048</v>
      </c>
      <c r="I3731" s="10" t="n">
        <v>46300</v>
      </c>
      <c r="J3731" s="3" t="s">
        <v>5117</v>
      </c>
      <c r="K3731" s="10" t="n">
        <v>44232</v>
      </c>
      <c r="L3731" s="3" t="s">
        <v>19</v>
      </c>
      <c r="M3731" s="7" t="n">
        <v>7820</v>
      </c>
      <c r="N3731" s="8" t="n">
        <v>0.0079</v>
      </c>
      <c r="O3731" s="4" t="n">
        <f aca="false">M3731*N3731</f>
        <v>61.778</v>
      </c>
    </row>
    <row r="3732" customFormat="false" ht="15" hidden="false" customHeight="false" outlineLevel="0" collapsed="false">
      <c r="A3732" s="0" t="s">
        <v>5204</v>
      </c>
      <c r="C3732" s="0" t="s">
        <v>583</v>
      </c>
      <c r="D3732" s="7" t="n">
        <v>779</v>
      </c>
      <c r="E3732" s="8" t="n">
        <v>0.0674967907573813</v>
      </c>
      <c r="F3732" s="4" t="n">
        <f aca="false">D3732*E3732</f>
        <v>52.58</v>
      </c>
      <c r="G3732" s="7" t="n">
        <v>196</v>
      </c>
      <c r="H3732" s="9" t="n">
        <f aca="false">IF(G3732&gt;0,D3732/G3732,"")</f>
        <v>3.97448979591837</v>
      </c>
      <c r="I3732" s="10" t="n">
        <v>46310</v>
      </c>
      <c r="J3732" s="3" t="s">
        <v>3821</v>
      </c>
      <c r="K3732" s="10" t="n">
        <v>45980</v>
      </c>
      <c r="L3732" s="3" t="s">
        <v>19</v>
      </c>
      <c r="M3732" s="7" t="n">
        <v>100</v>
      </c>
      <c r="N3732" s="8" t="n">
        <v>0.2357</v>
      </c>
      <c r="O3732" s="4" t="n">
        <f aca="false">M3732*N3732</f>
        <v>23.57</v>
      </c>
    </row>
    <row r="3733" customFormat="false" ht="15" hidden="false" customHeight="false" outlineLevel="0" collapsed="false">
      <c r="A3733" s="0" t="s">
        <v>5205</v>
      </c>
      <c r="C3733" s="0" t="s">
        <v>39</v>
      </c>
      <c r="D3733" s="7" t="n">
        <v>26</v>
      </c>
      <c r="E3733" s="8" t="n">
        <v>2.02192307692308</v>
      </c>
      <c r="F3733" s="4" t="n">
        <f aca="false">D3733*E3733</f>
        <v>52.57</v>
      </c>
      <c r="G3733" s="7" t="n">
        <v>20</v>
      </c>
      <c r="H3733" s="9" t="n">
        <f aca="false">IF(G3733&gt;0,D3733/G3733,"")</f>
        <v>1.3</v>
      </c>
      <c r="I3733" s="10" t="n">
        <v>46007</v>
      </c>
      <c r="J3733" s="3" t="s">
        <v>4411</v>
      </c>
      <c r="K3733" s="10" t="n">
        <v>45996</v>
      </c>
      <c r="L3733" s="3" t="s">
        <v>18</v>
      </c>
      <c r="M3733" s="7" t="n">
        <v>46</v>
      </c>
      <c r="N3733" s="8" t="n">
        <v>2.022</v>
      </c>
      <c r="O3733" s="4" t="n">
        <f aca="false">M3733*N3733</f>
        <v>93.012</v>
      </c>
    </row>
    <row r="3734" customFormat="false" ht="15" hidden="false" customHeight="false" outlineLevel="0" collapsed="false">
      <c r="A3734" s="0" t="s">
        <v>5206</v>
      </c>
      <c r="C3734" s="0" t="s">
        <v>31</v>
      </c>
      <c r="D3734" s="7" t="n">
        <v>5589</v>
      </c>
      <c r="E3734" s="8" t="n">
        <v>0.00939881910896404</v>
      </c>
      <c r="F3734" s="4" t="n">
        <f aca="false">D3734*E3734</f>
        <v>52.53</v>
      </c>
      <c r="G3734" s="7" t="n">
        <v>1080</v>
      </c>
      <c r="H3734" s="9" t="n">
        <f aca="false">IF(G3734&gt;0,D3734/G3734,"")</f>
        <v>5.175</v>
      </c>
      <c r="I3734" s="10" t="n">
        <v>46168</v>
      </c>
      <c r="J3734" s="3" t="s">
        <v>1840</v>
      </c>
      <c r="K3734" s="10" t="n">
        <v>44230</v>
      </c>
      <c r="L3734" s="3" t="s">
        <v>19</v>
      </c>
      <c r="M3734" s="7" t="n">
        <v>5000</v>
      </c>
      <c r="N3734" s="8" t="n">
        <v>0.0062</v>
      </c>
      <c r="O3734" s="4" t="n">
        <f aca="false">M3734*N3734</f>
        <v>31</v>
      </c>
    </row>
    <row r="3735" customFormat="false" ht="15" hidden="false" customHeight="false" outlineLevel="0" collapsed="false">
      <c r="A3735" s="0" t="s">
        <v>5207</v>
      </c>
      <c r="C3735" s="0" t="s">
        <v>31</v>
      </c>
      <c r="D3735" s="7" t="n">
        <v>3621</v>
      </c>
      <c r="E3735" s="8" t="n">
        <v>0.0145015189174261</v>
      </c>
      <c r="F3735" s="4" t="n">
        <f aca="false">D3735*E3735</f>
        <v>52.51</v>
      </c>
      <c r="G3735" s="7" t="n">
        <v>690</v>
      </c>
      <c r="H3735" s="9" t="n">
        <f aca="false">IF(G3735&gt;0,D3735/G3735,"")</f>
        <v>5.24782608695652</v>
      </c>
      <c r="I3735" s="10" t="n">
        <v>46210</v>
      </c>
      <c r="J3735" s="3" t="s">
        <v>2719</v>
      </c>
      <c r="K3735" s="10" t="n">
        <v>46049</v>
      </c>
      <c r="L3735" s="3" t="s">
        <v>16</v>
      </c>
      <c r="M3735" s="7" t="n">
        <v>4128</v>
      </c>
      <c r="N3735" s="8" t="n">
        <v>0.0145</v>
      </c>
      <c r="O3735" s="4" t="n">
        <f aca="false">M3735*N3735</f>
        <v>59.856</v>
      </c>
    </row>
    <row r="3736" customFormat="false" ht="15" hidden="false" customHeight="false" outlineLevel="0" collapsed="false">
      <c r="A3736" s="0" t="s">
        <v>5208</v>
      </c>
      <c r="C3736" s="0" t="s">
        <v>438</v>
      </c>
      <c r="D3736" s="7" t="n">
        <v>75</v>
      </c>
      <c r="E3736" s="8" t="n">
        <v>0.699866666666667</v>
      </c>
      <c r="F3736" s="4" t="n">
        <f aca="false">D3736*E3736</f>
        <v>52.49</v>
      </c>
      <c r="G3736" s="7" t="n">
        <v>9</v>
      </c>
      <c r="H3736" s="9" t="n">
        <f aca="false">IF(G3736&gt;0,D3736/G3736,"")</f>
        <v>8.33333333333333</v>
      </c>
      <c r="I3736" s="10" t="n">
        <v>46301</v>
      </c>
      <c r="J3736" s="3" t="s">
        <v>5209</v>
      </c>
      <c r="K3736" s="10" t="n">
        <v>45553</v>
      </c>
      <c r="L3736" s="3" t="s">
        <v>27</v>
      </c>
      <c r="M3736" s="7" t="n">
        <v>100</v>
      </c>
      <c r="N3736" s="8" t="n">
        <v>0.6999</v>
      </c>
      <c r="O3736" s="4" t="n">
        <f aca="false">M3736*N3736</f>
        <v>69.99</v>
      </c>
    </row>
    <row r="3737" customFormat="false" ht="15" hidden="false" customHeight="false" outlineLevel="0" collapsed="false">
      <c r="A3737" s="0" t="s">
        <v>5210</v>
      </c>
      <c r="C3737" s="0" t="s">
        <v>34</v>
      </c>
      <c r="D3737" s="7" t="n">
        <v>2571</v>
      </c>
      <c r="E3737" s="8" t="n">
        <v>0.0204006223259432</v>
      </c>
      <c r="F3737" s="4" t="n">
        <f aca="false">D3737*E3737</f>
        <v>52.45</v>
      </c>
      <c r="G3737" s="7" t="n">
        <v>50</v>
      </c>
      <c r="H3737" s="9" t="n">
        <f aca="false">IF(G3737&gt;0,D3737/G3737,"")</f>
        <v>51.42</v>
      </c>
      <c r="I3737" s="10" t="n">
        <v>46282</v>
      </c>
      <c r="J3737" s="3" t="s">
        <v>5211</v>
      </c>
      <c r="K3737" s="10" t="n">
        <v>44531</v>
      </c>
      <c r="L3737" s="3" t="s">
        <v>19</v>
      </c>
      <c r="M3737" s="7" t="n">
        <v>9936</v>
      </c>
      <c r="N3737" s="8" t="n">
        <v>0.0204</v>
      </c>
      <c r="O3737" s="4" t="n">
        <f aca="false">M3737*N3737</f>
        <v>202.6944</v>
      </c>
    </row>
    <row r="3738" customFormat="false" ht="15" hidden="false" customHeight="false" outlineLevel="0" collapsed="false">
      <c r="A3738" s="0" t="s">
        <v>5212</v>
      </c>
      <c r="C3738" s="0" t="s">
        <v>34</v>
      </c>
      <c r="D3738" s="7" t="n">
        <v>101</v>
      </c>
      <c r="E3738" s="8" t="n">
        <v>0.519306930693069</v>
      </c>
      <c r="F3738" s="4" t="n">
        <f aca="false">D3738*E3738</f>
        <v>52.45</v>
      </c>
      <c r="G3738" s="7" t="n">
        <v>24</v>
      </c>
      <c r="H3738" s="9" t="n">
        <f aca="false">IF(G3738&gt;0,D3738/G3738,"")</f>
        <v>4.20833333333333</v>
      </c>
      <c r="I3738" s="10" t="n">
        <v>46281</v>
      </c>
      <c r="J3738" s="3" t="s">
        <v>2392</v>
      </c>
      <c r="K3738" s="10" t="n">
        <v>46274</v>
      </c>
      <c r="L3738" s="3" t="s">
        <v>16</v>
      </c>
      <c r="M3738" s="7" t="n">
        <v>100</v>
      </c>
      <c r="N3738" s="8" t="n">
        <v>0.5014</v>
      </c>
      <c r="O3738" s="4" t="n">
        <f aca="false">M3738*N3738</f>
        <v>50.14</v>
      </c>
    </row>
    <row r="3739" customFormat="false" ht="15" hidden="false" customHeight="false" outlineLevel="0" collapsed="false">
      <c r="A3739" s="0" t="s">
        <v>5213</v>
      </c>
      <c r="C3739" s="0" t="s">
        <v>31</v>
      </c>
      <c r="D3739" s="7" t="n">
        <v>7769</v>
      </c>
      <c r="E3739" s="8" t="n">
        <v>0.00674990346247908</v>
      </c>
      <c r="F3739" s="4" t="n">
        <f aca="false">D3739*E3739</f>
        <v>52.44</v>
      </c>
      <c r="G3739" s="7" t="n">
        <v>500</v>
      </c>
      <c r="H3739" s="9" t="n">
        <f aca="false">IF(G3739&gt;0,D3739/G3739,"")</f>
        <v>15.538</v>
      </c>
      <c r="I3739" s="10" t="n">
        <v>46310</v>
      </c>
      <c r="J3739" s="3" t="s">
        <v>1448</v>
      </c>
      <c r="K3739" s="10" t="n">
        <v>45531</v>
      </c>
      <c r="L3739" s="3" t="s">
        <v>19</v>
      </c>
      <c r="M3739" s="7" t="n">
        <v>3675</v>
      </c>
      <c r="N3739" s="8" t="n">
        <v>0.0077</v>
      </c>
      <c r="O3739" s="4" t="n">
        <f aca="false">M3739*N3739</f>
        <v>28.2975</v>
      </c>
    </row>
    <row r="3740" customFormat="false" ht="15" hidden="false" customHeight="false" outlineLevel="0" collapsed="false">
      <c r="A3740" s="0" t="s">
        <v>5214</v>
      </c>
      <c r="C3740" s="0" t="s">
        <v>855</v>
      </c>
      <c r="D3740" s="7" t="n">
        <v>4405</v>
      </c>
      <c r="E3740" s="8" t="n">
        <v>0.011900113507378</v>
      </c>
      <c r="F3740" s="4" t="n">
        <f aca="false">D3740*E3740</f>
        <v>52.42</v>
      </c>
      <c r="G3740" s="7" t="n">
        <v>1738</v>
      </c>
      <c r="H3740" s="9" t="n">
        <f aca="false">IF(G3740&gt;0,D3740/G3740,"")</f>
        <v>2.53452243958573</v>
      </c>
      <c r="I3740" s="10" t="n">
        <v>46080</v>
      </c>
      <c r="K3740" s="10"/>
      <c r="M3740" s="7"/>
      <c r="N3740" s="8"/>
      <c r="O3740" s="4"/>
    </row>
    <row r="3741" customFormat="false" ht="15" hidden="false" customHeight="false" outlineLevel="0" collapsed="false">
      <c r="A3741" s="0" t="s">
        <v>5215</v>
      </c>
      <c r="C3741" s="0" t="s">
        <v>31</v>
      </c>
      <c r="D3741" s="7" t="n">
        <v>20949</v>
      </c>
      <c r="E3741" s="8" t="n">
        <v>0.00250035801231562</v>
      </c>
      <c r="F3741" s="4" t="n">
        <f aca="false">D3741*E3741</f>
        <v>52.38</v>
      </c>
      <c r="G3741" s="7" t="n">
        <v>2800</v>
      </c>
      <c r="H3741" s="9" t="n">
        <f aca="false">IF(G3741&gt;0,D3741/G3741,"")</f>
        <v>7.48178571428571</v>
      </c>
      <c r="I3741" s="10" t="n">
        <v>46315</v>
      </c>
      <c r="J3741" s="3" t="s">
        <v>1846</v>
      </c>
      <c r="K3741" s="10" t="n">
        <v>46288</v>
      </c>
      <c r="L3741" s="3" t="s">
        <v>16</v>
      </c>
      <c r="M3741" s="7" t="n">
        <v>22750</v>
      </c>
      <c r="N3741" s="8" t="n">
        <v>0.0025</v>
      </c>
      <c r="O3741" s="4" t="n">
        <f aca="false">M3741*N3741</f>
        <v>56.875</v>
      </c>
    </row>
    <row r="3742" customFormat="false" ht="15" hidden="false" customHeight="false" outlineLevel="0" collapsed="false">
      <c r="A3742" s="0" t="s">
        <v>5216</v>
      </c>
      <c r="C3742" s="0" t="s">
        <v>855</v>
      </c>
      <c r="D3742" s="7" t="n">
        <v>628</v>
      </c>
      <c r="E3742" s="8" t="n">
        <v>0.0832006369426752</v>
      </c>
      <c r="F3742" s="4" t="n">
        <f aca="false">D3742*E3742</f>
        <v>52.25</v>
      </c>
      <c r="G3742" s="7" t="n">
        <v>6</v>
      </c>
      <c r="H3742" s="9" t="n">
        <f aca="false">IF(G3742&gt;0,D3742/G3742,"")</f>
        <v>104.666666666667</v>
      </c>
      <c r="I3742" s="10" t="n">
        <v>46153</v>
      </c>
      <c r="K3742" s="10"/>
      <c r="M3742" s="7"/>
      <c r="N3742" s="8"/>
      <c r="O3742" s="4"/>
    </row>
    <row r="3743" customFormat="false" ht="15" hidden="false" customHeight="false" outlineLevel="0" collapsed="false">
      <c r="A3743" s="0" t="s">
        <v>5217</v>
      </c>
      <c r="C3743" s="0" t="s">
        <v>741</v>
      </c>
      <c r="D3743" s="7" t="n">
        <v>472</v>
      </c>
      <c r="E3743" s="8" t="n">
        <v>0.110572033898305</v>
      </c>
      <c r="F3743" s="4" t="n">
        <f aca="false">D3743*E3743</f>
        <v>52.19</v>
      </c>
      <c r="G3743" s="7" t="n">
        <v>50</v>
      </c>
      <c r="H3743" s="9" t="n">
        <f aca="false">IF(G3743&gt;0,D3743/G3743,"")</f>
        <v>9.44</v>
      </c>
      <c r="I3743" s="10" t="n">
        <v>46300</v>
      </c>
      <c r="K3743" s="10"/>
      <c r="M3743" s="7"/>
      <c r="N3743" s="8"/>
      <c r="O3743" s="4"/>
    </row>
    <row r="3744" customFormat="false" ht="15" hidden="false" customHeight="false" outlineLevel="0" collapsed="false">
      <c r="A3744" s="0" t="s">
        <v>5218</v>
      </c>
      <c r="C3744" s="0" t="s">
        <v>855</v>
      </c>
      <c r="D3744" s="7" t="n">
        <v>15230</v>
      </c>
      <c r="E3744" s="8" t="n">
        <v>0.00342219304005253</v>
      </c>
      <c r="F3744" s="4" t="n">
        <f aca="false">D3744*E3744</f>
        <v>52.12</v>
      </c>
      <c r="G3744" s="7" t="n">
        <v>1664</v>
      </c>
      <c r="H3744" s="9" t="n">
        <f aca="false">IF(G3744&gt;0,D3744/G3744,"")</f>
        <v>9.15264423076923</v>
      </c>
      <c r="I3744" s="10" t="n">
        <v>46247</v>
      </c>
      <c r="J3744" s="3" t="s">
        <v>1955</v>
      </c>
      <c r="K3744" s="10" t="n">
        <v>46268</v>
      </c>
      <c r="L3744" s="3" t="s">
        <v>16</v>
      </c>
      <c r="M3744" s="7" t="n">
        <v>15000</v>
      </c>
      <c r="N3744" s="8" t="n">
        <v>0.0034</v>
      </c>
      <c r="O3744" s="4" t="n">
        <f aca="false">M3744*N3744</f>
        <v>51</v>
      </c>
    </row>
    <row r="3745" customFormat="false" ht="15" hidden="false" customHeight="false" outlineLevel="0" collapsed="false">
      <c r="A3745" s="0" t="s">
        <v>5219</v>
      </c>
      <c r="C3745" s="0" t="s">
        <v>765</v>
      </c>
      <c r="D3745" s="7" t="n">
        <v>711</v>
      </c>
      <c r="E3745" s="8" t="n">
        <v>0.0732630098452883</v>
      </c>
      <c r="F3745" s="4" t="n">
        <f aca="false">D3745*E3745</f>
        <v>52.09</v>
      </c>
      <c r="G3745" s="7" t="n">
        <v>105</v>
      </c>
      <c r="H3745" s="9" t="n">
        <f aca="false">IF(G3745&gt;0,D3745/G3745,"")</f>
        <v>6.77142857142857</v>
      </c>
      <c r="I3745" s="10" t="n">
        <v>46309</v>
      </c>
      <c r="J3745" s="3" t="s">
        <v>4504</v>
      </c>
      <c r="K3745" s="10" t="n">
        <v>44704</v>
      </c>
      <c r="L3745" s="3" t="s">
        <v>14</v>
      </c>
      <c r="M3745" s="7" t="n">
        <v>1568</v>
      </c>
      <c r="N3745" s="8" t="n">
        <v>0.0733</v>
      </c>
      <c r="O3745" s="4" t="n">
        <f aca="false">M3745*N3745</f>
        <v>114.9344</v>
      </c>
    </row>
    <row r="3746" customFormat="false" ht="15" hidden="false" customHeight="false" outlineLevel="0" collapsed="false">
      <c r="A3746" s="0" t="s">
        <v>5220</v>
      </c>
      <c r="C3746" s="0" t="s">
        <v>31</v>
      </c>
      <c r="D3746" s="7" t="n">
        <v>15962</v>
      </c>
      <c r="E3746" s="8" t="n">
        <v>0.00326024307730861</v>
      </c>
      <c r="F3746" s="4" t="n">
        <f aca="false">D3746*E3746</f>
        <v>52.04</v>
      </c>
      <c r="G3746" s="7" t="n">
        <v>12727</v>
      </c>
      <c r="H3746" s="9" t="n">
        <f aca="false">IF(G3746&gt;0,D3746/G3746,"")</f>
        <v>1.25418401822896</v>
      </c>
      <c r="I3746" s="10" t="n">
        <v>46315</v>
      </c>
      <c r="J3746" s="3" t="s">
        <v>2125</v>
      </c>
      <c r="K3746" s="10" t="n">
        <v>44334</v>
      </c>
      <c r="L3746" s="3" t="s">
        <v>15</v>
      </c>
      <c r="M3746" s="7" t="n">
        <v>79500</v>
      </c>
      <c r="N3746" s="8" t="n">
        <v>0.00326</v>
      </c>
      <c r="O3746" s="4" t="n">
        <f aca="false">M3746*N3746</f>
        <v>259.17</v>
      </c>
    </row>
    <row r="3747" customFormat="false" ht="15" hidden="false" customHeight="false" outlineLevel="0" collapsed="false">
      <c r="A3747" s="0" t="s">
        <v>5221</v>
      </c>
      <c r="C3747" s="0" t="s">
        <v>31</v>
      </c>
      <c r="D3747" s="7" t="n">
        <v>2307</v>
      </c>
      <c r="E3747" s="8" t="n">
        <v>0.0225400953619419</v>
      </c>
      <c r="F3747" s="4" t="n">
        <f aca="false">D3747*E3747</f>
        <v>52</v>
      </c>
      <c r="G3747" s="7" t="n">
        <v>152</v>
      </c>
      <c r="H3747" s="9" t="n">
        <f aca="false">IF(G3747&gt;0,D3747/G3747,"")</f>
        <v>15.1776315789474</v>
      </c>
      <c r="I3747" s="10" t="n">
        <v>46265</v>
      </c>
      <c r="J3747" s="3" t="s">
        <v>1616</v>
      </c>
      <c r="K3747" s="10" t="n">
        <v>46266</v>
      </c>
      <c r="L3747" s="3" t="s">
        <v>16</v>
      </c>
      <c r="M3747" s="7" t="n">
        <v>2300</v>
      </c>
      <c r="N3747" s="8" t="n">
        <v>0.0224</v>
      </c>
      <c r="O3747" s="4" t="n">
        <f aca="false">M3747*N3747</f>
        <v>51.52</v>
      </c>
    </row>
    <row r="3748" customFormat="false" ht="15" hidden="false" customHeight="false" outlineLevel="0" collapsed="false">
      <c r="A3748" s="0" t="s">
        <v>5222</v>
      </c>
      <c r="C3748" s="0" t="s">
        <v>285</v>
      </c>
      <c r="D3748" s="7" t="n">
        <v>309</v>
      </c>
      <c r="E3748" s="8" t="n">
        <v>0.168284789644013</v>
      </c>
      <c r="F3748" s="4" t="n">
        <f aca="false">D3748*E3748</f>
        <v>52</v>
      </c>
      <c r="G3748" s="7" t="n">
        <v>264</v>
      </c>
      <c r="H3748" s="9" t="n">
        <f aca="false">IF(G3748&gt;0,D3748/G3748,"")</f>
        <v>1.17045454545455</v>
      </c>
      <c r="I3748" s="10" t="n">
        <v>46253</v>
      </c>
      <c r="J3748" s="3" t="s">
        <v>5223</v>
      </c>
      <c r="K3748" s="10" t="n">
        <v>45971</v>
      </c>
      <c r="L3748" s="3" t="s">
        <v>26</v>
      </c>
      <c r="M3748" s="7" t="n">
        <v>250</v>
      </c>
      <c r="N3748" s="8" t="n">
        <v>0.4993</v>
      </c>
      <c r="O3748" s="4" t="n">
        <f aca="false">M3748*N3748</f>
        <v>124.825</v>
      </c>
    </row>
    <row r="3749" customFormat="false" ht="15" hidden="false" customHeight="false" outlineLevel="0" collapsed="false">
      <c r="A3749" s="0" t="s">
        <v>5224</v>
      </c>
      <c r="C3749" s="0" t="s">
        <v>438</v>
      </c>
      <c r="D3749" s="7" t="n">
        <v>14</v>
      </c>
      <c r="E3749" s="8" t="n">
        <v>3.71</v>
      </c>
      <c r="F3749" s="4" t="n">
        <f aca="false">D3749*E3749</f>
        <v>51.94</v>
      </c>
      <c r="G3749" s="7" t="n">
        <v>2</v>
      </c>
      <c r="H3749" s="9" t="n">
        <f aca="false">IF(G3749&gt;0,D3749/G3749,"")</f>
        <v>7</v>
      </c>
      <c r="I3749" s="10" t="n">
        <v>46279</v>
      </c>
      <c r="J3749" s="3" t="s">
        <v>4084</v>
      </c>
      <c r="K3749" s="10" t="n">
        <v>45013</v>
      </c>
      <c r="L3749" s="3" t="s">
        <v>1878</v>
      </c>
      <c r="M3749" s="7" t="n">
        <v>25</v>
      </c>
      <c r="N3749" s="8" t="n">
        <v>3.71</v>
      </c>
      <c r="O3749" s="4" t="n">
        <f aca="false">M3749*N3749</f>
        <v>92.75</v>
      </c>
    </row>
    <row r="3750" customFormat="false" ht="15" hidden="false" customHeight="false" outlineLevel="0" collapsed="false">
      <c r="A3750" s="0" t="s">
        <v>5225</v>
      </c>
      <c r="C3750" s="0" t="s">
        <v>38</v>
      </c>
      <c r="D3750" s="7" t="n">
        <v>2268</v>
      </c>
      <c r="E3750" s="8" t="n">
        <v>0.0228968253968254</v>
      </c>
      <c r="F3750" s="4" t="n">
        <f aca="false">D3750*E3750</f>
        <v>51.93</v>
      </c>
      <c r="G3750" s="7" t="n">
        <v>199</v>
      </c>
      <c r="H3750" s="9" t="n">
        <f aca="false">IF(G3750&gt;0,D3750/G3750,"")</f>
        <v>11.3969849246231</v>
      </c>
      <c r="I3750" s="10" t="n">
        <v>46293</v>
      </c>
      <c r="J3750" s="3" t="s">
        <v>531</v>
      </c>
      <c r="K3750" s="10" t="n">
        <v>45782</v>
      </c>
      <c r="L3750" s="3" t="s">
        <v>14</v>
      </c>
      <c r="M3750" s="7" t="n">
        <v>2500</v>
      </c>
      <c r="N3750" s="8" t="n">
        <v>0.0229</v>
      </c>
      <c r="O3750" s="4" t="n">
        <f aca="false">M3750*N3750</f>
        <v>57.25</v>
      </c>
    </row>
    <row r="3751" customFormat="false" ht="15" hidden="false" customHeight="false" outlineLevel="0" collapsed="false">
      <c r="A3751" s="0" t="s">
        <v>5226</v>
      </c>
      <c r="C3751" s="0" t="s">
        <v>44</v>
      </c>
      <c r="D3751" s="7" t="n">
        <v>3</v>
      </c>
      <c r="E3751" s="8" t="n">
        <v>17.31</v>
      </c>
      <c r="F3751" s="4" t="n">
        <f aca="false">D3751*E3751</f>
        <v>51.93</v>
      </c>
      <c r="G3751" s="7" t="n">
        <v>2</v>
      </c>
      <c r="H3751" s="9" t="n">
        <f aca="false">IF(G3751&gt;0,D3751/G3751,"")</f>
        <v>1.5</v>
      </c>
      <c r="I3751" s="10" t="n">
        <v>45987</v>
      </c>
      <c r="J3751" s="3" t="s">
        <v>1819</v>
      </c>
      <c r="K3751" s="10" t="n">
        <v>46097</v>
      </c>
      <c r="L3751" s="3" t="s">
        <v>14</v>
      </c>
      <c r="M3751" s="7" t="n">
        <v>3</v>
      </c>
      <c r="N3751" s="8" t="n">
        <v>17.31</v>
      </c>
      <c r="O3751" s="4" t="n">
        <f aca="false">M3751*N3751</f>
        <v>51.93</v>
      </c>
    </row>
    <row r="3752" customFormat="false" ht="15" hidden="false" customHeight="false" outlineLevel="0" collapsed="false">
      <c r="A3752" s="0" t="s">
        <v>5227</v>
      </c>
      <c r="C3752" s="0" t="s">
        <v>31</v>
      </c>
      <c r="D3752" s="7" t="n">
        <v>14022</v>
      </c>
      <c r="E3752" s="8" t="n">
        <v>0.00369990015689631</v>
      </c>
      <c r="F3752" s="4" t="n">
        <f aca="false">D3752*E3752</f>
        <v>51.88</v>
      </c>
      <c r="G3752" s="7" t="n">
        <v>2186</v>
      </c>
      <c r="H3752" s="9" t="n">
        <f aca="false">IF(G3752&gt;0,D3752/G3752,"")</f>
        <v>6.41445562671546</v>
      </c>
      <c r="I3752" s="10" t="n">
        <v>46240</v>
      </c>
      <c r="J3752" s="3" t="s">
        <v>1651</v>
      </c>
      <c r="K3752" s="10" t="n">
        <v>46069</v>
      </c>
      <c r="L3752" s="3" t="s">
        <v>16</v>
      </c>
      <c r="M3752" s="7" t="n">
        <v>15222</v>
      </c>
      <c r="N3752" s="8" t="n">
        <v>0.0037</v>
      </c>
      <c r="O3752" s="4" t="n">
        <f aca="false">M3752*N3752</f>
        <v>56.3214</v>
      </c>
    </row>
    <row r="3753" customFormat="false" ht="15" hidden="false" customHeight="false" outlineLevel="0" collapsed="false">
      <c r="A3753" s="0" t="s">
        <v>5228</v>
      </c>
      <c r="C3753" s="0" t="s">
        <v>39</v>
      </c>
      <c r="D3753" s="7" t="n">
        <v>2075</v>
      </c>
      <c r="E3753" s="8" t="n">
        <v>0.0249975903614458</v>
      </c>
      <c r="F3753" s="4" t="n">
        <f aca="false">D3753*E3753</f>
        <v>51.87</v>
      </c>
      <c r="G3753" s="7" t="n">
        <v>1220</v>
      </c>
      <c r="H3753" s="9" t="n">
        <f aca="false">IF(G3753&gt;0,D3753/G3753,"")</f>
        <v>1.70081967213115</v>
      </c>
      <c r="I3753" s="10" t="n">
        <v>46297</v>
      </c>
      <c r="J3753" s="3" t="s">
        <v>5229</v>
      </c>
      <c r="K3753" s="10" t="n">
        <v>45338</v>
      </c>
      <c r="L3753" s="3" t="s">
        <v>18</v>
      </c>
      <c r="M3753" s="7" t="n">
        <v>6400</v>
      </c>
      <c r="N3753" s="8" t="n">
        <v>0.025</v>
      </c>
      <c r="O3753" s="4" t="n">
        <f aca="false">M3753*N3753</f>
        <v>160</v>
      </c>
    </row>
    <row r="3754" customFormat="false" ht="15" hidden="false" customHeight="false" outlineLevel="0" collapsed="false">
      <c r="A3754" s="0" t="s">
        <v>5230</v>
      </c>
      <c r="C3754" s="0" t="s">
        <v>40</v>
      </c>
      <c r="D3754" s="7" t="n">
        <v>15249</v>
      </c>
      <c r="E3754" s="8" t="n">
        <v>0.00340022296544036</v>
      </c>
      <c r="F3754" s="4" t="n">
        <f aca="false">D3754*E3754</f>
        <v>51.85</v>
      </c>
      <c r="G3754" s="7" t="n">
        <v>5000</v>
      </c>
      <c r="H3754" s="9" t="n">
        <f aca="false">IF(G3754&gt;0,D3754/G3754,"")</f>
        <v>3.0498</v>
      </c>
      <c r="I3754" s="10" t="n">
        <v>46287</v>
      </c>
      <c r="J3754" s="3" t="s">
        <v>4578</v>
      </c>
      <c r="K3754" s="10" t="n">
        <v>45272</v>
      </c>
      <c r="L3754" s="3" t="s">
        <v>18</v>
      </c>
      <c r="M3754" s="7" t="n">
        <v>29000</v>
      </c>
      <c r="N3754" s="8" t="n">
        <v>0.0034</v>
      </c>
      <c r="O3754" s="4" t="n">
        <f aca="false">M3754*N3754</f>
        <v>98.6</v>
      </c>
    </row>
    <row r="3755" customFormat="false" ht="15" hidden="false" customHeight="false" outlineLevel="0" collapsed="false">
      <c r="A3755" s="0" t="s">
        <v>5231</v>
      </c>
      <c r="C3755" s="0" t="s">
        <v>31</v>
      </c>
      <c r="D3755" s="7" t="n">
        <v>146</v>
      </c>
      <c r="E3755" s="8" t="n">
        <v>0.355068493150685</v>
      </c>
      <c r="F3755" s="4" t="n">
        <f aca="false">D3755*E3755</f>
        <v>51.84</v>
      </c>
      <c r="G3755" s="7" t="n">
        <v>5</v>
      </c>
      <c r="H3755" s="9" t="n">
        <f aca="false">IF(G3755&gt;0,D3755/G3755,"")</f>
        <v>29.2</v>
      </c>
      <c r="I3755" s="10" t="n">
        <v>46174</v>
      </c>
      <c r="J3755" s="3" t="s">
        <v>5232</v>
      </c>
      <c r="K3755" s="10" t="n">
        <v>44365</v>
      </c>
      <c r="L3755" s="3" t="s">
        <v>19</v>
      </c>
      <c r="M3755" s="7" t="n">
        <v>25</v>
      </c>
      <c r="N3755" s="8" t="n">
        <v>0.8832</v>
      </c>
      <c r="O3755" s="4" t="n">
        <f aca="false">M3755*N3755</f>
        <v>22.08</v>
      </c>
    </row>
    <row r="3756" customFormat="false" ht="15" hidden="false" customHeight="false" outlineLevel="0" collapsed="false">
      <c r="A3756" s="0" t="s">
        <v>5233</v>
      </c>
      <c r="C3756" s="0" t="s">
        <v>34</v>
      </c>
      <c r="D3756" s="7" t="n">
        <v>172</v>
      </c>
      <c r="E3756" s="8" t="n">
        <v>0.301395348837209</v>
      </c>
      <c r="F3756" s="4" t="n">
        <f aca="false">D3756*E3756</f>
        <v>51.84</v>
      </c>
      <c r="G3756" s="7" t="n">
        <v>15</v>
      </c>
      <c r="H3756" s="9" t="n">
        <f aca="false">IF(G3756&gt;0,D3756/G3756,"")</f>
        <v>11.4666666666667</v>
      </c>
      <c r="I3756" s="10" t="n">
        <v>46147</v>
      </c>
      <c r="J3756" s="3" t="s">
        <v>1480</v>
      </c>
      <c r="K3756" s="10" t="n">
        <v>46121</v>
      </c>
      <c r="L3756" s="3" t="s">
        <v>16</v>
      </c>
      <c r="M3756" s="7" t="n">
        <v>180</v>
      </c>
      <c r="N3756" s="8" t="n">
        <v>0.2823</v>
      </c>
      <c r="O3756" s="4" t="n">
        <f aca="false">M3756*N3756</f>
        <v>50.814</v>
      </c>
    </row>
    <row r="3757" customFormat="false" ht="15" hidden="false" customHeight="false" outlineLevel="0" collapsed="false">
      <c r="A3757" s="0" t="s">
        <v>5234</v>
      </c>
      <c r="C3757" s="0" t="s">
        <v>4136</v>
      </c>
      <c r="D3757" s="7" t="n">
        <v>1515</v>
      </c>
      <c r="E3757" s="8" t="n">
        <v>0.0342046204620462</v>
      </c>
      <c r="F3757" s="4" t="n">
        <f aca="false">D3757*E3757</f>
        <v>51.82</v>
      </c>
      <c r="G3757" s="7" t="n">
        <v>567</v>
      </c>
      <c r="H3757" s="9" t="n">
        <f aca="false">IF(G3757&gt;0,D3757/G3757,"")</f>
        <v>2.67195767195767</v>
      </c>
      <c r="I3757" s="10" t="n">
        <v>46233</v>
      </c>
      <c r="K3757" s="10"/>
      <c r="M3757" s="7"/>
      <c r="N3757" s="8"/>
      <c r="O3757" s="4"/>
    </row>
    <row r="3758" customFormat="false" ht="15" hidden="false" customHeight="false" outlineLevel="0" collapsed="false">
      <c r="A3758" s="0" t="s">
        <v>5235</v>
      </c>
      <c r="C3758" s="0" t="s">
        <v>34</v>
      </c>
      <c r="D3758" s="7" t="n">
        <v>1627</v>
      </c>
      <c r="E3758" s="8" t="n">
        <v>0.0318438844499078</v>
      </c>
      <c r="F3758" s="4" t="n">
        <f aca="false">D3758*E3758</f>
        <v>51.81</v>
      </c>
      <c r="G3758" s="7" t="n">
        <v>1500</v>
      </c>
      <c r="H3758" s="9" t="n">
        <f aca="false">IF(G3758&gt;0,D3758/G3758,"")</f>
        <v>1.08466666666667</v>
      </c>
      <c r="I3758" s="10" t="n">
        <v>46260</v>
      </c>
      <c r="J3758" s="3" t="s">
        <v>618</v>
      </c>
      <c r="K3758" s="10" t="n">
        <v>44729</v>
      </c>
      <c r="L3758" s="3" t="s">
        <v>16</v>
      </c>
      <c r="M3758" s="7" t="n">
        <v>7508</v>
      </c>
      <c r="N3758" s="8" t="n">
        <v>0</v>
      </c>
      <c r="O3758" s="4" t="n">
        <v>240</v>
      </c>
    </row>
    <row r="3759" customFormat="false" ht="15" hidden="false" customHeight="false" outlineLevel="0" collapsed="false">
      <c r="A3759" s="0" t="s">
        <v>5236</v>
      </c>
      <c r="C3759" s="0" t="s">
        <v>34</v>
      </c>
      <c r="D3759" s="7" t="n">
        <v>306</v>
      </c>
      <c r="E3759" s="8" t="n">
        <v>0.169313725490196</v>
      </c>
      <c r="F3759" s="4" t="n">
        <f aca="false">D3759*E3759</f>
        <v>51.81</v>
      </c>
      <c r="G3759" s="7" t="n">
        <v>65</v>
      </c>
      <c r="H3759" s="9" t="n">
        <f aca="false">IF(G3759&gt;0,D3759/G3759,"")</f>
        <v>4.70769230769231</v>
      </c>
      <c r="I3759" s="10" t="n">
        <v>46317</v>
      </c>
      <c r="J3759" s="3" t="s">
        <v>3860</v>
      </c>
      <c r="K3759" s="10" t="n">
        <v>44692</v>
      </c>
      <c r="L3759" s="3" t="s">
        <v>15</v>
      </c>
      <c r="M3759" s="7" t="n">
        <v>500</v>
      </c>
      <c r="N3759" s="8" t="n">
        <v>0.16932</v>
      </c>
      <c r="O3759" s="4" t="n">
        <f aca="false">M3759*N3759</f>
        <v>84.66</v>
      </c>
    </row>
    <row r="3760" customFormat="false" ht="15" hidden="false" customHeight="false" outlineLevel="0" collapsed="false">
      <c r="A3760" s="0" t="s">
        <v>5237</v>
      </c>
      <c r="C3760" s="0" t="s">
        <v>33</v>
      </c>
      <c r="D3760" s="7" t="n">
        <v>92</v>
      </c>
      <c r="E3760" s="8" t="n">
        <v>0.562826086956522</v>
      </c>
      <c r="F3760" s="4" t="n">
        <f aca="false">D3760*E3760</f>
        <v>51.78</v>
      </c>
      <c r="G3760" s="7" t="n">
        <v>45</v>
      </c>
      <c r="H3760" s="9" t="n">
        <f aca="false">IF(G3760&gt;0,D3760/G3760,"")</f>
        <v>2.04444444444444</v>
      </c>
      <c r="I3760" s="10" t="n">
        <v>46283</v>
      </c>
      <c r="J3760" s="3" t="s">
        <v>4801</v>
      </c>
      <c r="K3760" s="10" t="n">
        <v>46290</v>
      </c>
      <c r="L3760" s="3" t="s">
        <v>16</v>
      </c>
      <c r="M3760" s="7" t="n">
        <v>200</v>
      </c>
      <c r="N3760" s="8" t="n">
        <v>0.3777</v>
      </c>
      <c r="O3760" s="4" t="n">
        <f aca="false">M3760*N3760</f>
        <v>75.54</v>
      </c>
    </row>
    <row r="3761" customFormat="false" ht="15" hidden="false" customHeight="false" outlineLevel="0" collapsed="false">
      <c r="A3761" s="0" t="s">
        <v>5238</v>
      </c>
      <c r="C3761" s="0" t="s">
        <v>38</v>
      </c>
      <c r="D3761" s="7" t="n">
        <v>7485</v>
      </c>
      <c r="E3761" s="8" t="n">
        <v>0.00691382765531062</v>
      </c>
      <c r="F3761" s="4" t="n">
        <f aca="false">D3761*E3761</f>
        <v>51.75</v>
      </c>
      <c r="G3761" s="7" t="n">
        <v>2700</v>
      </c>
      <c r="H3761" s="9" t="n">
        <f aca="false">IF(G3761&gt;0,D3761/G3761,"")</f>
        <v>2.77222222222222</v>
      </c>
      <c r="I3761" s="10" t="n">
        <v>46294</v>
      </c>
      <c r="J3761" s="3" t="s">
        <v>550</v>
      </c>
      <c r="K3761" s="10" t="n">
        <v>45922</v>
      </c>
      <c r="L3761" s="3" t="s">
        <v>14</v>
      </c>
      <c r="M3761" s="7" t="n">
        <v>10000</v>
      </c>
      <c r="N3761" s="8" t="n">
        <v>0.0069</v>
      </c>
      <c r="O3761" s="4" t="n">
        <f aca="false">M3761*N3761</f>
        <v>69</v>
      </c>
    </row>
    <row r="3762" customFormat="false" ht="15" hidden="false" customHeight="false" outlineLevel="0" collapsed="false">
      <c r="A3762" s="0" t="s">
        <v>5239</v>
      </c>
      <c r="C3762" s="0" t="s">
        <v>1529</v>
      </c>
      <c r="D3762" s="7" t="n">
        <v>277</v>
      </c>
      <c r="E3762" s="8" t="n">
        <v>0.186823104693141</v>
      </c>
      <c r="F3762" s="4" t="n">
        <f aca="false">D3762*E3762</f>
        <v>51.75</v>
      </c>
      <c r="G3762" s="7" t="n">
        <v>8</v>
      </c>
      <c r="H3762" s="9" t="n">
        <f aca="false">IF(G3762&gt;0,D3762/G3762,"")</f>
        <v>34.625</v>
      </c>
      <c r="I3762" s="10" t="n">
        <v>46112</v>
      </c>
      <c r="J3762" s="3" t="s">
        <v>5240</v>
      </c>
      <c r="K3762" s="10" t="n">
        <v>44441</v>
      </c>
      <c r="L3762" s="3" t="s">
        <v>14</v>
      </c>
      <c r="M3762" s="7" t="n">
        <v>502</v>
      </c>
      <c r="N3762" s="8" t="n">
        <v>0.1882</v>
      </c>
      <c r="O3762" s="4" t="n">
        <v>94.1</v>
      </c>
    </row>
    <row r="3763" customFormat="false" ht="15" hidden="false" customHeight="false" outlineLevel="0" collapsed="false">
      <c r="A3763" s="0" t="s">
        <v>5241</v>
      </c>
      <c r="C3763" s="0" t="s">
        <v>1169</v>
      </c>
      <c r="D3763" s="7" t="n">
        <v>1725</v>
      </c>
      <c r="E3763" s="8" t="n">
        <v>0.03</v>
      </c>
      <c r="F3763" s="4" t="n">
        <f aca="false">D3763*E3763</f>
        <v>51.75</v>
      </c>
      <c r="G3763" s="7" t="n">
        <v>417</v>
      </c>
      <c r="H3763" s="9" t="n">
        <f aca="false">IF(G3763&gt;0,D3763/G3763,"")</f>
        <v>4.13669064748201</v>
      </c>
      <c r="I3763" s="10" t="n">
        <v>46269</v>
      </c>
      <c r="J3763" s="3" t="s">
        <v>2903</v>
      </c>
      <c r="K3763" s="10" t="n">
        <v>44301</v>
      </c>
      <c r="L3763" s="3" t="s">
        <v>21</v>
      </c>
      <c r="M3763" s="7" t="n">
        <v>4000</v>
      </c>
      <c r="N3763" s="8" t="n">
        <v>0.03</v>
      </c>
      <c r="O3763" s="4" t="n">
        <f aca="false">M3763*N3763</f>
        <v>120</v>
      </c>
    </row>
    <row r="3764" customFormat="false" ht="15" hidden="false" customHeight="false" outlineLevel="0" collapsed="false">
      <c r="A3764" s="0" t="s">
        <v>5242</v>
      </c>
      <c r="C3764" s="0" t="s">
        <v>855</v>
      </c>
      <c r="D3764" s="7" t="n">
        <v>1254</v>
      </c>
      <c r="E3764" s="8" t="n">
        <v>0.0412679425837321</v>
      </c>
      <c r="F3764" s="4" t="n">
        <f aca="false">D3764*E3764</f>
        <v>51.75</v>
      </c>
      <c r="G3764" s="7" t="n">
        <v>42</v>
      </c>
      <c r="H3764" s="9" t="n">
        <f aca="false">IF(G3764&gt;0,D3764/G3764,"")</f>
        <v>29.8571428571429</v>
      </c>
      <c r="I3764" s="10" t="n">
        <v>46044</v>
      </c>
      <c r="K3764" s="10"/>
      <c r="M3764" s="7"/>
      <c r="N3764" s="8"/>
      <c r="O3764" s="4"/>
    </row>
    <row r="3765" customFormat="false" ht="15" hidden="false" customHeight="false" outlineLevel="0" collapsed="false">
      <c r="A3765" s="0" t="s">
        <v>5243</v>
      </c>
      <c r="C3765" s="0" t="s">
        <v>32</v>
      </c>
      <c r="D3765" s="7" t="n">
        <v>585</v>
      </c>
      <c r="E3765" s="8" t="n">
        <v>0.0883247863247863</v>
      </c>
      <c r="F3765" s="4" t="n">
        <f aca="false">D3765*E3765</f>
        <v>51.67</v>
      </c>
      <c r="G3765" s="7" t="n">
        <v>377</v>
      </c>
      <c r="H3765" s="9" t="n">
        <f aca="false">IF(G3765&gt;0,D3765/G3765,"")</f>
        <v>1.55172413793103</v>
      </c>
      <c r="I3765" s="10" t="n">
        <v>46309</v>
      </c>
      <c r="J3765" s="3" t="s">
        <v>5244</v>
      </c>
      <c r="K3765" s="10" t="n">
        <v>45821</v>
      </c>
      <c r="L3765" s="3" t="s">
        <v>18</v>
      </c>
      <c r="M3765" s="7" t="n">
        <v>500</v>
      </c>
      <c r="N3765" s="8" t="n">
        <v>0.0874</v>
      </c>
      <c r="O3765" s="4" t="n">
        <f aca="false">M3765*N3765</f>
        <v>43.7</v>
      </c>
    </row>
    <row r="3766" customFormat="false" ht="15" hidden="false" customHeight="false" outlineLevel="0" collapsed="false">
      <c r="A3766" s="0" t="s">
        <v>5245</v>
      </c>
      <c r="C3766" s="0" t="s">
        <v>31</v>
      </c>
      <c r="D3766" s="7" t="n">
        <v>140</v>
      </c>
      <c r="E3766" s="8" t="n">
        <v>0.368857142857143</v>
      </c>
      <c r="F3766" s="4" t="n">
        <f aca="false">D3766*E3766</f>
        <v>51.64</v>
      </c>
      <c r="G3766" s="7" t="n">
        <v>44</v>
      </c>
      <c r="H3766" s="9" t="n">
        <f aca="false">IF(G3766&gt;0,D3766/G3766,"")</f>
        <v>3.18181818181818</v>
      </c>
      <c r="I3766" s="10" t="n">
        <v>46071</v>
      </c>
      <c r="J3766" s="3" t="s">
        <v>1932</v>
      </c>
      <c r="K3766" s="10" t="n">
        <v>44861</v>
      </c>
      <c r="L3766" s="3" t="s">
        <v>25</v>
      </c>
      <c r="M3766" s="7" t="n">
        <v>500</v>
      </c>
      <c r="N3766" s="8" t="n">
        <v>0.369</v>
      </c>
      <c r="O3766" s="4" t="n">
        <f aca="false">M3766*N3766</f>
        <v>184.5</v>
      </c>
    </row>
    <row r="3767" customFormat="false" ht="15" hidden="false" customHeight="false" outlineLevel="0" collapsed="false">
      <c r="A3767" s="0" t="s">
        <v>5246</v>
      </c>
      <c r="C3767" s="0" t="s">
        <v>79</v>
      </c>
      <c r="D3767" s="7" t="n">
        <v>221</v>
      </c>
      <c r="E3767" s="8" t="n">
        <v>0.233348416289593</v>
      </c>
      <c r="F3767" s="4" t="n">
        <f aca="false">D3767*E3767</f>
        <v>51.57</v>
      </c>
      <c r="G3767" s="7" t="n">
        <v>23</v>
      </c>
      <c r="H3767" s="9" t="n">
        <f aca="false">IF(G3767&gt;0,D3767/G3767,"")</f>
        <v>9.60869565217391</v>
      </c>
      <c r="I3767" s="10" t="n">
        <v>46178</v>
      </c>
      <c r="J3767" s="3" t="s">
        <v>886</v>
      </c>
      <c r="K3767" s="10" t="n">
        <v>44293</v>
      </c>
      <c r="L3767" s="3" t="s">
        <v>15</v>
      </c>
      <c r="M3767" s="7" t="n">
        <v>260</v>
      </c>
      <c r="N3767" s="8" t="n">
        <v>0.23337</v>
      </c>
      <c r="O3767" s="4" t="n">
        <f aca="false">M3767*N3767</f>
        <v>60.6762</v>
      </c>
    </row>
    <row r="3768" customFormat="false" ht="15" hidden="false" customHeight="false" outlineLevel="0" collapsed="false">
      <c r="A3768" s="0" t="s">
        <v>5247</v>
      </c>
      <c r="C3768" s="0" t="s">
        <v>36</v>
      </c>
      <c r="D3768" s="7" t="n">
        <v>153</v>
      </c>
      <c r="E3768" s="8" t="n">
        <v>0.336862745098039</v>
      </c>
      <c r="F3768" s="4" t="n">
        <f aca="false">D3768*E3768</f>
        <v>51.54</v>
      </c>
      <c r="G3768" s="7" t="n">
        <v>10</v>
      </c>
      <c r="H3768" s="9" t="n">
        <f aca="false">IF(G3768&gt;0,D3768/G3768,"")</f>
        <v>15.3</v>
      </c>
      <c r="I3768" s="10" t="n">
        <v>46051</v>
      </c>
      <c r="J3768" s="3" t="s">
        <v>5248</v>
      </c>
      <c r="K3768" s="10" t="n">
        <v>45428</v>
      </c>
      <c r="L3768" s="3" t="s">
        <v>14</v>
      </c>
      <c r="M3768" s="7" t="n">
        <v>1000</v>
      </c>
      <c r="N3768" s="8" t="n">
        <v>0.3893</v>
      </c>
      <c r="O3768" s="4" t="n">
        <f aca="false">M3768*N3768</f>
        <v>389.3</v>
      </c>
    </row>
    <row r="3769" customFormat="false" ht="15" hidden="false" customHeight="false" outlineLevel="0" collapsed="false">
      <c r="A3769" s="0" t="s">
        <v>5249</v>
      </c>
      <c r="C3769" s="0" t="s">
        <v>40</v>
      </c>
      <c r="D3769" s="7" t="n">
        <v>1031</v>
      </c>
      <c r="E3769" s="8" t="n">
        <v>0.0498933074684772</v>
      </c>
      <c r="F3769" s="4" t="n">
        <f aca="false">D3769*E3769</f>
        <v>51.44</v>
      </c>
      <c r="G3769" s="7" t="n">
        <v>79</v>
      </c>
      <c r="H3769" s="9" t="n">
        <f aca="false">IF(G3769&gt;0,D3769/G3769,"")</f>
        <v>13.0506329113924</v>
      </c>
      <c r="I3769" s="10" t="n">
        <v>46252</v>
      </c>
      <c r="K3769" s="10"/>
      <c r="M3769" s="7"/>
      <c r="N3769" s="8"/>
      <c r="O3769" s="4"/>
    </row>
    <row r="3770" customFormat="false" ht="15" hidden="false" customHeight="false" outlineLevel="0" collapsed="false">
      <c r="A3770" s="0" t="s">
        <v>5250</v>
      </c>
      <c r="C3770" s="0" t="s">
        <v>34</v>
      </c>
      <c r="D3770" s="7" t="n">
        <v>498</v>
      </c>
      <c r="E3770" s="8" t="n">
        <v>0.103293172690763</v>
      </c>
      <c r="F3770" s="4" t="n">
        <f aca="false">D3770*E3770</f>
        <v>51.44</v>
      </c>
      <c r="G3770" s="7" t="n">
        <v>5</v>
      </c>
      <c r="H3770" s="9" t="n">
        <f aca="false">IF(G3770&gt;0,D3770/G3770,"")</f>
        <v>99.6</v>
      </c>
      <c r="I3770" s="10" t="n">
        <v>46121</v>
      </c>
      <c r="J3770" s="3" t="s">
        <v>2043</v>
      </c>
      <c r="K3770" s="10" t="n">
        <v>46104</v>
      </c>
      <c r="L3770" s="3" t="s">
        <v>16</v>
      </c>
      <c r="M3770" s="7" t="n">
        <v>500</v>
      </c>
      <c r="N3770" s="8" t="n">
        <v>0.1033</v>
      </c>
      <c r="O3770" s="4" t="n">
        <f aca="false">M3770*N3770</f>
        <v>51.65</v>
      </c>
    </row>
    <row r="3771" customFormat="false" ht="15" hidden="false" customHeight="false" outlineLevel="0" collapsed="false">
      <c r="A3771" s="0" t="s">
        <v>5251</v>
      </c>
      <c r="C3771" s="0" t="s">
        <v>1802</v>
      </c>
      <c r="D3771" s="7" t="n">
        <v>41</v>
      </c>
      <c r="E3771" s="8" t="n">
        <v>1.25439024390244</v>
      </c>
      <c r="F3771" s="4" t="n">
        <f aca="false">D3771*E3771</f>
        <v>51.43</v>
      </c>
      <c r="G3771" s="7" t="n">
        <v>2</v>
      </c>
      <c r="H3771" s="9" t="n">
        <f aca="false">IF(G3771&gt;0,D3771/G3771,"")</f>
        <v>20.5</v>
      </c>
      <c r="I3771" s="10" t="n">
        <v>46275</v>
      </c>
      <c r="J3771" s="3" t="s">
        <v>658</v>
      </c>
      <c r="K3771" s="10" t="n">
        <v>45552</v>
      </c>
      <c r="L3771" s="3" t="s">
        <v>14</v>
      </c>
      <c r="M3771" s="7" t="n">
        <v>50</v>
      </c>
      <c r="N3771" s="8" t="n">
        <v>1.2544</v>
      </c>
      <c r="O3771" s="4" t="n">
        <f aca="false">M3771*N3771</f>
        <v>62.72</v>
      </c>
    </row>
    <row r="3772" customFormat="false" ht="15" hidden="false" customHeight="false" outlineLevel="0" collapsed="false">
      <c r="A3772" s="0" t="s">
        <v>5252</v>
      </c>
      <c r="C3772" s="0" t="s">
        <v>34</v>
      </c>
      <c r="D3772" s="7" t="n">
        <v>1648</v>
      </c>
      <c r="E3772" s="8" t="n">
        <v>0.0312014563106796</v>
      </c>
      <c r="F3772" s="4" t="n">
        <f aca="false">D3772*E3772</f>
        <v>51.42</v>
      </c>
      <c r="G3772" s="7" t="n">
        <v>142</v>
      </c>
      <c r="H3772" s="9" t="n">
        <f aca="false">IF(G3772&gt;0,D3772/G3772,"")</f>
        <v>11.6056338028169</v>
      </c>
      <c r="I3772" s="10" t="n">
        <v>46177</v>
      </c>
      <c r="K3772" s="10"/>
      <c r="M3772" s="7"/>
      <c r="N3772" s="8"/>
      <c r="O3772" s="4"/>
    </row>
    <row r="3773" customFormat="false" ht="15" hidden="false" customHeight="false" outlineLevel="0" collapsed="false">
      <c r="A3773" s="0" t="s">
        <v>5253</v>
      </c>
      <c r="C3773" s="0" t="s">
        <v>340</v>
      </c>
      <c r="D3773" s="7" t="n">
        <v>365</v>
      </c>
      <c r="E3773" s="8" t="n">
        <v>0.140849315068493</v>
      </c>
      <c r="F3773" s="4" t="n">
        <f aca="false">D3773*E3773</f>
        <v>51.41</v>
      </c>
      <c r="G3773" s="7" t="n">
        <v>24</v>
      </c>
      <c r="H3773" s="9" t="n">
        <f aca="false">IF(G3773&gt;0,D3773/G3773,"")</f>
        <v>15.2083333333333</v>
      </c>
      <c r="I3773" s="10" t="n">
        <v>46133</v>
      </c>
      <c r="J3773" s="3" t="s">
        <v>341</v>
      </c>
      <c r="K3773" s="10" t="n">
        <v>46078</v>
      </c>
      <c r="L3773" s="3" t="s">
        <v>15</v>
      </c>
      <c r="M3773" s="7" t="n">
        <v>39</v>
      </c>
      <c r="N3773" s="8" t="n">
        <v>0.14381</v>
      </c>
      <c r="O3773" s="4" t="n">
        <f aca="false">M3773*N3773</f>
        <v>5.60859</v>
      </c>
    </row>
    <row r="3774" customFormat="false" ht="15" hidden="false" customHeight="false" outlineLevel="0" collapsed="false">
      <c r="A3774" s="0" t="s">
        <v>5254</v>
      </c>
      <c r="C3774" s="0" t="s">
        <v>5255</v>
      </c>
      <c r="D3774" s="7" t="n">
        <v>45</v>
      </c>
      <c r="E3774" s="8" t="n">
        <v>1.14244444444444</v>
      </c>
      <c r="F3774" s="4" t="n">
        <f aca="false">D3774*E3774</f>
        <v>51.41</v>
      </c>
      <c r="G3774" s="7" t="n">
        <v>4</v>
      </c>
      <c r="H3774" s="9" t="n">
        <f aca="false">IF(G3774&gt;0,D3774/G3774,"")</f>
        <v>11.25</v>
      </c>
      <c r="I3774" s="10" t="n">
        <v>45958</v>
      </c>
      <c r="J3774" s="3" t="s">
        <v>2496</v>
      </c>
      <c r="K3774" s="10" t="n">
        <v>45978</v>
      </c>
      <c r="L3774" s="3" t="s">
        <v>14</v>
      </c>
      <c r="M3774" s="7" t="n">
        <v>35</v>
      </c>
      <c r="N3774" s="8" t="n">
        <v>1.0944</v>
      </c>
      <c r="O3774" s="4" t="n">
        <f aca="false">M3774*N3774</f>
        <v>38.304</v>
      </c>
    </row>
    <row r="3775" customFormat="false" ht="15" hidden="false" customHeight="false" outlineLevel="0" collapsed="false">
      <c r="A3775" s="0" t="s">
        <v>5256</v>
      </c>
      <c r="C3775" s="0" t="s">
        <v>298</v>
      </c>
      <c r="D3775" s="7" t="n">
        <v>395</v>
      </c>
      <c r="E3775" s="8" t="n">
        <v>0.130151898734177</v>
      </c>
      <c r="F3775" s="4" t="n">
        <f aca="false">D3775*E3775</f>
        <v>51.41</v>
      </c>
      <c r="G3775" s="7" t="n">
        <v>101</v>
      </c>
      <c r="H3775" s="9" t="n">
        <f aca="false">IF(G3775&gt;0,D3775/G3775,"")</f>
        <v>3.91089108910891</v>
      </c>
      <c r="I3775" s="10" t="n">
        <v>46309</v>
      </c>
      <c r="J3775" s="3" t="s">
        <v>886</v>
      </c>
      <c r="K3775" s="10" t="n">
        <v>44293</v>
      </c>
      <c r="L3775" s="3" t="s">
        <v>15</v>
      </c>
      <c r="M3775" s="7" t="n">
        <v>1280</v>
      </c>
      <c r="N3775" s="8" t="n">
        <v>0.13013</v>
      </c>
      <c r="O3775" s="4" t="n">
        <f aca="false">M3775*N3775</f>
        <v>166.5664</v>
      </c>
    </row>
    <row r="3776" customFormat="false" ht="15" hidden="false" customHeight="false" outlineLevel="0" collapsed="false">
      <c r="A3776" s="0" t="s">
        <v>5257</v>
      </c>
      <c r="C3776" s="0" t="s">
        <v>118</v>
      </c>
      <c r="D3776" s="7" t="n">
        <v>92</v>
      </c>
      <c r="E3776" s="8" t="n">
        <v>0.558695652173913</v>
      </c>
      <c r="F3776" s="4" t="n">
        <f aca="false">D3776*E3776</f>
        <v>51.4</v>
      </c>
      <c r="G3776" s="7" t="n">
        <v>9</v>
      </c>
      <c r="H3776" s="9" t="n">
        <f aca="false">IF(G3776&gt;0,D3776/G3776,"")</f>
        <v>10.2222222222222</v>
      </c>
      <c r="I3776" s="10" t="n">
        <v>46237</v>
      </c>
      <c r="J3776" s="3" t="s">
        <v>201</v>
      </c>
      <c r="K3776" s="10" t="n">
        <v>46087</v>
      </c>
      <c r="L3776" s="3" t="s">
        <v>14</v>
      </c>
      <c r="M3776" s="7" t="n">
        <v>100</v>
      </c>
      <c r="N3776" s="8" t="n">
        <v>0.5586</v>
      </c>
      <c r="O3776" s="4" t="n">
        <f aca="false">M3776*N3776</f>
        <v>55.86</v>
      </c>
    </row>
    <row r="3777" customFormat="false" ht="15" hidden="false" customHeight="false" outlineLevel="0" collapsed="false">
      <c r="A3777" s="0" t="s">
        <v>5258</v>
      </c>
      <c r="C3777" s="0" t="s">
        <v>765</v>
      </c>
      <c r="D3777" s="7" t="n">
        <v>6203</v>
      </c>
      <c r="E3777" s="8" t="n">
        <v>0.00828470095115267</v>
      </c>
      <c r="F3777" s="4" t="n">
        <f aca="false">D3777*E3777</f>
        <v>51.39</v>
      </c>
      <c r="G3777" s="7" t="n">
        <v>2883</v>
      </c>
      <c r="H3777" s="9" t="n">
        <f aca="false">IF(G3777&gt;0,D3777/G3777,"")</f>
        <v>2.15157821713493</v>
      </c>
      <c r="I3777" s="10" t="n">
        <v>46300</v>
      </c>
      <c r="J3777" s="3" t="s">
        <v>631</v>
      </c>
      <c r="K3777" s="10" t="n">
        <v>44307</v>
      </c>
      <c r="L3777" s="3" t="s">
        <v>16</v>
      </c>
      <c r="M3777" s="7" t="n">
        <v>15000</v>
      </c>
      <c r="N3777" s="8" t="n">
        <v>0.00828</v>
      </c>
      <c r="O3777" s="4" t="n">
        <f aca="false">M3777*N3777</f>
        <v>124.2</v>
      </c>
    </row>
    <row r="3778" customFormat="false" ht="15" hidden="false" customHeight="false" outlineLevel="0" collapsed="false">
      <c r="A3778" s="0" t="s">
        <v>5259</v>
      </c>
      <c r="C3778" s="0" t="s">
        <v>715</v>
      </c>
      <c r="D3778" s="7" t="n">
        <v>5387</v>
      </c>
      <c r="E3778" s="8" t="n">
        <v>0.00952849452385372</v>
      </c>
      <c r="F3778" s="4" t="n">
        <f aca="false">D3778*E3778</f>
        <v>51.33</v>
      </c>
      <c r="G3778" s="7" t="n">
        <v>2000</v>
      </c>
      <c r="H3778" s="9" t="n">
        <f aca="false">IF(G3778&gt;0,D3778/G3778,"")</f>
        <v>2.6935</v>
      </c>
      <c r="I3778" s="10" t="n">
        <v>46287</v>
      </c>
      <c r="J3778" s="3" t="s">
        <v>4968</v>
      </c>
      <c r="K3778" s="10" t="n">
        <v>46251</v>
      </c>
      <c r="L3778" s="3" t="s">
        <v>15</v>
      </c>
      <c r="M3778" s="7" t="n">
        <v>7350</v>
      </c>
      <c r="N3778" s="8" t="n">
        <v>0.00942</v>
      </c>
      <c r="O3778" s="4" t="n">
        <f aca="false">M3778*N3778</f>
        <v>69.237</v>
      </c>
    </row>
    <row r="3779" customFormat="false" ht="15" hidden="false" customHeight="false" outlineLevel="0" collapsed="false">
      <c r="A3779" s="0" t="s">
        <v>5260</v>
      </c>
      <c r="C3779" s="0" t="s">
        <v>583</v>
      </c>
      <c r="D3779" s="7" t="n">
        <v>5514</v>
      </c>
      <c r="E3779" s="8" t="n">
        <v>0.00929996372869061</v>
      </c>
      <c r="F3779" s="4" t="n">
        <f aca="false">D3779*E3779</f>
        <v>51.28</v>
      </c>
      <c r="G3779" s="7" t="n">
        <v>1822</v>
      </c>
      <c r="H3779" s="9" t="n">
        <f aca="false">IF(G3779&gt;0,D3779/G3779,"")</f>
        <v>3.02634467618002</v>
      </c>
      <c r="I3779" s="10" t="n">
        <v>46316</v>
      </c>
      <c r="J3779" s="3" t="s">
        <v>536</v>
      </c>
      <c r="K3779" s="10" t="n">
        <v>45531</v>
      </c>
      <c r="L3779" s="3" t="s">
        <v>16</v>
      </c>
      <c r="M3779" s="7" t="n">
        <v>10000</v>
      </c>
      <c r="N3779" s="8" t="n">
        <v>0.0093</v>
      </c>
      <c r="O3779" s="4" t="n">
        <f aca="false">M3779*N3779</f>
        <v>93</v>
      </c>
    </row>
    <row r="3780" customFormat="false" ht="15" hidden="false" customHeight="false" outlineLevel="0" collapsed="false">
      <c r="A3780" s="0" t="s">
        <v>5261</v>
      </c>
      <c r="C3780" s="0" t="s">
        <v>1169</v>
      </c>
      <c r="D3780" s="7" t="n">
        <v>557</v>
      </c>
      <c r="E3780" s="8" t="n">
        <v>0.0919928186714542</v>
      </c>
      <c r="F3780" s="4" t="n">
        <f aca="false">D3780*E3780</f>
        <v>51.24</v>
      </c>
      <c r="G3780" s="7" t="n">
        <v>158</v>
      </c>
      <c r="H3780" s="9" t="n">
        <f aca="false">IF(G3780&gt;0,D3780/G3780,"")</f>
        <v>3.5253164556962</v>
      </c>
      <c r="I3780" s="10" t="n">
        <v>46300</v>
      </c>
      <c r="J3780" s="3" t="s">
        <v>1489</v>
      </c>
      <c r="K3780" s="10" t="n">
        <v>45371</v>
      </c>
      <c r="L3780" s="3" t="s">
        <v>21</v>
      </c>
      <c r="M3780" s="7" t="n">
        <v>1090</v>
      </c>
      <c r="N3780" s="8" t="n">
        <v>0.092</v>
      </c>
      <c r="O3780" s="4" t="n">
        <f aca="false">M3780*N3780</f>
        <v>100.28</v>
      </c>
    </row>
    <row r="3781" customFormat="false" ht="15" hidden="false" customHeight="false" outlineLevel="0" collapsed="false">
      <c r="A3781" s="0" t="s">
        <v>5262</v>
      </c>
      <c r="C3781" s="0" t="s">
        <v>34</v>
      </c>
      <c r="D3781" s="7" t="n">
        <v>1785</v>
      </c>
      <c r="E3781" s="8" t="n">
        <v>0.0286946778711485</v>
      </c>
      <c r="F3781" s="4" t="n">
        <f aca="false">D3781*E3781</f>
        <v>51.22</v>
      </c>
      <c r="G3781" s="7" t="n">
        <v>869</v>
      </c>
      <c r="H3781" s="9" t="n">
        <f aca="false">IF(G3781&gt;0,D3781/G3781,"")</f>
        <v>2.05408515535098</v>
      </c>
      <c r="I3781" s="10" t="n">
        <v>46304</v>
      </c>
      <c r="J3781" s="3" t="s">
        <v>1576</v>
      </c>
      <c r="K3781" s="10" t="n">
        <v>46196</v>
      </c>
      <c r="L3781" s="3" t="s">
        <v>16</v>
      </c>
      <c r="M3781" s="7" t="n">
        <v>2000</v>
      </c>
      <c r="N3781" s="8" t="n">
        <v>0.0289</v>
      </c>
      <c r="O3781" s="4" t="n">
        <f aca="false">M3781*N3781</f>
        <v>57.8</v>
      </c>
    </row>
    <row r="3782" customFormat="false" ht="15" hidden="false" customHeight="false" outlineLevel="0" collapsed="false">
      <c r="A3782" s="0" t="s">
        <v>5263</v>
      </c>
      <c r="C3782" s="0" t="s">
        <v>979</v>
      </c>
      <c r="D3782" s="7" t="n">
        <v>92</v>
      </c>
      <c r="E3782" s="8" t="n">
        <v>0.555978260869565</v>
      </c>
      <c r="F3782" s="4" t="n">
        <f aca="false">D3782*E3782</f>
        <v>51.15</v>
      </c>
      <c r="G3782" s="7" t="n">
        <v>6</v>
      </c>
      <c r="H3782" s="9" t="n">
        <f aca="false">IF(G3782&gt;0,D3782/G3782,"")</f>
        <v>15.3333333333333</v>
      </c>
      <c r="I3782" s="10" t="n">
        <v>46161</v>
      </c>
      <c r="J3782" s="3" t="s">
        <v>599</v>
      </c>
      <c r="K3782" s="10" t="n">
        <v>44754</v>
      </c>
      <c r="L3782" s="3" t="s">
        <v>18</v>
      </c>
      <c r="M3782" s="7" t="n">
        <v>121</v>
      </c>
      <c r="N3782" s="8" t="n">
        <v>0.5621</v>
      </c>
      <c r="O3782" s="4" t="n">
        <v>67.452</v>
      </c>
    </row>
    <row r="3783" customFormat="false" ht="15" hidden="false" customHeight="false" outlineLevel="0" collapsed="false">
      <c r="A3783" s="0" t="s">
        <v>5264</v>
      </c>
      <c r="C3783" s="0" t="s">
        <v>298</v>
      </c>
      <c r="D3783" s="7" t="n">
        <v>1763</v>
      </c>
      <c r="E3783" s="8" t="n">
        <v>0.0289960294951787</v>
      </c>
      <c r="F3783" s="4" t="n">
        <f aca="false">D3783*E3783</f>
        <v>51.12</v>
      </c>
      <c r="G3783" s="7" t="n">
        <v>197</v>
      </c>
      <c r="H3783" s="9" t="n">
        <f aca="false">IF(G3783&gt;0,D3783/G3783,"")</f>
        <v>8.9492385786802</v>
      </c>
      <c r="I3783" s="10" t="n">
        <v>46295</v>
      </c>
      <c r="J3783" s="3" t="s">
        <v>5265</v>
      </c>
      <c r="K3783" s="10" t="n">
        <v>44301</v>
      </c>
      <c r="L3783" s="3" t="s">
        <v>19</v>
      </c>
      <c r="M3783" s="7" t="n">
        <v>9061</v>
      </c>
      <c r="N3783" s="8" t="n">
        <v>0.0288</v>
      </c>
      <c r="O3783" s="4" t="n">
        <f aca="false">M3783*N3783</f>
        <v>260.9568</v>
      </c>
    </row>
    <row r="3784" customFormat="false" ht="15" hidden="false" customHeight="false" outlineLevel="0" collapsed="false">
      <c r="A3784" s="0" t="s">
        <v>5266</v>
      </c>
      <c r="C3784" s="0" t="s">
        <v>298</v>
      </c>
      <c r="D3784" s="7" t="n">
        <v>420</v>
      </c>
      <c r="E3784" s="8" t="n">
        <v>0.121666666666667</v>
      </c>
      <c r="F3784" s="4" t="n">
        <f aca="false">D3784*E3784</f>
        <v>51.1</v>
      </c>
      <c r="G3784" s="7" t="n">
        <v>200</v>
      </c>
      <c r="H3784" s="9" t="n">
        <f aca="false">IF(G3784&gt;0,D3784/G3784,"")</f>
        <v>2.1</v>
      </c>
      <c r="I3784" s="10" t="n">
        <v>46245</v>
      </c>
      <c r="J3784" s="3" t="s">
        <v>2294</v>
      </c>
      <c r="K3784" s="10" t="n">
        <v>46220</v>
      </c>
      <c r="L3784" s="3" t="s">
        <v>15</v>
      </c>
      <c r="M3784" s="7" t="n">
        <v>620</v>
      </c>
      <c r="N3784" s="8" t="n">
        <v>0.12166</v>
      </c>
      <c r="O3784" s="4" t="n">
        <f aca="false">M3784*N3784</f>
        <v>75.4292</v>
      </c>
    </row>
    <row r="3785" customFormat="false" ht="15" hidden="false" customHeight="false" outlineLevel="0" collapsed="false">
      <c r="A3785" s="0" t="s">
        <v>5267</v>
      </c>
      <c r="C3785" s="0" t="s">
        <v>31</v>
      </c>
      <c r="D3785" s="7" t="n">
        <v>1276</v>
      </c>
      <c r="E3785" s="8" t="n">
        <v>0.04</v>
      </c>
      <c r="F3785" s="4" t="n">
        <f aca="false">D3785*E3785</f>
        <v>51.04</v>
      </c>
      <c r="G3785" s="7" t="n">
        <v>49</v>
      </c>
      <c r="H3785" s="9" t="n">
        <f aca="false">IF(G3785&gt;0,D3785/G3785,"")</f>
        <v>26.0408163265306</v>
      </c>
      <c r="I3785" s="10" t="n">
        <v>46275</v>
      </c>
      <c r="K3785" s="10"/>
      <c r="M3785" s="7"/>
      <c r="N3785" s="8"/>
      <c r="O3785" s="4"/>
    </row>
    <row r="3786" customFormat="false" ht="15" hidden="false" customHeight="false" outlineLevel="0" collapsed="false">
      <c r="A3786" s="0" t="s">
        <v>5268</v>
      </c>
      <c r="C3786" s="0" t="s">
        <v>31</v>
      </c>
      <c r="D3786" s="7" t="n">
        <v>2266</v>
      </c>
      <c r="E3786" s="8" t="n">
        <v>0.0224977934686673</v>
      </c>
      <c r="F3786" s="4" t="n">
        <f aca="false">D3786*E3786</f>
        <v>50.98</v>
      </c>
      <c r="G3786" s="7" t="n">
        <v>190</v>
      </c>
      <c r="H3786" s="9" t="n">
        <f aca="false">IF(G3786&gt;0,D3786/G3786,"")</f>
        <v>11.9263157894737</v>
      </c>
      <c r="I3786" s="10" t="n">
        <v>46195</v>
      </c>
      <c r="J3786" s="3" t="s">
        <v>940</v>
      </c>
      <c r="K3786" s="10" t="n">
        <v>46231</v>
      </c>
      <c r="L3786" s="3" t="s">
        <v>16</v>
      </c>
      <c r="M3786" s="7" t="n">
        <v>2250</v>
      </c>
      <c r="N3786" s="8" t="n">
        <v>0.0223</v>
      </c>
      <c r="O3786" s="4" t="n">
        <f aca="false">M3786*N3786</f>
        <v>50.175</v>
      </c>
    </row>
    <row r="3787" customFormat="false" ht="15" hidden="false" customHeight="false" outlineLevel="0" collapsed="false">
      <c r="A3787" s="0" t="s">
        <v>5269</v>
      </c>
      <c r="C3787" s="0" t="s">
        <v>61</v>
      </c>
      <c r="D3787" s="7" t="n">
        <v>98</v>
      </c>
      <c r="E3787" s="8" t="n">
        <v>0.520102040816327</v>
      </c>
      <c r="F3787" s="4" t="n">
        <f aca="false">D3787*E3787</f>
        <v>50.97</v>
      </c>
      <c r="G3787" s="7" t="n">
        <v>3</v>
      </c>
      <c r="H3787" s="9" t="n">
        <f aca="false">IF(G3787&gt;0,D3787/G3787,"")</f>
        <v>32.6666666666667</v>
      </c>
      <c r="I3787" s="10" t="n">
        <v>46295</v>
      </c>
      <c r="J3787" s="3" t="s">
        <v>4956</v>
      </c>
      <c r="K3787" s="10" t="n">
        <v>44370</v>
      </c>
      <c r="L3787" s="3" t="s">
        <v>23</v>
      </c>
      <c r="M3787" s="7" t="n">
        <v>400</v>
      </c>
      <c r="N3787" s="8" t="n">
        <v>0.5201</v>
      </c>
      <c r="O3787" s="4" t="n">
        <f aca="false">M3787*N3787</f>
        <v>208.04</v>
      </c>
    </row>
    <row r="3788" customFormat="false" ht="15" hidden="false" customHeight="false" outlineLevel="0" collapsed="false">
      <c r="A3788" s="0" t="s">
        <v>5270</v>
      </c>
      <c r="C3788" s="0" t="s">
        <v>31</v>
      </c>
      <c r="D3788" s="7" t="n">
        <v>17472</v>
      </c>
      <c r="E3788" s="8" t="n">
        <v>0.00291609432234432</v>
      </c>
      <c r="F3788" s="4" t="n">
        <f aca="false">D3788*E3788</f>
        <v>50.95</v>
      </c>
      <c r="G3788" s="7" t="n">
        <v>568</v>
      </c>
      <c r="H3788" s="9" t="n">
        <f aca="false">IF(G3788&gt;0,D3788/G3788,"")</f>
        <v>30.7605633802817</v>
      </c>
      <c r="I3788" s="10" t="n">
        <v>46311</v>
      </c>
      <c r="J3788" s="3" t="s">
        <v>1915</v>
      </c>
      <c r="K3788" s="10" t="n">
        <v>45736</v>
      </c>
      <c r="L3788" s="3" t="s">
        <v>19</v>
      </c>
      <c r="M3788" s="7" t="n">
        <v>2500</v>
      </c>
      <c r="N3788" s="8" t="n">
        <v>0.0096</v>
      </c>
      <c r="O3788" s="4" t="n">
        <f aca="false">M3788*N3788</f>
        <v>24</v>
      </c>
    </row>
    <row r="3789" customFormat="false" ht="15" hidden="false" customHeight="false" outlineLevel="0" collapsed="false">
      <c r="A3789" s="0" t="s">
        <v>5271</v>
      </c>
      <c r="C3789" s="0" t="s">
        <v>38</v>
      </c>
      <c r="D3789" s="7" t="n">
        <v>1576</v>
      </c>
      <c r="E3789" s="8" t="n">
        <v>0.0323159898477157</v>
      </c>
      <c r="F3789" s="4" t="n">
        <f aca="false">D3789*E3789</f>
        <v>50.93</v>
      </c>
      <c r="G3789" s="7" t="n">
        <v>266</v>
      </c>
      <c r="H3789" s="9" t="n">
        <f aca="false">IF(G3789&gt;0,D3789/G3789,"")</f>
        <v>5.92481203007519</v>
      </c>
      <c r="I3789" s="10" t="n">
        <v>46226</v>
      </c>
      <c r="J3789" s="3" t="s">
        <v>705</v>
      </c>
      <c r="K3789" s="10" t="n">
        <v>45005</v>
      </c>
      <c r="L3789" s="3" t="s">
        <v>14</v>
      </c>
      <c r="M3789" s="7" t="n">
        <v>2500</v>
      </c>
      <c r="N3789" s="8" t="n">
        <v>0.0323</v>
      </c>
      <c r="O3789" s="4" t="n">
        <f aca="false">M3789*N3789</f>
        <v>80.75</v>
      </c>
    </row>
    <row r="3790" customFormat="false" ht="15" hidden="false" customHeight="false" outlineLevel="0" collapsed="false">
      <c r="A3790" s="0" t="s">
        <v>5272</v>
      </c>
      <c r="C3790" s="0" t="s">
        <v>39</v>
      </c>
      <c r="D3790" s="7" t="n">
        <v>1061</v>
      </c>
      <c r="E3790" s="8" t="n">
        <v>0.0480018850141376</v>
      </c>
      <c r="F3790" s="4" t="n">
        <f aca="false">D3790*E3790</f>
        <v>50.93</v>
      </c>
      <c r="G3790" s="7" t="n">
        <v>841</v>
      </c>
      <c r="H3790" s="9" t="n">
        <f aca="false">IF(G3790&gt;0,D3790/G3790,"")</f>
        <v>1.2615933412604</v>
      </c>
      <c r="I3790" s="10" t="n">
        <v>46293</v>
      </c>
      <c r="J3790" s="3" t="s">
        <v>3533</v>
      </c>
      <c r="K3790" s="10" t="n">
        <v>45903</v>
      </c>
      <c r="L3790" s="3" t="s">
        <v>18</v>
      </c>
      <c r="M3790" s="7" t="n">
        <v>1900</v>
      </c>
      <c r="N3790" s="8" t="n">
        <v>0.048</v>
      </c>
      <c r="O3790" s="4" t="n">
        <f aca="false">M3790*N3790</f>
        <v>91.2</v>
      </c>
    </row>
    <row r="3791" customFormat="false" ht="15" hidden="false" customHeight="false" outlineLevel="0" collapsed="false">
      <c r="A3791" s="0" t="s">
        <v>5273</v>
      </c>
      <c r="C3791" s="0" t="s">
        <v>285</v>
      </c>
      <c r="D3791" s="7" t="n">
        <v>58</v>
      </c>
      <c r="E3791" s="8" t="n">
        <v>0.877413793103448</v>
      </c>
      <c r="F3791" s="4" t="n">
        <f aca="false">D3791*E3791</f>
        <v>50.89</v>
      </c>
      <c r="G3791" s="7" t="n">
        <v>22</v>
      </c>
      <c r="H3791" s="9" t="n">
        <f aca="false">IF(G3791&gt;0,D3791/G3791,"")</f>
        <v>2.63636363636364</v>
      </c>
      <c r="I3791" s="10" t="n">
        <v>46266</v>
      </c>
      <c r="K3791" s="10"/>
      <c r="M3791" s="7"/>
      <c r="N3791" s="8"/>
      <c r="O3791" s="4"/>
    </row>
    <row r="3792" customFormat="false" ht="15" hidden="false" customHeight="false" outlineLevel="0" collapsed="false">
      <c r="A3792" s="0" t="s">
        <v>5274</v>
      </c>
      <c r="C3792" s="0" t="s">
        <v>31</v>
      </c>
      <c r="D3792" s="7" t="n">
        <v>806</v>
      </c>
      <c r="E3792" s="8" t="n">
        <v>0.0631141439205955</v>
      </c>
      <c r="F3792" s="4" t="n">
        <f aca="false">D3792*E3792</f>
        <v>50.87</v>
      </c>
      <c r="G3792" s="7" t="n">
        <v>74</v>
      </c>
      <c r="H3792" s="9" t="n">
        <f aca="false">IF(G3792&gt;0,D3792/G3792,"")</f>
        <v>10.8918918918919</v>
      </c>
      <c r="I3792" s="10" t="n">
        <v>46295</v>
      </c>
      <c r="J3792" s="3" t="s">
        <v>570</v>
      </c>
      <c r="K3792" s="10" t="n">
        <v>46106</v>
      </c>
      <c r="L3792" s="3" t="s">
        <v>16</v>
      </c>
      <c r="M3792" s="7" t="n">
        <v>880</v>
      </c>
      <c r="N3792" s="8" t="n">
        <v>0.0631</v>
      </c>
      <c r="O3792" s="4" t="n">
        <f aca="false">M3792*N3792</f>
        <v>55.528</v>
      </c>
    </row>
    <row r="3793" customFormat="false" ht="15" hidden="false" customHeight="false" outlineLevel="0" collapsed="false">
      <c r="A3793" s="0" t="s">
        <v>5275</v>
      </c>
      <c r="C3793" s="0" t="s">
        <v>34</v>
      </c>
      <c r="D3793" s="7" t="n">
        <v>66</v>
      </c>
      <c r="E3793" s="8" t="n">
        <v>0.770757575757576</v>
      </c>
      <c r="F3793" s="4" t="n">
        <f aca="false">D3793*E3793</f>
        <v>50.87</v>
      </c>
      <c r="G3793" s="7" t="n">
        <v>17</v>
      </c>
      <c r="H3793" s="9" t="n">
        <f aca="false">IF(G3793&gt;0,D3793/G3793,"")</f>
        <v>3.88235294117647</v>
      </c>
      <c r="I3793" s="10" t="n">
        <v>46094</v>
      </c>
      <c r="J3793" s="3" t="s">
        <v>5276</v>
      </c>
      <c r="K3793" s="10" t="n">
        <v>44232</v>
      </c>
      <c r="L3793" s="3" t="s">
        <v>14</v>
      </c>
      <c r="M3793" s="7" t="n">
        <v>92</v>
      </c>
      <c r="N3793" s="8" t="n">
        <v>0.7706</v>
      </c>
      <c r="O3793" s="4" t="n">
        <f aca="false">M3793*N3793</f>
        <v>70.8952</v>
      </c>
    </row>
    <row r="3794" customFormat="false" ht="15" hidden="false" customHeight="false" outlineLevel="0" collapsed="false">
      <c r="A3794" s="0" t="s">
        <v>5277</v>
      </c>
      <c r="C3794" s="0" t="s">
        <v>36</v>
      </c>
      <c r="D3794" s="7" t="n">
        <v>72</v>
      </c>
      <c r="E3794" s="8" t="n">
        <v>0.70625</v>
      </c>
      <c r="F3794" s="4" t="n">
        <f aca="false">D3794*E3794</f>
        <v>50.85</v>
      </c>
      <c r="G3794" s="7" t="n">
        <v>16</v>
      </c>
      <c r="H3794" s="9" t="n">
        <f aca="false">IF(G3794&gt;0,D3794/G3794,"")</f>
        <v>4.5</v>
      </c>
      <c r="I3794" s="10" t="n">
        <v>46181</v>
      </c>
      <c r="J3794" s="3" t="s">
        <v>4445</v>
      </c>
      <c r="K3794" s="10" t="n">
        <v>44246</v>
      </c>
      <c r="L3794" s="3" t="s">
        <v>28</v>
      </c>
      <c r="M3794" s="7" t="n">
        <v>110</v>
      </c>
      <c r="N3794" s="8" t="n">
        <v>0.7061</v>
      </c>
      <c r="O3794" s="4" t="n">
        <f aca="false">M3794*N3794</f>
        <v>77.671</v>
      </c>
    </row>
    <row r="3795" customFormat="false" ht="15" hidden="false" customHeight="false" outlineLevel="0" collapsed="false">
      <c r="A3795" s="0" t="s">
        <v>5278</v>
      </c>
      <c r="C3795" s="0" t="s">
        <v>32</v>
      </c>
      <c r="D3795" s="7" t="n">
        <v>284</v>
      </c>
      <c r="E3795" s="8" t="n">
        <v>0.179014084507042</v>
      </c>
      <c r="F3795" s="4" t="n">
        <f aca="false">D3795*E3795</f>
        <v>50.84</v>
      </c>
      <c r="G3795" s="7" t="n">
        <v>40</v>
      </c>
      <c r="H3795" s="9" t="n">
        <f aca="false">IF(G3795&gt;0,D3795/G3795,"")</f>
        <v>7.1</v>
      </c>
      <c r="I3795" s="10" t="n">
        <v>46302</v>
      </c>
      <c r="J3795" s="3" t="s">
        <v>641</v>
      </c>
      <c r="K3795" s="10" t="n">
        <v>45826</v>
      </c>
      <c r="L3795" s="3" t="s">
        <v>19</v>
      </c>
      <c r="M3795" s="7" t="n">
        <v>300</v>
      </c>
      <c r="N3795" s="8" t="n">
        <v>0.1862</v>
      </c>
      <c r="O3795" s="4" t="n">
        <f aca="false">M3795*N3795</f>
        <v>55.86</v>
      </c>
    </row>
    <row r="3796" customFormat="false" ht="15" hidden="false" customHeight="false" outlineLevel="0" collapsed="false">
      <c r="A3796" s="0" t="s">
        <v>5279</v>
      </c>
      <c r="C3796" s="0" t="s">
        <v>855</v>
      </c>
      <c r="D3796" s="7" t="n">
        <v>12400</v>
      </c>
      <c r="E3796" s="8" t="n">
        <v>0.0041</v>
      </c>
      <c r="F3796" s="4" t="n">
        <f aca="false">D3796*E3796</f>
        <v>50.84</v>
      </c>
      <c r="G3796" s="7" t="n">
        <v>6598</v>
      </c>
      <c r="H3796" s="9" t="n">
        <f aca="false">IF(G3796&gt;0,D3796/G3796,"")</f>
        <v>1.87935738102455</v>
      </c>
      <c r="I3796" s="10" t="n">
        <v>46259</v>
      </c>
      <c r="J3796" s="3" t="s">
        <v>2760</v>
      </c>
      <c r="K3796" s="10" t="n">
        <v>46246</v>
      </c>
      <c r="L3796" s="3" t="s">
        <v>16</v>
      </c>
      <c r="M3796" s="7" t="n">
        <v>12500</v>
      </c>
      <c r="N3796" s="8" t="n">
        <v>0.0041</v>
      </c>
      <c r="O3796" s="4" t="n">
        <f aca="false">M3796*N3796</f>
        <v>51.25</v>
      </c>
    </row>
    <row r="3797" customFormat="false" ht="15" hidden="false" customHeight="false" outlineLevel="0" collapsed="false">
      <c r="A3797" s="0" t="s">
        <v>5280</v>
      </c>
      <c r="C3797" s="0" t="s">
        <v>370</v>
      </c>
      <c r="D3797" s="7" t="n">
        <v>183</v>
      </c>
      <c r="E3797" s="8" t="n">
        <v>0.277322404371585</v>
      </c>
      <c r="F3797" s="4" t="n">
        <f aca="false">D3797*E3797</f>
        <v>50.75</v>
      </c>
      <c r="G3797" s="7" t="n">
        <v>6</v>
      </c>
      <c r="H3797" s="9" t="n">
        <f aca="false">IF(G3797&gt;0,D3797/G3797,"")</f>
        <v>30.5</v>
      </c>
      <c r="I3797" s="10" t="n">
        <v>45987</v>
      </c>
      <c r="J3797" s="3" t="s">
        <v>3074</v>
      </c>
      <c r="K3797" s="10" t="n">
        <v>44242</v>
      </c>
      <c r="L3797" s="3" t="s">
        <v>19</v>
      </c>
      <c r="M3797" s="7" t="n">
        <v>250</v>
      </c>
      <c r="N3797" s="8" t="n">
        <v>0.2773</v>
      </c>
      <c r="O3797" s="4" t="n">
        <f aca="false">M3797*N3797</f>
        <v>69.325</v>
      </c>
    </row>
    <row r="3798" customFormat="false" ht="15" hidden="false" customHeight="false" outlineLevel="0" collapsed="false">
      <c r="A3798" s="0" t="s">
        <v>5281</v>
      </c>
      <c r="C3798" s="0" t="s">
        <v>31</v>
      </c>
      <c r="D3798" s="7" t="n">
        <v>1912</v>
      </c>
      <c r="E3798" s="8" t="n">
        <v>0.0265271966527197</v>
      </c>
      <c r="F3798" s="4" t="n">
        <f aca="false">D3798*E3798</f>
        <v>50.72</v>
      </c>
      <c r="G3798" s="7" t="n">
        <v>600</v>
      </c>
      <c r="H3798" s="9" t="n">
        <f aca="false">IF(G3798&gt;0,D3798/G3798,"")</f>
        <v>3.18666666666667</v>
      </c>
      <c r="I3798" s="10" t="n">
        <v>46287</v>
      </c>
      <c r="J3798" s="3" t="s">
        <v>1538</v>
      </c>
      <c r="K3798" s="10" t="n">
        <v>46196</v>
      </c>
      <c r="L3798" s="3" t="s">
        <v>19</v>
      </c>
      <c r="M3798" s="7" t="n">
        <v>2500</v>
      </c>
      <c r="N3798" s="8" t="n">
        <v>0.0265</v>
      </c>
      <c r="O3798" s="4" t="n">
        <f aca="false">M3798*N3798</f>
        <v>66.25</v>
      </c>
    </row>
    <row r="3799" customFormat="false" ht="15" hidden="false" customHeight="false" outlineLevel="0" collapsed="false">
      <c r="A3799" s="0" t="s">
        <v>5282</v>
      </c>
      <c r="C3799" s="0" t="s">
        <v>679</v>
      </c>
      <c r="D3799" s="7" t="n">
        <v>98</v>
      </c>
      <c r="E3799" s="8" t="n">
        <v>0.516938775510204</v>
      </c>
      <c r="F3799" s="4" t="n">
        <f aca="false">D3799*E3799</f>
        <v>50.66</v>
      </c>
      <c r="G3799" s="7" t="n">
        <v>2</v>
      </c>
      <c r="H3799" s="9" t="n">
        <f aca="false">IF(G3799&gt;0,D3799/G3799,"")</f>
        <v>49</v>
      </c>
      <c r="I3799" s="10" t="n">
        <v>46293</v>
      </c>
      <c r="K3799" s="10"/>
      <c r="M3799" s="7"/>
      <c r="N3799" s="8"/>
      <c r="O3799" s="4"/>
    </row>
    <row r="3800" customFormat="false" ht="15" hidden="false" customHeight="false" outlineLevel="0" collapsed="false">
      <c r="A3800" s="0" t="s">
        <v>5283</v>
      </c>
      <c r="C3800" s="0" t="s">
        <v>34</v>
      </c>
      <c r="D3800" s="7" t="n">
        <v>735</v>
      </c>
      <c r="E3800" s="8" t="n">
        <v>0.0689115646258503</v>
      </c>
      <c r="F3800" s="4" t="n">
        <f aca="false">D3800*E3800</f>
        <v>50.65</v>
      </c>
      <c r="G3800" s="7" t="n">
        <v>310</v>
      </c>
      <c r="H3800" s="9" t="n">
        <f aca="false">IF(G3800&gt;0,D3800/G3800,"")</f>
        <v>2.37096774193548</v>
      </c>
      <c r="I3800" s="10" t="n">
        <v>46286</v>
      </c>
      <c r="K3800" s="10"/>
      <c r="M3800" s="7"/>
      <c r="N3800" s="8"/>
      <c r="O3800" s="4"/>
    </row>
    <row r="3801" customFormat="false" ht="15" hidden="false" customHeight="false" outlineLevel="0" collapsed="false">
      <c r="A3801" s="0" t="s">
        <v>5284</v>
      </c>
      <c r="C3801" s="0" t="s">
        <v>35</v>
      </c>
      <c r="D3801" s="7" t="n">
        <v>114</v>
      </c>
      <c r="E3801" s="8" t="n">
        <v>0.44421052631579</v>
      </c>
      <c r="F3801" s="4" t="n">
        <f aca="false">D3801*E3801</f>
        <v>50.64</v>
      </c>
      <c r="G3801" s="7" t="n">
        <v>41</v>
      </c>
      <c r="H3801" s="9" t="n">
        <f aca="false">IF(G3801&gt;0,D3801/G3801,"")</f>
        <v>2.78048780487805</v>
      </c>
      <c r="I3801" s="10" t="n">
        <v>46133</v>
      </c>
      <c r="J3801" s="3" t="s">
        <v>611</v>
      </c>
      <c r="K3801" s="10" t="n">
        <v>45141</v>
      </c>
      <c r="L3801" s="3" t="s">
        <v>14</v>
      </c>
      <c r="M3801" s="7" t="n">
        <v>250</v>
      </c>
      <c r="N3801" s="8" t="n">
        <v>0.4442</v>
      </c>
      <c r="O3801" s="4" t="n">
        <f aca="false">M3801*N3801</f>
        <v>111.05</v>
      </c>
    </row>
    <row r="3802" customFormat="false" ht="15" hidden="false" customHeight="false" outlineLevel="0" collapsed="false">
      <c r="A3802" s="0" t="s">
        <v>5285</v>
      </c>
      <c r="C3802" s="0" t="s">
        <v>31</v>
      </c>
      <c r="D3802" s="7" t="n">
        <v>5688</v>
      </c>
      <c r="E3802" s="8" t="n">
        <v>0.00889943741209564</v>
      </c>
      <c r="F3802" s="4" t="n">
        <f aca="false">D3802*E3802</f>
        <v>50.62</v>
      </c>
      <c r="G3802" s="7" t="n">
        <v>149</v>
      </c>
      <c r="H3802" s="9" t="n">
        <f aca="false">IF(G3802&gt;0,D3802/G3802,"")</f>
        <v>38.1744966442953</v>
      </c>
      <c r="I3802" s="10" t="n">
        <v>46218</v>
      </c>
      <c r="J3802" s="3" t="s">
        <v>3141</v>
      </c>
      <c r="K3802" s="10" t="n">
        <v>44609</v>
      </c>
      <c r="L3802" s="3" t="s">
        <v>15</v>
      </c>
      <c r="M3802" s="7" t="n">
        <v>8364</v>
      </c>
      <c r="N3802" s="8" t="n">
        <v>0.009</v>
      </c>
      <c r="O3802" s="4" t="n">
        <v>74.7</v>
      </c>
    </row>
    <row r="3803" customFormat="false" ht="15" hidden="false" customHeight="false" outlineLevel="0" collapsed="false">
      <c r="A3803" s="0" t="s">
        <v>5286</v>
      </c>
      <c r="C3803" s="0" t="s">
        <v>34</v>
      </c>
      <c r="D3803" s="7" t="n">
        <v>714</v>
      </c>
      <c r="E3803" s="8" t="n">
        <v>0.0708823529411765</v>
      </c>
      <c r="F3803" s="4" t="n">
        <f aca="false">D3803*E3803</f>
        <v>50.61</v>
      </c>
      <c r="G3803" s="7" t="n">
        <v>46</v>
      </c>
      <c r="H3803" s="9" t="n">
        <f aca="false">IF(G3803&gt;0,D3803/G3803,"")</f>
        <v>15.5217391304348</v>
      </c>
      <c r="I3803" s="10" t="n">
        <v>46168</v>
      </c>
      <c r="J3803" s="3" t="s">
        <v>623</v>
      </c>
      <c r="K3803" s="10" t="n">
        <v>46294</v>
      </c>
      <c r="L3803" s="3" t="s">
        <v>16</v>
      </c>
      <c r="M3803" s="7" t="n">
        <v>712</v>
      </c>
      <c r="N3803" s="8" t="n">
        <v>0.0703</v>
      </c>
      <c r="O3803" s="4" t="n">
        <f aca="false">M3803*N3803</f>
        <v>50.0536</v>
      </c>
    </row>
    <row r="3804" customFormat="false" ht="15" hidden="false" customHeight="false" outlineLevel="0" collapsed="false">
      <c r="A3804" s="0" t="s">
        <v>5287</v>
      </c>
      <c r="C3804" s="0" t="s">
        <v>31</v>
      </c>
      <c r="D3804" s="7" t="n">
        <v>18024</v>
      </c>
      <c r="E3804" s="8" t="n">
        <v>0.00280736795383933</v>
      </c>
      <c r="F3804" s="4" t="n">
        <f aca="false">D3804*E3804</f>
        <v>50.6</v>
      </c>
      <c r="G3804" s="7" t="n">
        <v>650</v>
      </c>
      <c r="H3804" s="9" t="n">
        <f aca="false">IF(G3804&gt;0,D3804/G3804,"")</f>
        <v>27.7292307692308</v>
      </c>
      <c r="I3804" s="10" t="n">
        <v>46238</v>
      </c>
      <c r="J3804" s="3" t="s">
        <v>444</v>
      </c>
      <c r="K3804" s="10" t="n">
        <v>46240</v>
      </c>
      <c r="L3804" s="3" t="s">
        <v>16</v>
      </c>
      <c r="M3804" s="7" t="n">
        <v>18000</v>
      </c>
      <c r="N3804" s="8" t="n">
        <v>0.0028</v>
      </c>
      <c r="O3804" s="4" t="n">
        <f aca="false">M3804*N3804</f>
        <v>50.4</v>
      </c>
    </row>
    <row r="3805" customFormat="false" ht="15" hidden="false" customHeight="false" outlineLevel="0" collapsed="false">
      <c r="A3805" s="0" t="s">
        <v>5288</v>
      </c>
      <c r="C3805" s="0" t="s">
        <v>31</v>
      </c>
      <c r="D3805" s="7" t="n">
        <v>3748</v>
      </c>
      <c r="E3805" s="8" t="n">
        <v>0.0135005336179296</v>
      </c>
      <c r="F3805" s="4" t="n">
        <f aca="false">D3805*E3805</f>
        <v>50.6</v>
      </c>
      <c r="G3805" s="7" t="n">
        <v>97</v>
      </c>
      <c r="H3805" s="9" t="n">
        <f aca="false">IF(G3805&gt;0,D3805/G3805,"")</f>
        <v>38.639175257732</v>
      </c>
      <c r="I3805" s="10" t="n">
        <v>46293</v>
      </c>
      <c r="J3805" s="3" t="s">
        <v>249</v>
      </c>
      <c r="K3805" s="10" t="n">
        <v>44314</v>
      </c>
      <c r="L3805" s="3" t="s">
        <v>15</v>
      </c>
      <c r="M3805" s="7" t="n">
        <v>3910</v>
      </c>
      <c r="N3805" s="8" t="n">
        <v>0.0135</v>
      </c>
      <c r="O3805" s="4" t="n">
        <f aca="false">M3805*N3805</f>
        <v>52.785</v>
      </c>
    </row>
    <row r="3806" customFormat="false" ht="15" hidden="false" customHeight="false" outlineLevel="0" collapsed="false">
      <c r="A3806" s="0" t="s">
        <v>5289</v>
      </c>
      <c r="C3806" s="0" t="s">
        <v>34</v>
      </c>
      <c r="D3806" s="7" t="n">
        <v>1122</v>
      </c>
      <c r="E3806" s="8" t="n">
        <v>0.0450980392156863</v>
      </c>
      <c r="F3806" s="4" t="n">
        <f aca="false">D3806*E3806</f>
        <v>50.6</v>
      </c>
      <c r="G3806" s="7" t="n">
        <v>40</v>
      </c>
      <c r="H3806" s="9" t="n">
        <f aca="false">IF(G3806&gt;0,D3806/G3806,"")</f>
        <v>28.05</v>
      </c>
      <c r="I3806" s="10" t="n">
        <v>46276</v>
      </c>
      <c r="K3806" s="10"/>
      <c r="M3806" s="7"/>
      <c r="N3806" s="8"/>
      <c r="O3806" s="4"/>
    </row>
    <row r="3807" customFormat="false" ht="15" hidden="false" customHeight="false" outlineLevel="0" collapsed="false">
      <c r="A3807" s="0" t="s">
        <v>5290</v>
      </c>
      <c r="C3807" s="0" t="s">
        <v>34</v>
      </c>
      <c r="D3807" s="7" t="n">
        <v>1310</v>
      </c>
      <c r="E3807" s="8" t="n">
        <v>0.038618320610687</v>
      </c>
      <c r="F3807" s="4" t="n">
        <f aca="false">D3807*E3807</f>
        <v>50.59</v>
      </c>
      <c r="G3807" s="7" t="n">
        <v>10</v>
      </c>
      <c r="H3807" s="9" t="n">
        <f aca="false">IF(G3807&gt;0,D3807/G3807,"")</f>
        <v>131</v>
      </c>
      <c r="I3807" s="10" t="n">
        <v>46021</v>
      </c>
      <c r="J3807" s="3" t="s">
        <v>5117</v>
      </c>
      <c r="K3807" s="10" t="n">
        <v>44232</v>
      </c>
      <c r="L3807" s="3" t="s">
        <v>19</v>
      </c>
      <c r="M3807" s="7" t="n">
        <v>29</v>
      </c>
      <c r="N3807" s="8" t="n">
        <v>0.345</v>
      </c>
      <c r="O3807" s="4" t="n">
        <f aca="false">M3807*N3807</f>
        <v>10.005</v>
      </c>
    </row>
    <row r="3808" customFormat="false" ht="15" hidden="false" customHeight="false" outlineLevel="0" collapsed="false">
      <c r="A3808" s="0" t="s">
        <v>5291</v>
      </c>
      <c r="C3808" s="0" t="s">
        <v>38</v>
      </c>
      <c r="D3808" s="7" t="n">
        <v>157</v>
      </c>
      <c r="E3808" s="8" t="n">
        <v>0.322165605095541</v>
      </c>
      <c r="F3808" s="4" t="n">
        <f aca="false">D3808*E3808</f>
        <v>50.58</v>
      </c>
      <c r="G3808" s="7" t="n">
        <v>7</v>
      </c>
      <c r="H3808" s="9" t="n">
        <f aca="false">IF(G3808&gt;0,D3808/G3808,"")</f>
        <v>22.4285714285714</v>
      </c>
      <c r="I3808" s="10" t="n">
        <v>46192</v>
      </c>
      <c r="J3808" s="3" t="s">
        <v>5244</v>
      </c>
      <c r="K3808" s="10" t="n">
        <v>45821</v>
      </c>
      <c r="L3808" s="3" t="s">
        <v>18</v>
      </c>
      <c r="M3808" s="7" t="n">
        <v>188</v>
      </c>
      <c r="N3808" s="8" t="n">
        <v>0.3221</v>
      </c>
      <c r="O3808" s="4" t="n">
        <f aca="false">M3808*N3808</f>
        <v>60.5548</v>
      </c>
    </row>
    <row r="3809" customFormat="false" ht="15" hidden="false" customHeight="false" outlineLevel="0" collapsed="false">
      <c r="A3809" s="0" t="s">
        <v>5292</v>
      </c>
      <c r="C3809" s="0" t="s">
        <v>1010</v>
      </c>
      <c r="D3809" s="7" t="n">
        <v>488</v>
      </c>
      <c r="E3809" s="8" t="n">
        <v>0.103565573770492</v>
      </c>
      <c r="F3809" s="4" t="n">
        <f aca="false">D3809*E3809</f>
        <v>50.54</v>
      </c>
      <c r="G3809" s="7" t="n">
        <v>10</v>
      </c>
      <c r="H3809" s="9" t="n">
        <f aca="false">IF(G3809&gt;0,D3809/G3809,"")</f>
        <v>48.8</v>
      </c>
      <c r="I3809" s="10" t="n">
        <v>46111</v>
      </c>
      <c r="J3809" s="3" t="s">
        <v>570</v>
      </c>
      <c r="K3809" s="10" t="n">
        <v>46106</v>
      </c>
      <c r="L3809" s="3" t="s">
        <v>16</v>
      </c>
      <c r="M3809" s="7" t="n">
        <v>500</v>
      </c>
      <c r="N3809" s="8" t="n">
        <v>0.0982</v>
      </c>
      <c r="O3809" s="4" t="n">
        <f aca="false">M3809*N3809</f>
        <v>49.1</v>
      </c>
    </row>
    <row r="3810" customFormat="false" ht="15" hidden="false" customHeight="false" outlineLevel="0" collapsed="false">
      <c r="A3810" s="0" t="s">
        <v>5293</v>
      </c>
      <c r="C3810" s="0" t="s">
        <v>1039</v>
      </c>
      <c r="D3810" s="7" t="n">
        <v>16224</v>
      </c>
      <c r="E3810" s="8" t="n">
        <v>0.00311267258382643</v>
      </c>
      <c r="F3810" s="4" t="n">
        <f aca="false">D3810*E3810</f>
        <v>50.5</v>
      </c>
      <c r="G3810" s="7" t="n">
        <v>1742</v>
      </c>
      <c r="H3810" s="9" t="n">
        <f aca="false">IF(G3810&gt;0,D3810/G3810,"")</f>
        <v>9.3134328358209</v>
      </c>
      <c r="I3810" s="10" t="n">
        <v>46304</v>
      </c>
      <c r="J3810" s="3" t="s">
        <v>1955</v>
      </c>
      <c r="K3810" s="10" t="n">
        <v>46268</v>
      </c>
      <c r="L3810" s="3" t="s">
        <v>16</v>
      </c>
      <c r="M3810" s="7" t="n">
        <v>16200</v>
      </c>
      <c r="N3810" s="8" t="n">
        <v>0.0031</v>
      </c>
      <c r="O3810" s="4" t="n">
        <f aca="false">M3810*N3810</f>
        <v>50.22</v>
      </c>
    </row>
    <row r="3811" customFormat="false" ht="15" hidden="false" customHeight="false" outlineLevel="0" collapsed="false">
      <c r="A3811" s="0" t="s">
        <v>5294</v>
      </c>
      <c r="C3811" s="0" t="s">
        <v>34</v>
      </c>
      <c r="D3811" s="7" t="n">
        <v>1133</v>
      </c>
      <c r="E3811" s="8" t="n">
        <v>0.0445454545454546</v>
      </c>
      <c r="F3811" s="4" t="n">
        <f aca="false">D3811*E3811</f>
        <v>50.47</v>
      </c>
      <c r="G3811" s="7" t="n">
        <v>220</v>
      </c>
      <c r="H3811" s="9" t="n">
        <f aca="false">IF(G3811&gt;0,D3811/G3811,"")</f>
        <v>5.15</v>
      </c>
      <c r="I3811" s="10" t="n">
        <v>46139</v>
      </c>
      <c r="J3811" s="3" t="s">
        <v>5295</v>
      </c>
      <c r="K3811" s="10" t="n">
        <v>44356</v>
      </c>
      <c r="L3811" s="3" t="s">
        <v>15</v>
      </c>
      <c r="M3811" s="7" t="n">
        <v>1990</v>
      </c>
      <c r="N3811" s="8" t="n">
        <v>0.04455</v>
      </c>
      <c r="O3811" s="4" t="n">
        <f aca="false">M3811*N3811</f>
        <v>88.6545</v>
      </c>
    </row>
    <row r="3812" customFormat="false" ht="15" hidden="false" customHeight="false" outlineLevel="0" collapsed="false">
      <c r="A3812" s="0" t="s">
        <v>5296</v>
      </c>
      <c r="C3812" s="0" t="s">
        <v>1169</v>
      </c>
      <c r="D3812" s="7" t="n">
        <v>598</v>
      </c>
      <c r="E3812" s="8" t="n">
        <v>0.0843478260869565</v>
      </c>
      <c r="F3812" s="4" t="n">
        <f aca="false">D3812*E3812</f>
        <v>50.44</v>
      </c>
      <c r="G3812" s="7" t="n">
        <v>10</v>
      </c>
      <c r="H3812" s="9" t="n">
        <f aca="false">IF(G3812&gt;0,D3812/G3812,"")</f>
        <v>59.8</v>
      </c>
      <c r="I3812" s="10" t="n">
        <v>46034</v>
      </c>
      <c r="J3812" s="3" t="s">
        <v>3269</v>
      </c>
      <c r="K3812" s="10" t="n">
        <v>44960</v>
      </c>
      <c r="L3812" s="3" t="s">
        <v>2203</v>
      </c>
      <c r="M3812" s="7" t="n">
        <v>1000</v>
      </c>
      <c r="N3812" s="8" t="n">
        <v>0.08438</v>
      </c>
      <c r="O3812" s="4" t="n">
        <f aca="false">M3812*N3812</f>
        <v>84.38</v>
      </c>
    </row>
    <row r="3813" customFormat="false" ht="15" hidden="false" customHeight="false" outlineLevel="0" collapsed="false">
      <c r="A3813" s="0" t="s">
        <v>5297</v>
      </c>
      <c r="C3813" s="0" t="s">
        <v>34</v>
      </c>
      <c r="D3813" s="7" t="n">
        <v>2322</v>
      </c>
      <c r="E3813" s="8" t="n">
        <v>0.0217226528854436</v>
      </c>
      <c r="F3813" s="4" t="n">
        <f aca="false">D3813*E3813</f>
        <v>50.44</v>
      </c>
      <c r="G3813" s="7" t="n">
        <v>621</v>
      </c>
      <c r="H3813" s="9" t="n">
        <f aca="false">IF(G3813&gt;0,D3813/G3813,"")</f>
        <v>3.73913043478261</v>
      </c>
      <c r="I3813" s="10" t="n">
        <v>46293</v>
      </c>
      <c r="J3813" s="3" t="s">
        <v>302</v>
      </c>
      <c r="K3813" s="10" t="n">
        <v>45520</v>
      </c>
      <c r="L3813" s="3" t="s">
        <v>15</v>
      </c>
      <c r="M3813" s="7" t="n">
        <v>2950</v>
      </c>
      <c r="N3813" s="8" t="n">
        <v>0.02172</v>
      </c>
      <c r="O3813" s="4" t="n">
        <f aca="false">M3813*N3813</f>
        <v>64.074</v>
      </c>
    </row>
    <row r="3814" customFormat="false" ht="15" hidden="false" customHeight="false" outlineLevel="0" collapsed="false">
      <c r="A3814" s="0" t="s">
        <v>5298</v>
      </c>
      <c r="C3814" s="0" t="s">
        <v>33</v>
      </c>
      <c r="D3814" s="7" t="n">
        <v>295</v>
      </c>
      <c r="E3814" s="8" t="n">
        <v>0.170983050847458</v>
      </c>
      <c r="F3814" s="4" t="n">
        <f aca="false">D3814*E3814</f>
        <v>50.44</v>
      </c>
      <c r="G3814" s="7" t="n">
        <v>135</v>
      </c>
      <c r="H3814" s="9" t="n">
        <f aca="false">IF(G3814&gt;0,D3814/G3814,"")</f>
        <v>2.18518518518519</v>
      </c>
      <c r="I3814" s="10" t="n">
        <v>46251</v>
      </c>
      <c r="J3814" s="3" t="s">
        <v>2089</v>
      </c>
      <c r="K3814" s="10" t="n">
        <v>45883</v>
      </c>
      <c r="L3814" s="3" t="s">
        <v>18</v>
      </c>
      <c r="M3814" s="7" t="n">
        <v>560</v>
      </c>
      <c r="N3814" s="8" t="n">
        <v>0.171</v>
      </c>
      <c r="O3814" s="4" t="n">
        <f aca="false">M3814*N3814</f>
        <v>95.76</v>
      </c>
    </row>
    <row r="3815" customFormat="false" ht="15" hidden="false" customHeight="false" outlineLevel="0" collapsed="false">
      <c r="A3815" s="0" t="s">
        <v>5299</v>
      </c>
      <c r="C3815" s="0" t="s">
        <v>34</v>
      </c>
      <c r="D3815" s="7" t="n">
        <v>223</v>
      </c>
      <c r="E3815" s="8" t="n">
        <v>0.22609865470852</v>
      </c>
      <c r="F3815" s="4" t="n">
        <f aca="false">D3815*E3815</f>
        <v>50.42</v>
      </c>
      <c r="G3815" s="7" t="n">
        <v>135</v>
      </c>
      <c r="H3815" s="9" t="n">
        <f aca="false">IF(G3815&gt;0,D3815/G3815,"")</f>
        <v>1.65185185185185</v>
      </c>
      <c r="I3815" s="10" t="n">
        <v>46129</v>
      </c>
      <c r="J3815" s="3" t="s">
        <v>628</v>
      </c>
      <c r="K3815" s="10" t="n">
        <v>46128</v>
      </c>
      <c r="L3815" s="3" t="s">
        <v>16</v>
      </c>
      <c r="M3815" s="7" t="n">
        <v>160</v>
      </c>
      <c r="N3815" s="8" t="n">
        <v>0.1273</v>
      </c>
      <c r="O3815" s="4" t="n">
        <f aca="false">M3815*N3815</f>
        <v>20.368</v>
      </c>
    </row>
    <row r="3816" customFormat="false" ht="15" hidden="false" customHeight="false" outlineLevel="0" collapsed="false">
      <c r="A3816" s="0" t="s">
        <v>5300</v>
      </c>
      <c r="C3816" s="0" t="s">
        <v>31</v>
      </c>
      <c r="D3816" s="7" t="n">
        <v>1121</v>
      </c>
      <c r="E3816" s="8" t="n">
        <v>0.0449598572702944</v>
      </c>
      <c r="F3816" s="4" t="n">
        <f aca="false">D3816*E3816</f>
        <v>50.4</v>
      </c>
      <c r="G3816" s="7" t="n">
        <v>5</v>
      </c>
      <c r="H3816" s="9" t="n">
        <f aca="false">IF(G3816&gt;0,D3816/G3816,"")</f>
        <v>224.2</v>
      </c>
      <c r="I3816" s="10" t="n">
        <v>46223</v>
      </c>
      <c r="J3816" s="3" t="s">
        <v>2890</v>
      </c>
      <c r="K3816" s="10" t="n">
        <v>46198</v>
      </c>
      <c r="L3816" s="3" t="s">
        <v>16</v>
      </c>
      <c r="M3816" s="7" t="n">
        <v>1125</v>
      </c>
      <c r="N3816" s="8" t="n">
        <v>0.045</v>
      </c>
      <c r="O3816" s="4" t="n">
        <f aca="false">M3816*N3816</f>
        <v>50.625</v>
      </c>
    </row>
    <row r="3817" customFormat="false" ht="15" hidden="false" customHeight="false" outlineLevel="0" collapsed="false">
      <c r="A3817" s="0" t="s">
        <v>5301</v>
      </c>
      <c r="C3817" s="0" t="s">
        <v>41</v>
      </c>
      <c r="D3817" s="7" t="n">
        <v>312</v>
      </c>
      <c r="E3817" s="8" t="n">
        <v>0.161538461538462</v>
      </c>
      <c r="F3817" s="4" t="n">
        <f aca="false">D3817*E3817</f>
        <v>50.4</v>
      </c>
      <c r="G3817" s="7" t="n">
        <v>20</v>
      </c>
      <c r="H3817" s="9" t="n">
        <f aca="false">IF(G3817&gt;0,D3817/G3817,"")</f>
        <v>15.6</v>
      </c>
      <c r="I3817" s="10" t="n">
        <v>46120</v>
      </c>
      <c r="K3817" s="10"/>
      <c r="M3817" s="7"/>
      <c r="N3817" s="8"/>
      <c r="O3817" s="4"/>
    </row>
    <row r="3818" customFormat="false" ht="15" hidden="false" customHeight="false" outlineLevel="0" collapsed="false">
      <c r="A3818" s="0" t="s">
        <v>5302</v>
      </c>
      <c r="C3818" s="0" t="s">
        <v>37</v>
      </c>
      <c r="D3818" s="7" t="n">
        <v>720</v>
      </c>
      <c r="E3818" s="8" t="n">
        <v>0.07</v>
      </c>
      <c r="F3818" s="4" t="n">
        <f aca="false">D3818*E3818</f>
        <v>50.4</v>
      </c>
      <c r="G3818" s="7" t="n">
        <v>10</v>
      </c>
      <c r="H3818" s="9" t="n">
        <f aca="false">IF(G3818&gt;0,D3818/G3818,"")</f>
        <v>72</v>
      </c>
      <c r="I3818" s="10" t="n">
        <v>46317</v>
      </c>
      <c r="J3818" s="3" t="s">
        <v>341</v>
      </c>
      <c r="K3818" s="10" t="n">
        <v>46078</v>
      </c>
      <c r="L3818" s="3" t="s">
        <v>15</v>
      </c>
      <c r="M3818" s="7" t="n">
        <v>730</v>
      </c>
      <c r="N3818" s="8" t="n">
        <v>0.07336</v>
      </c>
      <c r="O3818" s="4" t="n">
        <f aca="false">M3818*N3818</f>
        <v>53.5528</v>
      </c>
    </row>
    <row r="3819" customFormat="false" ht="15" hidden="false" customHeight="false" outlineLevel="0" collapsed="false">
      <c r="A3819" s="0" t="s">
        <v>5303</v>
      </c>
      <c r="C3819" s="0" t="s">
        <v>31</v>
      </c>
      <c r="D3819" s="7" t="n">
        <v>446</v>
      </c>
      <c r="E3819" s="8" t="n">
        <v>0.113004484304933</v>
      </c>
      <c r="F3819" s="4" t="n">
        <f aca="false">D3819*E3819</f>
        <v>50.4</v>
      </c>
      <c r="G3819" s="7" t="n">
        <v>20</v>
      </c>
      <c r="H3819" s="9" t="n">
        <f aca="false">IF(G3819&gt;0,D3819/G3819,"")</f>
        <v>22.3</v>
      </c>
      <c r="I3819" s="10" t="n">
        <v>46223</v>
      </c>
      <c r="J3819" s="3" t="s">
        <v>2890</v>
      </c>
      <c r="K3819" s="10" t="n">
        <v>46198</v>
      </c>
      <c r="L3819" s="3" t="s">
        <v>16</v>
      </c>
      <c r="M3819" s="7" t="n">
        <v>450</v>
      </c>
      <c r="N3819" s="8" t="n">
        <v>0.1112</v>
      </c>
      <c r="O3819" s="4" t="n">
        <f aca="false">M3819*N3819</f>
        <v>50.04</v>
      </c>
    </row>
    <row r="3820" customFormat="false" ht="15" hidden="false" customHeight="false" outlineLevel="0" collapsed="false">
      <c r="A3820" s="0" t="s">
        <v>5304</v>
      </c>
      <c r="C3820" s="0" t="s">
        <v>34</v>
      </c>
      <c r="D3820" s="7" t="n">
        <v>6076</v>
      </c>
      <c r="E3820" s="8" t="n">
        <v>0.00829328505595787</v>
      </c>
      <c r="F3820" s="4" t="n">
        <f aca="false">D3820*E3820</f>
        <v>50.39</v>
      </c>
      <c r="G3820" s="7" t="n">
        <v>1475</v>
      </c>
      <c r="H3820" s="9" t="n">
        <f aca="false">IF(G3820&gt;0,D3820/G3820,"")</f>
        <v>4.11932203389831</v>
      </c>
      <c r="I3820" s="10" t="n">
        <v>46308</v>
      </c>
      <c r="J3820" s="3" t="s">
        <v>1616</v>
      </c>
      <c r="K3820" s="10" t="n">
        <v>46266</v>
      </c>
      <c r="L3820" s="3" t="s">
        <v>16</v>
      </c>
      <c r="M3820" s="7" t="n">
        <v>6100</v>
      </c>
      <c r="N3820" s="8" t="n">
        <v>0.0082</v>
      </c>
      <c r="O3820" s="4" t="n">
        <f aca="false">M3820*N3820</f>
        <v>50.02</v>
      </c>
    </row>
    <row r="3821" customFormat="false" ht="15" hidden="false" customHeight="false" outlineLevel="0" collapsed="false">
      <c r="A3821" s="0" t="s">
        <v>5305</v>
      </c>
      <c r="C3821" s="0" t="s">
        <v>31</v>
      </c>
      <c r="D3821" s="7" t="n">
        <v>16028</v>
      </c>
      <c r="E3821" s="8" t="n">
        <v>0.0031426254055403</v>
      </c>
      <c r="F3821" s="4" t="n">
        <f aca="false">D3821*E3821</f>
        <v>50.37</v>
      </c>
      <c r="G3821" s="7" t="n">
        <v>909</v>
      </c>
      <c r="H3821" s="9" t="n">
        <f aca="false">IF(G3821&gt;0,D3821/G3821,"")</f>
        <v>17.6325632563256</v>
      </c>
      <c r="I3821" s="10" t="n">
        <v>46268</v>
      </c>
      <c r="J3821" s="3" t="s">
        <v>3797</v>
      </c>
      <c r="K3821" s="10" t="n">
        <v>45056</v>
      </c>
      <c r="L3821" s="3" t="s">
        <v>15</v>
      </c>
      <c r="M3821" s="7" t="n">
        <v>28400</v>
      </c>
      <c r="N3821" s="8" t="n">
        <v>0.00314</v>
      </c>
      <c r="O3821" s="4" t="n">
        <f aca="false">M3821*N3821</f>
        <v>89.176</v>
      </c>
    </row>
    <row r="3822" customFormat="false" ht="15" hidden="false" customHeight="false" outlineLevel="0" collapsed="false">
      <c r="A3822" s="0" t="s">
        <v>5306</v>
      </c>
      <c r="C3822" s="0" t="s">
        <v>1010</v>
      </c>
      <c r="D3822" s="7" t="n">
        <v>1028</v>
      </c>
      <c r="E3822" s="8" t="n">
        <v>0.0489980544747082</v>
      </c>
      <c r="F3822" s="4" t="n">
        <f aca="false">D3822*E3822</f>
        <v>50.37</v>
      </c>
      <c r="G3822" s="7" t="n">
        <v>50</v>
      </c>
      <c r="H3822" s="9" t="n">
        <f aca="false">IF(G3822&gt;0,D3822/G3822,"")</f>
        <v>20.56</v>
      </c>
      <c r="I3822" s="10" t="n">
        <v>46265</v>
      </c>
      <c r="J3822" s="3" t="s">
        <v>2043</v>
      </c>
      <c r="K3822" s="10" t="n">
        <v>46104</v>
      </c>
      <c r="L3822" s="3" t="s">
        <v>16</v>
      </c>
      <c r="M3822" s="7" t="n">
        <v>1100</v>
      </c>
      <c r="N3822" s="8" t="n">
        <v>0.049</v>
      </c>
      <c r="O3822" s="4" t="n">
        <f aca="false">M3822*N3822</f>
        <v>53.9</v>
      </c>
    </row>
    <row r="3823" customFormat="false" ht="15" hidden="false" customHeight="false" outlineLevel="0" collapsed="false">
      <c r="A3823" s="0" t="s">
        <v>5307</v>
      </c>
      <c r="C3823" s="0" t="s">
        <v>31</v>
      </c>
      <c r="D3823" s="7" t="n">
        <v>2433</v>
      </c>
      <c r="E3823" s="8" t="n">
        <v>0.0206822852445541</v>
      </c>
      <c r="F3823" s="4" t="n">
        <f aca="false">D3823*E3823</f>
        <v>50.32</v>
      </c>
      <c r="G3823" s="7" t="n">
        <v>315</v>
      </c>
      <c r="H3823" s="9" t="n">
        <f aca="false">IF(G3823&gt;0,D3823/G3823,"")</f>
        <v>7.72380952380952</v>
      </c>
      <c r="I3823" s="10" t="n">
        <v>46314</v>
      </c>
      <c r="J3823" s="3" t="s">
        <v>1955</v>
      </c>
      <c r="K3823" s="10" t="n">
        <v>46268</v>
      </c>
      <c r="L3823" s="3" t="s">
        <v>16</v>
      </c>
      <c r="M3823" s="7" t="n">
        <v>2500</v>
      </c>
      <c r="N3823" s="8" t="n">
        <v>0.0203</v>
      </c>
      <c r="O3823" s="4" t="n">
        <f aca="false">M3823*N3823</f>
        <v>50.75</v>
      </c>
    </row>
    <row r="3824" customFormat="false" ht="15" hidden="false" customHeight="false" outlineLevel="0" collapsed="false">
      <c r="A3824" s="0" t="s">
        <v>5308</v>
      </c>
      <c r="C3824" s="0" t="s">
        <v>1169</v>
      </c>
      <c r="D3824" s="7" t="n">
        <v>188</v>
      </c>
      <c r="E3824" s="8" t="n">
        <v>0.2675</v>
      </c>
      <c r="F3824" s="4" t="n">
        <f aca="false">D3824*E3824</f>
        <v>50.29</v>
      </c>
      <c r="G3824" s="7" t="n">
        <v>40</v>
      </c>
      <c r="H3824" s="9" t="n">
        <f aca="false">IF(G3824&gt;0,D3824/G3824,"")</f>
        <v>4.7</v>
      </c>
      <c r="I3824" s="10" t="n">
        <v>46107</v>
      </c>
      <c r="J3824" s="3" t="s">
        <v>2903</v>
      </c>
      <c r="K3824" s="10" t="n">
        <v>44301</v>
      </c>
      <c r="L3824" s="3" t="s">
        <v>21</v>
      </c>
      <c r="M3824" s="7" t="n">
        <v>400</v>
      </c>
      <c r="N3824" s="8" t="n">
        <v>0.261</v>
      </c>
      <c r="O3824" s="4" t="n">
        <f aca="false">M3824*N3824</f>
        <v>104.4</v>
      </c>
    </row>
    <row r="3825" customFormat="false" ht="15" hidden="false" customHeight="false" outlineLevel="0" collapsed="false">
      <c r="A3825" s="0" t="s">
        <v>5309</v>
      </c>
      <c r="C3825" s="0" t="s">
        <v>38</v>
      </c>
      <c r="D3825" s="7" t="n">
        <v>862</v>
      </c>
      <c r="E3825" s="8" t="n">
        <v>0.0583178654292343</v>
      </c>
      <c r="F3825" s="4" t="n">
        <f aca="false">D3825*E3825</f>
        <v>50.27</v>
      </c>
      <c r="G3825" s="7" t="n">
        <v>325</v>
      </c>
      <c r="H3825" s="9" t="n">
        <f aca="false">IF(G3825&gt;0,D3825/G3825,"")</f>
        <v>2.65230769230769</v>
      </c>
      <c r="I3825" s="10" t="n">
        <v>46253</v>
      </c>
      <c r="J3825" s="3" t="s">
        <v>3616</v>
      </c>
      <c r="K3825" s="10" t="n">
        <v>45471</v>
      </c>
      <c r="L3825" s="3" t="s">
        <v>18</v>
      </c>
      <c r="M3825" s="7" t="n">
        <v>1700</v>
      </c>
      <c r="N3825" s="8" t="n">
        <v>0.0583</v>
      </c>
      <c r="O3825" s="4" t="n">
        <f aca="false">M3825*N3825</f>
        <v>99.11</v>
      </c>
    </row>
    <row r="3826" customFormat="false" ht="15" hidden="false" customHeight="false" outlineLevel="0" collapsed="false">
      <c r="A3826" s="0" t="s">
        <v>5310</v>
      </c>
      <c r="C3826" s="0" t="s">
        <v>765</v>
      </c>
      <c r="D3826" s="7" t="n">
        <v>5176</v>
      </c>
      <c r="E3826" s="8" t="n">
        <v>0.00970633693972179</v>
      </c>
      <c r="F3826" s="4" t="n">
        <f aca="false">D3826*E3826</f>
        <v>50.24</v>
      </c>
      <c r="G3826" s="7" t="n">
        <v>795</v>
      </c>
      <c r="H3826" s="9" t="n">
        <f aca="false">IF(G3826&gt;0,D3826/G3826,"")</f>
        <v>6.51069182389937</v>
      </c>
      <c r="I3826" s="10" t="n">
        <v>46288</v>
      </c>
      <c r="J3826" s="3" t="s">
        <v>2099</v>
      </c>
      <c r="K3826" s="10" t="n">
        <v>45958</v>
      </c>
      <c r="L3826" s="3" t="s">
        <v>16</v>
      </c>
      <c r="M3826" s="7" t="n">
        <v>5897</v>
      </c>
      <c r="N3826" s="8" t="n">
        <v>0.0097</v>
      </c>
      <c r="O3826" s="4" t="n">
        <f aca="false">M3826*N3826</f>
        <v>57.2009</v>
      </c>
    </row>
    <row r="3827" customFormat="false" ht="15" hidden="false" customHeight="false" outlineLevel="0" collapsed="false">
      <c r="A3827" s="0" t="s">
        <v>5311</v>
      </c>
      <c r="C3827" s="0" t="s">
        <v>31</v>
      </c>
      <c r="D3827" s="7" t="n">
        <v>180</v>
      </c>
      <c r="E3827" s="8" t="n">
        <v>0.279111111111111</v>
      </c>
      <c r="F3827" s="4" t="n">
        <f aca="false">D3827*E3827</f>
        <v>50.24</v>
      </c>
      <c r="G3827" s="7" t="n">
        <v>20</v>
      </c>
      <c r="H3827" s="9" t="n">
        <f aca="false">IF(G3827&gt;0,D3827/G3827,"")</f>
        <v>9</v>
      </c>
      <c r="I3827" s="10" t="n">
        <v>46314</v>
      </c>
      <c r="J3827" s="3" t="s">
        <v>1846</v>
      </c>
      <c r="K3827" s="10" t="n">
        <v>46288</v>
      </c>
      <c r="L3827" s="3" t="s">
        <v>16</v>
      </c>
      <c r="M3827" s="7" t="n">
        <v>200</v>
      </c>
      <c r="N3827" s="8" t="n">
        <v>0.2791</v>
      </c>
      <c r="O3827" s="4" t="n">
        <f aca="false">M3827*N3827</f>
        <v>55.82</v>
      </c>
    </row>
    <row r="3828" customFormat="false" ht="15" hidden="false" customHeight="false" outlineLevel="0" collapsed="false">
      <c r="A3828" s="0" t="s">
        <v>5312</v>
      </c>
      <c r="C3828" s="0" t="s">
        <v>31</v>
      </c>
      <c r="D3828" s="7" t="n">
        <v>14399</v>
      </c>
      <c r="E3828" s="8" t="n">
        <v>0.00348843669699285</v>
      </c>
      <c r="F3828" s="4" t="n">
        <f aca="false">D3828*E3828</f>
        <v>50.23</v>
      </c>
      <c r="G3828" s="7" t="n">
        <v>8346</v>
      </c>
      <c r="H3828" s="9" t="n">
        <f aca="false">IF(G3828&gt;0,D3828/G3828,"")</f>
        <v>1.72525760843518</v>
      </c>
      <c r="I3828" s="10" t="n">
        <v>46308</v>
      </c>
      <c r="K3828" s="10"/>
      <c r="M3828" s="7"/>
      <c r="N3828" s="8"/>
      <c r="O3828" s="4"/>
    </row>
    <row r="3829" customFormat="false" ht="15" hidden="false" customHeight="false" outlineLevel="0" collapsed="false">
      <c r="A3829" s="0" t="s">
        <v>5313</v>
      </c>
      <c r="C3829" s="0" t="s">
        <v>31</v>
      </c>
      <c r="D3829" s="7" t="n">
        <v>1550</v>
      </c>
      <c r="E3829" s="8" t="n">
        <v>0.0324</v>
      </c>
      <c r="F3829" s="4" t="n">
        <f aca="false">D3829*E3829</f>
        <v>50.22</v>
      </c>
      <c r="G3829" s="7" t="n">
        <v>39</v>
      </c>
      <c r="H3829" s="9" t="n">
        <f aca="false">IF(G3829&gt;0,D3829/G3829,"")</f>
        <v>39.7435897435897</v>
      </c>
      <c r="I3829" s="10" t="n">
        <v>46253</v>
      </c>
      <c r="J3829" s="3" t="s">
        <v>1035</v>
      </c>
      <c r="K3829" s="10" t="n">
        <v>46251</v>
      </c>
      <c r="L3829" s="3" t="s">
        <v>16</v>
      </c>
      <c r="M3829" s="7" t="n">
        <v>1550</v>
      </c>
      <c r="N3829" s="8" t="n">
        <v>0.0324</v>
      </c>
      <c r="O3829" s="4" t="n">
        <f aca="false">M3829*N3829</f>
        <v>50.22</v>
      </c>
    </row>
    <row r="3830" customFormat="false" ht="15" hidden="false" customHeight="false" outlineLevel="0" collapsed="false">
      <c r="A3830" s="0" t="s">
        <v>5314</v>
      </c>
      <c r="C3830" s="0" t="s">
        <v>34</v>
      </c>
      <c r="D3830" s="7" t="n">
        <v>1131</v>
      </c>
      <c r="E3830" s="8" t="n">
        <v>0.0444031830238727</v>
      </c>
      <c r="F3830" s="4" t="n">
        <f aca="false">D3830*E3830</f>
        <v>50.22</v>
      </c>
      <c r="G3830" s="7" t="n">
        <v>100</v>
      </c>
      <c r="H3830" s="9" t="n">
        <f aca="false">IF(G3830&gt;0,D3830/G3830,"")</f>
        <v>11.31</v>
      </c>
      <c r="I3830" s="10" t="n">
        <v>46238</v>
      </c>
      <c r="J3830" s="3" t="s">
        <v>2694</v>
      </c>
      <c r="K3830" s="10" t="n">
        <v>46218</v>
      </c>
      <c r="L3830" s="3" t="s">
        <v>16</v>
      </c>
      <c r="M3830" s="7" t="n">
        <v>1150</v>
      </c>
      <c r="N3830" s="8" t="n">
        <v>0.0444</v>
      </c>
      <c r="O3830" s="4" t="n">
        <f aca="false">M3830*N3830</f>
        <v>51.06</v>
      </c>
    </row>
    <row r="3831" customFormat="false" ht="15" hidden="false" customHeight="false" outlineLevel="0" collapsed="false">
      <c r="A3831" s="0" t="s">
        <v>5315</v>
      </c>
      <c r="C3831" s="0" t="s">
        <v>1039</v>
      </c>
      <c r="D3831" s="7" t="n">
        <v>17196</v>
      </c>
      <c r="E3831" s="8" t="n">
        <v>0.00291812049313794</v>
      </c>
      <c r="F3831" s="4" t="n">
        <f aca="false">D3831*E3831</f>
        <v>50.18</v>
      </c>
      <c r="G3831" s="7" t="n">
        <v>285</v>
      </c>
      <c r="H3831" s="9" t="n">
        <f aca="false">IF(G3831&gt;0,D3831/G3831,"")</f>
        <v>60.3368421052632</v>
      </c>
      <c r="I3831" s="10" t="n">
        <v>46174</v>
      </c>
      <c r="K3831" s="10"/>
      <c r="M3831" s="7"/>
      <c r="N3831" s="8"/>
      <c r="O3831" s="4"/>
    </row>
    <row r="3832" customFormat="false" ht="15" hidden="false" customHeight="false" outlineLevel="0" collapsed="false">
      <c r="A3832" s="0" t="s">
        <v>5316</v>
      </c>
      <c r="C3832" s="0" t="s">
        <v>34</v>
      </c>
      <c r="D3832" s="7" t="n">
        <v>1005</v>
      </c>
      <c r="E3832" s="8" t="n">
        <v>0.0499004975124378</v>
      </c>
      <c r="F3832" s="4" t="n">
        <f aca="false">D3832*E3832</f>
        <v>50.15</v>
      </c>
      <c r="G3832" s="7" t="n">
        <v>69</v>
      </c>
      <c r="H3832" s="9" t="n">
        <f aca="false">IF(G3832&gt;0,D3832/G3832,"")</f>
        <v>14.5652173913043</v>
      </c>
      <c r="I3832" s="10" t="n">
        <v>46202</v>
      </c>
      <c r="J3832" s="3" t="s">
        <v>2890</v>
      </c>
      <c r="K3832" s="10" t="n">
        <v>46198</v>
      </c>
      <c r="L3832" s="3" t="s">
        <v>16</v>
      </c>
      <c r="M3832" s="7" t="n">
        <v>1005</v>
      </c>
      <c r="N3832" s="8" t="n">
        <v>0.0499</v>
      </c>
      <c r="O3832" s="4" t="n">
        <f aca="false">M3832*N3832</f>
        <v>50.1495</v>
      </c>
    </row>
    <row r="3833" customFormat="false" ht="15" hidden="false" customHeight="false" outlineLevel="0" collapsed="false">
      <c r="A3833" s="0" t="s">
        <v>5317</v>
      </c>
      <c r="C3833" s="0" t="s">
        <v>38</v>
      </c>
      <c r="D3833" s="7" t="n">
        <v>106</v>
      </c>
      <c r="E3833" s="8" t="n">
        <v>0.473018867924528</v>
      </c>
      <c r="F3833" s="4" t="n">
        <f aca="false">D3833*E3833</f>
        <v>50.14</v>
      </c>
      <c r="G3833" s="7" t="n">
        <v>6</v>
      </c>
      <c r="H3833" s="9" t="n">
        <f aca="false">IF(G3833&gt;0,D3833/G3833,"")</f>
        <v>17.6666666666667</v>
      </c>
      <c r="I3833" s="10" t="n">
        <v>46006</v>
      </c>
      <c r="J3833" s="3" t="s">
        <v>1524</v>
      </c>
      <c r="K3833" s="10" t="n">
        <v>44872</v>
      </c>
      <c r="L3833" s="3" t="s">
        <v>19</v>
      </c>
      <c r="M3833" s="7" t="n">
        <v>100</v>
      </c>
      <c r="N3833" s="8" t="n">
        <v>0.4144</v>
      </c>
      <c r="O3833" s="4" t="n">
        <f aca="false">M3833*N3833</f>
        <v>41.44</v>
      </c>
    </row>
    <row r="3834" customFormat="false" ht="15" hidden="false" customHeight="false" outlineLevel="0" collapsed="false">
      <c r="A3834" s="0" t="s">
        <v>5318</v>
      </c>
      <c r="C3834" s="0" t="s">
        <v>32</v>
      </c>
      <c r="D3834" s="7" t="n">
        <v>39</v>
      </c>
      <c r="E3834" s="8" t="n">
        <v>1.28461538461539</v>
      </c>
      <c r="F3834" s="4" t="n">
        <f aca="false">D3834*E3834</f>
        <v>50.1</v>
      </c>
      <c r="G3834" s="7" t="n">
        <v>22</v>
      </c>
      <c r="H3834" s="9" t="n">
        <f aca="false">IF(G3834&gt;0,D3834/G3834,"")</f>
        <v>1.77272727272727</v>
      </c>
      <c r="I3834" s="10" t="n">
        <v>46233</v>
      </c>
      <c r="J3834" s="3" t="s">
        <v>3759</v>
      </c>
      <c r="K3834" s="10" t="n">
        <v>46289</v>
      </c>
      <c r="L3834" s="3" t="s">
        <v>18</v>
      </c>
      <c r="M3834" s="7" t="n">
        <v>21</v>
      </c>
      <c r="N3834" s="8" t="n">
        <v>1.3987</v>
      </c>
      <c r="O3834" s="4" t="n">
        <f aca="false">M3834*N3834</f>
        <v>29.3727</v>
      </c>
    </row>
    <row r="3835" customFormat="false" ht="15" hidden="false" customHeight="false" outlineLevel="0" collapsed="false">
      <c r="A3835" s="0" t="s">
        <v>5319</v>
      </c>
      <c r="C3835" s="0" t="s">
        <v>31</v>
      </c>
      <c r="D3835" s="7" t="n">
        <v>1670</v>
      </c>
      <c r="E3835" s="8" t="n">
        <v>0.03</v>
      </c>
      <c r="F3835" s="4" t="n">
        <f aca="false">D3835*E3835</f>
        <v>50.1</v>
      </c>
      <c r="G3835" s="7" t="n">
        <v>548</v>
      </c>
      <c r="H3835" s="9" t="n">
        <f aca="false">IF(G3835&gt;0,D3835/G3835,"")</f>
        <v>3.04744525547445</v>
      </c>
      <c r="I3835" s="10" t="n">
        <v>46308</v>
      </c>
      <c r="J3835" s="3" t="s">
        <v>940</v>
      </c>
      <c r="K3835" s="10" t="n">
        <v>46231</v>
      </c>
      <c r="L3835" s="3" t="s">
        <v>16</v>
      </c>
      <c r="M3835" s="7" t="n">
        <v>1700</v>
      </c>
      <c r="N3835" s="8" t="n">
        <v>0.03</v>
      </c>
      <c r="O3835" s="4" t="n">
        <f aca="false">M3835*N3835</f>
        <v>51</v>
      </c>
    </row>
    <row r="3836" customFormat="false" ht="15" hidden="false" customHeight="false" outlineLevel="0" collapsed="false">
      <c r="A3836" s="0" t="s">
        <v>5320</v>
      </c>
      <c r="C3836" s="0" t="s">
        <v>615</v>
      </c>
      <c r="D3836" s="7" t="n">
        <v>1070</v>
      </c>
      <c r="E3836" s="8" t="n">
        <v>0.0468224299065421</v>
      </c>
      <c r="F3836" s="4" t="n">
        <f aca="false">D3836*E3836</f>
        <v>50.1</v>
      </c>
      <c r="G3836" s="7" t="n">
        <v>100</v>
      </c>
      <c r="H3836" s="9" t="n">
        <f aca="false">IF(G3836&gt;0,D3836/G3836,"")</f>
        <v>10.7</v>
      </c>
      <c r="I3836" s="10" t="n">
        <v>46000</v>
      </c>
      <c r="J3836" s="3" t="s">
        <v>2979</v>
      </c>
      <c r="K3836" s="10" t="n">
        <v>45616</v>
      </c>
      <c r="L3836" s="3" t="s">
        <v>15</v>
      </c>
      <c r="M3836" s="7" t="n">
        <v>2170</v>
      </c>
      <c r="N3836" s="8" t="n">
        <v>0.04682</v>
      </c>
      <c r="O3836" s="4" t="n">
        <f aca="false">M3836*N3836</f>
        <v>101.5994</v>
      </c>
    </row>
    <row r="3837" customFormat="false" ht="15" hidden="false" customHeight="false" outlineLevel="0" collapsed="false">
      <c r="A3837" s="0" t="s">
        <v>5321</v>
      </c>
      <c r="C3837" s="0" t="s">
        <v>360</v>
      </c>
      <c r="D3837" s="7" t="n">
        <v>8170</v>
      </c>
      <c r="E3837" s="8" t="n">
        <v>0.00612851897184823</v>
      </c>
      <c r="F3837" s="4" t="n">
        <f aca="false">D3837*E3837</f>
        <v>50.07</v>
      </c>
      <c r="G3837" s="7" t="n">
        <v>5888</v>
      </c>
      <c r="H3837" s="9" t="n">
        <f aca="false">IF(G3837&gt;0,D3837/G3837,"")</f>
        <v>1.38756793478261</v>
      </c>
      <c r="I3837" s="10" t="n">
        <v>46317</v>
      </c>
      <c r="J3837" s="3" t="s">
        <v>1213</v>
      </c>
      <c r="K3837" s="10" t="n">
        <v>45554</v>
      </c>
      <c r="L3837" s="3" t="s">
        <v>15</v>
      </c>
      <c r="M3837" s="7" t="n">
        <v>44000</v>
      </c>
      <c r="N3837" s="8" t="n">
        <v>0.00613</v>
      </c>
      <c r="O3837" s="4" t="n">
        <f aca="false">M3837*N3837</f>
        <v>269.72</v>
      </c>
    </row>
    <row r="3838" customFormat="false" ht="15" hidden="false" customHeight="false" outlineLevel="0" collapsed="false">
      <c r="A3838" s="0" t="s">
        <v>5322</v>
      </c>
      <c r="C3838" s="0" t="s">
        <v>38</v>
      </c>
      <c r="D3838" s="7" t="n">
        <v>89</v>
      </c>
      <c r="E3838" s="8" t="n">
        <v>0.56247191011236</v>
      </c>
      <c r="F3838" s="4" t="n">
        <f aca="false">D3838*E3838</f>
        <v>50.06</v>
      </c>
      <c r="G3838" s="7" t="n">
        <v>57</v>
      </c>
      <c r="H3838" s="9" t="n">
        <f aca="false">IF(G3838&gt;0,D3838/G3838,"")</f>
        <v>1.56140350877193</v>
      </c>
      <c r="I3838" s="10" t="n">
        <v>46171</v>
      </c>
      <c r="J3838" s="3" t="s">
        <v>656</v>
      </c>
      <c r="K3838" s="10" t="n">
        <v>46160</v>
      </c>
      <c r="L3838" s="3" t="s">
        <v>14</v>
      </c>
      <c r="M3838" s="7" t="n">
        <v>100</v>
      </c>
      <c r="N3838" s="8" t="n">
        <v>0.564</v>
      </c>
      <c r="O3838" s="4" t="n">
        <f aca="false">M3838*N3838</f>
        <v>56.4</v>
      </c>
    </row>
    <row r="3839" customFormat="false" ht="15" hidden="false" customHeight="false" outlineLevel="0" collapsed="false">
      <c r="A3839" s="0" t="s">
        <v>5323</v>
      </c>
      <c r="C3839" s="0" t="s">
        <v>1039</v>
      </c>
      <c r="D3839" s="7" t="n">
        <v>2464</v>
      </c>
      <c r="E3839" s="8" t="n">
        <v>0.0203125</v>
      </c>
      <c r="F3839" s="4" t="n">
        <f aca="false">D3839*E3839</f>
        <v>50.05</v>
      </c>
      <c r="G3839" s="7" t="n">
        <v>84</v>
      </c>
      <c r="H3839" s="9" t="n">
        <f aca="false">IF(G3839&gt;0,D3839/G3839,"")</f>
        <v>29.3333333333333</v>
      </c>
      <c r="I3839" s="10" t="n">
        <v>46171</v>
      </c>
      <c r="J3839" s="3" t="s">
        <v>2777</v>
      </c>
      <c r="K3839" s="10" t="n">
        <v>45763</v>
      </c>
      <c r="L3839" s="3" t="s">
        <v>16</v>
      </c>
      <c r="M3839" s="7" t="n">
        <v>2700</v>
      </c>
      <c r="N3839" s="8" t="n">
        <v>0.0203</v>
      </c>
      <c r="O3839" s="4" t="n">
        <f aca="false">M3839*N3839</f>
        <v>54.81</v>
      </c>
    </row>
    <row r="3840" customFormat="false" ht="15" hidden="false" customHeight="false" outlineLevel="0" collapsed="false">
      <c r="A3840" s="0" t="s">
        <v>5324</v>
      </c>
      <c r="C3840" s="0" t="s">
        <v>1169</v>
      </c>
      <c r="D3840" s="7" t="n">
        <v>65</v>
      </c>
      <c r="E3840" s="8" t="n">
        <v>0.77</v>
      </c>
      <c r="F3840" s="4" t="n">
        <f aca="false">D3840*E3840</f>
        <v>50.05</v>
      </c>
      <c r="G3840" s="7" t="n">
        <v>25</v>
      </c>
      <c r="H3840" s="9" t="n">
        <f aca="false">IF(G3840&gt;0,D3840/G3840,"")</f>
        <v>2.6</v>
      </c>
      <c r="I3840" s="10" t="n">
        <v>46198</v>
      </c>
      <c r="J3840" s="3" t="s">
        <v>4567</v>
      </c>
      <c r="K3840" s="10" t="n">
        <v>45672</v>
      </c>
      <c r="L3840" s="3" t="s">
        <v>21</v>
      </c>
      <c r="M3840" s="7" t="n">
        <v>130</v>
      </c>
      <c r="N3840" s="8" t="n">
        <v>0.77</v>
      </c>
      <c r="O3840" s="4" t="n">
        <f aca="false">M3840*N3840</f>
        <v>100.1</v>
      </c>
    </row>
    <row r="3841" customFormat="false" ht="15" hidden="false" customHeight="false" outlineLevel="0" collapsed="false">
      <c r="A3841" s="0" t="s">
        <v>5325</v>
      </c>
      <c r="C3841" s="0" t="s">
        <v>32</v>
      </c>
      <c r="D3841" s="7" t="n">
        <v>114</v>
      </c>
      <c r="E3841" s="8" t="n">
        <v>0.438947368421053</v>
      </c>
      <c r="F3841" s="4" t="n">
        <f aca="false">D3841*E3841</f>
        <v>50.04</v>
      </c>
      <c r="G3841" s="7" t="n">
        <v>16</v>
      </c>
      <c r="H3841" s="9" t="n">
        <f aca="false">IF(G3841&gt;0,D3841/G3841,"")</f>
        <v>7.125</v>
      </c>
      <c r="I3841" s="10" t="n">
        <v>46129</v>
      </c>
      <c r="J3841" s="3" t="s">
        <v>5326</v>
      </c>
      <c r="K3841" s="10" t="n">
        <v>44684</v>
      </c>
      <c r="L3841" s="3" t="s">
        <v>15</v>
      </c>
      <c r="M3841" s="7" t="n">
        <v>196</v>
      </c>
      <c r="N3841" s="8" t="n">
        <v>0.43908</v>
      </c>
      <c r="O3841" s="4" t="n">
        <f aca="false">M3841*N3841</f>
        <v>86.05968</v>
      </c>
    </row>
    <row r="3842" customFormat="false" ht="15" hidden="false" customHeight="false" outlineLevel="0" collapsed="false">
      <c r="A3842" s="0" t="s">
        <v>5327</v>
      </c>
      <c r="C3842" s="0" t="s">
        <v>855</v>
      </c>
      <c r="D3842" s="7" t="n">
        <v>7579</v>
      </c>
      <c r="E3842" s="8" t="n">
        <v>0.00659981527906056</v>
      </c>
      <c r="F3842" s="4" t="n">
        <f aca="false">D3842*E3842</f>
        <v>50.02</v>
      </c>
      <c r="G3842" s="7" t="n">
        <v>183</v>
      </c>
      <c r="H3842" s="9" t="n">
        <f aca="false">IF(G3842&gt;0,D3842/G3842,"")</f>
        <v>41.4153005464481</v>
      </c>
      <c r="I3842" s="10" t="n">
        <v>46246</v>
      </c>
      <c r="J3842" s="3" t="s">
        <v>1318</v>
      </c>
      <c r="K3842" s="10" t="n">
        <v>46213</v>
      </c>
      <c r="L3842" s="3" t="s">
        <v>16</v>
      </c>
      <c r="M3842" s="7" t="n">
        <v>7600</v>
      </c>
      <c r="N3842" s="8" t="n">
        <v>0.0066</v>
      </c>
      <c r="O3842" s="4" t="n">
        <f aca="false">M3842*N3842</f>
        <v>50.16</v>
      </c>
    </row>
    <row r="3843" customFormat="false" ht="15" hidden="false" customHeight="false" outlineLevel="0" collapsed="false">
      <c r="A3843" s="0" t="s">
        <v>5328</v>
      </c>
      <c r="C3843" s="0" t="s">
        <v>34</v>
      </c>
      <c r="D3843" s="7" t="n">
        <v>991</v>
      </c>
      <c r="E3843" s="8" t="n">
        <v>0.0504742684157417</v>
      </c>
      <c r="F3843" s="4" t="n">
        <f aca="false">D3843*E3843</f>
        <v>50.02</v>
      </c>
      <c r="G3843" s="7" t="n">
        <v>355</v>
      </c>
      <c r="H3843" s="9" t="n">
        <f aca="false">IF(G3843&gt;0,D3843/G3843,"")</f>
        <v>2.79154929577465</v>
      </c>
      <c r="I3843" s="10" t="n">
        <v>46245</v>
      </c>
      <c r="J3843" s="3" t="s">
        <v>1318</v>
      </c>
      <c r="K3843" s="10" t="n">
        <v>46213</v>
      </c>
      <c r="L3843" s="3" t="s">
        <v>16</v>
      </c>
      <c r="M3843" s="7" t="n">
        <v>1270</v>
      </c>
      <c r="N3843" s="8" t="n">
        <v>0.0507</v>
      </c>
      <c r="O3843" s="4" t="n">
        <f aca="false">M3843*N3843</f>
        <v>64.389</v>
      </c>
    </row>
    <row r="3844" customFormat="false" ht="15" hidden="false" customHeight="false" outlineLevel="0" collapsed="false">
      <c r="A3844" s="0" t="s">
        <v>5329</v>
      </c>
      <c r="C3844" s="0" t="s">
        <v>1169</v>
      </c>
      <c r="D3844" s="7" t="n">
        <v>50</v>
      </c>
      <c r="E3844" s="8" t="n">
        <v>1</v>
      </c>
      <c r="F3844" s="4" t="n">
        <f aca="false">D3844*E3844</f>
        <v>50</v>
      </c>
      <c r="G3844" s="7" t="n">
        <v>50</v>
      </c>
      <c r="H3844" s="9" t="n">
        <f aca="false">IF(G3844&gt;0,D3844/G3844,"")</f>
        <v>1</v>
      </c>
      <c r="I3844" s="10" t="n">
        <v>46126</v>
      </c>
      <c r="J3844" s="3" t="s">
        <v>545</v>
      </c>
      <c r="K3844" s="10" t="n">
        <v>46059</v>
      </c>
      <c r="L3844" s="3" t="s">
        <v>21</v>
      </c>
      <c r="M3844" s="7" t="n">
        <v>100</v>
      </c>
      <c r="N3844" s="8" t="n">
        <v>1</v>
      </c>
      <c r="O3844" s="4" t="n">
        <f aca="false">M3844*N3844</f>
        <v>100</v>
      </c>
    </row>
    <row r="3845" customFormat="false" ht="15" hidden="false" customHeight="false" outlineLevel="0" collapsed="false">
      <c r="A3845" s="0" t="s">
        <v>5330</v>
      </c>
      <c r="C3845" s="0" t="s">
        <v>40</v>
      </c>
      <c r="D3845" s="7" t="n">
        <v>522</v>
      </c>
      <c r="E3845" s="8" t="n">
        <v>0.0957088122605364</v>
      </c>
      <c r="F3845" s="4" t="n">
        <f aca="false">D3845*E3845</f>
        <v>49.96</v>
      </c>
      <c r="G3845" s="7" t="n">
        <v>117</v>
      </c>
      <c r="H3845" s="9" t="n">
        <f aca="false">IF(G3845&gt;0,D3845/G3845,"")</f>
        <v>4.46153846153846</v>
      </c>
      <c r="I3845" s="10" t="n">
        <v>46301</v>
      </c>
      <c r="J3845" s="3" t="s">
        <v>5331</v>
      </c>
      <c r="K3845" s="10" t="n">
        <v>45559</v>
      </c>
      <c r="L3845" s="3" t="s">
        <v>18</v>
      </c>
      <c r="M3845" s="7" t="n">
        <v>1000</v>
      </c>
      <c r="N3845" s="8" t="n">
        <v>0.0957</v>
      </c>
      <c r="O3845" s="4" t="n">
        <f aca="false">M3845*N3845</f>
        <v>95.7</v>
      </c>
    </row>
    <row r="3846" customFormat="false" ht="15" hidden="false" customHeight="false" outlineLevel="0" collapsed="false">
      <c r="A3846" s="0" t="s">
        <v>5332</v>
      </c>
      <c r="C3846" s="0" t="s">
        <v>855</v>
      </c>
      <c r="D3846" s="7" t="n">
        <v>8324</v>
      </c>
      <c r="E3846" s="8" t="n">
        <v>0.00599951946179721</v>
      </c>
      <c r="F3846" s="4" t="n">
        <f aca="false">D3846*E3846</f>
        <v>49.94</v>
      </c>
      <c r="G3846" s="7" t="n">
        <v>425</v>
      </c>
      <c r="H3846" s="9" t="n">
        <f aca="false">IF(G3846&gt;0,D3846/G3846,"")</f>
        <v>19.5858823529412</v>
      </c>
      <c r="I3846" s="10" t="n">
        <v>46253</v>
      </c>
      <c r="K3846" s="10"/>
      <c r="M3846" s="7"/>
      <c r="N3846" s="8"/>
      <c r="O3846" s="4"/>
    </row>
    <row r="3847" customFormat="false" ht="15" hidden="false" customHeight="false" outlineLevel="0" collapsed="false">
      <c r="A3847" s="0" t="s">
        <v>5333</v>
      </c>
      <c r="C3847" s="0" t="s">
        <v>41</v>
      </c>
      <c r="D3847" s="7" t="n">
        <v>705</v>
      </c>
      <c r="E3847" s="8" t="n">
        <v>0.0707943262411348</v>
      </c>
      <c r="F3847" s="4" t="n">
        <f aca="false">D3847*E3847</f>
        <v>49.91</v>
      </c>
      <c r="G3847" s="7" t="n">
        <v>30</v>
      </c>
      <c r="H3847" s="9" t="n">
        <f aca="false">IF(G3847&gt;0,D3847/G3847,"")</f>
        <v>23.5</v>
      </c>
      <c r="I3847" s="10" t="n">
        <v>46317</v>
      </c>
      <c r="J3847" s="3" t="s">
        <v>1265</v>
      </c>
      <c r="K3847" s="10" t="n">
        <v>44221</v>
      </c>
      <c r="L3847" s="3" t="s">
        <v>25</v>
      </c>
      <c r="M3847" s="7" t="n">
        <v>5000</v>
      </c>
      <c r="N3847" s="8" t="n">
        <v>0.0708</v>
      </c>
      <c r="O3847" s="4" t="n">
        <f aca="false">M3847*N3847</f>
        <v>354</v>
      </c>
    </row>
    <row r="3848" customFormat="false" ht="15" hidden="false" customHeight="false" outlineLevel="0" collapsed="false">
      <c r="A3848" s="0" t="s">
        <v>5334</v>
      </c>
      <c r="C3848" s="0" t="s">
        <v>855</v>
      </c>
      <c r="D3848" s="7" t="n">
        <v>4485</v>
      </c>
      <c r="E3848" s="8" t="n">
        <v>0.0111282051282051</v>
      </c>
      <c r="F3848" s="4" t="n">
        <f aca="false">D3848*E3848</f>
        <v>49.91</v>
      </c>
      <c r="G3848" s="7" t="n">
        <v>2725</v>
      </c>
      <c r="H3848" s="9" t="n">
        <f aca="false">IF(G3848&gt;0,D3848/G3848,"")</f>
        <v>1.64587155963303</v>
      </c>
      <c r="I3848" s="10" t="n">
        <v>46253</v>
      </c>
      <c r="J3848" s="3" t="s">
        <v>4415</v>
      </c>
      <c r="K3848" s="10" t="n">
        <v>45829</v>
      </c>
      <c r="L3848" s="3" t="s">
        <v>15</v>
      </c>
      <c r="M3848" s="7" t="n">
        <v>6700</v>
      </c>
      <c r="N3848" s="8" t="n">
        <v>0.01096</v>
      </c>
      <c r="O3848" s="4" t="n">
        <f aca="false">M3848*N3848</f>
        <v>73.432</v>
      </c>
    </row>
    <row r="3849" customFormat="false" ht="15" hidden="false" customHeight="false" outlineLevel="0" collapsed="false">
      <c r="A3849" s="0" t="s">
        <v>5335</v>
      </c>
      <c r="C3849" s="0" t="s">
        <v>38</v>
      </c>
      <c r="D3849" s="7" t="n">
        <v>15598</v>
      </c>
      <c r="E3849" s="8" t="n">
        <v>0.0031991280933453</v>
      </c>
      <c r="F3849" s="4" t="n">
        <f aca="false">D3849*E3849</f>
        <v>49.9</v>
      </c>
      <c r="G3849" s="7" t="n">
        <v>5090</v>
      </c>
      <c r="H3849" s="9" t="n">
        <f aca="false">IF(G3849&gt;0,D3849/G3849,"")</f>
        <v>3.06444007858546</v>
      </c>
      <c r="I3849" s="10" t="n">
        <v>46315</v>
      </c>
      <c r="J3849" s="3" t="s">
        <v>296</v>
      </c>
      <c r="K3849" s="10" t="n">
        <v>45975</v>
      </c>
      <c r="L3849" s="3" t="s">
        <v>16</v>
      </c>
      <c r="M3849" s="7" t="n">
        <v>20403</v>
      </c>
      <c r="N3849" s="8" t="n">
        <v>0.0032</v>
      </c>
      <c r="O3849" s="4" t="n">
        <f aca="false">M3849*N3849</f>
        <v>65.2896</v>
      </c>
    </row>
    <row r="3850" customFormat="false" ht="15" hidden="false" customHeight="false" outlineLevel="0" collapsed="false">
      <c r="A3850" s="0" t="s">
        <v>5336</v>
      </c>
      <c r="C3850" s="0" t="s">
        <v>31</v>
      </c>
      <c r="D3850" s="7" t="n">
        <v>45</v>
      </c>
      <c r="E3850" s="8" t="n">
        <v>1.10888888888889</v>
      </c>
      <c r="F3850" s="4" t="n">
        <f aca="false">D3850*E3850</f>
        <v>49.9</v>
      </c>
      <c r="G3850" s="7" t="n">
        <v>5</v>
      </c>
      <c r="H3850" s="9" t="n">
        <f aca="false">IF(G3850&gt;0,D3850/G3850,"")</f>
        <v>9</v>
      </c>
      <c r="I3850" s="10" t="n">
        <v>46314</v>
      </c>
      <c r="J3850" s="3" t="s">
        <v>1846</v>
      </c>
      <c r="K3850" s="10" t="n">
        <v>46288</v>
      </c>
      <c r="L3850" s="3" t="s">
        <v>16</v>
      </c>
      <c r="M3850" s="7" t="n">
        <v>50</v>
      </c>
      <c r="N3850" s="8" t="n">
        <v>1.1087</v>
      </c>
      <c r="O3850" s="4" t="n">
        <f aca="false">M3850*N3850</f>
        <v>55.435</v>
      </c>
    </row>
    <row r="3851" customFormat="false" ht="15" hidden="false" customHeight="false" outlineLevel="0" collapsed="false">
      <c r="A3851" s="0" t="s">
        <v>5337</v>
      </c>
      <c r="C3851" s="0" t="s">
        <v>1039</v>
      </c>
      <c r="D3851" s="7" t="n">
        <v>14250</v>
      </c>
      <c r="E3851" s="8" t="n">
        <v>0.00349964912280702</v>
      </c>
      <c r="F3851" s="4" t="n">
        <f aca="false">D3851*E3851</f>
        <v>49.87</v>
      </c>
      <c r="G3851" s="7" t="n">
        <v>236</v>
      </c>
      <c r="H3851" s="9" t="n">
        <f aca="false">IF(G3851&gt;0,D3851/G3851,"")</f>
        <v>60.3813559322034</v>
      </c>
      <c r="I3851" s="10" t="n">
        <v>46190</v>
      </c>
      <c r="J3851" s="3" t="s">
        <v>4559</v>
      </c>
      <c r="K3851" s="10" t="n">
        <v>46171</v>
      </c>
      <c r="L3851" s="3" t="s">
        <v>16</v>
      </c>
      <c r="M3851" s="7" t="n">
        <v>14300</v>
      </c>
      <c r="N3851" s="8" t="n">
        <v>0.0035</v>
      </c>
      <c r="O3851" s="4" t="n">
        <f aca="false">M3851*N3851</f>
        <v>50.05</v>
      </c>
    </row>
    <row r="3852" customFormat="false" ht="15" hidden="false" customHeight="false" outlineLevel="0" collapsed="false">
      <c r="A3852" s="0" t="s">
        <v>5338</v>
      </c>
      <c r="C3852" s="0" t="s">
        <v>39</v>
      </c>
      <c r="D3852" s="7" t="n">
        <v>197</v>
      </c>
      <c r="E3852" s="8" t="n">
        <v>0.253096446700508</v>
      </c>
      <c r="F3852" s="4" t="n">
        <f aca="false">D3852*E3852</f>
        <v>49.86</v>
      </c>
      <c r="G3852" s="7" t="n">
        <v>145</v>
      </c>
      <c r="H3852" s="9" t="n">
        <f aca="false">IF(G3852&gt;0,D3852/G3852,"")</f>
        <v>1.35862068965517</v>
      </c>
      <c r="I3852" s="10" t="n">
        <v>46245</v>
      </c>
      <c r="J3852" s="3" t="s">
        <v>3583</v>
      </c>
      <c r="K3852" s="10" t="n">
        <v>46106</v>
      </c>
      <c r="L3852" s="3" t="s">
        <v>18</v>
      </c>
      <c r="M3852" s="7" t="n">
        <v>210</v>
      </c>
      <c r="N3852" s="8" t="n">
        <v>0.2543</v>
      </c>
      <c r="O3852" s="4" t="n">
        <f aca="false">M3852*N3852</f>
        <v>53.403</v>
      </c>
    </row>
    <row r="3853" customFormat="false" ht="15" hidden="false" customHeight="false" outlineLevel="0" collapsed="false">
      <c r="A3853" s="0" t="s">
        <v>5339</v>
      </c>
      <c r="C3853" s="0" t="s">
        <v>340</v>
      </c>
      <c r="D3853" s="7" t="n">
        <v>4702</v>
      </c>
      <c r="E3853" s="8" t="n">
        <v>0.0106039982985963</v>
      </c>
      <c r="F3853" s="4" t="n">
        <f aca="false">D3853*E3853</f>
        <v>49.86</v>
      </c>
      <c r="G3853" s="7" t="n">
        <v>160</v>
      </c>
      <c r="H3853" s="9" t="n">
        <f aca="false">IF(G3853&gt;0,D3853/G3853,"")</f>
        <v>29.3875</v>
      </c>
      <c r="I3853" s="10" t="n">
        <v>46314</v>
      </c>
      <c r="J3853" s="3" t="s">
        <v>5340</v>
      </c>
      <c r="K3853" s="10" t="n">
        <v>44285</v>
      </c>
      <c r="L3853" s="3" t="s">
        <v>19</v>
      </c>
      <c r="M3853" s="7" t="n">
        <v>5000</v>
      </c>
      <c r="N3853" s="8" t="n">
        <v>0.0106</v>
      </c>
      <c r="O3853" s="4" t="n">
        <f aca="false">M3853*N3853</f>
        <v>53</v>
      </c>
    </row>
    <row r="3854" customFormat="false" ht="15" hidden="false" customHeight="false" outlineLevel="0" collapsed="false">
      <c r="A3854" s="0" t="s">
        <v>5341</v>
      </c>
      <c r="C3854" s="0" t="s">
        <v>298</v>
      </c>
      <c r="D3854" s="7" t="n">
        <v>508</v>
      </c>
      <c r="E3854" s="8" t="n">
        <v>0.0981299212598425</v>
      </c>
      <c r="F3854" s="4" t="n">
        <f aca="false">D3854*E3854</f>
        <v>49.85</v>
      </c>
      <c r="G3854" s="7" t="n">
        <v>200</v>
      </c>
      <c r="H3854" s="9" t="n">
        <f aca="false">IF(G3854&gt;0,D3854/G3854,"")</f>
        <v>2.54</v>
      </c>
      <c r="I3854" s="10" t="n">
        <v>46056</v>
      </c>
      <c r="K3854" s="10"/>
      <c r="M3854" s="7"/>
      <c r="N3854" s="8"/>
      <c r="O3854" s="4"/>
    </row>
    <row r="3855" customFormat="false" ht="15" hidden="false" customHeight="false" outlineLevel="0" collapsed="false">
      <c r="A3855" s="0" t="s">
        <v>5342</v>
      </c>
      <c r="C3855" s="0" t="s">
        <v>497</v>
      </c>
      <c r="D3855" s="7" t="n">
        <v>45</v>
      </c>
      <c r="E3855" s="8" t="n">
        <v>1.10666666666667</v>
      </c>
      <c r="F3855" s="4" t="n">
        <f aca="false">D3855*E3855</f>
        <v>49.8</v>
      </c>
      <c r="G3855" s="7" t="n">
        <v>10</v>
      </c>
      <c r="H3855" s="9" t="n">
        <f aca="false">IF(G3855&gt;0,D3855/G3855,"")</f>
        <v>4.5</v>
      </c>
      <c r="I3855" s="10" t="n">
        <v>46069</v>
      </c>
      <c r="K3855" s="10"/>
      <c r="M3855" s="7"/>
      <c r="N3855" s="8"/>
      <c r="O3855" s="4"/>
    </row>
    <row r="3856" customFormat="false" ht="15" hidden="false" customHeight="false" outlineLevel="0" collapsed="false">
      <c r="A3856" s="0" t="s">
        <v>5343</v>
      </c>
      <c r="C3856" s="0" t="s">
        <v>31</v>
      </c>
      <c r="D3856" s="7" t="n">
        <v>4150</v>
      </c>
      <c r="E3856" s="8" t="n">
        <v>0.012</v>
      </c>
      <c r="F3856" s="4" t="n">
        <f aca="false">D3856*E3856</f>
        <v>49.8</v>
      </c>
      <c r="G3856" s="7" t="n">
        <v>50</v>
      </c>
      <c r="H3856" s="9" t="n">
        <f aca="false">IF(G3856&gt;0,D3856/G3856,"")</f>
        <v>83</v>
      </c>
      <c r="I3856" s="10" t="n">
        <v>46268</v>
      </c>
      <c r="J3856" s="3" t="s">
        <v>606</v>
      </c>
      <c r="K3856" s="10" t="n">
        <v>46252</v>
      </c>
      <c r="L3856" s="3" t="s">
        <v>16</v>
      </c>
      <c r="M3856" s="7" t="n">
        <v>4200</v>
      </c>
      <c r="N3856" s="8" t="n">
        <v>0.012</v>
      </c>
      <c r="O3856" s="4" t="n">
        <f aca="false">M3856*N3856</f>
        <v>50.4</v>
      </c>
    </row>
    <row r="3857" customFormat="false" ht="15" hidden="false" customHeight="false" outlineLevel="0" collapsed="false">
      <c r="A3857" s="0" t="s">
        <v>5344</v>
      </c>
      <c r="C3857" s="0" t="s">
        <v>31</v>
      </c>
      <c r="D3857" s="7" t="n">
        <v>22638</v>
      </c>
      <c r="E3857" s="8" t="n">
        <v>0.00219984097535118</v>
      </c>
      <c r="F3857" s="4" t="n">
        <f aca="false">D3857*E3857</f>
        <v>49.8</v>
      </c>
      <c r="G3857" s="7" t="n">
        <v>1517</v>
      </c>
      <c r="H3857" s="9" t="n">
        <f aca="false">IF(G3857&gt;0,D3857/G3857,"")</f>
        <v>14.9228740936058</v>
      </c>
      <c r="I3857" s="10" t="n">
        <v>46287</v>
      </c>
      <c r="J3857" s="3" t="s">
        <v>1955</v>
      </c>
      <c r="K3857" s="10" t="n">
        <v>46268</v>
      </c>
      <c r="L3857" s="3" t="s">
        <v>16</v>
      </c>
      <c r="M3857" s="7" t="n">
        <v>22800</v>
      </c>
      <c r="N3857" s="8" t="n">
        <v>0.0022</v>
      </c>
      <c r="O3857" s="4" t="n">
        <f aca="false">M3857*N3857</f>
        <v>50.16</v>
      </c>
    </row>
    <row r="3858" customFormat="false" ht="15" hidden="false" customHeight="false" outlineLevel="0" collapsed="false">
      <c r="A3858" s="0" t="s">
        <v>5345</v>
      </c>
      <c r="C3858" s="0" t="s">
        <v>31</v>
      </c>
      <c r="D3858" s="7" t="n">
        <v>2394</v>
      </c>
      <c r="E3858" s="8" t="n">
        <v>0.0207978279030911</v>
      </c>
      <c r="F3858" s="4" t="n">
        <f aca="false">D3858*E3858</f>
        <v>49.79</v>
      </c>
      <c r="G3858" s="7" t="n">
        <v>240</v>
      </c>
      <c r="H3858" s="9" t="n">
        <f aca="false">IF(G3858&gt;0,D3858/G3858,"")</f>
        <v>9.975</v>
      </c>
      <c r="I3858" s="10" t="n">
        <v>46192</v>
      </c>
      <c r="K3858" s="10"/>
      <c r="M3858" s="7"/>
      <c r="N3858" s="8"/>
      <c r="O3858" s="4"/>
    </row>
    <row r="3859" customFormat="false" ht="15" hidden="false" customHeight="false" outlineLevel="0" collapsed="false">
      <c r="A3859" s="0" t="s">
        <v>5346</v>
      </c>
      <c r="C3859" s="0" t="s">
        <v>79</v>
      </c>
      <c r="D3859" s="7" t="n">
        <v>84</v>
      </c>
      <c r="E3859" s="8" t="n">
        <v>0.59202380952381</v>
      </c>
      <c r="F3859" s="4" t="n">
        <f aca="false">D3859*E3859</f>
        <v>49.73</v>
      </c>
      <c r="G3859" s="7" t="n">
        <v>6</v>
      </c>
      <c r="H3859" s="9" t="n">
        <f aca="false">IF(G3859&gt;0,D3859/G3859,"")</f>
        <v>14</v>
      </c>
      <c r="I3859" s="10" t="n">
        <v>46107</v>
      </c>
      <c r="J3859" s="3" t="s">
        <v>5347</v>
      </c>
      <c r="K3859" s="10" t="n">
        <v>45888</v>
      </c>
      <c r="L3859" s="3" t="s">
        <v>19</v>
      </c>
      <c r="M3859" s="7" t="n">
        <v>100</v>
      </c>
      <c r="N3859" s="8" t="n">
        <v>0.592</v>
      </c>
      <c r="O3859" s="4" t="n">
        <f aca="false">M3859*N3859</f>
        <v>59.2</v>
      </c>
    </row>
    <row r="3860" customFormat="false" ht="15" hidden="false" customHeight="false" outlineLevel="0" collapsed="false">
      <c r="A3860" s="0" t="s">
        <v>5348</v>
      </c>
      <c r="C3860" s="0" t="s">
        <v>35</v>
      </c>
      <c r="D3860" s="7" t="n">
        <v>55</v>
      </c>
      <c r="E3860" s="8" t="n">
        <v>0.903636363636364</v>
      </c>
      <c r="F3860" s="4" t="n">
        <f aca="false">D3860*E3860</f>
        <v>49.7</v>
      </c>
      <c r="G3860" s="7" t="n">
        <v>5</v>
      </c>
      <c r="H3860" s="9" t="n">
        <f aca="false">IF(G3860&gt;0,D3860/G3860,"")</f>
        <v>11</v>
      </c>
      <c r="I3860" s="10" t="n">
        <v>46175</v>
      </c>
      <c r="J3860" s="3" t="s">
        <v>911</v>
      </c>
      <c r="K3860" s="10" t="n">
        <v>45154</v>
      </c>
      <c r="L3860" s="3" t="s">
        <v>14</v>
      </c>
      <c r="M3860" s="7" t="n">
        <v>100</v>
      </c>
      <c r="N3860" s="8" t="n">
        <v>0.9036</v>
      </c>
      <c r="O3860" s="4" t="n">
        <f aca="false">M3860*N3860</f>
        <v>90.36</v>
      </c>
    </row>
    <row r="3861" customFormat="false" ht="15" hidden="false" customHeight="false" outlineLevel="0" collapsed="false">
      <c r="A3861" s="0" t="s">
        <v>5349</v>
      </c>
      <c r="C3861" s="0" t="s">
        <v>1039</v>
      </c>
      <c r="D3861" s="7" t="n">
        <v>1048</v>
      </c>
      <c r="E3861" s="8" t="n">
        <v>0.0473950381679389</v>
      </c>
      <c r="F3861" s="4" t="n">
        <f aca="false">D3861*E3861</f>
        <v>49.67</v>
      </c>
      <c r="G3861" s="7" t="n">
        <v>52</v>
      </c>
      <c r="H3861" s="9" t="n">
        <f aca="false">IF(G3861&gt;0,D3861/G3861,"")</f>
        <v>20.1538461538462</v>
      </c>
      <c r="I3861" s="10" t="n">
        <v>45986</v>
      </c>
      <c r="J3861" s="3" t="s">
        <v>495</v>
      </c>
      <c r="K3861" s="10" t="n">
        <v>45925</v>
      </c>
      <c r="L3861" s="3" t="s">
        <v>16</v>
      </c>
      <c r="M3861" s="7" t="n">
        <v>1100</v>
      </c>
      <c r="N3861" s="8" t="n">
        <v>0.04739</v>
      </c>
      <c r="O3861" s="4" t="n">
        <f aca="false">M3861*N3861</f>
        <v>52.129</v>
      </c>
    </row>
    <row r="3862" customFormat="false" ht="15" hidden="false" customHeight="false" outlineLevel="0" collapsed="false">
      <c r="A3862" s="0" t="s">
        <v>5350</v>
      </c>
      <c r="C3862" s="0" t="s">
        <v>34</v>
      </c>
      <c r="D3862" s="7" t="n">
        <v>792</v>
      </c>
      <c r="E3862" s="8" t="n">
        <v>0.0627020202020202</v>
      </c>
      <c r="F3862" s="4" t="n">
        <f aca="false">D3862*E3862</f>
        <v>49.66</v>
      </c>
      <c r="G3862" s="7" t="n">
        <v>354</v>
      </c>
      <c r="H3862" s="9" t="n">
        <f aca="false">IF(G3862&gt;0,D3862/G3862,"")</f>
        <v>2.23728813559322</v>
      </c>
      <c r="I3862" s="10" t="n">
        <v>46259</v>
      </c>
      <c r="J3862" s="3" t="s">
        <v>1318</v>
      </c>
      <c r="K3862" s="10" t="n">
        <v>46213</v>
      </c>
      <c r="L3862" s="3" t="s">
        <v>16</v>
      </c>
      <c r="M3862" s="7" t="n">
        <v>1100</v>
      </c>
      <c r="N3862" s="8" t="n">
        <v>0.0627</v>
      </c>
      <c r="O3862" s="4" t="n">
        <f aca="false">M3862*N3862</f>
        <v>68.97</v>
      </c>
    </row>
    <row r="3863" customFormat="false" ht="15" hidden="false" customHeight="false" outlineLevel="0" collapsed="false">
      <c r="A3863" s="0" t="s">
        <v>5351</v>
      </c>
      <c r="C3863" s="0" t="s">
        <v>34</v>
      </c>
      <c r="D3863" s="7" t="n">
        <v>3472</v>
      </c>
      <c r="E3863" s="8" t="n">
        <v>0.0143001152073733</v>
      </c>
      <c r="F3863" s="4" t="n">
        <f aca="false">D3863*E3863</f>
        <v>49.65</v>
      </c>
      <c r="G3863" s="7" t="n">
        <v>159</v>
      </c>
      <c r="H3863" s="9" t="n">
        <f aca="false">IF(G3863&gt;0,D3863/G3863,"")</f>
        <v>21.8364779874214</v>
      </c>
      <c r="I3863" s="10" t="n">
        <v>46314</v>
      </c>
      <c r="J3863" s="3" t="s">
        <v>1054</v>
      </c>
      <c r="K3863" s="10" t="n">
        <v>46224</v>
      </c>
      <c r="L3863" s="3" t="s">
        <v>16</v>
      </c>
      <c r="M3863" s="7" t="n">
        <v>3552</v>
      </c>
      <c r="N3863" s="8" t="n">
        <v>0.0143</v>
      </c>
      <c r="O3863" s="4" t="n">
        <f aca="false">M3863*N3863</f>
        <v>50.7936</v>
      </c>
    </row>
    <row r="3864" customFormat="false" ht="15" hidden="false" customHeight="false" outlineLevel="0" collapsed="false">
      <c r="A3864" s="0" t="s">
        <v>5352</v>
      </c>
      <c r="C3864" s="0" t="s">
        <v>298</v>
      </c>
      <c r="D3864" s="7" t="n">
        <v>429</v>
      </c>
      <c r="E3864" s="8" t="n">
        <v>0.115501165501166</v>
      </c>
      <c r="F3864" s="4" t="n">
        <f aca="false">D3864*E3864</f>
        <v>49.55</v>
      </c>
      <c r="G3864" s="7" t="n">
        <v>18</v>
      </c>
      <c r="H3864" s="9" t="n">
        <f aca="false">IF(G3864&gt;0,D3864/G3864,"")</f>
        <v>23.8333333333333</v>
      </c>
      <c r="I3864" s="10" t="n">
        <v>46177</v>
      </c>
      <c r="K3864" s="10"/>
      <c r="M3864" s="7"/>
      <c r="N3864" s="8"/>
      <c r="O3864" s="4"/>
    </row>
    <row r="3865" customFormat="false" ht="15" hidden="false" customHeight="false" outlineLevel="0" collapsed="false">
      <c r="A3865" s="0" t="s">
        <v>5353</v>
      </c>
      <c r="C3865" s="0" t="s">
        <v>1039</v>
      </c>
      <c r="D3865" s="7" t="n">
        <v>2073</v>
      </c>
      <c r="E3865" s="8" t="n">
        <v>0.0238977327544621</v>
      </c>
      <c r="F3865" s="4" t="n">
        <f aca="false">D3865*E3865</f>
        <v>49.54</v>
      </c>
      <c r="G3865" s="7" t="n">
        <v>160</v>
      </c>
      <c r="H3865" s="9" t="n">
        <f aca="false">IF(G3865&gt;0,D3865/G3865,"")</f>
        <v>12.95625</v>
      </c>
      <c r="I3865" s="10" t="n">
        <v>46210</v>
      </c>
      <c r="J3865" s="3" t="s">
        <v>5119</v>
      </c>
      <c r="K3865" s="10" t="n">
        <v>46164</v>
      </c>
      <c r="L3865" s="3" t="s">
        <v>16</v>
      </c>
      <c r="M3865" s="7" t="n">
        <v>2100</v>
      </c>
      <c r="N3865" s="8" t="n">
        <v>0.0239</v>
      </c>
      <c r="O3865" s="4" t="n">
        <f aca="false">M3865*N3865</f>
        <v>50.19</v>
      </c>
    </row>
    <row r="3866" customFormat="false" ht="15" hidden="false" customHeight="false" outlineLevel="0" collapsed="false">
      <c r="A3866" s="0" t="s">
        <v>5354</v>
      </c>
      <c r="C3866" s="0" t="s">
        <v>39</v>
      </c>
      <c r="D3866" s="7" t="n">
        <v>1744</v>
      </c>
      <c r="E3866" s="8" t="n">
        <v>0.0284002293577982</v>
      </c>
      <c r="F3866" s="4" t="n">
        <f aca="false">D3866*E3866</f>
        <v>49.53</v>
      </c>
      <c r="G3866" s="7" t="n">
        <v>15</v>
      </c>
      <c r="H3866" s="9" t="n">
        <f aca="false">IF(G3866&gt;0,D3866/G3866,"")</f>
        <v>116.266666666667</v>
      </c>
      <c r="I3866" s="10" t="n">
        <v>46293</v>
      </c>
      <c r="K3866" s="10"/>
      <c r="M3866" s="7"/>
      <c r="N3866" s="8"/>
      <c r="O3866" s="4"/>
    </row>
    <row r="3867" customFormat="false" ht="15" hidden="false" customHeight="false" outlineLevel="0" collapsed="false">
      <c r="A3867" s="0" t="s">
        <v>5355</v>
      </c>
      <c r="C3867" s="0" t="s">
        <v>38</v>
      </c>
      <c r="D3867" s="7" t="n">
        <v>723</v>
      </c>
      <c r="E3867" s="8" t="n">
        <v>0.0684647302904564</v>
      </c>
      <c r="F3867" s="4" t="n">
        <f aca="false">D3867*E3867</f>
        <v>49.5</v>
      </c>
      <c r="G3867" s="7" t="n">
        <v>98</v>
      </c>
      <c r="H3867" s="9" t="n">
        <f aca="false">IF(G3867&gt;0,D3867/G3867,"")</f>
        <v>7.37755102040816</v>
      </c>
      <c r="I3867" s="10" t="n">
        <v>46120</v>
      </c>
      <c r="J3867" s="3" t="s">
        <v>5356</v>
      </c>
      <c r="K3867" s="10" t="n">
        <v>44546</v>
      </c>
      <c r="L3867" s="3" t="s">
        <v>465</v>
      </c>
      <c r="M3867" s="7" t="n">
        <v>1000</v>
      </c>
      <c r="N3867" s="8" t="n">
        <v>0.0686</v>
      </c>
      <c r="O3867" s="4" t="n">
        <f aca="false">M3867*N3867</f>
        <v>68.6</v>
      </c>
    </row>
    <row r="3868" customFormat="false" ht="15" hidden="false" customHeight="false" outlineLevel="0" collapsed="false">
      <c r="A3868" s="0" t="s">
        <v>5357</v>
      </c>
      <c r="C3868" s="0" t="s">
        <v>32</v>
      </c>
      <c r="D3868" s="7" t="n">
        <v>124</v>
      </c>
      <c r="E3868" s="8" t="n">
        <v>0.398870967741936</v>
      </c>
      <c r="F3868" s="4" t="n">
        <f aca="false">D3868*E3868</f>
        <v>49.46</v>
      </c>
      <c r="G3868" s="7" t="n">
        <v>46</v>
      </c>
      <c r="H3868" s="9" t="n">
        <f aca="false">IF(G3868&gt;0,D3868/G3868,"")</f>
        <v>2.69565217391304</v>
      </c>
      <c r="I3868" s="10" t="n">
        <v>46273</v>
      </c>
      <c r="J3868" s="3" t="s">
        <v>3444</v>
      </c>
      <c r="K3868" s="10" t="n">
        <v>45925</v>
      </c>
      <c r="L3868" s="3" t="s">
        <v>18</v>
      </c>
      <c r="M3868" s="7" t="n">
        <v>220</v>
      </c>
      <c r="N3868" s="8" t="n">
        <v>0.3989</v>
      </c>
      <c r="O3868" s="4" t="n">
        <f aca="false">M3868*N3868</f>
        <v>87.758</v>
      </c>
    </row>
    <row r="3869" customFormat="false" ht="15" hidden="false" customHeight="false" outlineLevel="0" collapsed="false">
      <c r="A3869" s="0" t="s">
        <v>5358</v>
      </c>
      <c r="C3869" s="0" t="s">
        <v>34</v>
      </c>
      <c r="D3869" s="7" t="n">
        <v>896</v>
      </c>
      <c r="E3869" s="8" t="n">
        <v>0.0551785714285714</v>
      </c>
      <c r="F3869" s="4" t="n">
        <f aca="false">D3869*E3869</f>
        <v>49.44</v>
      </c>
      <c r="G3869" s="7" t="n">
        <v>285</v>
      </c>
      <c r="H3869" s="9" t="n">
        <f aca="false">IF(G3869&gt;0,D3869/G3869,"")</f>
        <v>3.14385964912281</v>
      </c>
      <c r="I3869" s="10" t="n">
        <v>46300</v>
      </c>
      <c r="J3869" s="3" t="s">
        <v>570</v>
      </c>
      <c r="K3869" s="10" t="n">
        <v>46106</v>
      </c>
      <c r="L3869" s="3" t="s">
        <v>16</v>
      </c>
      <c r="M3869" s="7" t="n">
        <v>920</v>
      </c>
      <c r="N3869" s="8" t="n">
        <v>0.0545</v>
      </c>
      <c r="O3869" s="4" t="n">
        <f aca="false">M3869*N3869</f>
        <v>50.14</v>
      </c>
    </row>
    <row r="3870" customFormat="false" ht="15" hidden="false" customHeight="false" outlineLevel="0" collapsed="false">
      <c r="A3870" s="0" t="s">
        <v>5359</v>
      </c>
      <c r="C3870" s="0" t="s">
        <v>1010</v>
      </c>
      <c r="D3870" s="7" t="n">
        <v>465</v>
      </c>
      <c r="E3870" s="8" t="n">
        <v>0.106301075268817</v>
      </c>
      <c r="F3870" s="4" t="n">
        <f aca="false">D3870*E3870</f>
        <v>49.43</v>
      </c>
      <c r="G3870" s="7" t="n">
        <v>14</v>
      </c>
      <c r="H3870" s="9" t="n">
        <f aca="false">IF(G3870&gt;0,D3870/G3870,"")</f>
        <v>33.2142857142857</v>
      </c>
      <c r="I3870" s="10" t="n">
        <v>46111</v>
      </c>
      <c r="J3870" s="3" t="s">
        <v>570</v>
      </c>
      <c r="K3870" s="10" t="n">
        <v>46106</v>
      </c>
      <c r="L3870" s="3" t="s">
        <v>16</v>
      </c>
      <c r="M3870" s="7" t="n">
        <v>500</v>
      </c>
      <c r="N3870" s="8" t="n">
        <v>0.1063</v>
      </c>
      <c r="O3870" s="4" t="n">
        <f aca="false">M3870*N3870</f>
        <v>53.15</v>
      </c>
    </row>
    <row r="3871" customFormat="false" ht="15" hidden="false" customHeight="false" outlineLevel="0" collapsed="false">
      <c r="A3871" s="0" t="s">
        <v>5360</v>
      </c>
      <c r="C3871" s="0" t="s">
        <v>31</v>
      </c>
      <c r="D3871" s="7" t="n">
        <v>15019</v>
      </c>
      <c r="E3871" s="8" t="n">
        <v>0.00328916705506359</v>
      </c>
      <c r="F3871" s="4" t="n">
        <f aca="false">D3871*E3871</f>
        <v>49.4</v>
      </c>
      <c r="G3871" s="7" t="n">
        <v>5201</v>
      </c>
      <c r="H3871" s="9" t="n">
        <f aca="false">IF(G3871&gt;0,D3871/G3871,"")</f>
        <v>2.88771390117285</v>
      </c>
      <c r="I3871" s="10" t="n">
        <v>46309</v>
      </c>
      <c r="K3871" s="10"/>
      <c r="M3871" s="7"/>
      <c r="N3871" s="8"/>
      <c r="O3871" s="4"/>
    </row>
    <row r="3872" customFormat="false" ht="15" hidden="false" customHeight="false" outlineLevel="0" collapsed="false">
      <c r="A3872" s="0" t="s">
        <v>5361</v>
      </c>
      <c r="C3872" s="0" t="s">
        <v>31</v>
      </c>
      <c r="D3872" s="7" t="n">
        <v>3408</v>
      </c>
      <c r="E3872" s="8" t="n">
        <v>0.0144953051643193</v>
      </c>
      <c r="F3872" s="4" t="n">
        <f aca="false">D3872*E3872</f>
        <v>49.4</v>
      </c>
      <c r="G3872" s="7" t="n">
        <v>588</v>
      </c>
      <c r="H3872" s="9" t="n">
        <f aca="false">IF(G3872&gt;0,D3872/G3872,"")</f>
        <v>5.79591836734694</v>
      </c>
      <c r="I3872" s="10" t="n">
        <v>46311</v>
      </c>
      <c r="J3872" s="3" t="s">
        <v>1616</v>
      </c>
      <c r="K3872" s="10" t="n">
        <v>46266</v>
      </c>
      <c r="L3872" s="3" t="s">
        <v>16</v>
      </c>
      <c r="M3872" s="7" t="n">
        <v>3500</v>
      </c>
      <c r="N3872" s="8" t="n">
        <v>0.0145</v>
      </c>
      <c r="O3872" s="4" t="n">
        <f aca="false">M3872*N3872</f>
        <v>50.75</v>
      </c>
    </row>
    <row r="3873" customFormat="false" ht="15" hidden="false" customHeight="false" outlineLevel="0" collapsed="false">
      <c r="A3873" s="0" t="s">
        <v>5362</v>
      </c>
      <c r="C3873" s="0" t="s">
        <v>1010</v>
      </c>
      <c r="D3873" s="7" t="n">
        <v>435</v>
      </c>
      <c r="E3873" s="8" t="n">
        <v>0.11351724137931</v>
      </c>
      <c r="F3873" s="4" t="n">
        <f aca="false">D3873*E3873</f>
        <v>49.38</v>
      </c>
      <c r="G3873" s="7" t="n">
        <v>52</v>
      </c>
      <c r="H3873" s="9" t="n">
        <f aca="false">IF(G3873&gt;0,D3873/G3873,"")</f>
        <v>8.36538461538462</v>
      </c>
      <c r="I3873" s="10" t="n">
        <v>46265</v>
      </c>
      <c r="J3873" s="3" t="s">
        <v>570</v>
      </c>
      <c r="K3873" s="10" t="n">
        <v>46106</v>
      </c>
      <c r="L3873" s="3" t="s">
        <v>16</v>
      </c>
      <c r="M3873" s="7" t="n">
        <v>500</v>
      </c>
      <c r="N3873" s="8" t="n">
        <v>0.1135</v>
      </c>
      <c r="O3873" s="4" t="n">
        <f aca="false">M3873*N3873</f>
        <v>56.75</v>
      </c>
    </row>
    <row r="3874" customFormat="false" ht="15" hidden="false" customHeight="false" outlineLevel="0" collapsed="false">
      <c r="A3874" s="0" t="s">
        <v>5363</v>
      </c>
      <c r="C3874" s="0" t="s">
        <v>32</v>
      </c>
      <c r="D3874" s="7" t="n">
        <v>312</v>
      </c>
      <c r="E3874" s="8" t="n">
        <v>0.158205128205128</v>
      </c>
      <c r="F3874" s="4" t="n">
        <f aca="false">D3874*E3874</f>
        <v>49.36</v>
      </c>
      <c r="G3874" s="7" t="n">
        <v>292</v>
      </c>
      <c r="H3874" s="9" t="n">
        <f aca="false">IF(G3874&gt;0,D3874/G3874,"")</f>
        <v>1.06849315068493</v>
      </c>
      <c r="I3874" s="10" t="n">
        <v>46296</v>
      </c>
      <c r="J3874" s="3" t="s">
        <v>2506</v>
      </c>
      <c r="K3874" s="10" t="n">
        <v>45911</v>
      </c>
      <c r="L3874" s="3" t="s">
        <v>18</v>
      </c>
      <c r="M3874" s="7" t="n">
        <v>600</v>
      </c>
      <c r="N3874" s="8" t="n">
        <v>0.1582</v>
      </c>
      <c r="O3874" s="4" t="n">
        <f aca="false">M3874*N3874</f>
        <v>94.92</v>
      </c>
    </row>
    <row r="3875" customFormat="false" ht="15" hidden="false" customHeight="false" outlineLevel="0" collapsed="false">
      <c r="A3875" s="0" t="s">
        <v>5364</v>
      </c>
      <c r="C3875" s="0" t="s">
        <v>34</v>
      </c>
      <c r="D3875" s="7" t="n">
        <v>1161</v>
      </c>
      <c r="E3875" s="8" t="n">
        <v>0.0425150732127476</v>
      </c>
      <c r="F3875" s="4" t="n">
        <f aca="false">D3875*E3875</f>
        <v>49.36</v>
      </c>
      <c r="G3875" s="7" t="n">
        <v>235</v>
      </c>
      <c r="H3875" s="9" t="n">
        <f aca="false">IF(G3875&gt;0,D3875/G3875,"")</f>
        <v>4.94042553191489</v>
      </c>
      <c r="I3875" s="10" t="n">
        <v>46276</v>
      </c>
      <c r="J3875" s="3" t="s">
        <v>1576</v>
      </c>
      <c r="K3875" s="10" t="n">
        <v>46196</v>
      </c>
      <c r="L3875" s="3" t="s">
        <v>16</v>
      </c>
      <c r="M3875" s="7" t="n">
        <v>1200</v>
      </c>
      <c r="N3875" s="8" t="n">
        <v>0.0425</v>
      </c>
      <c r="O3875" s="4" t="n">
        <f aca="false">M3875*N3875</f>
        <v>51</v>
      </c>
    </row>
    <row r="3876" customFormat="false" ht="15" hidden="false" customHeight="false" outlineLevel="0" collapsed="false">
      <c r="A3876" s="0" t="s">
        <v>5365</v>
      </c>
      <c r="C3876" s="0" t="s">
        <v>1161</v>
      </c>
      <c r="D3876" s="7" t="n">
        <v>324</v>
      </c>
      <c r="E3876" s="8" t="n">
        <v>0.152314814814815</v>
      </c>
      <c r="F3876" s="4" t="n">
        <f aca="false">D3876*E3876</f>
        <v>49.35</v>
      </c>
      <c r="G3876" s="7" t="n">
        <v>12</v>
      </c>
      <c r="H3876" s="9" t="n">
        <f aca="false">IF(G3876&gt;0,D3876/G3876,"")</f>
        <v>27</v>
      </c>
      <c r="I3876" s="10" t="n">
        <v>46182</v>
      </c>
      <c r="K3876" s="10"/>
      <c r="M3876" s="7"/>
      <c r="N3876" s="8"/>
      <c r="O3876" s="4"/>
    </row>
    <row r="3877" customFormat="false" ht="15" hidden="false" customHeight="false" outlineLevel="0" collapsed="false">
      <c r="A3877" s="0" t="s">
        <v>5366</v>
      </c>
      <c r="C3877" s="0" t="s">
        <v>31</v>
      </c>
      <c r="D3877" s="7" t="n">
        <v>6939</v>
      </c>
      <c r="E3877" s="8" t="n">
        <v>0.00711197578901859</v>
      </c>
      <c r="F3877" s="4" t="n">
        <f aca="false">D3877*E3877</f>
        <v>49.35</v>
      </c>
      <c r="G3877" s="7" t="n">
        <v>4884</v>
      </c>
      <c r="H3877" s="9" t="n">
        <f aca="false">IF(G3877&gt;0,D3877/G3877,"")</f>
        <v>1.42076167076167</v>
      </c>
      <c r="I3877" s="10" t="n">
        <v>46294</v>
      </c>
      <c r="J3877" s="3" t="s">
        <v>2719</v>
      </c>
      <c r="K3877" s="10" t="n">
        <v>46049</v>
      </c>
      <c r="L3877" s="3" t="s">
        <v>16</v>
      </c>
      <c r="M3877" s="7" t="n">
        <v>8000</v>
      </c>
      <c r="N3877" s="8" t="n">
        <v>0.0071</v>
      </c>
      <c r="O3877" s="4" t="n">
        <f aca="false">M3877*N3877</f>
        <v>56.8</v>
      </c>
    </row>
    <row r="3878" customFormat="false" ht="15" hidden="false" customHeight="false" outlineLevel="0" collapsed="false">
      <c r="A3878" s="0" t="s">
        <v>5367</v>
      </c>
      <c r="C3878" s="0" t="s">
        <v>765</v>
      </c>
      <c r="D3878" s="7" t="n">
        <v>3158</v>
      </c>
      <c r="E3878" s="8" t="n">
        <v>0.015623812539582</v>
      </c>
      <c r="F3878" s="4" t="n">
        <f aca="false">D3878*E3878</f>
        <v>49.34</v>
      </c>
      <c r="G3878" s="7" t="n">
        <v>143</v>
      </c>
      <c r="H3878" s="9" t="n">
        <f aca="false">IF(G3878&gt;0,D3878/G3878,"")</f>
        <v>22.0839160839161</v>
      </c>
      <c r="I3878" s="10" t="n">
        <v>46223</v>
      </c>
      <c r="J3878" s="3" t="s">
        <v>2890</v>
      </c>
      <c r="K3878" s="10" t="n">
        <v>46198</v>
      </c>
      <c r="L3878" s="3" t="s">
        <v>16</v>
      </c>
      <c r="M3878" s="7" t="n">
        <v>3210</v>
      </c>
      <c r="N3878" s="8" t="n">
        <v>0.0156</v>
      </c>
      <c r="O3878" s="4" t="n">
        <f aca="false">M3878*N3878</f>
        <v>50.076</v>
      </c>
    </row>
    <row r="3879" customFormat="false" ht="15" hidden="false" customHeight="false" outlineLevel="0" collapsed="false">
      <c r="A3879" s="0" t="s">
        <v>5368</v>
      </c>
      <c r="C3879" s="0" t="s">
        <v>1039</v>
      </c>
      <c r="D3879" s="7" t="n">
        <v>2466</v>
      </c>
      <c r="E3879" s="8" t="n">
        <v>0.02</v>
      </c>
      <c r="F3879" s="4" t="n">
        <f aca="false">D3879*E3879</f>
        <v>49.32</v>
      </c>
      <c r="G3879" s="7" t="n">
        <v>384</v>
      </c>
      <c r="H3879" s="9" t="n">
        <f aca="false">IF(G3879&gt;0,D3879/G3879,"")</f>
        <v>6.421875</v>
      </c>
      <c r="I3879" s="10" t="n">
        <v>46171</v>
      </c>
      <c r="K3879" s="10"/>
      <c r="M3879" s="7"/>
      <c r="N3879" s="8"/>
      <c r="O3879" s="4"/>
    </row>
    <row r="3880" customFormat="false" ht="15" hidden="false" customHeight="false" outlineLevel="0" collapsed="false">
      <c r="A3880" s="0" t="s">
        <v>5369</v>
      </c>
      <c r="C3880" s="0" t="s">
        <v>31</v>
      </c>
      <c r="D3880" s="7" t="n">
        <v>17160</v>
      </c>
      <c r="E3880" s="8" t="n">
        <v>0.00287412587412587</v>
      </c>
      <c r="F3880" s="4" t="n">
        <f aca="false">D3880*E3880</f>
        <v>49.32</v>
      </c>
      <c r="G3880" s="7" t="n">
        <v>1942</v>
      </c>
      <c r="H3880" s="9" t="n">
        <f aca="false">IF(G3880&gt;0,D3880/G3880,"")</f>
        <v>8.83625128733265</v>
      </c>
      <c r="I3880" s="10" t="n">
        <v>46294</v>
      </c>
      <c r="J3880" s="3" t="s">
        <v>2551</v>
      </c>
      <c r="K3880" s="10" t="n">
        <v>46210</v>
      </c>
      <c r="L3880" s="3" t="s">
        <v>16</v>
      </c>
      <c r="M3880" s="7" t="n">
        <v>17900</v>
      </c>
      <c r="N3880" s="8" t="n">
        <v>0.0028</v>
      </c>
      <c r="O3880" s="4" t="n">
        <f aca="false">M3880*N3880</f>
        <v>50.12</v>
      </c>
    </row>
    <row r="3881" customFormat="false" ht="15" hidden="false" customHeight="false" outlineLevel="0" collapsed="false">
      <c r="A3881" s="0" t="s">
        <v>5370</v>
      </c>
      <c r="C3881" s="0" t="s">
        <v>32</v>
      </c>
      <c r="D3881" s="7" t="n">
        <v>407</v>
      </c>
      <c r="E3881" s="8" t="n">
        <v>0.121154791154791</v>
      </c>
      <c r="F3881" s="4" t="n">
        <f aca="false">D3881*E3881</f>
        <v>49.31</v>
      </c>
      <c r="G3881" s="7" t="n">
        <v>36</v>
      </c>
      <c r="H3881" s="9" t="n">
        <f aca="false">IF(G3881&gt;0,D3881/G3881,"")</f>
        <v>11.3055555555556</v>
      </c>
      <c r="I3881" s="10" t="n">
        <v>46309</v>
      </c>
      <c r="J3881" s="3" t="s">
        <v>4338</v>
      </c>
      <c r="K3881" s="10" t="n">
        <v>44733</v>
      </c>
      <c r="L3881" s="3" t="s">
        <v>15</v>
      </c>
      <c r="M3881" s="7" t="n">
        <v>464</v>
      </c>
      <c r="N3881" s="8" t="n">
        <v>0</v>
      </c>
      <c r="O3881" s="4" t="n">
        <v>56.2718</v>
      </c>
    </row>
    <row r="3882" customFormat="false" ht="15" hidden="false" customHeight="false" outlineLevel="0" collapsed="false">
      <c r="A3882" s="0" t="s">
        <v>5371</v>
      </c>
      <c r="C3882" s="0" t="s">
        <v>31</v>
      </c>
      <c r="D3882" s="7" t="n">
        <v>841</v>
      </c>
      <c r="E3882" s="8" t="n">
        <v>0.0586087990487515</v>
      </c>
      <c r="F3882" s="4" t="n">
        <f aca="false">D3882*E3882</f>
        <v>49.29</v>
      </c>
      <c r="G3882" s="7" t="n">
        <v>24</v>
      </c>
      <c r="H3882" s="9" t="n">
        <f aca="false">IF(G3882&gt;0,D3882/G3882,"")</f>
        <v>35.0416666666667</v>
      </c>
      <c r="I3882" s="10" t="n">
        <v>46076</v>
      </c>
      <c r="J3882" s="3" t="s">
        <v>1192</v>
      </c>
      <c r="K3882" s="10" t="n">
        <v>45736</v>
      </c>
      <c r="L3882" s="3" t="s">
        <v>26</v>
      </c>
      <c r="M3882" s="7" t="n">
        <v>40</v>
      </c>
      <c r="N3882" s="8" t="n">
        <v>0.1383</v>
      </c>
      <c r="O3882" s="4" t="n">
        <f aca="false">M3882*N3882</f>
        <v>5.532</v>
      </c>
    </row>
    <row r="3883" customFormat="false" ht="15" hidden="false" customHeight="false" outlineLevel="0" collapsed="false">
      <c r="A3883" s="0" t="s">
        <v>5372</v>
      </c>
      <c r="C3883" s="0" t="s">
        <v>889</v>
      </c>
      <c r="D3883" s="7" t="n">
        <v>2835</v>
      </c>
      <c r="E3883" s="8" t="n">
        <v>0.0173756613756614</v>
      </c>
      <c r="F3883" s="4" t="n">
        <f aca="false">D3883*E3883</f>
        <v>49.26</v>
      </c>
      <c r="G3883" s="7" t="n">
        <v>67</v>
      </c>
      <c r="H3883" s="9" t="n">
        <f aca="false">IF(G3883&gt;0,D3883/G3883,"")</f>
        <v>42.3134328358209</v>
      </c>
      <c r="I3883" s="10" t="n">
        <v>46090</v>
      </c>
      <c r="J3883" s="3" t="s">
        <v>249</v>
      </c>
      <c r="K3883" s="10" t="n">
        <v>44314</v>
      </c>
      <c r="L3883" s="3" t="s">
        <v>15</v>
      </c>
      <c r="M3883" s="7" t="n">
        <v>3520</v>
      </c>
      <c r="N3883" s="8" t="n">
        <v>0.00461</v>
      </c>
      <c r="O3883" s="4" t="n">
        <f aca="false">M3883*N3883</f>
        <v>16.2272</v>
      </c>
    </row>
    <row r="3884" customFormat="false" ht="15" hidden="false" customHeight="false" outlineLevel="0" collapsed="false">
      <c r="A3884" s="0" t="s">
        <v>5373</v>
      </c>
      <c r="C3884" s="0" t="s">
        <v>31</v>
      </c>
      <c r="D3884" s="7" t="n">
        <v>4925</v>
      </c>
      <c r="E3884" s="8" t="n">
        <v>0.01</v>
      </c>
      <c r="F3884" s="4" t="n">
        <f aca="false">D3884*E3884</f>
        <v>49.25</v>
      </c>
      <c r="G3884" s="7" t="n">
        <v>758</v>
      </c>
      <c r="H3884" s="9" t="n">
        <f aca="false">IF(G3884&gt;0,D3884/G3884,"")</f>
        <v>6.49736147757256</v>
      </c>
      <c r="I3884" s="10" t="n">
        <v>46309</v>
      </c>
      <c r="J3884" s="3" t="s">
        <v>2561</v>
      </c>
      <c r="K3884" s="10" t="n">
        <v>44680</v>
      </c>
      <c r="L3884" s="3" t="s">
        <v>15</v>
      </c>
      <c r="M3884" s="7" t="n">
        <v>11550</v>
      </c>
      <c r="N3884" s="8" t="n">
        <v>0.0114</v>
      </c>
      <c r="O3884" s="4" t="n">
        <f aca="false">M3884*N3884</f>
        <v>131.67</v>
      </c>
    </row>
    <row r="3885" customFormat="false" ht="15" hidden="false" customHeight="false" outlineLevel="0" collapsed="false">
      <c r="A3885" s="0" t="s">
        <v>5374</v>
      </c>
      <c r="C3885" s="0" t="s">
        <v>31</v>
      </c>
      <c r="D3885" s="7" t="n">
        <v>11178</v>
      </c>
      <c r="E3885" s="8" t="n">
        <v>0.00440060833780641</v>
      </c>
      <c r="F3885" s="4" t="n">
        <f aca="false">D3885*E3885</f>
        <v>49.19</v>
      </c>
      <c r="G3885" s="7" t="n">
        <v>856</v>
      </c>
      <c r="H3885" s="9" t="n">
        <f aca="false">IF(G3885&gt;0,D3885/G3885,"")</f>
        <v>13.0584112149533</v>
      </c>
      <c r="I3885" s="10" t="n">
        <v>46294</v>
      </c>
      <c r="J3885" s="3" t="s">
        <v>444</v>
      </c>
      <c r="K3885" s="10" t="n">
        <v>46240</v>
      </c>
      <c r="L3885" s="3" t="s">
        <v>16</v>
      </c>
      <c r="M3885" s="7" t="n">
        <v>11500</v>
      </c>
      <c r="N3885" s="8" t="n">
        <v>0.0044</v>
      </c>
      <c r="O3885" s="4" t="n">
        <f aca="false">M3885*N3885</f>
        <v>50.6</v>
      </c>
    </row>
    <row r="3886" customFormat="false" ht="15" hidden="false" customHeight="false" outlineLevel="0" collapsed="false">
      <c r="A3886" s="0" t="s">
        <v>5375</v>
      </c>
      <c r="C3886" s="0" t="s">
        <v>765</v>
      </c>
      <c r="D3886" s="7" t="n">
        <v>4236</v>
      </c>
      <c r="E3886" s="8" t="n">
        <v>0.0116100094428706</v>
      </c>
      <c r="F3886" s="4" t="n">
        <f aca="false">D3886*E3886</f>
        <v>49.18</v>
      </c>
      <c r="G3886" s="7" t="n">
        <v>746</v>
      </c>
      <c r="H3886" s="9" t="n">
        <f aca="false">IF(G3886&gt;0,D3886/G3886,"")</f>
        <v>5.67828418230563</v>
      </c>
      <c r="I3886" s="10" t="n">
        <v>46293</v>
      </c>
      <c r="K3886" s="10"/>
      <c r="M3886" s="7"/>
      <c r="N3886" s="8"/>
      <c r="O3886" s="4"/>
    </row>
    <row r="3887" customFormat="false" ht="15" hidden="false" customHeight="false" outlineLevel="0" collapsed="false">
      <c r="A3887" s="0" t="s">
        <v>5376</v>
      </c>
      <c r="C3887" s="0" t="s">
        <v>41</v>
      </c>
      <c r="D3887" s="7" t="n">
        <v>1014</v>
      </c>
      <c r="E3887" s="8" t="n">
        <v>0.0485009861932939</v>
      </c>
      <c r="F3887" s="4" t="n">
        <f aca="false">D3887*E3887</f>
        <v>49.18</v>
      </c>
      <c r="G3887" s="7" t="n">
        <v>159</v>
      </c>
      <c r="H3887" s="9" t="n">
        <f aca="false">IF(G3887&gt;0,D3887/G3887,"")</f>
        <v>6.37735849056604</v>
      </c>
      <c r="I3887" s="10" t="n">
        <v>46317</v>
      </c>
      <c r="J3887" s="3" t="s">
        <v>5377</v>
      </c>
      <c r="K3887" s="10" t="n">
        <v>44198</v>
      </c>
      <c r="L3887" s="3" t="s">
        <v>5378</v>
      </c>
      <c r="M3887" s="7" t="n">
        <v>1500</v>
      </c>
      <c r="N3887" s="8" t="n">
        <v>0.0485</v>
      </c>
      <c r="O3887" s="4" t="n">
        <f aca="false">M3887*N3887</f>
        <v>72.75</v>
      </c>
    </row>
    <row r="3888" customFormat="false" ht="15" hidden="false" customHeight="false" outlineLevel="0" collapsed="false">
      <c r="A3888" s="0" t="s">
        <v>5379</v>
      </c>
      <c r="C3888" s="0" t="s">
        <v>715</v>
      </c>
      <c r="D3888" s="7" t="n">
        <v>5060</v>
      </c>
      <c r="E3888" s="8" t="n">
        <v>0.00971739130434783</v>
      </c>
      <c r="F3888" s="4" t="n">
        <f aca="false">D3888*E3888</f>
        <v>49.17</v>
      </c>
      <c r="G3888" s="7" t="n">
        <v>60</v>
      </c>
      <c r="H3888" s="9" t="n">
        <f aca="false">IF(G3888&gt;0,D3888/G3888,"")</f>
        <v>84.3333333333333</v>
      </c>
      <c r="I3888" s="10" t="n">
        <v>46147</v>
      </c>
      <c r="J3888" s="3" t="s">
        <v>5380</v>
      </c>
      <c r="K3888" s="10" t="n">
        <v>44572</v>
      </c>
      <c r="L3888" s="3" t="s">
        <v>19</v>
      </c>
      <c r="M3888" s="7" t="n">
        <v>6472</v>
      </c>
      <c r="N3888" s="8" t="n">
        <v>0.0116</v>
      </c>
      <c r="O3888" s="4" t="n">
        <v>65.54</v>
      </c>
    </row>
    <row r="3889" customFormat="false" ht="15" hidden="false" customHeight="false" outlineLevel="0" collapsed="false">
      <c r="A3889" s="0" t="s">
        <v>5381</v>
      </c>
      <c r="C3889" s="0" t="s">
        <v>34</v>
      </c>
      <c r="D3889" s="7" t="n">
        <v>600</v>
      </c>
      <c r="E3889" s="8" t="n">
        <v>0.0819</v>
      </c>
      <c r="F3889" s="4" t="n">
        <f aca="false">D3889*E3889</f>
        <v>49.14</v>
      </c>
      <c r="G3889" s="7" t="n">
        <v>60</v>
      </c>
      <c r="H3889" s="9" t="n">
        <f aca="false">IF(G3889&gt;0,D3889/G3889,"")</f>
        <v>10</v>
      </c>
      <c r="I3889" s="10" t="n">
        <v>46308</v>
      </c>
      <c r="J3889" s="3" t="s">
        <v>1035</v>
      </c>
      <c r="K3889" s="10" t="n">
        <v>46251</v>
      </c>
      <c r="L3889" s="3" t="s">
        <v>16</v>
      </c>
      <c r="M3889" s="7" t="n">
        <v>612</v>
      </c>
      <c r="N3889" s="8" t="n">
        <v>0.0819</v>
      </c>
      <c r="O3889" s="4" t="n">
        <f aca="false">M3889*N3889</f>
        <v>50.1228</v>
      </c>
    </row>
    <row r="3890" customFormat="false" ht="15" hidden="false" customHeight="false" outlineLevel="0" collapsed="false">
      <c r="A3890" s="0" t="s">
        <v>5382</v>
      </c>
      <c r="C3890" s="0" t="s">
        <v>889</v>
      </c>
      <c r="D3890" s="7" t="n">
        <v>1779</v>
      </c>
      <c r="E3890" s="8" t="n">
        <v>0.0276053962900506</v>
      </c>
      <c r="F3890" s="4" t="n">
        <f aca="false">D3890*E3890</f>
        <v>49.11</v>
      </c>
      <c r="G3890" s="7" t="n">
        <v>650</v>
      </c>
      <c r="H3890" s="9" t="n">
        <f aca="false">IF(G3890&gt;0,D3890/G3890,"")</f>
        <v>2.73692307692308</v>
      </c>
      <c r="I3890" s="10" t="n">
        <v>46202</v>
      </c>
      <c r="K3890" s="10"/>
      <c r="M3890" s="7"/>
      <c r="N3890" s="8"/>
      <c r="O3890" s="4"/>
    </row>
    <row r="3891" customFormat="false" ht="15" hidden="false" customHeight="false" outlineLevel="0" collapsed="false">
      <c r="A3891" s="0" t="s">
        <v>5383</v>
      </c>
      <c r="C3891" s="0" t="s">
        <v>340</v>
      </c>
      <c r="D3891" s="7" t="n">
        <v>385</v>
      </c>
      <c r="E3891" s="8" t="n">
        <v>0.127376623376623</v>
      </c>
      <c r="F3891" s="4" t="n">
        <f aca="false">D3891*E3891</f>
        <v>49.04</v>
      </c>
      <c r="G3891" s="7" t="n">
        <v>15</v>
      </c>
      <c r="H3891" s="9" t="n">
        <f aca="false">IF(G3891&gt;0,D3891/G3891,"")</f>
        <v>25.6666666666667</v>
      </c>
      <c r="I3891" s="10" t="n">
        <v>46118</v>
      </c>
      <c r="J3891" s="3" t="s">
        <v>3545</v>
      </c>
      <c r="K3891" s="10" t="n">
        <v>45772</v>
      </c>
      <c r="L3891" s="3" t="s">
        <v>19</v>
      </c>
      <c r="M3891" s="7" t="n">
        <v>500</v>
      </c>
      <c r="N3891" s="8" t="n">
        <v>0.1274</v>
      </c>
      <c r="O3891" s="4" t="n">
        <f aca="false">M3891*N3891</f>
        <v>63.7</v>
      </c>
    </row>
    <row r="3892" customFormat="false" ht="15" hidden="false" customHeight="false" outlineLevel="0" collapsed="false">
      <c r="A3892" s="0" t="s">
        <v>5384</v>
      </c>
      <c r="C3892" s="0" t="s">
        <v>36</v>
      </c>
      <c r="D3892" s="7" t="n">
        <v>948</v>
      </c>
      <c r="E3892" s="8" t="n">
        <v>0.0516983122362869</v>
      </c>
      <c r="F3892" s="4" t="n">
        <f aca="false">D3892*E3892</f>
        <v>49.01</v>
      </c>
      <c r="G3892" s="7" t="n">
        <v>20</v>
      </c>
      <c r="H3892" s="9" t="n">
        <f aca="false">IF(G3892&gt;0,D3892/G3892,"")</f>
        <v>47.4</v>
      </c>
      <c r="I3892" s="10" t="n">
        <v>46224</v>
      </c>
      <c r="J3892" s="3" t="s">
        <v>5385</v>
      </c>
      <c r="K3892" s="10" t="n">
        <v>44513</v>
      </c>
      <c r="L3892" s="3" t="s">
        <v>19</v>
      </c>
      <c r="M3892" s="7" t="n">
        <v>1000</v>
      </c>
      <c r="N3892" s="8" t="n">
        <v>0.0517</v>
      </c>
      <c r="O3892" s="4" t="n">
        <f aca="false">M3892*N3892</f>
        <v>51.7</v>
      </c>
    </row>
    <row r="3893" customFormat="false" ht="15" hidden="false" customHeight="false" outlineLevel="0" collapsed="false">
      <c r="A3893" s="0" t="s">
        <v>5386</v>
      </c>
      <c r="C3893" s="0" t="s">
        <v>41</v>
      </c>
      <c r="D3893" s="7" t="n">
        <v>5764</v>
      </c>
      <c r="E3893" s="8" t="n">
        <v>0.00849930603747398</v>
      </c>
      <c r="F3893" s="4" t="n">
        <f aca="false">D3893*E3893</f>
        <v>48.99</v>
      </c>
      <c r="G3893" s="7" t="n">
        <v>1342</v>
      </c>
      <c r="H3893" s="9" t="n">
        <f aca="false">IF(G3893&gt;0,D3893/G3893,"")</f>
        <v>4.29508196721312</v>
      </c>
      <c r="I3893" s="10" t="n">
        <v>46265</v>
      </c>
      <c r="K3893" s="10"/>
      <c r="M3893" s="7"/>
      <c r="N3893" s="8"/>
      <c r="O3893" s="4"/>
    </row>
    <row r="3894" customFormat="false" ht="15" hidden="false" customHeight="false" outlineLevel="0" collapsed="false">
      <c r="A3894" s="0" t="s">
        <v>5387</v>
      </c>
      <c r="C3894" s="0" t="s">
        <v>1039</v>
      </c>
      <c r="D3894" s="7" t="n">
        <v>8903</v>
      </c>
      <c r="E3894" s="8" t="n">
        <v>0.00550263955969898</v>
      </c>
      <c r="F3894" s="4" t="n">
        <f aca="false">D3894*E3894</f>
        <v>48.99</v>
      </c>
      <c r="G3894" s="7" t="n">
        <v>954</v>
      </c>
      <c r="H3894" s="9" t="n">
        <f aca="false">IF(G3894&gt;0,D3894/G3894,"")</f>
        <v>9.33228511530398</v>
      </c>
      <c r="I3894" s="10" t="n">
        <v>46241</v>
      </c>
      <c r="J3894" s="3" t="s">
        <v>1576</v>
      </c>
      <c r="K3894" s="10" t="n">
        <v>46196</v>
      </c>
      <c r="L3894" s="3" t="s">
        <v>16</v>
      </c>
      <c r="M3894" s="7" t="n">
        <v>9100</v>
      </c>
      <c r="N3894" s="8" t="n">
        <v>0.0055</v>
      </c>
      <c r="O3894" s="4" t="n">
        <f aca="false">M3894*N3894</f>
        <v>50.05</v>
      </c>
    </row>
    <row r="3895" customFormat="false" ht="15" hidden="false" customHeight="false" outlineLevel="0" collapsed="false">
      <c r="A3895" s="0" t="s">
        <v>5388</v>
      </c>
      <c r="C3895" s="0" t="s">
        <v>31</v>
      </c>
      <c r="D3895" s="7" t="n">
        <v>6442</v>
      </c>
      <c r="E3895" s="8" t="n">
        <v>0.0076001241850357</v>
      </c>
      <c r="F3895" s="4" t="n">
        <f aca="false">D3895*E3895</f>
        <v>48.96</v>
      </c>
      <c r="G3895" s="7" t="n">
        <v>380</v>
      </c>
      <c r="H3895" s="9" t="n">
        <f aca="false">IF(G3895&gt;0,D3895/G3895,"")</f>
        <v>16.9526315789474</v>
      </c>
      <c r="I3895" s="10" t="n">
        <v>46302</v>
      </c>
      <c r="J3895" s="3" t="s">
        <v>2716</v>
      </c>
      <c r="K3895" s="10" t="n">
        <v>46160</v>
      </c>
      <c r="L3895" s="3" t="s">
        <v>16</v>
      </c>
      <c r="M3895" s="7" t="n">
        <v>6600</v>
      </c>
      <c r="N3895" s="8" t="n">
        <v>0.0076</v>
      </c>
      <c r="O3895" s="4" t="n">
        <f aca="false">M3895*N3895</f>
        <v>50.16</v>
      </c>
    </row>
    <row r="3896" customFormat="false" ht="15" hidden="false" customHeight="false" outlineLevel="0" collapsed="false">
      <c r="A3896" s="0" t="s">
        <v>5389</v>
      </c>
      <c r="C3896" s="0" t="s">
        <v>979</v>
      </c>
      <c r="D3896" s="7" t="n">
        <v>286</v>
      </c>
      <c r="E3896" s="8" t="n">
        <v>0.171188811188811</v>
      </c>
      <c r="F3896" s="4" t="n">
        <f aca="false">D3896*E3896</f>
        <v>48.96</v>
      </c>
      <c r="G3896" s="7" t="n">
        <v>145</v>
      </c>
      <c r="H3896" s="9" t="n">
        <f aca="false">IF(G3896&gt;0,D3896/G3896,"")</f>
        <v>1.97241379310345</v>
      </c>
      <c r="I3896" s="10" t="n">
        <v>46308</v>
      </c>
      <c r="J3896" s="3" t="s">
        <v>3576</v>
      </c>
      <c r="K3896" s="10" t="n">
        <v>46112</v>
      </c>
      <c r="L3896" s="3" t="s">
        <v>18</v>
      </c>
      <c r="M3896" s="7" t="n">
        <v>303</v>
      </c>
      <c r="N3896" s="8" t="n">
        <v>0.1712</v>
      </c>
      <c r="O3896" s="4" t="n">
        <f aca="false">M3896*N3896</f>
        <v>51.8736</v>
      </c>
    </row>
    <row r="3897" customFormat="false" ht="15" hidden="false" customHeight="false" outlineLevel="0" collapsed="false">
      <c r="A3897" s="0" t="s">
        <v>5390</v>
      </c>
      <c r="C3897" s="0" t="s">
        <v>32</v>
      </c>
      <c r="D3897" s="7" t="n">
        <v>288</v>
      </c>
      <c r="E3897" s="8" t="n">
        <v>0.169965277777778</v>
      </c>
      <c r="F3897" s="4" t="n">
        <f aca="false">D3897*E3897</f>
        <v>48.95</v>
      </c>
      <c r="G3897" s="7" t="n">
        <v>143</v>
      </c>
      <c r="H3897" s="9" t="n">
        <f aca="false">IF(G3897&gt;0,D3897/G3897,"")</f>
        <v>2.01398601398601</v>
      </c>
      <c r="I3897" s="10" t="n">
        <v>46300</v>
      </c>
      <c r="J3897" s="3" t="s">
        <v>5391</v>
      </c>
      <c r="K3897" s="10" t="n">
        <v>44936</v>
      </c>
      <c r="L3897" s="3" t="s">
        <v>18</v>
      </c>
      <c r="M3897" s="7" t="n">
        <v>124</v>
      </c>
      <c r="N3897" s="8" t="n">
        <v>0.1687</v>
      </c>
      <c r="O3897" s="4" t="n">
        <f aca="false">M3897*N3897</f>
        <v>20.9188</v>
      </c>
    </row>
    <row r="3898" customFormat="false" ht="15" hidden="false" customHeight="false" outlineLevel="0" collapsed="false">
      <c r="A3898" s="0" t="s">
        <v>5392</v>
      </c>
      <c r="C3898" s="0" t="s">
        <v>855</v>
      </c>
      <c r="D3898" s="7" t="n">
        <v>7770</v>
      </c>
      <c r="E3898" s="8" t="n">
        <v>0.0062998712998713</v>
      </c>
      <c r="F3898" s="4" t="n">
        <f aca="false">D3898*E3898</f>
        <v>48.95</v>
      </c>
      <c r="G3898" s="7" t="n">
        <v>4250</v>
      </c>
      <c r="H3898" s="9" t="n">
        <f aca="false">IF(G3898&gt;0,D3898/G3898,"")</f>
        <v>1.82823529411765</v>
      </c>
      <c r="I3898" s="10" t="n">
        <v>46260</v>
      </c>
      <c r="J3898" s="3" t="s">
        <v>3121</v>
      </c>
      <c r="K3898" s="10" t="n">
        <v>45447</v>
      </c>
      <c r="L3898" s="3" t="s">
        <v>16</v>
      </c>
      <c r="M3898" s="7" t="n">
        <v>16000</v>
      </c>
      <c r="N3898" s="8" t="n">
        <v>0.0063</v>
      </c>
      <c r="O3898" s="4" t="n">
        <f aca="false">M3898*N3898</f>
        <v>100.8</v>
      </c>
    </row>
    <row r="3899" customFormat="false" ht="15" hidden="false" customHeight="false" outlineLevel="0" collapsed="false">
      <c r="A3899" s="0" t="s">
        <v>5393</v>
      </c>
      <c r="C3899" s="0" t="s">
        <v>34</v>
      </c>
      <c r="D3899" s="7" t="n">
        <v>642</v>
      </c>
      <c r="E3899" s="8" t="n">
        <v>0.0761993769470405</v>
      </c>
      <c r="F3899" s="4" t="n">
        <f aca="false">D3899*E3899</f>
        <v>48.92</v>
      </c>
      <c r="G3899" s="7" t="n">
        <v>58</v>
      </c>
      <c r="H3899" s="9" t="n">
        <f aca="false">IF(G3899&gt;0,D3899/G3899,"")</f>
        <v>11.0689655172414</v>
      </c>
      <c r="I3899" s="10" t="n">
        <v>46289</v>
      </c>
      <c r="J3899" s="3" t="s">
        <v>2321</v>
      </c>
      <c r="K3899" s="10" t="n">
        <v>46094</v>
      </c>
      <c r="L3899" s="3" t="s">
        <v>16</v>
      </c>
      <c r="M3899" s="7" t="n">
        <v>700</v>
      </c>
      <c r="N3899" s="8" t="n">
        <v>0.0762</v>
      </c>
      <c r="O3899" s="4" t="n">
        <f aca="false">M3899*N3899</f>
        <v>53.34</v>
      </c>
    </row>
    <row r="3900" customFormat="false" ht="15" hidden="false" customHeight="false" outlineLevel="0" collapsed="false">
      <c r="A3900" s="0" t="s">
        <v>5394</v>
      </c>
      <c r="C3900" s="0" t="s">
        <v>1039</v>
      </c>
      <c r="D3900" s="7" t="n">
        <v>10131</v>
      </c>
      <c r="E3900" s="8" t="n">
        <v>0.00482183397492844</v>
      </c>
      <c r="F3900" s="4" t="n">
        <f aca="false">D3900*E3900</f>
        <v>48.85</v>
      </c>
      <c r="G3900" s="7" t="n">
        <v>1072</v>
      </c>
      <c r="H3900" s="9" t="n">
        <f aca="false">IF(G3900&gt;0,D3900/G3900,"")</f>
        <v>9.45055970149254</v>
      </c>
      <c r="I3900" s="10" t="n">
        <v>46315</v>
      </c>
      <c r="J3900" s="3" t="s">
        <v>940</v>
      </c>
      <c r="K3900" s="10" t="n">
        <v>46231</v>
      </c>
      <c r="L3900" s="3" t="s">
        <v>16</v>
      </c>
      <c r="M3900" s="7" t="n">
        <v>10500</v>
      </c>
      <c r="N3900" s="8" t="n">
        <v>0.0048</v>
      </c>
      <c r="O3900" s="4" t="n">
        <f aca="false">M3900*N3900</f>
        <v>50.4</v>
      </c>
    </row>
    <row r="3901" customFormat="false" ht="15" hidden="false" customHeight="false" outlineLevel="0" collapsed="false">
      <c r="A3901" s="0" t="s">
        <v>5395</v>
      </c>
      <c r="C3901" s="0" t="s">
        <v>807</v>
      </c>
      <c r="D3901" s="7" t="n">
        <v>11</v>
      </c>
      <c r="E3901" s="8" t="n">
        <v>4.44</v>
      </c>
      <c r="F3901" s="4" t="n">
        <f aca="false">D3901*E3901</f>
        <v>48.84</v>
      </c>
      <c r="G3901" s="7" t="n">
        <v>10</v>
      </c>
      <c r="H3901" s="9" t="n">
        <f aca="false">IF(G3901&gt;0,D3901/G3901,"")</f>
        <v>1.1</v>
      </c>
      <c r="I3901" s="10" t="n">
        <v>46169</v>
      </c>
      <c r="J3901" s="3" t="s">
        <v>5396</v>
      </c>
      <c r="K3901" s="10" t="n">
        <v>46127</v>
      </c>
      <c r="L3901" s="3" t="s">
        <v>145</v>
      </c>
      <c r="M3901" s="7" t="n">
        <v>21</v>
      </c>
      <c r="N3901" s="8" t="n">
        <v>4.44</v>
      </c>
      <c r="O3901" s="4" t="n">
        <f aca="false">M3901*N3901</f>
        <v>93.24</v>
      </c>
    </row>
    <row r="3902" customFormat="false" ht="15" hidden="false" customHeight="false" outlineLevel="0" collapsed="false">
      <c r="A3902" s="0" t="s">
        <v>5397</v>
      </c>
      <c r="C3902" s="0" t="s">
        <v>31</v>
      </c>
      <c r="D3902" s="7" t="n">
        <v>7623</v>
      </c>
      <c r="E3902" s="8" t="n">
        <v>0.00640036730945822</v>
      </c>
      <c r="F3902" s="4" t="n">
        <f aca="false">D3902*E3902</f>
        <v>48.79</v>
      </c>
      <c r="G3902" s="7" t="n">
        <v>4573</v>
      </c>
      <c r="H3902" s="9" t="n">
        <f aca="false">IF(G3902&gt;0,D3902/G3902,"")</f>
        <v>1.66695823310737</v>
      </c>
      <c r="I3902" s="10" t="n">
        <v>46252</v>
      </c>
      <c r="J3902" s="3" t="s">
        <v>628</v>
      </c>
      <c r="K3902" s="10" t="n">
        <v>46128</v>
      </c>
      <c r="L3902" s="3" t="s">
        <v>16</v>
      </c>
      <c r="M3902" s="7" t="n">
        <v>10433</v>
      </c>
      <c r="N3902" s="8" t="n">
        <v>0.0064</v>
      </c>
      <c r="O3902" s="4" t="n">
        <f aca="false">M3902*N3902</f>
        <v>66.7712</v>
      </c>
    </row>
    <row r="3903" customFormat="false" ht="15" hidden="false" customHeight="false" outlineLevel="0" collapsed="false">
      <c r="A3903" s="0" t="s">
        <v>5398</v>
      </c>
      <c r="C3903" s="0" t="s">
        <v>34</v>
      </c>
      <c r="D3903" s="7" t="n">
        <v>828</v>
      </c>
      <c r="E3903" s="8" t="n">
        <v>0.0588888888888889</v>
      </c>
      <c r="F3903" s="4" t="n">
        <f aca="false">D3903*E3903</f>
        <v>48.76</v>
      </c>
      <c r="G3903" s="7" t="n">
        <v>272</v>
      </c>
      <c r="H3903" s="9" t="n">
        <f aca="false">IF(G3903&gt;0,D3903/G3903,"")</f>
        <v>3.04411764705882</v>
      </c>
      <c r="I3903" s="10" t="n">
        <v>46261</v>
      </c>
      <c r="J3903" s="3" t="s">
        <v>3568</v>
      </c>
      <c r="K3903" s="10" t="n">
        <v>45924</v>
      </c>
      <c r="L3903" s="3" t="s">
        <v>19</v>
      </c>
      <c r="M3903" s="7" t="n">
        <v>100</v>
      </c>
      <c r="N3903" s="8" t="n">
        <v>0.2061</v>
      </c>
      <c r="O3903" s="4" t="n">
        <f aca="false">M3903*N3903</f>
        <v>20.61</v>
      </c>
    </row>
    <row r="3904" customFormat="false" ht="15" hidden="false" customHeight="false" outlineLevel="0" collapsed="false">
      <c r="A3904" s="0" t="s">
        <v>5399</v>
      </c>
      <c r="C3904" s="0" t="s">
        <v>855</v>
      </c>
      <c r="D3904" s="7" t="n">
        <v>3989</v>
      </c>
      <c r="E3904" s="8" t="n">
        <v>0.0122211080471296</v>
      </c>
      <c r="F3904" s="4" t="n">
        <f aca="false">D3904*E3904</f>
        <v>48.75</v>
      </c>
      <c r="G3904" s="7" t="n">
        <v>62</v>
      </c>
      <c r="H3904" s="9" t="n">
        <f aca="false">IF(G3904&gt;0,D3904/G3904,"")</f>
        <v>64.3387096774194</v>
      </c>
      <c r="I3904" s="10" t="n">
        <v>46293</v>
      </c>
      <c r="J3904" s="3" t="s">
        <v>5049</v>
      </c>
      <c r="K3904" s="10" t="n">
        <v>44365</v>
      </c>
      <c r="L3904" s="3" t="s">
        <v>19</v>
      </c>
      <c r="M3904" s="7" t="n">
        <v>250</v>
      </c>
      <c r="N3904" s="8" t="n">
        <v>0.0406</v>
      </c>
      <c r="O3904" s="4" t="n">
        <f aca="false">M3904*N3904</f>
        <v>10.15</v>
      </c>
    </row>
    <row r="3905" customFormat="false" ht="15" hidden="false" customHeight="false" outlineLevel="0" collapsed="false">
      <c r="A3905" s="0" t="s">
        <v>5400</v>
      </c>
      <c r="C3905" s="0" t="s">
        <v>34</v>
      </c>
      <c r="D3905" s="7" t="n">
        <v>21</v>
      </c>
      <c r="E3905" s="8" t="n">
        <v>2.32</v>
      </c>
      <c r="F3905" s="4" t="n">
        <f aca="false">D3905*E3905</f>
        <v>48.72</v>
      </c>
      <c r="G3905" s="7" t="n">
        <v>2</v>
      </c>
      <c r="H3905" s="9" t="n">
        <f aca="false">IF(G3905&gt;0,D3905/G3905,"")</f>
        <v>10.5</v>
      </c>
      <c r="I3905" s="10" t="n">
        <v>46014</v>
      </c>
      <c r="K3905" s="10"/>
      <c r="M3905" s="7"/>
      <c r="N3905" s="8"/>
      <c r="O3905" s="4"/>
    </row>
    <row r="3906" customFormat="false" ht="15" hidden="false" customHeight="false" outlineLevel="0" collapsed="false">
      <c r="A3906" s="0" t="s">
        <v>5401</v>
      </c>
      <c r="C3906" s="0" t="s">
        <v>37</v>
      </c>
      <c r="D3906" s="7" t="n">
        <v>56</v>
      </c>
      <c r="E3906" s="8" t="n">
        <v>0.869642857142857</v>
      </c>
      <c r="F3906" s="4" t="n">
        <f aca="false">D3906*E3906</f>
        <v>48.7</v>
      </c>
      <c r="G3906" s="7" t="n">
        <v>10</v>
      </c>
      <c r="H3906" s="9" t="n">
        <f aca="false">IF(G3906&gt;0,D3906/G3906,"")</f>
        <v>5.6</v>
      </c>
      <c r="I3906" s="10" t="n">
        <v>46258</v>
      </c>
      <c r="J3906" s="3" t="s">
        <v>341</v>
      </c>
      <c r="K3906" s="10" t="n">
        <v>46078</v>
      </c>
      <c r="L3906" s="3" t="s">
        <v>15</v>
      </c>
      <c r="M3906" s="7" t="n">
        <v>66</v>
      </c>
      <c r="N3906" s="8" t="n">
        <v>0.86973</v>
      </c>
      <c r="O3906" s="4" t="n">
        <f aca="false">M3906*N3906</f>
        <v>57.40218</v>
      </c>
    </row>
    <row r="3907" customFormat="false" ht="15" hidden="false" customHeight="false" outlineLevel="0" collapsed="false">
      <c r="A3907" s="0" t="s">
        <v>5402</v>
      </c>
      <c r="C3907" s="0" t="s">
        <v>31</v>
      </c>
      <c r="D3907" s="7" t="n">
        <v>2898</v>
      </c>
      <c r="E3907" s="8" t="n">
        <v>0.0168012422360249</v>
      </c>
      <c r="F3907" s="4" t="n">
        <f aca="false">D3907*E3907</f>
        <v>48.69</v>
      </c>
      <c r="G3907" s="7" t="n">
        <v>25</v>
      </c>
      <c r="H3907" s="9" t="n">
        <f aca="false">IF(G3907&gt;0,D3907/G3907,"")</f>
        <v>115.92</v>
      </c>
      <c r="I3907" s="10" t="n">
        <v>46195</v>
      </c>
      <c r="J3907" s="3" t="s">
        <v>4184</v>
      </c>
      <c r="K3907" s="10" t="n">
        <v>44713</v>
      </c>
      <c r="L3907" s="3" t="s">
        <v>15</v>
      </c>
      <c r="M3907" s="7" t="n">
        <v>3000</v>
      </c>
      <c r="N3907" s="8" t="n">
        <v>0.0168</v>
      </c>
      <c r="O3907" s="4" t="n">
        <f aca="false">M3907*N3907</f>
        <v>50.4</v>
      </c>
    </row>
    <row r="3908" customFormat="false" ht="15" hidden="false" customHeight="false" outlineLevel="0" collapsed="false">
      <c r="A3908" s="0" t="s">
        <v>5403</v>
      </c>
      <c r="C3908" s="0" t="s">
        <v>1169</v>
      </c>
      <c r="D3908" s="7" t="n">
        <v>1803</v>
      </c>
      <c r="E3908" s="8" t="n">
        <v>0.0269994453688297</v>
      </c>
      <c r="F3908" s="4" t="n">
        <f aca="false">D3908*E3908</f>
        <v>48.68</v>
      </c>
      <c r="G3908" s="7" t="n">
        <v>642</v>
      </c>
      <c r="H3908" s="9" t="n">
        <f aca="false">IF(G3908&gt;0,D3908/G3908,"")</f>
        <v>2.80841121495327</v>
      </c>
      <c r="I3908" s="10" t="n">
        <v>46251</v>
      </c>
      <c r="J3908" s="3" t="s">
        <v>2054</v>
      </c>
      <c r="K3908" s="10" t="n">
        <v>45176</v>
      </c>
      <c r="L3908" s="3" t="s">
        <v>21</v>
      </c>
      <c r="M3908" s="7" t="n">
        <v>5000</v>
      </c>
      <c r="N3908" s="8" t="n">
        <v>0.027</v>
      </c>
      <c r="O3908" s="4" t="n">
        <f aca="false">M3908*N3908</f>
        <v>135</v>
      </c>
    </row>
    <row r="3909" customFormat="false" ht="15" hidden="false" customHeight="false" outlineLevel="0" collapsed="false">
      <c r="A3909" s="0" t="s">
        <v>5404</v>
      </c>
      <c r="C3909" s="0" t="s">
        <v>41</v>
      </c>
      <c r="D3909" s="7" t="n">
        <v>1603</v>
      </c>
      <c r="E3909" s="8" t="n">
        <v>0.0303555832813475</v>
      </c>
      <c r="F3909" s="4" t="n">
        <f aca="false">D3909*E3909</f>
        <v>48.66</v>
      </c>
      <c r="G3909" s="7" t="n">
        <v>71</v>
      </c>
      <c r="H3909" s="9" t="n">
        <f aca="false">IF(G3909&gt;0,D3909/G3909,"")</f>
        <v>22.5774647887324</v>
      </c>
      <c r="I3909" s="10" t="n">
        <v>46246</v>
      </c>
      <c r="K3909" s="10"/>
      <c r="M3909" s="7"/>
      <c r="N3909" s="8"/>
      <c r="O3909" s="4"/>
    </row>
    <row r="3910" customFormat="false" ht="15" hidden="false" customHeight="false" outlineLevel="0" collapsed="false">
      <c r="A3910" s="0" t="s">
        <v>5405</v>
      </c>
      <c r="C3910" s="0" t="s">
        <v>979</v>
      </c>
      <c r="D3910" s="7" t="n">
        <v>492</v>
      </c>
      <c r="E3910" s="8" t="n">
        <v>0.098739837398374</v>
      </c>
      <c r="F3910" s="4" t="n">
        <f aca="false">D3910*E3910</f>
        <v>48.58</v>
      </c>
      <c r="G3910" s="7" t="n">
        <v>80</v>
      </c>
      <c r="H3910" s="9" t="n">
        <f aca="false">IF(G3910&gt;0,D3910/G3910,"")</f>
        <v>6.15</v>
      </c>
      <c r="I3910" s="10" t="n">
        <v>46219</v>
      </c>
      <c r="J3910" s="3" t="s">
        <v>4292</v>
      </c>
      <c r="K3910" s="10" t="n">
        <v>45917</v>
      </c>
      <c r="L3910" s="3" t="s">
        <v>18</v>
      </c>
      <c r="M3910" s="7" t="n">
        <v>528</v>
      </c>
      <c r="N3910" s="8" t="n">
        <v>0.0957</v>
      </c>
      <c r="O3910" s="4" t="n">
        <f aca="false">M3910*N3910</f>
        <v>50.5296</v>
      </c>
    </row>
    <row r="3911" customFormat="false" ht="15" hidden="false" customHeight="false" outlineLevel="0" collapsed="false">
      <c r="A3911" s="0" t="s">
        <v>5406</v>
      </c>
      <c r="C3911" s="0" t="s">
        <v>1039</v>
      </c>
      <c r="D3911" s="7" t="n">
        <v>962</v>
      </c>
      <c r="E3911" s="8" t="n">
        <v>0.0504885654885655</v>
      </c>
      <c r="F3911" s="4" t="n">
        <f aca="false">D3911*E3911</f>
        <v>48.57</v>
      </c>
      <c r="G3911" s="7" t="n">
        <v>63</v>
      </c>
      <c r="H3911" s="9" t="n">
        <f aca="false">IF(G3911&gt;0,D3911/G3911,"")</f>
        <v>15.2698412698413</v>
      </c>
      <c r="I3911" s="10" t="n">
        <v>46317</v>
      </c>
      <c r="J3911" s="3" t="s">
        <v>5119</v>
      </c>
      <c r="K3911" s="10" t="n">
        <v>46164</v>
      </c>
      <c r="L3911" s="3" t="s">
        <v>16</v>
      </c>
      <c r="M3911" s="7" t="n">
        <v>1000</v>
      </c>
      <c r="N3911" s="8" t="n">
        <v>0.0505</v>
      </c>
      <c r="O3911" s="4" t="n">
        <f aca="false">M3911*N3911</f>
        <v>50.5</v>
      </c>
    </row>
    <row r="3912" customFormat="false" ht="15" hidden="false" customHeight="false" outlineLevel="0" collapsed="false">
      <c r="A3912" s="0" t="s">
        <v>5407</v>
      </c>
      <c r="C3912" s="0" t="s">
        <v>31</v>
      </c>
      <c r="D3912" s="7" t="n">
        <v>4987</v>
      </c>
      <c r="E3912" s="8" t="n">
        <v>0.00973932223781833</v>
      </c>
      <c r="F3912" s="4" t="n">
        <f aca="false">D3912*E3912</f>
        <v>48.57</v>
      </c>
      <c r="G3912" s="7" t="n">
        <v>506</v>
      </c>
      <c r="H3912" s="9" t="n">
        <f aca="false">IF(G3912&gt;0,D3912/G3912,"")</f>
        <v>9.85573122529644</v>
      </c>
      <c r="I3912" s="10" t="n">
        <v>46246</v>
      </c>
      <c r="K3912" s="10"/>
      <c r="M3912" s="7"/>
      <c r="N3912" s="8"/>
      <c r="O3912" s="4"/>
    </row>
    <row r="3913" customFormat="false" ht="15" hidden="false" customHeight="false" outlineLevel="0" collapsed="false">
      <c r="A3913" s="0" t="s">
        <v>5408</v>
      </c>
      <c r="C3913" s="0" t="s">
        <v>844</v>
      </c>
      <c r="D3913" s="7" t="n">
        <v>26</v>
      </c>
      <c r="E3913" s="8" t="n">
        <v>1.86692307692308</v>
      </c>
      <c r="F3913" s="4" t="n">
        <f aca="false">D3913*E3913</f>
        <v>48.54</v>
      </c>
      <c r="G3913" s="7" t="n">
        <v>13</v>
      </c>
      <c r="H3913" s="9" t="n">
        <f aca="false">IF(G3913&gt;0,D3913/G3913,"")</f>
        <v>2</v>
      </c>
      <c r="I3913" s="10" t="n">
        <v>46265</v>
      </c>
      <c r="J3913" s="3" t="s">
        <v>4880</v>
      </c>
      <c r="K3913" s="10" t="n">
        <v>46157</v>
      </c>
      <c r="L3913" s="3" t="s">
        <v>1878</v>
      </c>
      <c r="M3913" s="7" t="n">
        <v>25</v>
      </c>
      <c r="N3913" s="8" t="n">
        <v>1.87</v>
      </c>
      <c r="O3913" s="4" t="n">
        <f aca="false">M3913*N3913</f>
        <v>46.75</v>
      </c>
    </row>
    <row r="3914" customFormat="false" ht="15" hidden="false" customHeight="false" outlineLevel="0" collapsed="false">
      <c r="A3914" s="0" t="s">
        <v>5409</v>
      </c>
      <c r="C3914" s="0" t="s">
        <v>34</v>
      </c>
      <c r="D3914" s="7" t="n">
        <v>70</v>
      </c>
      <c r="E3914" s="8" t="n">
        <v>0.693142857142857</v>
      </c>
      <c r="F3914" s="4" t="n">
        <f aca="false">D3914*E3914</f>
        <v>48.52</v>
      </c>
      <c r="G3914" s="7" t="n">
        <v>10</v>
      </c>
      <c r="H3914" s="9" t="n">
        <f aca="false">IF(G3914&gt;0,D3914/G3914,"")</f>
        <v>7</v>
      </c>
      <c r="I3914" s="10" t="n">
        <v>46282</v>
      </c>
      <c r="K3914" s="10"/>
      <c r="M3914" s="7"/>
      <c r="N3914" s="8"/>
      <c r="O3914" s="4"/>
    </row>
    <row r="3915" customFormat="false" ht="15" hidden="false" customHeight="false" outlineLevel="0" collapsed="false">
      <c r="A3915" s="0" t="s">
        <v>5410</v>
      </c>
      <c r="D3915" s="7" t="n">
        <v>198</v>
      </c>
      <c r="E3915" s="8" t="n">
        <v>0.245</v>
      </c>
      <c r="F3915" s="4" t="n">
        <f aca="false">D3915*E3915</f>
        <v>48.51</v>
      </c>
      <c r="G3915" s="7" t="n">
        <v>2</v>
      </c>
      <c r="H3915" s="9" t="n">
        <f aca="false">IF(G3915&gt;0,D3915/G3915,"")</f>
        <v>99</v>
      </c>
      <c r="I3915" s="10" t="n">
        <v>46251</v>
      </c>
      <c r="J3915" s="3" t="s">
        <v>1756</v>
      </c>
      <c r="K3915" s="10" t="n">
        <v>44405</v>
      </c>
      <c r="L3915" s="3" t="s">
        <v>15</v>
      </c>
      <c r="M3915" s="7" t="n">
        <v>200</v>
      </c>
      <c r="N3915" s="8" t="n">
        <v>0.24501</v>
      </c>
      <c r="O3915" s="4" t="n">
        <f aca="false">M3915*N3915</f>
        <v>49.002</v>
      </c>
    </row>
    <row r="3916" customFormat="false" ht="15" hidden="false" customHeight="false" outlineLevel="0" collapsed="false">
      <c r="A3916" s="0" t="s">
        <v>5411</v>
      </c>
      <c r="C3916" s="0" t="s">
        <v>31</v>
      </c>
      <c r="D3916" s="7" t="n">
        <v>663</v>
      </c>
      <c r="E3916" s="8" t="n">
        <v>0.0731221719457014</v>
      </c>
      <c r="F3916" s="4" t="n">
        <f aca="false">D3916*E3916</f>
        <v>48.48</v>
      </c>
      <c r="G3916" s="7" t="n">
        <v>20</v>
      </c>
      <c r="H3916" s="9" t="n">
        <f aca="false">IF(G3916&gt;0,D3916/G3916,"")</f>
        <v>33.15</v>
      </c>
      <c r="I3916" s="10" t="n">
        <v>46223</v>
      </c>
      <c r="J3916" s="3" t="s">
        <v>1618</v>
      </c>
      <c r="K3916" s="10" t="n">
        <v>45574</v>
      </c>
      <c r="L3916" s="3" t="s">
        <v>16</v>
      </c>
      <c r="M3916" s="7" t="n">
        <v>750</v>
      </c>
      <c r="N3916" s="8" t="n">
        <v>0.0731</v>
      </c>
      <c r="O3916" s="4" t="n">
        <f aca="false">M3916*N3916</f>
        <v>54.825</v>
      </c>
    </row>
    <row r="3917" customFormat="false" ht="15" hidden="false" customHeight="false" outlineLevel="0" collapsed="false">
      <c r="A3917" s="0" t="s">
        <v>5412</v>
      </c>
      <c r="C3917" s="0" t="s">
        <v>1161</v>
      </c>
      <c r="D3917" s="7" t="n">
        <v>350</v>
      </c>
      <c r="E3917" s="8" t="n">
        <v>0.138485714285714</v>
      </c>
      <c r="F3917" s="4" t="n">
        <f aca="false">D3917*E3917</f>
        <v>48.47</v>
      </c>
      <c r="G3917" s="7" t="n">
        <v>101</v>
      </c>
      <c r="H3917" s="9" t="n">
        <f aca="false">IF(G3917&gt;0,D3917/G3917,"")</f>
        <v>3.46534653465347</v>
      </c>
      <c r="I3917" s="10" t="n">
        <v>46154</v>
      </c>
      <c r="J3917" s="3" t="s">
        <v>5413</v>
      </c>
      <c r="K3917" s="10" t="n">
        <v>44910</v>
      </c>
      <c r="L3917" s="3" t="s">
        <v>936</v>
      </c>
      <c r="M3917" s="7" t="n">
        <v>1084</v>
      </c>
      <c r="N3917" s="8" t="n">
        <v>0.1385</v>
      </c>
      <c r="O3917" s="4" t="n">
        <f aca="false">M3917*N3917</f>
        <v>150.134</v>
      </c>
    </row>
    <row r="3918" customFormat="false" ht="15" hidden="false" customHeight="false" outlineLevel="0" collapsed="false">
      <c r="A3918" s="0" t="s">
        <v>5414</v>
      </c>
      <c r="C3918" s="0" t="s">
        <v>41</v>
      </c>
      <c r="D3918" s="7" t="n">
        <v>1617</v>
      </c>
      <c r="E3918" s="8" t="n">
        <v>0.0299443413729128</v>
      </c>
      <c r="F3918" s="4" t="n">
        <f aca="false">D3918*E3918</f>
        <v>48.42</v>
      </c>
      <c r="G3918" s="7" t="n">
        <v>20</v>
      </c>
      <c r="H3918" s="9" t="n">
        <f aca="false">IF(G3918&gt;0,D3918/G3918,"")</f>
        <v>80.85</v>
      </c>
      <c r="I3918" s="10" t="n">
        <v>45996</v>
      </c>
      <c r="J3918" s="3" t="s">
        <v>5415</v>
      </c>
      <c r="K3918" s="10" t="n">
        <v>44329</v>
      </c>
      <c r="L3918" s="3" t="s">
        <v>15</v>
      </c>
      <c r="M3918" s="7" t="n">
        <v>1990</v>
      </c>
      <c r="N3918" s="8" t="n">
        <v>0.02995</v>
      </c>
      <c r="O3918" s="4" t="n">
        <f aca="false">M3918*N3918</f>
        <v>59.6005</v>
      </c>
    </row>
    <row r="3919" customFormat="false" ht="15" hidden="false" customHeight="false" outlineLevel="0" collapsed="false">
      <c r="A3919" s="0" t="s">
        <v>5416</v>
      </c>
      <c r="C3919" s="0" t="s">
        <v>295</v>
      </c>
      <c r="D3919" s="7" t="n">
        <v>987</v>
      </c>
      <c r="E3919" s="8" t="n">
        <v>0.0490070921985816</v>
      </c>
      <c r="F3919" s="4" t="n">
        <f aca="false">D3919*E3919</f>
        <v>48.37</v>
      </c>
      <c r="G3919" s="7" t="n">
        <v>140</v>
      </c>
      <c r="H3919" s="9" t="n">
        <f aca="false">IF(G3919&gt;0,D3919/G3919,"")</f>
        <v>7.05</v>
      </c>
      <c r="I3919" s="10" t="n">
        <v>46247</v>
      </c>
      <c r="K3919" s="10"/>
      <c r="M3919" s="7"/>
      <c r="N3919" s="8"/>
      <c r="O3919" s="4"/>
    </row>
    <row r="3920" customFormat="false" ht="15" hidden="false" customHeight="false" outlineLevel="0" collapsed="false">
      <c r="A3920" s="0" t="s">
        <v>5417</v>
      </c>
      <c r="C3920" s="0" t="s">
        <v>40</v>
      </c>
      <c r="D3920" s="7" t="n">
        <v>9845</v>
      </c>
      <c r="E3920" s="8" t="n">
        <v>0.00490502793296089</v>
      </c>
      <c r="F3920" s="4" t="n">
        <f aca="false">D3920*E3920</f>
        <v>48.29</v>
      </c>
      <c r="G3920" s="7" t="n">
        <v>2506</v>
      </c>
      <c r="H3920" s="9" t="n">
        <f aca="false">IF(G3920&gt;0,D3920/G3920,"")</f>
        <v>3.92857142857143</v>
      </c>
      <c r="I3920" s="10" t="n">
        <v>46309</v>
      </c>
      <c r="J3920" s="3" t="s">
        <v>2184</v>
      </c>
      <c r="K3920" s="10" t="n">
        <v>44729</v>
      </c>
      <c r="L3920" s="3" t="s">
        <v>18</v>
      </c>
      <c r="M3920" s="7" t="n">
        <v>18800</v>
      </c>
      <c r="N3920" s="8" t="n">
        <v>0</v>
      </c>
      <c r="O3920" s="4" t="n">
        <v>102</v>
      </c>
    </row>
    <row r="3921" customFormat="false" ht="15" hidden="false" customHeight="false" outlineLevel="0" collapsed="false">
      <c r="A3921" s="0" t="s">
        <v>5418</v>
      </c>
      <c r="C3921" s="0" t="s">
        <v>34</v>
      </c>
      <c r="D3921" s="7" t="n">
        <v>2646</v>
      </c>
      <c r="E3921" s="8" t="n">
        <v>0.0182426303854875</v>
      </c>
      <c r="F3921" s="4" t="n">
        <f aca="false">D3921*E3921</f>
        <v>48.27</v>
      </c>
      <c r="G3921" s="7" t="n">
        <v>70</v>
      </c>
      <c r="H3921" s="9" t="n">
        <f aca="false">IF(G3921&gt;0,D3921/G3921,"")</f>
        <v>37.8</v>
      </c>
      <c r="I3921" s="10" t="n">
        <v>46216</v>
      </c>
      <c r="J3921" s="3" t="s">
        <v>5419</v>
      </c>
      <c r="K3921" s="10" t="n">
        <v>44980</v>
      </c>
      <c r="L3921" s="3" t="s">
        <v>15</v>
      </c>
      <c r="M3921" s="7" t="n">
        <v>3179</v>
      </c>
      <c r="N3921" s="8" t="n">
        <v>0.01824</v>
      </c>
      <c r="O3921" s="4" t="n">
        <f aca="false">M3921*N3921</f>
        <v>57.98496</v>
      </c>
    </row>
    <row r="3922" customFormat="false" ht="15" hidden="false" customHeight="false" outlineLevel="0" collapsed="false">
      <c r="A3922" s="0" t="s">
        <v>5420</v>
      </c>
      <c r="C3922" s="0" t="s">
        <v>31</v>
      </c>
      <c r="D3922" s="7" t="n">
        <v>279</v>
      </c>
      <c r="E3922" s="8" t="n">
        <v>0.173010752688172</v>
      </c>
      <c r="F3922" s="4" t="n">
        <f aca="false">D3922*E3922</f>
        <v>48.27</v>
      </c>
      <c r="G3922" s="7" t="n">
        <v>180</v>
      </c>
      <c r="H3922" s="9" t="n">
        <f aca="false">IF(G3922&gt;0,D3922/G3922,"")</f>
        <v>1.55</v>
      </c>
      <c r="I3922" s="10" t="n">
        <v>46309</v>
      </c>
      <c r="K3922" s="10"/>
      <c r="M3922" s="7"/>
      <c r="N3922" s="8"/>
      <c r="O3922" s="4"/>
    </row>
    <row r="3923" customFormat="false" ht="15" hidden="false" customHeight="false" outlineLevel="0" collapsed="false">
      <c r="A3923" s="0" t="s">
        <v>5421</v>
      </c>
      <c r="C3923" s="0" t="s">
        <v>1039</v>
      </c>
      <c r="D3923" s="7" t="n">
        <v>10489</v>
      </c>
      <c r="E3923" s="8" t="n">
        <v>0.00460005720278387</v>
      </c>
      <c r="F3923" s="4" t="n">
        <f aca="false">D3923*E3923</f>
        <v>48.25</v>
      </c>
      <c r="G3923" s="7" t="n">
        <v>4660</v>
      </c>
      <c r="H3923" s="9" t="n">
        <f aca="false">IF(G3923&gt;0,D3923/G3923,"")</f>
        <v>2.25085836909871</v>
      </c>
      <c r="I3923" s="10" t="n">
        <v>46301</v>
      </c>
      <c r="J3923" s="3" t="s">
        <v>2743</v>
      </c>
      <c r="K3923" s="10" t="n">
        <v>46084</v>
      </c>
      <c r="L3923" s="3" t="s">
        <v>16</v>
      </c>
      <c r="M3923" s="7" t="n">
        <v>14490</v>
      </c>
      <c r="N3923" s="8" t="n">
        <v>0.0046</v>
      </c>
      <c r="O3923" s="4" t="n">
        <f aca="false">M3923*N3923</f>
        <v>66.654</v>
      </c>
    </row>
    <row r="3924" customFormat="false" ht="15" hidden="false" customHeight="false" outlineLevel="0" collapsed="false">
      <c r="A3924" s="0" t="s">
        <v>5422</v>
      </c>
      <c r="C3924" s="0" t="s">
        <v>402</v>
      </c>
      <c r="D3924" s="7" t="n">
        <v>8</v>
      </c>
      <c r="E3924" s="8" t="n">
        <v>6.03</v>
      </c>
      <c r="F3924" s="4" t="n">
        <f aca="false">D3924*E3924</f>
        <v>48.24</v>
      </c>
      <c r="G3924" s="7" t="n">
        <v>2</v>
      </c>
      <c r="H3924" s="9" t="n">
        <f aca="false">IF(G3924&gt;0,D3924/G3924,"")</f>
        <v>4</v>
      </c>
      <c r="I3924" s="10" t="n">
        <v>46233</v>
      </c>
      <c r="J3924" s="3" t="s">
        <v>5423</v>
      </c>
      <c r="K3924" s="10" t="n">
        <v>46211</v>
      </c>
      <c r="L3924" s="3" t="s">
        <v>834</v>
      </c>
      <c r="M3924" s="7" t="n">
        <v>10</v>
      </c>
      <c r="N3924" s="8" t="n">
        <v>6.03</v>
      </c>
      <c r="O3924" s="4" t="n">
        <f aca="false">M3924*N3924</f>
        <v>60.3</v>
      </c>
    </row>
    <row r="3925" customFormat="false" ht="15" hidden="false" customHeight="false" outlineLevel="0" collapsed="false">
      <c r="A3925" s="0" t="s">
        <v>5424</v>
      </c>
      <c r="C3925" s="0" t="s">
        <v>41</v>
      </c>
      <c r="D3925" s="7" t="n">
        <v>898</v>
      </c>
      <c r="E3925" s="8" t="n">
        <v>0.0537082405345212</v>
      </c>
      <c r="F3925" s="4" t="n">
        <f aca="false">D3925*E3925</f>
        <v>48.23</v>
      </c>
      <c r="G3925" s="7" t="n">
        <v>2</v>
      </c>
      <c r="H3925" s="9" t="n">
        <f aca="false">IF(G3925&gt;0,D3925/G3925,"")</f>
        <v>449</v>
      </c>
      <c r="I3925" s="10" t="n">
        <v>46135</v>
      </c>
      <c r="J3925" s="3" t="s">
        <v>5415</v>
      </c>
      <c r="K3925" s="10" t="n">
        <v>44329</v>
      </c>
      <c r="L3925" s="3" t="s">
        <v>15</v>
      </c>
      <c r="M3925" s="7" t="n">
        <v>904</v>
      </c>
      <c r="N3925" s="8" t="n">
        <v>0.05371</v>
      </c>
      <c r="O3925" s="4" t="n">
        <f aca="false">M3925*N3925</f>
        <v>48.55384</v>
      </c>
    </row>
    <row r="3926" customFormat="false" ht="15" hidden="false" customHeight="false" outlineLevel="0" collapsed="false">
      <c r="A3926" s="0" t="s">
        <v>5425</v>
      </c>
      <c r="C3926" s="0" t="s">
        <v>31</v>
      </c>
      <c r="D3926" s="7" t="n">
        <v>1001</v>
      </c>
      <c r="E3926" s="8" t="n">
        <v>0.0481718281718282</v>
      </c>
      <c r="F3926" s="4" t="n">
        <f aca="false">D3926*E3926</f>
        <v>48.22</v>
      </c>
      <c r="G3926" s="7" t="n">
        <v>37</v>
      </c>
      <c r="H3926" s="9" t="n">
        <f aca="false">IF(G3926&gt;0,D3926/G3926,"")</f>
        <v>27.0540540540541</v>
      </c>
      <c r="I3926" s="10" t="n">
        <v>46253</v>
      </c>
      <c r="K3926" s="10"/>
      <c r="M3926" s="7"/>
      <c r="N3926" s="8"/>
      <c r="O3926" s="4"/>
    </row>
    <row r="3927" customFormat="false" ht="15" hidden="false" customHeight="false" outlineLevel="0" collapsed="false">
      <c r="A3927" s="0" t="s">
        <v>5426</v>
      </c>
      <c r="C3927" s="0" t="s">
        <v>34</v>
      </c>
      <c r="D3927" s="7" t="n">
        <v>1074</v>
      </c>
      <c r="E3927" s="8" t="n">
        <v>0.0447765363128492</v>
      </c>
      <c r="F3927" s="4" t="n">
        <f aca="false">D3927*E3927</f>
        <v>48.09</v>
      </c>
      <c r="G3927" s="7" t="n">
        <v>99</v>
      </c>
      <c r="H3927" s="9" t="n">
        <f aca="false">IF(G3927&gt;0,D3927/G3927,"")</f>
        <v>10.8484848484848</v>
      </c>
      <c r="I3927" s="10" t="n">
        <v>46209</v>
      </c>
      <c r="J3927" s="3" t="s">
        <v>2914</v>
      </c>
      <c r="K3927" s="10" t="n">
        <v>45562</v>
      </c>
      <c r="L3927" s="3" t="s">
        <v>16</v>
      </c>
      <c r="M3927" s="7" t="n">
        <v>1500</v>
      </c>
      <c r="N3927" s="8" t="n">
        <v>0.0444</v>
      </c>
      <c r="O3927" s="4" t="n">
        <f aca="false">M3927*N3927</f>
        <v>66.6</v>
      </c>
    </row>
    <row r="3928" customFormat="false" ht="15" hidden="false" customHeight="false" outlineLevel="0" collapsed="false">
      <c r="A3928" s="0" t="s">
        <v>5427</v>
      </c>
      <c r="C3928" s="0" t="s">
        <v>4363</v>
      </c>
      <c r="D3928" s="7" t="n">
        <v>3</v>
      </c>
      <c r="E3928" s="8" t="n">
        <v>16.03</v>
      </c>
      <c r="F3928" s="4" t="n">
        <f aca="false">D3928*E3928</f>
        <v>48.09</v>
      </c>
      <c r="G3928" s="7" t="n">
        <v>3</v>
      </c>
      <c r="H3928" s="9" t="n">
        <f aca="false">IF(G3928&gt;0,D3928/G3928,"")</f>
        <v>1</v>
      </c>
      <c r="I3928" s="10" t="n">
        <v>46267</v>
      </c>
      <c r="J3928" s="3" t="s">
        <v>5428</v>
      </c>
      <c r="K3928" s="10" t="n">
        <v>45602</v>
      </c>
      <c r="L3928" s="3" t="s">
        <v>4365</v>
      </c>
      <c r="M3928" s="7" t="n">
        <v>5</v>
      </c>
      <c r="N3928" s="8" t="n">
        <v>16.03</v>
      </c>
      <c r="O3928" s="4" t="n">
        <f aca="false">M3928*N3928</f>
        <v>80.15</v>
      </c>
    </row>
    <row r="3929" customFormat="false" ht="15" hidden="false" customHeight="false" outlineLevel="0" collapsed="false">
      <c r="A3929" s="0" t="s">
        <v>5429</v>
      </c>
      <c r="C3929" s="0" t="s">
        <v>583</v>
      </c>
      <c r="D3929" s="7" t="n">
        <v>195</v>
      </c>
      <c r="E3929" s="8" t="n">
        <v>0.246564102564103</v>
      </c>
      <c r="F3929" s="4" t="n">
        <f aca="false">D3929*E3929</f>
        <v>48.08</v>
      </c>
      <c r="G3929" s="7" t="n">
        <v>80</v>
      </c>
      <c r="H3929" s="9" t="n">
        <f aca="false">IF(G3929&gt;0,D3929/G3929,"")</f>
        <v>2.4375</v>
      </c>
      <c r="I3929" s="10" t="n">
        <v>46308</v>
      </c>
      <c r="J3929" s="3" t="s">
        <v>3821</v>
      </c>
      <c r="K3929" s="10" t="n">
        <v>45980</v>
      </c>
      <c r="L3929" s="3" t="s">
        <v>19</v>
      </c>
      <c r="M3929" s="7" t="n">
        <v>25</v>
      </c>
      <c r="N3929" s="8" t="n">
        <v>0.6517</v>
      </c>
      <c r="O3929" s="4" t="n">
        <f aca="false">M3929*N3929</f>
        <v>16.2925</v>
      </c>
    </row>
    <row r="3930" customFormat="false" ht="15" hidden="false" customHeight="false" outlineLevel="0" collapsed="false">
      <c r="A3930" s="0" t="s">
        <v>5430</v>
      </c>
      <c r="C3930" s="0" t="s">
        <v>37</v>
      </c>
      <c r="D3930" s="7" t="n">
        <v>1755</v>
      </c>
      <c r="E3930" s="8" t="n">
        <v>0.0273960113960114</v>
      </c>
      <c r="F3930" s="4" t="n">
        <f aca="false">D3930*E3930</f>
        <v>48.08</v>
      </c>
      <c r="G3930" s="7" t="n">
        <v>206</v>
      </c>
      <c r="H3930" s="9" t="n">
        <f aca="false">IF(G3930&gt;0,D3930/G3930,"")</f>
        <v>8.51941747572816</v>
      </c>
      <c r="I3930" s="10" t="n">
        <v>46288</v>
      </c>
      <c r="J3930" s="3" t="s">
        <v>5431</v>
      </c>
      <c r="K3930" s="10" t="n">
        <v>44764</v>
      </c>
      <c r="L3930" s="3" t="s">
        <v>19</v>
      </c>
      <c r="M3930" s="7" t="n">
        <v>5000</v>
      </c>
      <c r="N3930" s="8" t="n">
        <v>0.0274</v>
      </c>
      <c r="O3930" s="4" t="n">
        <f aca="false">M3930*N3930</f>
        <v>137</v>
      </c>
    </row>
    <row r="3931" customFormat="false" ht="15" hidden="false" customHeight="false" outlineLevel="0" collapsed="false">
      <c r="A3931" s="0" t="s">
        <v>5432</v>
      </c>
      <c r="C3931" s="0" t="s">
        <v>1010</v>
      </c>
      <c r="D3931" s="7" t="n">
        <v>684</v>
      </c>
      <c r="E3931" s="8" t="n">
        <v>0.070233918128655</v>
      </c>
      <c r="F3931" s="4" t="n">
        <f aca="false">D3931*E3931</f>
        <v>48.04</v>
      </c>
      <c r="G3931" s="7" t="n">
        <v>20</v>
      </c>
      <c r="H3931" s="9" t="n">
        <f aca="false">IF(G3931&gt;0,D3931/G3931,"")</f>
        <v>34.2</v>
      </c>
      <c r="I3931" s="10" t="n">
        <v>46111</v>
      </c>
      <c r="J3931" s="3" t="s">
        <v>628</v>
      </c>
      <c r="K3931" s="10" t="n">
        <v>46128</v>
      </c>
      <c r="L3931" s="3" t="s">
        <v>16</v>
      </c>
      <c r="M3931" s="7" t="n">
        <v>635</v>
      </c>
      <c r="N3931" s="8" t="n">
        <v>0.0653</v>
      </c>
      <c r="O3931" s="4" t="n">
        <f aca="false">M3931*N3931</f>
        <v>41.4655</v>
      </c>
    </row>
    <row r="3932" customFormat="false" ht="15" hidden="false" customHeight="false" outlineLevel="0" collapsed="false">
      <c r="A3932" s="0" t="s">
        <v>5433</v>
      </c>
      <c r="C3932" s="0" t="s">
        <v>31</v>
      </c>
      <c r="D3932" s="7" t="n">
        <v>4000</v>
      </c>
      <c r="E3932" s="8" t="n">
        <v>0.012</v>
      </c>
      <c r="F3932" s="4" t="n">
        <f aca="false">D3932*E3932</f>
        <v>48</v>
      </c>
      <c r="G3932" s="7" t="n">
        <v>772</v>
      </c>
      <c r="H3932" s="9" t="n">
        <f aca="false">IF(G3932&gt;0,D3932/G3932,"")</f>
        <v>5.18134715025907</v>
      </c>
      <c r="I3932" s="10" t="n">
        <v>46092</v>
      </c>
      <c r="J3932" s="3" t="s">
        <v>628</v>
      </c>
      <c r="K3932" s="10" t="n">
        <v>46128</v>
      </c>
      <c r="L3932" s="3" t="s">
        <v>16</v>
      </c>
      <c r="M3932" s="7" t="n">
        <v>4000</v>
      </c>
      <c r="N3932" s="8" t="n">
        <v>0.012</v>
      </c>
      <c r="O3932" s="4" t="n">
        <f aca="false">M3932*N3932</f>
        <v>48</v>
      </c>
    </row>
    <row r="3933" customFormat="false" ht="15" hidden="false" customHeight="false" outlineLevel="0" collapsed="false">
      <c r="A3933" s="0" t="s">
        <v>5434</v>
      </c>
      <c r="C3933" s="0" t="s">
        <v>31</v>
      </c>
      <c r="D3933" s="7" t="n">
        <v>5974</v>
      </c>
      <c r="E3933" s="8" t="n">
        <v>0.0080281218613994</v>
      </c>
      <c r="F3933" s="4" t="n">
        <f aca="false">D3933*E3933</f>
        <v>47.96</v>
      </c>
      <c r="G3933" s="7" t="n">
        <v>523</v>
      </c>
      <c r="H3933" s="9" t="n">
        <f aca="false">IF(G3933&gt;0,D3933/G3933,"")</f>
        <v>11.4225621414914</v>
      </c>
      <c r="I3933" s="10" t="n">
        <v>46289</v>
      </c>
      <c r="J3933" s="3" t="s">
        <v>478</v>
      </c>
      <c r="K3933" s="10" t="n">
        <v>46185</v>
      </c>
      <c r="L3933" s="3" t="s">
        <v>16</v>
      </c>
      <c r="M3933" s="7" t="n">
        <v>6000</v>
      </c>
      <c r="N3933" s="8" t="n">
        <v>0.008</v>
      </c>
      <c r="O3933" s="4" t="n">
        <f aca="false">M3933*N3933</f>
        <v>48</v>
      </c>
    </row>
    <row r="3934" customFormat="false" ht="15" hidden="false" customHeight="false" outlineLevel="0" collapsed="false">
      <c r="A3934" s="0" t="s">
        <v>5435</v>
      </c>
      <c r="C3934" s="0" t="s">
        <v>497</v>
      </c>
      <c r="D3934" s="7" t="n">
        <v>235</v>
      </c>
      <c r="E3934" s="8" t="n">
        <v>0.204</v>
      </c>
      <c r="F3934" s="4" t="n">
        <f aca="false">D3934*E3934</f>
        <v>47.94</v>
      </c>
      <c r="G3934" s="7" t="n">
        <v>17</v>
      </c>
      <c r="H3934" s="9" t="n">
        <f aca="false">IF(G3934&gt;0,D3934/G3934,"")</f>
        <v>13.8235294117647</v>
      </c>
      <c r="I3934" s="10" t="n">
        <v>46268</v>
      </c>
      <c r="K3934" s="10"/>
      <c r="M3934" s="7"/>
      <c r="N3934" s="8"/>
      <c r="O3934" s="4"/>
    </row>
    <row r="3935" customFormat="false" ht="15" hidden="false" customHeight="false" outlineLevel="0" collapsed="false">
      <c r="A3935" s="0" t="s">
        <v>5436</v>
      </c>
      <c r="C3935" s="0" t="s">
        <v>34</v>
      </c>
      <c r="D3935" s="7" t="n">
        <v>116</v>
      </c>
      <c r="E3935" s="8" t="n">
        <v>0.413275862068966</v>
      </c>
      <c r="F3935" s="4" t="n">
        <f aca="false">D3935*E3935</f>
        <v>47.94</v>
      </c>
      <c r="G3935" s="7" t="n">
        <v>20</v>
      </c>
      <c r="H3935" s="9" t="n">
        <f aca="false">IF(G3935&gt;0,D3935/G3935,"")</f>
        <v>5.8</v>
      </c>
      <c r="I3935" s="10" t="n">
        <v>46147</v>
      </c>
      <c r="J3935" s="3" t="s">
        <v>1480</v>
      </c>
      <c r="K3935" s="10" t="n">
        <v>46121</v>
      </c>
      <c r="L3935" s="3" t="s">
        <v>16</v>
      </c>
      <c r="M3935" s="7" t="n">
        <v>125</v>
      </c>
      <c r="N3935" s="8" t="n">
        <v>0.4054</v>
      </c>
      <c r="O3935" s="4" t="n">
        <f aca="false">M3935*N3935</f>
        <v>50.675</v>
      </c>
    </row>
    <row r="3936" customFormat="false" ht="15" hidden="false" customHeight="false" outlineLevel="0" collapsed="false">
      <c r="A3936" s="0" t="s">
        <v>5437</v>
      </c>
      <c r="C3936" s="0" t="s">
        <v>1039</v>
      </c>
      <c r="D3936" s="7" t="n">
        <v>654</v>
      </c>
      <c r="E3936" s="8" t="n">
        <v>0.0731957186544343</v>
      </c>
      <c r="F3936" s="4" t="n">
        <f aca="false">D3936*E3936</f>
        <v>47.87</v>
      </c>
      <c r="G3936" s="7" t="n">
        <v>60</v>
      </c>
      <c r="H3936" s="9" t="n">
        <f aca="false">IF(G3936&gt;0,D3936/G3936,"")</f>
        <v>10.9</v>
      </c>
      <c r="I3936" s="10" t="n">
        <v>46266</v>
      </c>
      <c r="J3936" s="3" t="s">
        <v>5119</v>
      </c>
      <c r="K3936" s="10" t="n">
        <v>46164</v>
      </c>
      <c r="L3936" s="3" t="s">
        <v>16</v>
      </c>
      <c r="M3936" s="7" t="n">
        <v>685</v>
      </c>
      <c r="N3936" s="8" t="n">
        <v>0.0732</v>
      </c>
      <c r="O3936" s="4" t="n">
        <f aca="false">M3936*N3936</f>
        <v>50.142</v>
      </c>
    </row>
    <row r="3937" customFormat="false" ht="15" hidden="false" customHeight="false" outlineLevel="0" collapsed="false">
      <c r="A3937" s="0" t="s">
        <v>5438</v>
      </c>
      <c r="C3937" s="0" t="s">
        <v>31</v>
      </c>
      <c r="D3937" s="7" t="n">
        <v>1036</v>
      </c>
      <c r="E3937" s="8" t="n">
        <v>0.0461969111969112</v>
      </c>
      <c r="F3937" s="4" t="n">
        <f aca="false">D3937*E3937</f>
        <v>47.86</v>
      </c>
      <c r="G3937" s="7" t="n">
        <v>475</v>
      </c>
      <c r="H3937" s="9" t="n">
        <f aca="false">IF(G3937&gt;0,D3937/G3937,"")</f>
        <v>2.18105263157895</v>
      </c>
      <c r="I3937" s="10" t="n">
        <v>46314</v>
      </c>
      <c r="J3937" s="3" t="s">
        <v>3107</v>
      </c>
      <c r="K3937" s="10" t="n">
        <v>46062</v>
      </c>
      <c r="L3937" s="3" t="s">
        <v>19</v>
      </c>
      <c r="M3937" s="7" t="n">
        <v>250</v>
      </c>
      <c r="N3937" s="8" t="n">
        <v>0.1376</v>
      </c>
      <c r="O3937" s="4" t="n">
        <f aca="false">M3937*N3937</f>
        <v>34.4</v>
      </c>
    </row>
    <row r="3938" customFormat="false" ht="15" hidden="false" customHeight="false" outlineLevel="0" collapsed="false">
      <c r="A3938" s="0" t="s">
        <v>5439</v>
      </c>
      <c r="C3938" s="0" t="s">
        <v>765</v>
      </c>
      <c r="D3938" s="7" t="n">
        <v>4932</v>
      </c>
      <c r="E3938" s="8" t="n">
        <v>0.00969991889699919</v>
      </c>
      <c r="F3938" s="4" t="n">
        <f aca="false">D3938*E3938</f>
        <v>47.84</v>
      </c>
      <c r="G3938" s="7" t="n">
        <v>638</v>
      </c>
      <c r="H3938" s="9" t="n">
        <f aca="false">IF(G3938&gt;0,D3938/G3938,"")</f>
        <v>7.73040752351097</v>
      </c>
      <c r="I3938" s="10" t="n">
        <v>46304</v>
      </c>
      <c r="K3938" s="10"/>
      <c r="M3938" s="7"/>
      <c r="N3938" s="8"/>
      <c r="O3938" s="4"/>
    </row>
    <row r="3939" customFormat="false" ht="15" hidden="false" customHeight="false" outlineLevel="0" collapsed="false">
      <c r="A3939" s="0" t="s">
        <v>5440</v>
      </c>
      <c r="C3939" s="0" t="s">
        <v>1802</v>
      </c>
      <c r="D3939" s="7" t="n">
        <v>36</v>
      </c>
      <c r="E3939" s="8" t="n">
        <v>1.32833333333333</v>
      </c>
      <c r="F3939" s="4" t="n">
        <f aca="false">D3939*E3939</f>
        <v>47.82</v>
      </c>
      <c r="G3939" s="7" t="n">
        <v>15</v>
      </c>
      <c r="H3939" s="9" t="n">
        <f aca="false">IF(G3939&gt;0,D3939/G3939,"")</f>
        <v>2.4</v>
      </c>
      <c r="I3939" s="10" t="n">
        <v>46260</v>
      </c>
      <c r="J3939" s="3" t="s">
        <v>5441</v>
      </c>
      <c r="K3939" s="10" t="n">
        <v>45201</v>
      </c>
      <c r="L3939" s="3" t="s">
        <v>14</v>
      </c>
      <c r="M3939" s="7" t="n">
        <v>100</v>
      </c>
      <c r="N3939" s="8" t="n">
        <v>1.3283</v>
      </c>
      <c r="O3939" s="4" t="n">
        <f aca="false">M3939*N3939</f>
        <v>132.83</v>
      </c>
    </row>
    <row r="3940" customFormat="false" ht="15" hidden="false" customHeight="false" outlineLevel="0" collapsed="false">
      <c r="A3940" s="0" t="s">
        <v>5442</v>
      </c>
      <c r="C3940" s="0" t="s">
        <v>118</v>
      </c>
      <c r="D3940" s="7" t="n">
        <v>566</v>
      </c>
      <c r="E3940" s="8" t="n">
        <v>0.0843992932862191</v>
      </c>
      <c r="F3940" s="4" t="n">
        <f aca="false">D3940*E3940</f>
        <v>47.77</v>
      </c>
      <c r="G3940" s="7" t="n">
        <v>11</v>
      </c>
      <c r="H3940" s="9" t="n">
        <f aca="false">IF(G3940&gt;0,D3940/G3940,"")</f>
        <v>51.4545454545455</v>
      </c>
      <c r="I3940" s="10" t="n">
        <v>46279</v>
      </c>
      <c r="J3940" s="3" t="s">
        <v>3385</v>
      </c>
      <c r="K3940" s="10" t="n">
        <v>45595</v>
      </c>
      <c r="L3940" s="3" t="s">
        <v>16</v>
      </c>
      <c r="M3940" s="7" t="n">
        <v>1500</v>
      </c>
      <c r="N3940" s="8" t="n">
        <v>0.0844</v>
      </c>
      <c r="O3940" s="4" t="n">
        <f aca="false">M3940*N3940</f>
        <v>126.6</v>
      </c>
    </row>
    <row r="3941" customFormat="false" ht="15" hidden="false" customHeight="false" outlineLevel="0" collapsed="false">
      <c r="A3941" s="0" t="s">
        <v>5443</v>
      </c>
      <c r="C3941" s="0" t="s">
        <v>36</v>
      </c>
      <c r="D3941" s="7" t="n">
        <v>1409</v>
      </c>
      <c r="E3941" s="8" t="n">
        <v>0.0338963804116395</v>
      </c>
      <c r="F3941" s="4" t="n">
        <f aca="false">D3941*E3941</f>
        <v>47.76</v>
      </c>
      <c r="G3941" s="7" t="n">
        <v>242</v>
      </c>
      <c r="H3941" s="9" t="n">
        <f aca="false">IF(G3941&gt;0,D3941/G3941,"")</f>
        <v>5.82231404958678</v>
      </c>
      <c r="I3941" s="10" t="n">
        <v>46178</v>
      </c>
      <c r="J3941" s="3" t="s">
        <v>3105</v>
      </c>
      <c r="K3941" s="10" t="n">
        <v>45405</v>
      </c>
      <c r="L3941" s="3" t="s">
        <v>18</v>
      </c>
      <c r="M3941" s="7" t="n">
        <v>2900</v>
      </c>
      <c r="N3941" s="8" t="n">
        <v>0.0339</v>
      </c>
      <c r="O3941" s="4" t="n">
        <f aca="false">M3941*N3941</f>
        <v>98.31</v>
      </c>
    </row>
    <row r="3942" customFormat="false" ht="15" hidden="false" customHeight="false" outlineLevel="0" collapsed="false">
      <c r="A3942" s="0" t="s">
        <v>5444</v>
      </c>
      <c r="C3942" s="0" t="s">
        <v>35</v>
      </c>
      <c r="D3942" s="7" t="n">
        <v>63</v>
      </c>
      <c r="E3942" s="8" t="n">
        <v>0.758095238095238</v>
      </c>
      <c r="F3942" s="4" t="n">
        <f aca="false">D3942*E3942</f>
        <v>47.76</v>
      </c>
      <c r="G3942" s="7" t="n">
        <v>12</v>
      </c>
      <c r="H3942" s="9" t="n">
        <f aca="false">IF(G3942&gt;0,D3942/G3942,"")</f>
        <v>5.25</v>
      </c>
      <c r="I3942" s="10" t="n">
        <v>46274</v>
      </c>
      <c r="J3942" s="3" t="s">
        <v>1192</v>
      </c>
      <c r="K3942" s="10" t="n">
        <v>45736</v>
      </c>
      <c r="L3942" s="3" t="s">
        <v>26</v>
      </c>
      <c r="M3942" s="7" t="n">
        <v>100</v>
      </c>
      <c r="N3942" s="8" t="n">
        <v>0.7581</v>
      </c>
      <c r="O3942" s="4" t="n">
        <f aca="false">M3942*N3942</f>
        <v>75.81</v>
      </c>
    </row>
    <row r="3943" customFormat="false" ht="15" hidden="false" customHeight="false" outlineLevel="0" collapsed="false">
      <c r="A3943" s="0" t="s">
        <v>5445</v>
      </c>
      <c r="C3943" s="0" t="s">
        <v>34</v>
      </c>
      <c r="D3943" s="7" t="n">
        <v>1173</v>
      </c>
      <c r="E3943" s="8" t="n">
        <v>0.0406990622335891</v>
      </c>
      <c r="F3943" s="4" t="n">
        <f aca="false">D3943*E3943</f>
        <v>47.74</v>
      </c>
      <c r="G3943" s="7" t="n">
        <v>120</v>
      </c>
      <c r="H3943" s="9" t="n">
        <f aca="false">IF(G3943&gt;0,D3943/G3943,"")</f>
        <v>9.775</v>
      </c>
      <c r="I3943" s="10" t="n">
        <v>46265</v>
      </c>
      <c r="J3943" s="3" t="s">
        <v>2716</v>
      </c>
      <c r="K3943" s="10" t="n">
        <v>46160</v>
      </c>
      <c r="L3943" s="3" t="s">
        <v>16</v>
      </c>
      <c r="M3943" s="7" t="n">
        <v>1230</v>
      </c>
      <c r="N3943" s="8" t="n">
        <v>0.0407</v>
      </c>
      <c r="O3943" s="4" t="n">
        <f aca="false">M3943*N3943</f>
        <v>50.061</v>
      </c>
    </row>
    <row r="3944" customFormat="false" ht="15" hidden="false" customHeight="false" outlineLevel="0" collapsed="false">
      <c r="A3944" s="0" t="s">
        <v>5446</v>
      </c>
      <c r="C3944" s="0" t="s">
        <v>979</v>
      </c>
      <c r="D3944" s="7" t="n">
        <v>88</v>
      </c>
      <c r="E3944" s="8" t="n">
        <v>0.541931818181818</v>
      </c>
      <c r="F3944" s="4" t="n">
        <f aca="false">D3944*E3944</f>
        <v>47.69</v>
      </c>
      <c r="G3944" s="7" t="n">
        <v>13</v>
      </c>
      <c r="H3944" s="9" t="n">
        <f aca="false">IF(G3944&gt;0,D3944/G3944,"")</f>
        <v>6.76923076923077</v>
      </c>
      <c r="I3944" s="10" t="n">
        <v>46216</v>
      </c>
      <c r="J3944" s="3" t="s">
        <v>3790</v>
      </c>
      <c r="K3944" s="10" t="n">
        <v>45609</v>
      </c>
      <c r="L3944" s="3" t="s">
        <v>18</v>
      </c>
      <c r="M3944" s="7" t="n">
        <v>180</v>
      </c>
      <c r="N3944" s="8" t="n">
        <v>0.542</v>
      </c>
      <c r="O3944" s="4" t="n">
        <f aca="false">M3944*N3944</f>
        <v>97.56</v>
      </c>
    </row>
    <row r="3945" customFormat="false" ht="15" hidden="false" customHeight="false" outlineLevel="0" collapsed="false">
      <c r="A3945" s="0" t="s">
        <v>5447</v>
      </c>
      <c r="C3945" s="0" t="s">
        <v>35</v>
      </c>
      <c r="D3945" s="7" t="n">
        <v>133</v>
      </c>
      <c r="E3945" s="8" t="n">
        <v>0.358045112781955</v>
      </c>
      <c r="F3945" s="4" t="n">
        <f aca="false">D3945*E3945</f>
        <v>47.62</v>
      </c>
      <c r="G3945" s="7" t="n">
        <v>19</v>
      </c>
      <c r="H3945" s="9" t="n">
        <f aca="false">IF(G3945&gt;0,D3945/G3945,"")</f>
        <v>7</v>
      </c>
      <c r="I3945" s="10" t="n">
        <v>46171</v>
      </c>
      <c r="J3945" s="3" t="s">
        <v>2924</v>
      </c>
      <c r="K3945" s="10" t="n">
        <v>44281</v>
      </c>
      <c r="L3945" s="3" t="s">
        <v>20</v>
      </c>
      <c r="M3945" s="7" t="n">
        <v>325</v>
      </c>
      <c r="N3945" s="8" t="n">
        <v>0.358</v>
      </c>
      <c r="O3945" s="4" t="n">
        <f aca="false">M3945*N3945</f>
        <v>116.35</v>
      </c>
    </row>
    <row r="3946" customFormat="false" ht="15" hidden="false" customHeight="false" outlineLevel="0" collapsed="false">
      <c r="A3946" s="0" t="s">
        <v>5448</v>
      </c>
      <c r="C3946" s="0" t="s">
        <v>855</v>
      </c>
      <c r="D3946" s="7" t="n">
        <v>136</v>
      </c>
      <c r="E3946" s="8" t="n">
        <v>0.35</v>
      </c>
      <c r="F3946" s="4" t="n">
        <f aca="false">D3946*E3946</f>
        <v>47.6</v>
      </c>
      <c r="G3946" s="7" t="n">
        <v>10</v>
      </c>
      <c r="H3946" s="9" t="n">
        <f aca="false">IF(G3946&gt;0,D3946/G3946,"")</f>
        <v>13.6</v>
      </c>
      <c r="I3946" s="10" t="n">
        <v>46037</v>
      </c>
      <c r="K3946" s="10"/>
      <c r="M3946" s="7"/>
      <c r="N3946" s="8"/>
      <c r="O3946" s="4"/>
    </row>
    <row r="3947" customFormat="false" ht="15" hidden="false" customHeight="false" outlineLevel="0" collapsed="false">
      <c r="A3947" s="0" t="s">
        <v>5449</v>
      </c>
      <c r="C3947" s="0" t="s">
        <v>45</v>
      </c>
      <c r="D3947" s="7" t="n">
        <v>61</v>
      </c>
      <c r="E3947" s="8" t="n">
        <v>0.78</v>
      </c>
      <c r="F3947" s="4" t="n">
        <f aca="false">D3947*E3947</f>
        <v>47.58</v>
      </c>
      <c r="G3947" s="7" t="n">
        <v>4</v>
      </c>
      <c r="H3947" s="9" t="n">
        <f aca="false">IF(G3947&gt;0,D3947/G3947,"")</f>
        <v>15.25</v>
      </c>
      <c r="I3947" s="10" t="n">
        <v>46191</v>
      </c>
      <c r="J3947" s="3" t="s">
        <v>345</v>
      </c>
      <c r="K3947" s="10" t="n">
        <v>46183</v>
      </c>
      <c r="L3947" s="3" t="s">
        <v>14</v>
      </c>
      <c r="M3947" s="7" t="n">
        <v>65</v>
      </c>
      <c r="N3947" s="8" t="n">
        <v>0.7808</v>
      </c>
      <c r="O3947" s="4" t="n">
        <f aca="false">M3947*N3947</f>
        <v>50.752</v>
      </c>
    </row>
    <row r="3948" customFormat="false" ht="15" hidden="false" customHeight="false" outlineLevel="0" collapsed="false">
      <c r="A3948" s="0" t="s">
        <v>5450</v>
      </c>
      <c r="C3948" s="0" t="s">
        <v>31</v>
      </c>
      <c r="D3948" s="7" t="n">
        <v>7808</v>
      </c>
      <c r="E3948" s="8" t="n">
        <v>0.00608094262295082</v>
      </c>
      <c r="F3948" s="4" t="n">
        <f aca="false">D3948*E3948</f>
        <v>47.48</v>
      </c>
      <c r="G3948" s="7" t="n">
        <v>258</v>
      </c>
      <c r="H3948" s="9" t="n">
        <f aca="false">IF(G3948&gt;0,D3948/G3948,"")</f>
        <v>30.2635658914729</v>
      </c>
      <c r="I3948" s="10" t="n">
        <v>46072</v>
      </c>
      <c r="J3948" s="3" t="s">
        <v>5451</v>
      </c>
      <c r="K3948" s="10" t="n">
        <v>44635</v>
      </c>
      <c r="L3948" s="3" t="s">
        <v>16</v>
      </c>
      <c r="M3948" s="7" t="n">
        <v>3129</v>
      </c>
      <c r="N3948" s="8" t="n">
        <v>0.005</v>
      </c>
      <c r="O3948" s="4" t="n">
        <f aca="false">M3948*N3948</f>
        <v>15.645</v>
      </c>
    </row>
    <row r="3949" customFormat="false" ht="15" hidden="false" customHeight="false" outlineLevel="0" collapsed="false">
      <c r="A3949" s="0" t="s">
        <v>5452</v>
      </c>
      <c r="C3949" s="0" t="s">
        <v>34</v>
      </c>
      <c r="D3949" s="7" t="n">
        <v>723</v>
      </c>
      <c r="E3949" s="8" t="n">
        <v>0.0656016597510374</v>
      </c>
      <c r="F3949" s="4" t="n">
        <f aca="false">D3949*E3949</f>
        <v>47.43</v>
      </c>
      <c r="G3949" s="7" t="n">
        <v>370</v>
      </c>
      <c r="H3949" s="9" t="n">
        <f aca="false">IF(G3949&gt;0,D3949/G3949,"")</f>
        <v>1.95405405405405</v>
      </c>
      <c r="I3949" s="10" t="n">
        <v>46294</v>
      </c>
      <c r="J3949" s="3" t="s">
        <v>495</v>
      </c>
      <c r="K3949" s="10" t="n">
        <v>45925</v>
      </c>
      <c r="L3949" s="3" t="s">
        <v>16</v>
      </c>
      <c r="M3949" s="7" t="n">
        <v>1050</v>
      </c>
      <c r="N3949" s="8" t="n">
        <v>0.0656</v>
      </c>
      <c r="O3949" s="4" t="n">
        <f aca="false">M3949*N3949</f>
        <v>68.88</v>
      </c>
    </row>
    <row r="3950" customFormat="false" ht="15" hidden="false" customHeight="false" outlineLevel="0" collapsed="false">
      <c r="A3950" s="0" t="s">
        <v>5453</v>
      </c>
      <c r="C3950" s="0" t="s">
        <v>32</v>
      </c>
      <c r="D3950" s="7" t="n">
        <v>132</v>
      </c>
      <c r="E3950" s="8" t="n">
        <v>0.359242424242424</v>
      </c>
      <c r="F3950" s="4" t="n">
        <f aca="false">D3950*E3950</f>
        <v>47.42</v>
      </c>
      <c r="G3950" s="7" t="n">
        <v>32</v>
      </c>
      <c r="H3950" s="9" t="n">
        <f aca="false">IF(G3950&gt;0,D3950/G3950,"")</f>
        <v>4.125</v>
      </c>
      <c r="I3950" s="10" t="n">
        <v>46265</v>
      </c>
      <c r="J3950" s="3" t="s">
        <v>2182</v>
      </c>
      <c r="K3950" s="10" t="n">
        <v>45457</v>
      </c>
      <c r="L3950" s="3" t="s">
        <v>18</v>
      </c>
      <c r="M3950" s="7" t="n">
        <v>250</v>
      </c>
      <c r="N3950" s="8" t="n">
        <v>0.3593</v>
      </c>
      <c r="O3950" s="4" t="n">
        <f aca="false">M3950*N3950</f>
        <v>89.825</v>
      </c>
    </row>
    <row r="3951" customFormat="false" ht="15" hidden="false" customHeight="false" outlineLevel="0" collapsed="false">
      <c r="A3951" s="0" t="s">
        <v>5454</v>
      </c>
      <c r="C3951" s="0" t="s">
        <v>41</v>
      </c>
      <c r="D3951" s="7" t="n">
        <v>7246</v>
      </c>
      <c r="E3951" s="8" t="n">
        <v>0.00654016008832459</v>
      </c>
      <c r="F3951" s="4" t="n">
        <f aca="false">D3951*E3951</f>
        <v>47.39</v>
      </c>
      <c r="G3951" s="7" t="n">
        <v>805</v>
      </c>
      <c r="H3951" s="9" t="n">
        <f aca="false">IF(G3951&gt;0,D3951/G3951,"")</f>
        <v>9.00124223602485</v>
      </c>
      <c r="I3951" s="10" t="n">
        <v>46317</v>
      </c>
      <c r="J3951" s="3" t="s">
        <v>5455</v>
      </c>
      <c r="K3951" s="10" t="n">
        <v>44638</v>
      </c>
      <c r="L3951" s="3" t="s">
        <v>15</v>
      </c>
      <c r="M3951" s="7" t="n">
        <v>31598</v>
      </c>
      <c r="N3951" s="8" t="n">
        <v>0</v>
      </c>
      <c r="O3951" s="4" t="n">
        <v>244.62</v>
      </c>
    </row>
    <row r="3952" customFormat="false" ht="15" hidden="false" customHeight="false" outlineLevel="0" collapsed="false">
      <c r="A3952" s="0" t="s">
        <v>5456</v>
      </c>
      <c r="C3952" s="0" t="s">
        <v>31</v>
      </c>
      <c r="D3952" s="7" t="n">
        <v>660</v>
      </c>
      <c r="E3952" s="8" t="n">
        <v>0.0717878787878788</v>
      </c>
      <c r="F3952" s="4" t="n">
        <f aca="false">D3952*E3952</f>
        <v>47.38</v>
      </c>
      <c r="G3952" s="7" t="n">
        <v>40</v>
      </c>
      <c r="H3952" s="9" t="n">
        <f aca="false">IF(G3952&gt;0,D3952/G3952,"")</f>
        <v>16.5</v>
      </c>
      <c r="I3952" s="10" t="n">
        <v>46304</v>
      </c>
      <c r="J3952" s="3" t="s">
        <v>2716</v>
      </c>
      <c r="K3952" s="10" t="n">
        <v>46160</v>
      </c>
      <c r="L3952" s="3" t="s">
        <v>16</v>
      </c>
      <c r="M3952" s="7" t="n">
        <v>700</v>
      </c>
      <c r="N3952" s="8" t="n">
        <v>0.0718</v>
      </c>
      <c r="O3952" s="4" t="n">
        <f aca="false">M3952*N3952</f>
        <v>50.26</v>
      </c>
    </row>
    <row r="3953" customFormat="false" ht="15" hidden="false" customHeight="false" outlineLevel="0" collapsed="false">
      <c r="A3953" s="0" t="s">
        <v>5457</v>
      </c>
      <c r="C3953" s="0" t="s">
        <v>1039</v>
      </c>
      <c r="D3953" s="7" t="n">
        <v>4386</v>
      </c>
      <c r="E3953" s="8" t="n">
        <v>0.0108025535795714</v>
      </c>
      <c r="F3953" s="4" t="n">
        <f aca="false">D3953*E3953</f>
        <v>47.38</v>
      </c>
      <c r="G3953" s="7" t="n">
        <v>550</v>
      </c>
      <c r="H3953" s="9" t="n">
        <f aca="false">IF(G3953&gt;0,D3953/G3953,"")</f>
        <v>7.97454545454546</v>
      </c>
      <c r="I3953" s="10" t="n">
        <v>46192</v>
      </c>
      <c r="J3953" s="3" t="s">
        <v>5458</v>
      </c>
      <c r="K3953" s="10" t="n">
        <v>45450</v>
      </c>
      <c r="L3953" s="3" t="s">
        <v>19</v>
      </c>
      <c r="M3953" s="7" t="n">
        <v>5000</v>
      </c>
      <c r="N3953" s="8" t="n">
        <v>0.0108</v>
      </c>
      <c r="O3953" s="4" t="n">
        <f aca="false">M3953*N3953</f>
        <v>54</v>
      </c>
    </row>
    <row r="3954" customFormat="false" ht="15" hidden="false" customHeight="false" outlineLevel="0" collapsed="false">
      <c r="A3954" s="0" t="s">
        <v>5459</v>
      </c>
      <c r="C3954" s="0" t="s">
        <v>34</v>
      </c>
      <c r="D3954" s="7" t="n">
        <v>103</v>
      </c>
      <c r="E3954" s="8" t="n">
        <v>0.459902912621359</v>
      </c>
      <c r="F3954" s="4" t="n">
        <f aca="false">D3954*E3954</f>
        <v>47.37</v>
      </c>
      <c r="G3954" s="7" t="n">
        <v>20</v>
      </c>
      <c r="H3954" s="9" t="n">
        <f aca="false">IF(G3954&gt;0,D3954/G3954,"")</f>
        <v>5.15</v>
      </c>
      <c r="I3954" s="10" t="n">
        <v>46314</v>
      </c>
      <c r="J3954" s="3" t="s">
        <v>1846</v>
      </c>
      <c r="K3954" s="10" t="n">
        <v>46288</v>
      </c>
      <c r="L3954" s="3" t="s">
        <v>16</v>
      </c>
      <c r="M3954" s="7" t="n">
        <v>115</v>
      </c>
      <c r="N3954" s="8" t="n">
        <v>0.4599</v>
      </c>
      <c r="O3954" s="4" t="n">
        <f aca="false">M3954*N3954</f>
        <v>52.8885</v>
      </c>
    </row>
    <row r="3955" customFormat="false" ht="15" hidden="false" customHeight="false" outlineLevel="0" collapsed="false">
      <c r="A3955" s="0" t="s">
        <v>5460</v>
      </c>
      <c r="C3955" s="0" t="s">
        <v>34</v>
      </c>
      <c r="D3955" s="7" t="n">
        <v>100</v>
      </c>
      <c r="E3955" s="8" t="n">
        <v>0.4733</v>
      </c>
      <c r="F3955" s="4" t="n">
        <f aca="false">D3955*E3955</f>
        <v>47.33</v>
      </c>
      <c r="G3955" s="7" t="n">
        <v>72</v>
      </c>
      <c r="H3955" s="9" t="n">
        <f aca="false">IF(G3955&gt;0,D3955/G3955,"")</f>
        <v>1.38888888888889</v>
      </c>
      <c r="I3955" s="10" t="n">
        <v>46087</v>
      </c>
      <c r="J3955" s="3" t="s">
        <v>4645</v>
      </c>
      <c r="K3955" s="10" t="n">
        <v>46310</v>
      </c>
      <c r="L3955" s="3" t="s">
        <v>16</v>
      </c>
      <c r="M3955" s="7" t="n">
        <v>1400</v>
      </c>
      <c r="N3955" s="8" t="n">
        <v>0.1099</v>
      </c>
      <c r="O3955" s="4" t="n">
        <f aca="false">M3955*N3955</f>
        <v>153.86</v>
      </c>
    </row>
    <row r="3956" customFormat="false" ht="15" hidden="false" customHeight="false" outlineLevel="0" collapsed="false">
      <c r="A3956" s="0" t="s">
        <v>5461</v>
      </c>
      <c r="C3956" s="0" t="s">
        <v>32</v>
      </c>
      <c r="D3956" s="7" t="n">
        <v>26</v>
      </c>
      <c r="E3956" s="8" t="n">
        <v>1.81692307692308</v>
      </c>
      <c r="F3956" s="4" t="n">
        <f aca="false">D3956*E3956</f>
        <v>47.24</v>
      </c>
      <c r="G3956" s="7" t="n">
        <v>14</v>
      </c>
      <c r="H3956" s="9" t="n">
        <f aca="false">IF(G3956&gt;0,D3956/G3956,"")</f>
        <v>1.85714285714286</v>
      </c>
      <c r="I3956" s="10" t="n">
        <v>46212</v>
      </c>
      <c r="K3956" s="10"/>
      <c r="M3956" s="7"/>
      <c r="N3956" s="8"/>
      <c r="O3956" s="4"/>
    </row>
    <row r="3957" customFormat="false" ht="15" hidden="false" customHeight="false" outlineLevel="0" collapsed="false">
      <c r="A3957" s="0" t="s">
        <v>5462</v>
      </c>
      <c r="C3957" s="0" t="s">
        <v>39</v>
      </c>
      <c r="D3957" s="7" t="n">
        <v>321</v>
      </c>
      <c r="E3957" s="8" t="n">
        <v>0.146884735202492</v>
      </c>
      <c r="F3957" s="4" t="n">
        <f aca="false">D3957*E3957</f>
        <v>47.15</v>
      </c>
      <c r="G3957" s="7" t="n">
        <v>105</v>
      </c>
      <c r="H3957" s="9" t="n">
        <f aca="false">IF(G3957&gt;0,D3957/G3957,"")</f>
        <v>3.05714285714286</v>
      </c>
      <c r="I3957" s="10" t="n">
        <v>46202</v>
      </c>
      <c r="J3957" s="3" t="s">
        <v>4912</v>
      </c>
      <c r="K3957" s="10" t="n">
        <v>44462</v>
      </c>
      <c r="L3957" s="3" t="s">
        <v>18</v>
      </c>
      <c r="M3957" s="7" t="n">
        <v>680</v>
      </c>
      <c r="N3957" s="8" t="n">
        <v>0.1469</v>
      </c>
      <c r="O3957" s="4" t="n">
        <f aca="false">M3957*N3957</f>
        <v>99.892</v>
      </c>
    </row>
    <row r="3958" customFormat="false" ht="15" hidden="false" customHeight="false" outlineLevel="0" collapsed="false">
      <c r="A3958" s="0" t="s">
        <v>5463</v>
      </c>
      <c r="C3958" s="0" t="s">
        <v>855</v>
      </c>
      <c r="D3958" s="7" t="n">
        <v>10280</v>
      </c>
      <c r="E3958" s="8" t="n">
        <v>0.00458657587548638</v>
      </c>
      <c r="F3958" s="4" t="n">
        <f aca="false">D3958*E3958</f>
        <v>47.15</v>
      </c>
      <c r="G3958" s="7" t="n">
        <v>658</v>
      </c>
      <c r="H3958" s="9" t="n">
        <f aca="false">IF(G3958&gt;0,D3958/G3958,"")</f>
        <v>15.6231003039514</v>
      </c>
      <c r="I3958" s="10" t="n">
        <v>46308</v>
      </c>
      <c r="J3958" s="3" t="s">
        <v>3121</v>
      </c>
      <c r="K3958" s="10" t="n">
        <v>45447</v>
      </c>
      <c r="L3958" s="3" t="s">
        <v>16</v>
      </c>
      <c r="M3958" s="7" t="n">
        <v>12075</v>
      </c>
      <c r="N3958" s="8" t="n">
        <v>0.00459</v>
      </c>
      <c r="O3958" s="4" t="n">
        <f aca="false">M3958*N3958</f>
        <v>55.42425</v>
      </c>
    </row>
    <row r="3959" customFormat="false" ht="15" hidden="false" customHeight="false" outlineLevel="0" collapsed="false">
      <c r="A3959" s="0" t="s">
        <v>5464</v>
      </c>
      <c r="C3959" s="0" t="s">
        <v>38</v>
      </c>
      <c r="D3959" s="7" t="n">
        <v>1322</v>
      </c>
      <c r="E3959" s="8" t="n">
        <v>0.0355975794251135</v>
      </c>
      <c r="F3959" s="4" t="n">
        <f aca="false">D3959*E3959</f>
        <v>47.06</v>
      </c>
      <c r="G3959" s="7" t="n">
        <v>40</v>
      </c>
      <c r="H3959" s="9" t="n">
        <f aca="false">IF(G3959&gt;0,D3959/G3959,"")</f>
        <v>33.05</v>
      </c>
      <c r="I3959" s="10" t="n">
        <v>46139</v>
      </c>
      <c r="J3959" s="3" t="s">
        <v>5465</v>
      </c>
      <c r="K3959" s="10" t="n">
        <v>45113</v>
      </c>
      <c r="L3959" s="3" t="s">
        <v>19</v>
      </c>
      <c r="M3959" s="7" t="n">
        <v>1650</v>
      </c>
      <c r="N3959" s="8" t="n">
        <v>0.0356</v>
      </c>
      <c r="O3959" s="4" t="n">
        <f aca="false">M3959*N3959</f>
        <v>58.74</v>
      </c>
    </row>
    <row r="3960" customFormat="false" ht="15" hidden="false" customHeight="false" outlineLevel="0" collapsed="false">
      <c r="A3960" s="0" t="s">
        <v>5466</v>
      </c>
      <c r="C3960" s="0" t="s">
        <v>40</v>
      </c>
      <c r="D3960" s="7" t="n">
        <v>389</v>
      </c>
      <c r="E3960" s="8" t="n">
        <v>0.120874035989717</v>
      </c>
      <c r="F3960" s="4" t="n">
        <f aca="false">D3960*E3960</f>
        <v>47.02</v>
      </c>
      <c r="G3960" s="7" t="n">
        <v>227</v>
      </c>
      <c r="H3960" s="9" t="n">
        <f aca="false">IF(G3960&gt;0,D3960/G3960,"")</f>
        <v>1.7136563876652</v>
      </c>
      <c r="I3960" s="10" t="n">
        <v>46314</v>
      </c>
      <c r="K3960" s="10"/>
      <c r="M3960" s="7"/>
      <c r="N3960" s="8"/>
      <c r="O3960" s="4"/>
    </row>
    <row r="3961" customFormat="false" ht="15" hidden="false" customHeight="false" outlineLevel="0" collapsed="false">
      <c r="A3961" s="0" t="s">
        <v>5467</v>
      </c>
      <c r="C3961" s="0" t="s">
        <v>298</v>
      </c>
      <c r="D3961" s="7" t="n">
        <v>25</v>
      </c>
      <c r="E3961" s="8" t="n">
        <v>1.8796</v>
      </c>
      <c r="F3961" s="4" t="n">
        <f aca="false">D3961*E3961</f>
        <v>46.99</v>
      </c>
      <c r="G3961" s="7" t="n">
        <v>10</v>
      </c>
      <c r="H3961" s="9" t="n">
        <f aca="false">IF(G3961&gt;0,D3961/G3961,"")</f>
        <v>2.5</v>
      </c>
      <c r="I3961" s="10" t="n">
        <v>46148</v>
      </c>
      <c r="J3961" s="3" t="s">
        <v>821</v>
      </c>
      <c r="K3961" s="10" t="n">
        <v>45364</v>
      </c>
      <c r="L3961" s="3" t="s">
        <v>14</v>
      </c>
      <c r="M3961" s="7" t="n">
        <v>50</v>
      </c>
      <c r="N3961" s="8" t="n">
        <v>1.8798</v>
      </c>
      <c r="O3961" s="4" t="n">
        <f aca="false">M3961*N3961</f>
        <v>93.99</v>
      </c>
    </row>
    <row r="3962" customFormat="false" ht="15" hidden="false" customHeight="false" outlineLevel="0" collapsed="false">
      <c r="A3962" s="0" t="s">
        <v>5468</v>
      </c>
      <c r="C3962" s="0" t="s">
        <v>36</v>
      </c>
      <c r="D3962" s="7" t="n">
        <v>1605</v>
      </c>
      <c r="E3962" s="8" t="n">
        <v>0.0292523364485981</v>
      </c>
      <c r="F3962" s="4" t="n">
        <f aca="false">D3962*E3962</f>
        <v>46.95</v>
      </c>
      <c r="G3962" s="7" t="n">
        <v>916</v>
      </c>
      <c r="H3962" s="9" t="n">
        <f aca="false">IF(G3962&gt;0,D3962/G3962,"")</f>
        <v>1.75218340611354</v>
      </c>
      <c r="I3962" s="10" t="n">
        <v>46309</v>
      </c>
      <c r="J3962" s="3" t="s">
        <v>234</v>
      </c>
      <c r="K3962" s="10" t="n">
        <v>44726</v>
      </c>
      <c r="L3962" s="3" t="s">
        <v>15</v>
      </c>
      <c r="M3962" s="7" t="n">
        <v>8303</v>
      </c>
      <c r="N3962" s="8" t="n">
        <v>0.03218</v>
      </c>
      <c r="O3962" s="4" t="n">
        <v>247.55075</v>
      </c>
    </row>
    <row r="3963" customFormat="false" ht="15" hidden="false" customHeight="false" outlineLevel="0" collapsed="false">
      <c r="A3963" s="0" t="s">
        <v>5469</v>
      </c>
      <c r="C3963" s="0" t="s">
        <v>45</v>
      </c>
      <c r="D3963" s="7" t="n">
        <v>77</v>
      </c>
      <c r="E3963" s="8" t="n">
        <v>0.608831168831169</v>
      </c>
      <c r="F3963" s="4" t="n">
        <f aca="false">D3963*E3963</f>
        <v>46.88</v>
      </c>
      <c r="G3963" s="7" t="n">
        <v>6</v>
      </c>
      <c r="H3963" s="9" t="n">
        <f aca="false">IF(G3963&gt;0,D3963/G3963,"")</f>
        <v>12.8333333333333</v>
      </c>
      <c r="I3963" s="10" t="n">
        <v>46191</v>
      </c>
      <c r="J3963" s="3" t="s">
        <v>345</v>
      </c>
      <c r="K3963" s="10" t="n">
        <v>46183</v>
      </c>
      <c r="L3963" s="3" t="s">
        <v>14</v>
      </c>
      <c r="M3963" s="7" t="n">
        <v>83</v>
      </c>
      <c r="N3963" s="8" t="n">
        <v>0.6088</v>
      </c>
      <c r="O3963" s="4" t="n">
        <f aca="false">M3963*N3963</f>
        <v>50.5304</v>
      </c>
    </row>
    <row r="3964" customFormat="false" ht="15" hidden="false" customHeight="false" outlineLevel="0" collapsed="false">
      <c r="A3964" s="0" t="s">
        <v>5470</v>
      </c>
      <c r="C3964" s="0" t="s">
        <v>79</v>
      </c>
      <c r="D3964" s="7" t="n">
        <v>11</v>
      </c>
      <c r="E3964" s="8" t="n">
        <v>4.25818181818182</v>
      </c>
      <c r="F3964" s="4" t="n">
        <f aca="false">D3964*E3964</f>
        <v>46.84</v>
      </c>
      <c r="G3964" s="7" t="n">
        <v>1</v>
      </c>
      <c r="H3964" s="9" t="n">
        <f aca="false">IF(G3964&gt;0,D3964/G3964,"")</f>
        <v>11</v>
      </c>
      <c r="I3964" s="10" t="n">
        <v>46287</v>
      </c>
      <c r="J3964" s="3" t="s">
        <v>1616</v>
      </c>
      <c r="K3964" s="10" t="n">
        <v>46266</v>
      </c>
      <c r="L3964" s="3" t="s">
        <v>16</v>
      </c>
      <c r="M3964" s="7" t="n">
        <v>12</v>
      </c>
      <c r="N3964" s="8" t="n">
        <v>4.2584</v>
      </c>
      <c r="O3964" s="4" t="n">
        <f aca="false">M3964*N3964</f>
        <v>51.1008</v>
      </c>
    </row>
    <row r="3965" customFormat="false" ht="15" hidden="false" customHeight="false" outlineLevel="0" collapsed="false">
      <c r="A3965" s="0" t="s">
        <v>5471</v>
      </c>
      <c r="C3965" s="0" t="s">
        <v>45</v>
      </c>
      <c r="D3965" s="7" t="n">
        <v>561</v>
      </c>
      <c r="E3965" s="8" t="n">
        <v>0.083475935828877</v>
      </c>
      <c r="F3965" s="4" t="n">
        <f aca="false">D3965*E3965</f>
        <v>46.83</v>
      </c>
      <c r="G3965" s="7" t="n">
        <v>269</v>
      </c>
      <c r="H3965" s="9" t="n">
        <f aca="false">IF(G3965&gt;0,D3965/G3965,"")</f>
        <v>2.08550185873606</v>
      </c>
      <c r="I3965" s="10" t="n">
        <v>46301</v>
      </c>
      <c r="J3965" s="3" t="s">
        <v>2387</v>
      </c>
      <c r="K3965" s="10" t="n">
        <v>44356</v>
      </c>
      <c r="L3965" s="3" t="s">
        <v>23</v>
      </c>
      <c r="M3965" s="7" t="n">
        <v>1000</v>
      </c>
      <c r="N3965" s="8" t="n">
        <v>0.0835</v>
      </c>
      <c r="O3965" s="4" t="n">
        <f aca="false">M3965*N3965</f>
        <v>83.5</v>
      </c>
    </row>
    <row r="3966" customFormat="false" ht="15" hidden="false" customHeight="false" outlineLevel="0" collapsed="false">
      <c r="A3966" s="0" t="s">
        <v>5472</v>
      </c>
      <c r="C3966" s="0" t="s">
        <v>31</v>
      </c>
      <c r="D3966" s="7" t="n">
        <v>645</v>
      </c>
      <c r="E3966" s="8" t="n">
        <v>0.0725891472868217</v>
      </c>
      <c r="F3966" s="4" t="n">
        <f aca="false">D3966*E3966</f>
        <v>46.82</v>
      </c>
      <c r="G3966" s="7" t="n">
        <v>20</v>
      </c>
      <c r="H3966" s="9" t="n">
        <f aca="false">IF(G3966&gt;0,D3966/G3966,"")</f>
        <v>32.25</v>
      </c>
      <c r="I3966" s="10" t="n">
        <v>46281</v>
      </c>
      <c r="K3966" s="10"/>
      <c r="M3966" s="7"/>
      <c r="N3966" s="8"/>
      <c r="O3966" s="4"/>
    </row>
    <row r="3967" customFormat="false" ht="15" hidden="false" customHeight="false" outlineLevel="0" collapsed="false">
      <c r="A3967" s="0" t="s">
        <v>5473</v>
      </c>
      <c r="C3967" s="0" t="s">
        <v>40</v>
      </c>
      <c r="D3967" s="7" t="n">
        <v>1793</v>
      </c>
      <c r="E3967" s="8" t="n">
        <v>0.0261070831009481</v>
      </c>
      <c r="F3967" s="4" t="n">
        <f aca="false">D3967*E3967</f>
        <v>46.81</v>
      </c>
      <c r="G3967" s="7" t="n">
        <v>648</v>
      </c>
      <c r="H3967" s="9" t="n">
        <f aca="false">IF(G3967&gt;0,D3967/G3967,"")</f>
        <v>2.76697530864198</v>
      </c>
      <c r="I3967" s="10" t="n">
        <v>46202</v>
      </c>
      <c r="J3967" s="3" t="s">
        <v>3790</v>
      </c>
      <c r="K3967" s="10" t="n">
        <v>45609</v>
      </c>
      <c r="L3967" s="3" t="s">
        <v>18</v>
      </c>
      <c r="M3967" s="7" t="n">
        <v>3800</v>
      </c>
      <c r="N3967" s="8" t="n">
        <v>0.0261</v>
      </c>
      <c r="O3967" s="4" t="n">
        <f aca="false">M3967*N3967</f>
        <v>99.18</v>
      </c>
    </row>
    <row r="3968" customFormat="false" ht="15" hidden="false" customHeight="false" outlineLevel="0" collapsed="false">
      <c r="A3968" s="0" t="s">
        <v>5474</v>
      </c>
      <c r="C3968" s="0" t="s">
        <v>1169</v>
      </c>
      <c r="D3968" s="7" t="n">
        <v>176</v>
      </c>
      <c r="E3968" s="8" t="n">
        <v>0.265909090909091</v>
      </c>
      <c r="F3968" s="4" t="n">
        <f aca="false">D3968*E3968</f>
        <v>46.8</v>
      </c>
      <c r="G3968" s="7" t="n">
        <v>50</v>
      </c>
      <c r="H3968" s="9" t="n">
        <f aca="false">IF(G3968&gt;0,D3968/G3968,"")</f>
        <v>3.52</v>
      </c>
      <c r="I3968" s="10" t="n">
        <v>46258</v>
      </c>
      <c r="J3968" s="3" t="s">
        <v>1628</v>
      </c>
      <c r="K3968" s="10" t="n">
        <v>45840</v>
      </c>
      <c r="L3968" s="3" t="s">
        <v>19</v>
      </c>
      <c r="M3968" s="7" t="n">
        <v>250</v>
      </c>
      <c r="N3968" s="8" t="n">
        <v>0.2659</v>
      </c>
      <c r="O3968" s="4" t="n">
        <f aca="false">M3968*N3968</f>
        <v>66.475</v>
      </c>
    </row>
    <row r="3969" customFormat="false" ht="15" hidden="false" customHeight="false" outlineLevel="0" collapsed="false">
      <c r="A3969" s="0" t="s">
        <v>5475</v>
      </c>
      <c r="C3969" s="0" t="s">
        <v>715</v>
      </c>
      <c r="D3969" s="7" t="n">
        <v>878</v>
      </c>
      <c r="E3969" s="8" t="n">
        <v>0.0533029612756264</v>
      </c>
      <c r="F3969" s="4" t="n">
        <f aca="false">D3969*E3969</f>
        <v>46.8</v>
      </c>
      <c r="G3969" s="7" t="n">
        <v>415</v>
      </c>
      <c r="H3969" s="9" t="n">
        <f aca="false">IF(G3969&gt;0,D3969/G3969,"")</f>
        <v>2.11566265060241</v>
      </c>
      <c r="I3969" s="10" t="n">
        <v>46287</v>
      </c>
      <c r="J3969" s="3" t="s">
        <v>606</v>
      </c>
      <c r="K3969" s="10" t="n">
        <v>46252</v>
      </c>
      <c r="L3969" s="3" t="s">
        <v>16</v>
      </c>
      <c r="M3969" s="7" t="n">
        <v>1000</v>
      </c>
      <c r="N3969" s="8" t="n">
        <v>0.0533</v>
      </c>
      <c r="O3969" s="4" t="n">
        <f aca="false">M3969*N3969</f>
        <v>53.3</v>
      </c>
    </row>
    <row r="3970" customFormat="false" ht="15" hidden="false" customHeight="false" outlineLevel="0" collapsed="false">
      <c r="A3970" s="0" t="s">
        <v>5476</v>
      </c>
      <c r="C3970" s="0" t="s">
        <v>679</v>
      </c>
      <c r="D3970" s="7" t="n">
        <v>24</v>
      </c>
      <c r="E3970" s="8" t="n">
        <v>1.95</v>
      </c>
      <c r="F3970" s="4" t="n">
        <f aca="false">D3970*E3970</f>
        <v>46.8</v>
      </c>
      <c r="G3970" s="7" t="n">
        <v>1</v>
      </c>
      <c r="H3970" s="9" t="n">
        <f aca="false">IF(G3970&gt;0,D3970/G3970,"")</f>
        <v>24</v>
      </c>
      <c r="I3970" s="10" t="n">
        <v>46101</v>
      </c>
      <c r="J3970" s="3" t="s">
        <v>4865</v>
      </c>
      <c r="K3970" s="10" t="n">
        <v>46094</v>
      </c>
      <c r="L3970" s="3" t="s">
        <v>313</v>
      </c>
      <c r="M3970" s="7" t="n">
        <v>25</v>
      </c>
      <c r="N3970" s="8" t="n">
        <v>1.95</v>
      </c>
      <c r="O3970" s="4" t="n">
        <f aca="false">M3970*N3970</f>
        <v>48.75</v>
      </c>
    </row>
    <row r="3971" customFormat="false" ht="15" hidden="false" customHeight="false" outlineLevel="0" collapsed="false">
      <c r="A3971" s="0" t="s">
        <v>5477</v>
      </c>
      <c r="C3971" s="0" t="s">
        <v>31</v>
      </c>
      <c r="D3971" s="7" t="n">
        <v>7789</v>
      </c>
      <c r="E3971" s="8" t="n">
        <v>0.00600077031711388</v>
      </c>
      <c r="F3971" s="4" t="n">
        <f aca="false">D3971*E3971</f>
        <v>46.74</v>
      </c>
      <c r="G3971" s="7" t="n">
        <v>80</v>
      </c>
      <c r="H3971" s="9" t="n">
        <f aca="false">IF(G3971&gt;0,D3971/G3971,"")</f>
        <v>97.3625</v>
      </c>
      <c r="I3971" s="10" t="n">
        <v>45967</v>
      </c>
      <c r="J3971" s="3" t="s">
        <v>1140</v>
      </c>
      <c r="K3971" s="10" t="n">
        <v>45614</v>
      </c>
      <c r="L3971" s="3" t="s">
        <v>15</v>
      </c>
      <c r="M3971" s="7" t="n">
        <v>7960</v>
      </c>
      <c r="N3971" s="8" t="n">
        <v>0.006</v>
      </c>
      <c r="O3971" s="4" t="n">
        <f aca="false">M3971*N3971</f>
        <v>47.76</v>
      </c>
    </row>
    <row r="3972" customFormat="false" ht="15" hidden="false" customHeight="false" outlineLevel="0" collapsed="false">
      <c r="A3972" s="0" t="s">
        <v>5478</v>
      </c>
      <c r="C3972" s="0" t="s">
        <v>765</v>
      </c>
      <c r="D3972" s="7" t="n">
        <v>6672</v>
      </c>
      <c r="E3972" s="8" t="n">
        <v>0.00700539568345324</v>
      </c>
      <c r="F3972" s="4" t="n">
        <f aca="false">D3972*E3972</f>
        <v>46.74</v>
      </c>
      <c r="G3972" s="7" t="n">
        <v>70</v>
      </c>
      <c r="H3972" s="9" t="n">
        <f aca="false">IF(G3972&gt;0,D3972/G3972,"")</f>
        <v>95.3142857142857</v>
      </c>
      <c r="I3972" s="10" t="n">
        <v>46146</v>
      </c>
      <c r="J3972" s="3" t="s">
        <v>628</v>
      </c>
      <c r="K3972" s="10" t="n">
        <v>46128</v>
      </c>
      <c r="L3972" s="3" t="s">
        <v>16</v>
      </c>
      <c r="M3972" s="7" t="n">
        <v>7100</v>
      </c>
      <c r="N3972" s="8" t="n">
        <v>0.007</v>
      </c>
      <c r="O3972" s="4" t="n">
        <f aca="false">M3972*N3972</f>
        <v>49.7</v>
      </c>
    </row>
    <row r="3973" customFormat="false" ht="15" hidden="false" customHeight="false" outlineLevel="0" collapsed="false">
      <c r="A3973" s="0" t="s">
        <v>5479</v>
      </c>
      <c r="C3973" s="0" t="s">
        <v>715</v>
      </c>
      <c r="D3973" s="7" t="n">
        <v>542</v>
      </c>
      <c r="E3973" s="8" t="n">
        <v>0.0862361623616236</v>
      </c>
      <c r="F3973" s="4" t="n">
        <f aca="false">D3973*E3973</f>
        <v>46.74</v>
      </c>
      <c r="G3973" s="7" t="n">
        <v>200</v>
      </c>
      <c r="H3973" s="9" t="n">
        <f aca="false">IF(G3973&gt;0,D3973/G3973,"")</f>
        <v>2.71</v>
      </c>
      <c r="I3973" s="10" t="n">
        <v>46269</v>
      </c>
      <c r="K3973" s="10"/>
      <c r="M3973" s="7"/>
      <c r="N3973" s="8"/>
      <c r="O3973" s="4"/>
    </row>
    <row r="3974" customFormat="false" ht="15" hidden="false" customHeight="false" outlineLevel="0" collapsed="false">
      <c r="A3974" s="0" t="s">
        <v>5480</v>
      </c>
      <c r="C3974" s="0" t="s">
        <v>34</v>
      </c>
      <c r="D3974" s="7" t="n">
        <v>445</v>
      </c>
      <c r="E3974" s="8" t="n">
        <v>0.104988764044944</v>
      </c>
      <c r="F3974" s="4" t="n">
        <f aca="false">D3974*E3974</f>
        <v>46.72</v>
      </c>
      <c r="G3974" s="7" t="n">
        <v>51</v>
      </c>
      <c r="H3974" s="9" t="n">
        <f aca="false">IF(G3974&gt;0,D3974/G3974,"")</f>
        <v>8.72549019607843</v>
      </c>
      <c r="I3974" s="10" t="n">
        <v>46202</v>
      </c>
      <c r="J3974" s="3" t="s">
        <v>93</v>
      </c>
      <c r="K3974" s="10" t="n">
        <v>44957</v>
      </c>
      <c r="L3974" s="3" t="s">
        <v>15</v>
      </c>
      <c r="M3974" s="7" t="n">
        <v>810</v>
      </c>
      <c r="N3974" s="8" t="n">
        <v>0.10498</v>
      </c>
      <c r="O3974" s="4" t="n">
        <f aca="false">M3974*N3974</f>
        <v>85.0338</v>
      </c>
    </row>
    <row r="3975" customFormat="false" ht="15" hidden="false" customHeight="false" outlineLevel="0" collapsed="false">
      <c r="A3975" s="0" t="s">
        <v>5481</v>
      </c>
      <c r="C3975" s="0" t="s">
        <v>34</v>
      </c>
      <c r="D3975" s="7" t="n">
        <v>540</v>
      </c>
      <c r="E3975" s="8" t="n">
        <v>0.0865</v>
      </c>
      <c r="F3975" s="4" t="n">
        <f aca="false">D3975*E3975</f>
        <v>46.71</v>
      </c>
      <c r="G3975" s="7" t="n">
        <v>60</v>
      </c>
      <c r="H3975" s="9" t="n">
        <f aca="false">IF(G3975&gt;0,D3975/G3975,"")</f>
        <v>9</v>
      </c>
      <c r="I3975" s="10" t="n">
        <v>46315</v>
      </c>
      <c r="J3975" s="3" t="s">
        <v>1846</v>
      </c>
      <c r="K3975" s="10" t="n">
        <v>46288</v>
      </c>
      <c r="L3975" s="3" t="s">
        <v>16</v>
      </c>
      <c r="M3975" s="7" t="n">
        <v>600</v>
      </c>
      <c r="N3975" s="8" t="n">
        <v>0.0865</v>
      </c>
      <c r="O3975" s="4" t="n">
        <f aca="false">M3975*N3975</f>
        <v>51.9</v>
      </c>
    </row>
    <row r="3976" customFormat="false" ht="15" hidden="false" customHeight="false" outlineLevel="0" collapsed="false">
      <c r="A3976" s="0" t="s">
        <v>5482</v>
      </c>
      <c r="C3976" s="0" t="s">
        <v>31</v>
      </c>
      <c r="D3976" s="7" t="n">
        <v>1290</v>
      </c>
      <c r="E3976" s="8" t="n">
        <v>0.0362015503875969</v>
      </c>
      <c r="F3976" s="4" t="n">
        <f aca="false">D3976*E3976</f>
        <v>46.7</v>
      </c>
      <c r="G3976" s="7" t="n">
        <v>24</v>
      </c>
      <c r="H3976" s="9" t="n">
        <f aca="false">IF(G3976&gt;0,D3976/G3976,"")</f>
        <v>53.75</v>
      </c>
      <c r="I3976" s="10" t="n">
        <v>46175</v>
      </c>
      <c r="J3976" s="3" t="s">
        <v>628</v>
      </c>
      <c r="K3976" s="10" t="n">
        <v>46128</v>
      </c>
      <c r="L3976" s="3" t="s">
        <v>16</v>
      </c>
      <c r="M3976" s="7" t="n">
        <v>1300</v>
      </c>
      <c r="N3976" s="8" t="n">
        <v>0.0362</v>
      </c>
      <c r="O3976" s="4" t="n">
        <f aca="false">M3976*N3976</f>
        <v>47.06</v>
      </c>
    </row>
    <row r="3977" customFormat="false" ht="15" hidden="false" customHeight="false" outlineLevel="0" collapsed="false">
      <c r="A3977" s="0" t="s">
        <v>5483</v>
      </c>
      <c r="C3977" s="0" t="s">
        <v>41</v>
      </c>
      <c r="D3977" s="7" t="n">
        <v>2677</v>
      </c>
      <c r="E3977" s="8" t="n">
        <v>0.0174374299589092</v>
      </c>
      <c r="F3977" s="4" t="n">
        <f aca="false">D3977*E3977</f>
        <v>46.68</v>
      </c>
      <c r="G3977" s="7" t="n">
        <v>577</v>
      </c>
      <c r="H3977" s="9" t="n">
        <f aca="false">IF(G3977&gt;0,D3977/G3977,"")</f>
        <v>4.63951473136915</v>
      </c>
      <c r="I3977" s="10" t="n">
        <v>46273</v>
      </c>
      <c r="K3977" s="10"/>
      <c r="M3977" s="7"/>
      <c r="N3977" s="8"/>
      <c r="O3977" s="4"/>
    </row>
    <row r="3978" customFormat="false" ht="15" hidden="false" customHeight="false" outlineLevel="0" collapsed="false">
      <c r="A3978" s="0" t="s">
        <v>5484</v>
      </c>
      <c r="C3978" s="0" t="s">
        <v>295</v>
      </c>
      <c r="D3978" s="7" t="n">
        <v>334</v>
      </c>
      <c r="E3978" s="8" t="n">
        <v>0.139730538922156</v>
      </c>
      <c r="F3978" s="4" t="n">
        <f aca="false">D3978*E3978</f>
        <v>46.67</v>
      </c>
      <c r="G3978" s="7" t="n">
        <v>30</v>
      </c>
      <c r="H3978" s="9" t="n">
        <f aca="false">IF(G3978&gt;0,D3978/G3978,"")</f>
        <v>11.1333333333333</v>
      </c>
      <c r="I3978" s="10" t="n">
        <v>46213</v>
      </c>
      <c r="K3978" s="10"/>
      <c r="M3978" s="7"/>
      <c r="N3978" s="8"/>
      <c r="O3978" s="4"/>
    </row>
    <row r="3979" customFormat="false" ht="15" hidden="false" customHeight="false" outlineLevel="0" collapsed="false">
      <c r="A3979" s="0" t="s">
        <v>5485</v>
      </c>
      <c r="C3979" s="0" t="s">
        <v>715</v>
      </c>
      <c r="D3979" s="7" t="n">
        <v>9065</v>
      </c>
      <c r="E3979" s="8" t="n">
        <v>0.00514726971869829</v>
      </c>
      <c r="F3979" s="4" t="n">
        <f aca="false">D3979*E3979</f>
        <v>46.66</v>
      </c>
      <c r="G3979" s="7" t="n">
        <v>450</v>
      </c>
      <c r="H3979" s="9" t="n">
        <f aca="false">IF(G3979&gt;0,D3979/G3979,"")</f>
        <v>20.1444444444444</v>
      </c>
      <c r="I3979" s="10" t="n">
        <v>46147</v>
      </c>
      <c r="J3979" s="3" t="s">
        <v>5486</v>
      </c>
      <c r="K3979" s="10" t="n">
        <v>44979</v>
      </c>
      <c r="L3979" s="3" t="s">
        <v>14</v>
      </c>
      <c r="M3979" s="7" t="n">
        <v>1000</v>
      </c>
      <c r="N3979" s="8" t="n">
        <v>0.0138</v>
      </c>
      <c r="O3979" s="4" t="n">
        <f aca="false">M3979*N3979</f>
        <v>13.8</v>
      </c>
    </row>
    <row r="3980" customFormat="false" ht="15" hidden="false" customHeight="false" outlineLevel="0" collapsed="false">
      <c r="A3980" s="0" t="s">
        <v>5487</v>
      </c>
      <c r="C3980" s="0" t="s">
        <v>31</v>
      </c>
      <c r="D3980" s="7" t="n">
        <v>11036</v>
      </c>
      <c r="E3980" s="8" t="n">
        <v>0.00422073214932947</v>
      </c>
      <c r="F3980" s="4" t="n">
        <f aca="false">D3980*E3980</f>
        <v>46.58</v>
      </c>
      <c r="G3980" s="7" t="n">
        <v>560</v>
      </c>
      <c r="H3980" s="9" t="n">
        <f aca="false">IF(G3980&gt;0,D3980/G3980,"")</f>
        <v>19.7071428571429</v>
      </c>
      <c r="I3980" s="10" t="n">
        <v>46287</v>
      </c>
      <c r="J3980" s="3" t="s">
        <v>4570</v>
      </c>
      <c r="K3980" s="10" t="n">
        <v>44778</v>
      </c>
      <c r="L3980" s="3" t="s">
        <v>15</v>
      </c>
      <c r="M3980" s="7" t="n">
        <v>13750</v>
      </c>
      <c r="N3980" s="8" t="n">
        <v>0.00422</v>
      </c>
      <c r="O3980" s="4" t="n">
        <f aca="false">M3980*N3980</f>
        <v>58.025</v>
      </c>
    </row>
    <row r="3981" customFormat="false" ht="15" hidden="false" customHeight="false" outlineLevel="0" collapsed="false">
      <c r="A3981" s="0" t="s">
        <v>5488</v>
      </c>
      <c r="C3981" s="0" t="s">
        <v>31</v>
      </c>
      <c r="D3981" s="7" t="n">
        <v>2950</v>
      </c>
      <c r="E3981" s="8" t="n">
        <v>0.0157864406779661</v>
      </c>
      <c r="F3981" s="4" t="n">
        <f aca="false">D3981*E3981</f>
        <v>46.57</v>
      </c>
      <c r="G3981" s="7" t="n">
        <v>730</v>
      </c>
      <c r="H3981" s="9" t="n">
        <f aca="false">IF(G3981&gt;0,D3981/G3981,"")</f>
        <v>4.04109589041096</v>
      </c>
      <c r="I3981" s="10" t="n">
        <v>46304</v>
      </c>
      <c r="J3981" s="3" t="s">
        <v>2890</v>
      </c>
      <c r="K3981" s="10" t="n">
        <v>46198</v>
      </c>
      <c r="L3981" s="3" t="s">
        <v>16</v>
      </c>
      <c r="M3981" s="7" t="n">
        <v>3300</v>
      </c>
      <c r="N3981" s="8" t="n">
        <v>0.0152</v>
      </c>
      <c r="O3981" s="4" t="n">
        <f aca="false">M3981*N3981</f>
        <v>50.16</v>
      </c>
    </row>
    <row r="3982" customFormat="false" ht="15" hidden="false" customHeight="false" outlineLevel="0" collapsed="false">
      <c r="A3982" s="0" t="s">
        <v>5489</v>
      </c>
      <c r="C3982" s="0" t="s">
        <v>340</v>
      </c>
      <c r="D3982" s="7" t="n">
        <v>3849</v>
      </c>
      <c r="E3982" s="8" t="n">
        <v>0.0120992465575474</v>
      </c>
      <c r="F3982" s="4" t="n">
        <f aca="false">D3982*E3982</f>
        <v>46.57</v>
      </c>
      <c r="G3982" s="7" t="n">
        <v>2938</v>
      </c>
      <c r="H3982" s="9" t="n">
        <f aca="false">IF(G3982&gt;0,D3982/G3982,"")</f>
        <v>1.31007488087134</v>
      </c>
      <c r="I3982" s="10" t="n">
        <v>46304</v>
      </c>
      <c r="J3982" s="3" t="s">
        <v>5119</v>
      </c>
      <c r="K3982" s="10" t="n">
        <v>46164</v>
      </c>
      <c r="L3982" s="3" t="s">
        <v>16</v>
      </c>
      <c r="M3982" s="7" t="n">
        <v>6292</v>
      </c>
      <c r="N3982" s="8" t="n">
        <v>0.0121</v>
      </c>
      <c r="O3982" s="4" t="n">
        <f aca="false">M3982*N3982</f>
        <v>76.1332</v>
      </c>
    </row>
    <row r="3983" customFormat="false" ht="15" hidden="false" customHeight="false" outlineLevel="0" collapsed="false">
      <c r="A3983" s="0" t="s">
        <v>5490</v>
      </c>
      <c r="C3983" s="0" t="s">
        <v>1039</v>
      </c>
      <c r="D3983" s="7" t="n">
        <v>1303</v>
      </c>
      <c r="E3983" s="8" t="n">
        <v>0.0356945510360706</v>
      </c>
      <c r="F3983" s="4" t="n">
        <f aca="false">D3983*E3983</f>
        <v>46.51</v>
      </c>
      <c r="G3983" s="7" t="n">
        <v>180</v>
      </c>
      <c r="H3983" s="9" t="n">
        <f aca="false">IF(G3983&gt;0,D3983/G3983,"")</f>
        <v>7.23888888888889</v>
      </c>
      <c r="I3983" s="10" t="n">
        <v>46274</v>
      </c>
      <c r="J3983" s="3" t="s">
        <v>5119</v>
      </c>
      <c r="K3983" s="10" t="n">
        <v>46164</v>
      </c>
      <c r="L3983" s="3" t="s">
        <v>16</v>
      </c>
      <c r="M3983" s="7" t="n">
        <v>1400</v>
      </c>
      <c r="N3983" s="8" t="n">
        <v>0.0357</v>
      </c>
      <c r="O3983" s="4" t="n">
        <f aca="false">M3983*N3983</f>
        <v>49.98</v>
      </c>
    </row>
    <row r="3984" customFormat="false" ht="15" hidden="false" customHeight="false" outlineLevel="0" collapsed="false">
      <c r="A3984" s="0" t="s">
        <v>5491</v>
      </c>
      <c r="C3984" s="0" t="s">
        <v>855</v>
      </c>
      <c r="D3984" s="7" t="n">
        <v>13685</v>
      </c>
      <c r="E3984" s="8" t="n">
        <v>0.00339788089148703</v>
      </c>
      <c r="F3984" s="4" t="n">
        <f aca="false">D3984*E3984</f>
        <v>46.5</v>
      </c>
      <c r="G3984" s="7" t="n">
        <v>888</v>
      </c>
      <c r="H3984" s="9" t="n">
        <f aca="false">IF(G3984&gt;0,D3984/G3984,"")</f>
        <v>15.411036036036</v>
      </c>
      <c r="I3984" s="10" t="n">
        <v>46258</v>
      </c>
      <c r="J3984" s="3" t="s">
        <v>3385</v>
      </c>
      <c r="K3984" s="10" t="n">
        <v>45595</v>
      </c>
      <c r="L3984" s="3" t="s">
        <v>16</v>
      </c>
      <c r="M3984" s="7" t="n">
        <v>15000</v>
      </c>
      <c r="N3984" s="8" t="n">
        <v>0.0034</v>
      </c>
      <c r="O3984" s="4" t="n">
        <f aca="false">M3984*N3984</f>
        <v>51</v>
      </c>
    </row>
    <row r="3985" customFormat="false" ht="15" hidden="false" customHeight="false" outlineLevel="0" collapsed="false">
      <c r="A3985" s="0" t="s">
        <v>5492</v>
      </c>
      <c r="C3985" s="0" t="s">
        <v>37</v>
      </c>
      <c r="D3985" s="7" t="n">
        <v>670</v>
      </c>
      <c r="E3985" s="8" t="n">
        <v>0.0694029850746269</v>
      </c>
      <c r="F3985" s="4" t="n">
        <f aca="false">D3985*E3985</f>
        <v>46.5</v>
      </c>
      <c r="G3985" s="7" t="n">
        <v>49</v>
      </c>
      <c r="H3985" s="9" t="n">
        <f aca="false">IF(G3985&gt;0,D3985/G3985,"")</f>
        <v>13.6734693877551</v>
      </c>
      <c r="I3985" s="10" t="n">
        <v>46181</v>
      </c>
      <c r="J3985" s="3" t="s">
        <v>341</v>
      </c>
      <c r="K3985" s="10" t="n">
        <v>46078</v>
      </c>
      <c r="L3985" s="3" t="s">
        <v>15</v>
      </c>
      <c r="M3985" s="7" t="n">
        <v>110</v>
      </c>
      <c r="N3985" s="8" t="n">
        <v>0.07623</v>
      </c>
      <c r="O3985" s="4" t="n">
        <f aca="false">M3985*N3985</f>
        <v>8.3853</v>
      </c>
    </row>
    <row r="3986" customFormat="false" ht="15" hidden="false" customHeight="false" outlineLevel="0" collapsed="false">
      <c r="A3986" s="0" t="s">
        <v>5493</v>
      </c>
      <c r="C3986" s="0" t="s">
        <v>1039</v>
      </c>
      <c r="D3986" s="7" t="n">
        <v>10329</v>
      </c>
      <c r="E3986" s="8" t="n">
        <v>0.00450091974053635</v>
      </c>
      <c r="F3986" s="4" t="n">
        <f aca="false">D3986*E3986</f>
        <v>46.49</v>
      </c>
      <c r="G3986" s="7" t="n">
        <v>3634</v>
      </c>
      <c r="H3986" s="9" t="n">
        <f aca="false">IF(G3986&gt;0,D3986/G3986,"")</f>
        <v>2.84232250963126</v>
      </c>
      <c r="I3986" s="10" t="n">
        <v>46310</v>
      </c>
      <c r="K3986" s="10"/>
      <c r="M3986" s="7"/>
      <c r="N3986" s="8"/>
      <c r="O3986" s="4"/>
    </row>
    <row r="3987" customFormat="false" ht="15" hidden="false" customHeight="false" outlineLevel="0" collapsed="false">
      <c r="A3987" s="0" t="s">
        <v>5494</v>
      </c>
      <c r="C3987" s="0" t="s">
        <v>31</v>
      </c>
      <c r="D3987" s="7" t="n">
        <v>4187</v>
      </c>
      <c r="E3987" s="8" t="n">
        <v>0.0111034153331741</v>
      </c>
      <c r="F3987" s="4" t="n">
        <f aca="false">D3987*E3987</f>
        <v>46.49</v>
      </c>
      <c r="G3987" s="7" t="n">
        <v>2703</v>
      </c>
      <c r="H3987" s="9" t="n">
        <f aca="false">IF(G3987&gt;0,D3987/G3987,"")</f>
        <v>1.54901960784314</v>
      </c>
      <c r="I3987" s="10" t="n">
        <v>46309</v>
      </c>
      <c r="J3987" s="3" t="s">
        <v>1955</v>
      </c>
      <c r="K3987" s="10" t="n">
        <v>46268</v>
      </c>
      <c r="L3987" s="3" t="s">
        <v>16</v>
      </c>
      <c r="M3987" s="7" t="n">
        <v>4990</v>
      </c>
      <c r="N3987" s="8" t="n">
        <v>0.0083</v>
      </c>
      <c r="O3987" s="4" t="n">
        <f aca="false">M3987*N3987</f>
        <v>41.417</v>
      </c>
    </row>
    <row r="3988" customFormat="false" ht="15" hidden="false" customHeight="false" outlineLevel="0" collapsed="false">
      <c r="A3988" s="0" t="s">
        <v>5495</v>
      </c>
      <c r="C3988" s="0" t="s">
        <v>715</v>
      </c>
      <c r="D3988" s="7" t="n">
        <v>1284</v>
      </c>
      <c r="E3988" s="8" t="n">
        <v>0.0361993769470405</v>
      </c>
      <c r="F3988" s="4" t="n">
        <f aca="false">D3988*E3988</f>
        <v>46.48</v>
      </c>
      <c r="G3988" s="7" t="n">
        <v>500</v>
      </c>
      <c r="H3988" s="9" t="n">
        <f aca="false">IF(G3988&gt;0,D3988/G3988,"")</f>
        <v>2.568</v>
      </c>
      <c r="I3988" s="10" t="n">
        <v>46287</v>
      </c>
      <c r="J3988" s="3" t="s">
        <v>4415</v>
      </c>
      <c r="K3988" s="10" t="n">
        <v>45829</v>
      </c>
      <c r="L3988" s="3" t="s">
        <v>15</v>
      </c>
      <c r="M3988" s="7" t="n">
        <v>1680</v>
      </c>
      <c r="N3988" s="8" t="n">
        <v>0.03521</v>
      </c>
      <c r="O3988" s="4" t="n">
        <f aca="false">M3988*N3988</f>
        <v>59.1528</v>
      </c>
    </row>
    <row r="3989" customFormat="false" ht="15" hidden="false" customHeight="false" outlineLevel="0" collapsed="false">
      <c r="A3989" s="0" t="s">
        <v>5496</v>
      </c>
      <c r="C3989" s="0" t="s">
        <v>295</v>
      </c>
      <c r="D3989" s="7" t="n">
        <v>219</v>
      </c>
      <c r="E3989" s="8" t="n">
        <v>0.212237442922374</v>
      </c>
      <c r="F3989" s="4" t="n">
        <f aca="false">D3989*E3989</f>
        <v>46.48</v>
      </c>
      <c r="G3989" s="7" t="n">
        <v>20</v>
      </c>
      <c r="H3989" s="9" t="n">
        <f aca="false">IF(G3989&gt;0,D3989/G3989,"")</f>
        <v>10.95</v>
      </c>
      <c r="I3989" s="10" t="n">
        <v>46224</v>
      </c>
      <c r="J3989" s="3" t="s">
        <v>2535</v>
      </c>
      <c r="K3989" s="10" t="n">
        <v>45098</v>
      </c>
      <c r="L3989" s="3" t="s">
        <v>19</v>
      </c>
      <c r="M3989" s="7" t="n">
        <v>275</v>
      </c>
      <c r="N3989" s="8" t="n">
        <v>0.2122</v>
      </c>
      <c r="O3989" s="4" t="n">
        <f aca="false">M3989*N3989</f>
        <v>58.355</v>
      </c>
    </row>
    <row r="3990" customFormat="false" ht="15" hidden="false" customHeight="false" outlineLevel="0" collapsed="false">
      <c r="A3990" s="0" t="s">
        <v>5497</v>
      </c>
      <c r="C3990" s="0" t="s">
        <v>34</v>
      </c>
      <c r="D3990" s="7" t="n">
        <v>988</v>
      </c>
      <c r="E3990" s="8" t="n">
        <v>0.047004048582996</v>
      </c>
      <c r="F3990" s="4" t="n">
        <f aca="false">D3990*E3990</f>
        <v>46.44</v>
      </c>
      <c r="G3990" s="7" t="n">
        <v>120</v>
      </c>
      <c r="H3990" s="9" t="n">
        <f aca="false">IF(G3990&gt;0,D3990/G3990,"")</f>
        <v>8.23333333333333</v>
      </c>
      <c r="I3990" s="10" t="n">
        <v>46266</v>
      </c>
      <c r="J3990" s="3" t="s">
        <v>2694</v>
      </c>
      <c r="K3990" s="10" t="n">
        <v>46218</v>
      </c>
      <c r="L3990" s="3" t="s">
        <v>16</v>
      </c>
      <c r="M3990" s="7" t="n">
        <v>1100</v>
      </c>
      <c r="N3990" s="8" t="n">
        <v>0.047</v>
      </c>
      <c r="O3990" s="4" t="n">
        <f aca="false">M3990*N3990</f>
        <v>51.7</v>
      </c>
    </row>
    <row r="3991" customFormat="false" ht="15" hidden="false" customHeight="false" outlineLevel="0" collapsed="false">
      <c r="A3991" s="0" t="s">
        <v>5498</v>
      </c>
      <c r="C3991" s="0" t="s">
        <v>31</v>
      </c>
      <c r="D3991" s="7" t="n">
        <v>1934</v>
      </c>
      <c r="E3991" s="8" t="n">
        <v>0.0239968976215098</v>
      </c>
      <c r="F3991" s="4" t="n">
        <f aca="false">D3991*E3991</f>
        <v>46.41</v>
      </c>
      <c r="G3991" s="7" t="n">
        <v>82</v>
      </c>
      <c r="H3991" s="9" t="n">
        <f aca="false">IF(G3991&gt;0,D3991/G3991,"")</f>
        <v>23.5853658536585</v>
      </c>
      <c r="I3991" s="10" t="n">
        <v>46258</v>
      </c>
      <c r="J3991" s="3" t="s">
        <v>90</v>
      </c>
      <c r="K3991" s="10" t="n">
        <v>46055</v>
      </c>
      <c r="L3991" s="3" t="s">
        <v>16</v>
      </c>
      <c r="M3991" s="7" t="n">
        <v>2000</v>
      </c>
      <c r="N3991" s="8" t="n">
        <v>0.024</v>
      </c>
      <c r="O3991" s="4" t="n">
        <f aca="false">M3991*N3991</f>
        <v>48</v>
      </c>
    </row>
    <row r="3992" customFormat="false" ht="15" hidden="false" customHeight="false" outlineLevel="0" collapsed="false">
      <c r="A3992" s="0" t="s">
        <v>5499</v>
      </c>
      <c r="C3992" s="0" t="s">
        <v>979</v>
      </c>
      <c r="D3992" s="7" t="n">
        <v>1600</v>
      </c>
      <c r="E3992" s="8" t="n">
        <v>0.029</v>
      </c>
      <c r="F3992" s="4" t="n">
        <f aca="false">D3992*E3992</f>
        <v>46.4</v>
      </c>
      <c r="G3992" s="7" t="n">
        <v>50</v>
      </c>
      <c r="H3992" s="9" t="n">
        <f aca="false">IF(G3992&gt;0,D3992/G3992,"")</f>
        <v>32</v>
      </c>
      <c r="I3992" s="10" t="n">
        <v>45986</v>
      </c>
      <c r="K3992" s="10"/>
      <c r="M3992" s="7"/>
      <c r="N3992" s="8"/>
      <c r="O3992" s="4"/>
    </row>
    <row r="3993" customFormat="false" ht="15" hidden="false" customHeight="false" outlineLevel="0" collapsed="false">
      <c r="A3993" s="0" t="s">
        <v>5500</v>
      </c>
      <c r="C3993" s="0" t="s">
        <v>40</v>
      </c>
      <c r="D3993" s="7" t="n">
        <v>165</v>
      </c>
      <c r="E3993" s="8" t="n">
        <v>0.281151515151515</v>
      </c>
      <c r="F3993" s="4" t="n">
        <f aca="false">D3993*E3993</f>
        <v>46.39</v>
      </c>
      <c r="G3993" s="7" t="n">
        <v>20</v>
      </c>
      <c r="H3993" s="9" t="n">
        <f aca="false">IF(G3993&gt;0,D3993/G3993,"")</f>
        <v>8.25</v>
      </c>
      <c r="I3993" s="10" t="n">
        <v>46030</v>
      </c>
      <c r="K3993" s="10"/>
      <c r="M3993" s="7"/>
      <c r="N3993" s="8"/>
      <c r="O3993" s="4"/>
    </row>
    <row r="3994" customFormat="false" ht="15" hidden="false" customHeight="false" outlineLevel="0" collapsed="false">
      <c r="A3994" s="0" t="s">
        <v>5501</v>
      </c>
      <c r="C3994" s="0" t="s">
        <v>37</v>
      </c>
      <c r="D3994" s="7" t="n">
        <v>1668</v>
      </c>
      <c r="E3994" s="8" t="n">
        <v>0.0277997601918465</v>
      </c>
      <c r="F3994" s="4" t="n">
        <f aca="false">D3994*E3994</f>
        <v>46.37</v>
      </c>
      <c r="G3994" s="7" t="n">
        <v>152</v>
      </c>
      <c r="H3994" s="9" t="n">
        <f aca="false">IF(G3994&gt;0,D3994/G3994,"")</f>
        <v>10.9736842105263</v>
      </c>
      <c r="I3994" s="10" t="n">
        <v>46300</v>
      </c>
      <c r="J3994" s="3" t="s">
        <v>5502</v>
      </c>
      <c r="K3994" s="10" t="n">
        <v>44879</v>
      </c>
      <c r="L3994" s="3" t="s">
        <v>19</v>
      </c>
      <c r="M3994" s="7" t="n">
        <v>5095</v>
      </c>
      <c r="N3994" s="8" t="n">
        <v>0.0278</v>
      </c>
      <c r="O3994" s="4" t="n">
        <f aca="false">M3994*N3994</f>
        <v>141.641</v>
      </c>
    </row>
    <row r="3995" customFormat="false" ht="15" hidden="false" customHeight="false" outlineLevel="0" collapsed="false">
      <c r="A3995" s="0" t="s">
        <v>5503</v>
      </c>
      <c r="C3995" s="0" t="s">
        <v>34</v>
      </c>
      <c r="D3995" s="7" t="n">
        <v>264</v>
      </c>
      <c r="E3995" s="8" t="n">
        <v>0.175606060606061</v>
      </c>
      <c r="F3995" s="4" t="n">
        <f aca="false">D3995*E3995</f>
        <v>46.36</v>
      </c>
      <c r="G3995" s="7" t="n">
        <v>32</v>
      </c>
      <c r="H3995" s="9" t="n">
        <f aca="false">IF(G3995&gt;0,D3995/G3995,"")</f>
        <v>8.25</v>
      </c>
      <c r="I3995" s="10" t="n">
        <v>46308</v>
      </c>
      <c r="J3995" s="3" t="s">
        <v>1616</v>
      </c>
      <c r="K3995" s="10" t="n">
        <v>46266</v>
      </c>
      <c r="L3995" s="3" t="s">
        <v>16</v>
      </c>
      <c r="M3995" s="7" t="n">
        <v>296</v>
      </c>
      <c r="N3995" s="8" t="n">
        <v>0.1756</v>
      </c>
      <c r="O3995" s="4" t="n">
        <f aca="false">M3995*N3995</f>
        <v>51.9776</v>
      </c>
    </row>
    <row r="3996" customFormat="false" ht="15" hidden="false" customHeight="false" outlineLevel="0" collapsed="false">
      <c r="A3996" s="0" t="s">
        <v>5504</v>
      </c>
      <c r="C3996" s="0" t="s">
        <v>34</v>
      </c>
      <c r="D3996" s="7" t="n">
        <v>1101</v>
      </c>
      <c r="E3996" s="8" t="n">
        <v>0.0420708446866485</v>
      </c>
      <c r="F3996" s="4" t="n">
        <f aca="false">D3996*E3996</f>
        <v>46.32</v>
      </c>
      <c r="G3996" s="7" t="n">
        <v>140</v>
      </c>
      <c r="H3996" s="9" t="n">
        <f aca="false">IF(G3996&gt;0,D3996/G3996,"")</f>
        <v>7.86428571428571</v>
      </c>
      <c r="I3996" s="10" t="n">
        <v>46247</v>
      </c>
      <c r="J3996" s="3" t="s">
        <v>1054</v>
      </c>
      <c r="K3996" s="10" t="n">
        <v>46224</v>
      </c>
      <c r="L3996" s="3" t="s">
        <v>16</v>
      </c>
      <c r="M3996" s="7" t="n">
        <v>1200</v>
      </c>
      <c r="N3996" s="8" t="n">
        <v>0.042</v>
      </c>
      <c r="O3996" s="4" t="n">
        <f aca="false">M3996*N3996</f>
        <v>50.4</v>
      </c>
    </row>
    <row r="3997" customFormat="false" ht="15" hidden="false" customHeight="false" outlineLevel="0" collapsed="false">
      <c r="A3997" s="0" t="s">
        <v>5505</v>
      </c>
      <c r="C3997" s="0" t="s">
        <v>34</v>
      </c>
      <c r="D3997" s="7" t="n">
        <v>227</v>
      </c>
      <c r="E3997" s="8" t="n">
        <v>0.203788546255507</v>
      </c>
      <c r="F3997" s="4" t="n">
        <f aca="false">D3997*E3997</f>
        <v>46.26</v>
      </c>
      <c r="G3997" s="7" t="n">
        <v>25</v>
      </c>
      <c r="H3997" s="9" t="n">
        <f aca="false">IF(G3997&gt;0,D3997/G3997,"")</f>
        <v>9.08</v>
      </c>
      <c r="I3997" s="10" t="n">
        <v>46238</v>
      </c>
      <c r="J3997" s="3" t="s">
        <v>2694</v>
      </c>
      <c r="K3997" s="10" t="n">
        <v>46218</v>
      </c>
      <c r="L3997" s="3" t="s">
        <v>16</v>
      </c>
      <c r="M3997" s="7" t="n">
        <v>250</v>
      </c>
      <c r="N3997" s="8" t="n">
        <v>0.2038</v>
      </c>
      <c r="O3997" s="4" t="n">
        <f aca="false">M3997*N3997</f>
        <v>50.95</v>
      </c>
    </row>
    <row r="3998" customFormat="false" ht="15" hidden="false" customHeight="false" outlineLevel="0" collapsed="false">
      <c r="A3998" s="0" t="s">
        <v>5506</v>
      </c>
      <c r="C3998" s="0" t="s">
        <v>34</v>
      </c>
      <c r="D3998" s="7" t="n">
        <v>438</v>
      </c>
      <c r="E3998" s="8" t="n">
        <v>0.105616438356164</v>
      </c>
      <c r="F3998" s="4" t="n">
        <f aca="false">D3998*E3998</f>
        <v>46.26</v>
      </c>
      <c r="G3998" s="7" t="n">
        <v>62</v>
      </c>
      <c r="H3998" s="9" t="n">
        <f aca="false">IF(G3998&gt;0,D3998/G3998,"")</f>
        <v>7.06451612903226</v>
      </c>
      <c r="I3998" s="10" t="n">
        <v>46300</v>
      </c>
      <c r="J3998" s="3" t="s">
        <v>238</v>
      </c>
      <c r="K3998" s="10" t="n">
        <v>45689</v>
      </c>
      <c r="L3998" s="3" t="s">
        <v>15</v>
      </c>
      <c r="M3998" s="7" t="n">
        <v>500</v>
      </c>
      <c r="N3998" s="8" t="n">
        <v>0.10563</v>
      </c>
      <c r="O3998" s="4" t="n">
        <f aca="false">M3998*N3998</f>
        <v>52.815</v>
      </c>
    </row>
    <row r="3999" customFormat="false" ht="15" hidden="false" customHeight="false" outlineLevel="0" collapsed="false">
      <c r="A3999" s="0" t="s">
        <v>5507</v>
      </c>
      <c r="C3999" s="0" t="s">
        <v>1039</v>
      </c>
      <c r="D3999" s="7" t="n">
        <v>6560</v>
      </c>
      <c r="E3999" s="8" t="n">
        <v>0.00704573170731707</v>
      </c>
      <c r="F3999" s="4" t="n">
        <f aca="false">D3999*E3999</f>
        <v>46.22</v>
      </c>
      <c r="G3999" s="7" t="n">
        <v>1199</v>
      </c>
      <c r="H3999" s="9" t="n">
        <f aca="false">IF(G3999&gt;0,D3999/G3999,"")</f>
        <v>5.47122602168474</v>
      </c>
      <c r="I3999" s="10" t="n">
        <v>46217</v>
      </c>
      <c r="K3999" s="10"/>
      <c r="M3999" s="7"/>
      <c r="N3999" s="8"/>
      <c r="O3999" s="4"/>
    </row>
    <row r="4000" customFormat="false" ht="15" hidden="false" customHeight="false" outlineLevel="0" collapsed="false">
      <c r="A4000" s="0" t="s">
        <v>5508</v>
      </c>
      <c r="C4000" s="0" t="s">
        <v>340</v>
      </c>
      <c r="D4000" s="7" t="n">
        <v>472</v>
      </c>
      <c r="E4000" s="8" t="n">
        <v>0.0979237288135593</v>
      </c>
      <c r="F4000" s="4" t="n">
        <f aca="false">D4000*E4000</f>
        <v>46.22</v>
      </c>
      <c r="G4000" s="7" t="n">
        <v>30</v>
      </c>
      <c r="H4000" s="9" t="n">
        <f aca="false">IF(G4000&gt;0,D4000/G4000,"")</f>
        <v>15.7333333333333</v>
      </c>
      <c r="I4000" s="10" t="n">
        <v>46066</v>
      </c>
      <c r="J4000" s="3" t="s">
        <v>341</v>
      </c>
      <c r="K4000" s="10" t="n">
        <v>46078</v>
      </c>
      <c r="L4000" s="3" t="s">
        <v>15</v>
      </c>
      <c r="M4000" s="7" t="n">
        <v>395</v>
      </c>
      <c r="N4000" s="8" t="n">
        <v>0.09972</v>
      </c>
      <c r="O4000" s="4" t="n">
        <f aca="false">M4000*N4000</f>
        <v>39.3894</v>
      </c>
    </row>
    <row r="4001" customFormat="false" ht="15" hidden="false" customHeight="false" outlineLevel="0" collapsed="false">
      <c r="A4001" s="0" t="s">
        <v>5509</v>
      </c>
      <c r="C4001" s="0" t="s">
        <v>31</v>
      </c>
      <c r="D4001" s="7" t="n">
        <v>84</v>
      </c>
      <c r="E4001" s="8" t="n">
        <v>0.55</v>
      </c>
      <c r="F4001" s="4" t="n">
        <f aca="false">D4001*E4001</f>
        <v>46.2</v>
      </c>
      <c r="G4001" s="7" t="n">
        <v>31</v>
      </c>
      <c r="H4001" s="9" t="n">
        <f aca="false">IF(G4001&gt;0,D4001/G4001,"")</f>
        <v>2.70967741935484</v>
      </c>
      <c r="I4001" s="10" t="n">
        <v>46171</v>
      </c>
      <c r="K4001" s="10"/>
      <c r="M4001" s="7"/>
      <c r="N4001" s="8"/>
      <c r="O4001" s="4"/>
    </row>
    <row r="4002" customFormat="false" ht="15" hidden="false" customHeight="false" outlineLevel="0" collapsed="false">
      <c r="A4002" s="0" t="s">
        <v>5510</v>
      </c>
      <c r="C4002" s="0" t="s">
        <v>360</v>
      </c>
      <c r="D4002" s="7" t="n">
        <v>1071</v>
      </c>
      <c r="E4002" s="8" t="n">
        <v>0.0430999066293184</v>
      </c>
      <c r="F4002" s="4" t="n">
        <f aca="false">D4002*E4002</f>
        <v>46.16</v>
      </c>
      <c r="G4002" s="7" t="n">
        <v>22</v>
      </c>
      <c r="H4002" s="9" t="n">
        <f aca="false">IF(G4002&gt;0,D4002/G4002,"")</f>
        <v>48.6818181818182</v>
      </c>
      <c r="I4002" s="10" t="n">
        <v>46076</v>
      </c>
      <c r="J4002" s="3" t="s">
        <v>1846</v>
      </c>
      <c r="K4002" s="10" t="n">
        <v>46288</v>
      </c>
      <c r="L4002" s="3" t="s">
        <v>16</v>
      </c>
      <c r="M4002" s="7" t="n">
        <v>1071</v>
      </c>
      <c r="N4002" s="8" t="n">
        <v>0.0431</v>
      </c>
      <c r="O4002" s="4" t="n">
        <f aca="false">M4002*N4002</f>
        <v>46.1601</v>
      </c>
    </row>
    <row r="4003" customFormat="false" ht="15" hidden="false" customHeight="false" outlineLevel="0" collapsed="false">
      <c r="A4003" s="0" t="s">
        <v>5511</v>
      </c>
      <c r="C4003" s="0" t="s">
        <v>41</v>
      </c>
      <c r="D4003" s="7" t="n">
        <v>3190</v>
      </c>
      <c r="E4003" s="8" t="n">
        <v>0.0144514106583072</v>
      </c>
      <c r="F4003" s="4" t="n">
        <f aca="false">D4003*E4003</f>
        <v>46.1</v>
      </c>
      <c r="G4003" s="7" t="n">
        <v>37</v>
      </c>
      <c r="H4003" s="9" t="n">
        <f aca="false">IF(G4003&gt;0,D4003/G4003,"")</f>
        <v>86.2162162162162</v>
      </c>
      <c r="I4003" s="10" t="n">
        <v>46181</v>
      </c>
      <c r="K4003" s="10"/>
      <c r="M4003" s="7"/>
      <c r="N4003" s="8"/>
      <c r="O4003" s="4"/>
    </row>
    <row r="4004" customFormat="false" ht="15" hidden="false" customHeight="false" outlineLevel="0" collapsed="false">
      <c r="A4004" s="0" t="s">
        <v>5512</v>
      </c>
      <c r="C4004" s="0" t="s">
        <v>765</v>
      </c>
      <c r="D4004" s="7" t="n">
        <v>521</v>
      </c>
      <c r="E4004" s="8" t="n">
        <v>0.0884069097888676</v>
      </c>
      <c r="F4004" s="4" t="n">
        <f aca="false">D4004*E4004</f>
        <v>46.06</v>
      </c>
      <c r="G4004" s="7" t="n">
        <v>145</v>
      </c>
      <c r="H4004" s="9" t="n">
        <f aca="false">IF(G4004&gt;0,D4004/G4004,"")</f>
        <v>3.59310344827586</v>
      </c>
      <c r="I4004" s="10" t="n">
        <v>46316</v>
      </c>
      <c r="J4004" s="3" t="s">
        <v>2719</v>
      </c>
      <c r="K4004" s="10" t="n">
        <v>46049</v>
      </c>
      <c r="L4004" s="3" t="s">
        <v>16</v>
      </c>
      <c r="M4004" s="7" t="n">
        <v>600</v>
      </c>
      <c r="N4004" s="8" t="n">
        <v>0.0884</v>
      </c>
      <c r="O4004" s="4" t="n">
        <f aca="false">M4004*N4004</f>
        <v>53.04</v>
      </c>
    </row>
    <row r="4005" customFormat="false" ht="15" hidden="false" customHeight="false" outlineLevel="0" collapsed="false">
      <c r="A4005" s="0" t="s">
        <v>5513</v>
      </c>
      <c r="C4005" s="0" t="s">
        <v>583</v>
      </c>
      <c r="D4005" s="7" t="n">
        <v>4950</v>
      </c>
      <c r="E4005" s="8" t="n">
        <v>0.0093010101010101</v>
      </c>
      <c r="F4005" s="4" t="n">
        <f aca="false">D4005*E4005</f>
        <v>46.04</v>
      </c>
      <c r="G4005" s="7" t="n">
        <v>2081</v>
      </c>
      <c r="H4005" s="9" t="n">
        <f aca="false">IF(G4005&gt;0,D4005/G4005,"")</f>
        <v>2.37866410379625</v>
      </c>
      <c r="I4005" s="10" t="n">
        <v>46308</v>
      </c>
      <c r="J4005" s="3" t="s">
        <v>536</v>
      </c>
      <c r="K4005" s="10" t="n">
        <v>45531</v>
      </c>
      <c r="L4005" s="3" t="s">
        <v>16</v>
      </c>
      <c r="M4005" s="7" t="n">
        <v>10000</v>
      </c>
      <c r="N4005" s="8" t="n">
        <v>0.0093</v>
      </c>
      <c r="O4005" s="4" t="n">
        <f aca="false">M4005*N4005</f>
        <v>93</v>
      </c>
    </row>
    <row r="4006" customFormat="false" ht="15" hidden="false" customHeight="false" outlineLevel="0" collapsed="false">
      <c r="A4006" s="0" t="s">
        <v>5514</v>
      </c>
      <c r="C4006" s="0" t="s">
        <v>32</v>
      </c>
      <c r="D4006" s="7" t="n">
        <v>81</v>
      </c>
      <c r="E4006" s="8" t="n">
        <v>0.568271604938272</v>
      </c>
      <c r="F4006" s="4" t="n">
        <f aca="false">D4006*E4006</f>
        <v>46.03</v>
      </c>
      <c r="G4006" s="7" t="n">
        <v>51</v>
      </c>
      <c r="H4006" s="9" t="n">
        <f aca="false">IF(G4006&gt;0,D4006/G4006,"")</f>
        <v>1.58823529411765</v>
      </c>
      <c r="I4006" s="10" t="n">
        <v>46309</v>
      </c>
      <c r="J4006" s="3" t="s">
        <v>5515</v>
      </c>
      <c r="K4006" s="10" t="n">
        <v>45748</v>
      </c>
      <c r="L4006" s="3" t="s">
        <v>18</v>
      </c>
      <c r="M4006" s="7" t="n">
        <v>300</v>
      </c>
      <c r="N4006" s="8" t="n">
        <v>0.5683</v>
      </c>
      <c r="O4006" s="4" t="n">
        <f aca="false">M4006*N4006</f>
        <v>170.49</v>
      </c>
    </row>
    <row r="4007" customFormat="false" ht="15" hidden="false" customHeight="false" outlineLevel="0" collapsed="false">
      <c r="A4007" s="0" t="s">
        <v>5516</v>
      </c>
      <c r="C4007" s="0" t="s">
        <v>31</v>
      </c>
      <c r="D4007" s="7" t="n">
        <v>2131</v>
      </c>
      <c r="E4007" s="8" t="n">
        <v>0.0215954950727358</v>
      </c>
      <c r="F4007" s="4" t="n">
        <f aca="false">D4007*E4007</f>
        <v>46.02</v>
      </c>
      <c r="G4007" s="7" t="n">
        <v>120</v>
      </c>
      <c r="H4007" s="9" t="n">
        <f aca="false">IF(G4007&gt;0,D4007/G4007,"")</f>
        <v>17.7583333333333</v>
      </c>
      <c r="I4007" s="10" t="n">
        <v>46302</v>
      </c>
      <c r="K4007" s="10"/>
      <c r="M4007" s="7"/>
      <c r="N4007" s="8"/>
      <c r="O4007" s="4"/>
    </row>
    <row r="4008" customFormat="false" ht="15" hidden="false" customHeight="false" outlineLevel="0" collapsed="false">
      <c r="A4008" s="0" t="s">
        <v>5517</v>
      </c>
      <c r="C4008" s="0" t="s">
        <v>889</v>
      </c>
      <c r="D4008" s="7" t="n">
        <v>374</v>
      </c>
      <c r="E4008" s="8" t="n">
        <v>0.122994652406417</v>
      </c>
      <c r="F4008" s="4" t="n">
        <f aca="false">D4008*E4008</f>
        <v>46</v>
      </c>
      <c r="G4008" s="7" t="n">
        <v>25</v>
      </c>
      <c r="H4008" s="9" t="n">
        <f aca="false">IF(G4008&gt;0,D4008/G4008,"")</f>
        <v>14.96</v>
      </c>
      <c r="I4008" s="10" t="n">
        <v>46290</v>
      </c>
      <c r="K4008" s="10"/>
      <c r="M4008" s="7"/>
      <c r="N4008" s="8"/>
      <c r="O4008" s="4"/>
    </row>
    <row r="4009" customFormat="false" ht="15" hidden="false" customHeight="false" outlineLevel="0" collapsed="false">
      <c r="A4009" s="0" t="s">
        <v>5518</v>
      </c>
      <c r="C4009" s="0" t="s">
        <v>2981</v>
      </c>
      <c r="D4009" s="7" t="n">
        <v>661</v>
      </c>
      <c r="E4009" s="8" t="n">
        <v>0.0695763993948563</v>
      </c>
      <c r="F4009" s="4" t="n">
        <f aca="false">D4009*E4009</f>
        <v>45.99</v>
      </c>
      <c r="G4009" s="7" t="n">
        <v>386</v>
      </c>
      <c r="H4009" s="9" t="n">
        <f aca="false">IF(G4009&gt;0,D4009/G4009,"")</f>
        <v>1.71243523316062</v>
      </c>
      <c r="I4009" s="10" t="n">
        <v>46169</v>
      </c>
      <c r="J4009" s="3" t="s">
        <v>732</v>
      </c>
      <c r="K4009" s="10" t="n">
        <v>46066</v>
      </c>
      <c r="L4009" s="3" t="s">
        <v>14</v>
      </c>
      <c r="M4009" s="7" t="n">
        <v>1000</v>
      </c>
      <c r="N4009" s="8" t="n">
        <v>0.0695</v>
      </c>
      <c r="O4009" s="4" t="n">
        <f aca="false">M4009*N4009</f>
        <v>69.5</v>
      </c>
    </row>
    <row r="4010" customFormat="false" ht="15" hidden="false" customHeight="false" outlineLevel="0" collapsed="false">
      <c r="A4010" s="0" t="s">
        <v>5519</v>
      </c>
      <c r="C4010" s="0" t="s">
        <v>32</v>
      </c>
      <c r="D4010" s="7" t="n">
        <v>1107</v>
      </c>
      <c r="E4010" s="8" t="n">
        <v>0.0414995483288166</v>
      </c>
      <c r="F4010" s="4" t="n">
        <f aca="false">D4010*E4010</f>
        <v>45.94</v>
      </c>
      <c r="G4010" s="7" t="n">
        <v>635</v>
      </c>
      <c r="H4010" s="9" t="n">
        <f aca="false">IF(G4010&gt;0,D4010/G4010,"")</f>
        <v>1.74330708661417</v>
      </c>
      <c r="I4010" s="10" t="n">
        <v>46301</v>
      </c>
      <c r="J4010" s="3" t="s">
        <v>1120</v>
      </c>
      <c r="K4010" s="10" t="n">
        <v>45960</v>
      </c>
      <c r="L4010" s="3" t="s">
        <v>18</v>
      </c>
      <c r="M4010" s="7" t="n">
        <v>1600</v>
      </c>
      <c r="N4010" s="8" t="n">
        <v>0.0415</v>
      </c>
      <c r="O4010" s="4" t="n">
        <f aca="false">M4010*N4010</f>
        <v>66.4</v>
      </c>
    </row>
    <row r="4011" customFormat="false" ht="15" hidden="false" customHeight="false" outlineLevel="0" collapsed="false">
      <c r="A4011" s="0" t="s">
        <v>5520</v>
      </c>
      <c r="D4011" s="7" t="n">
        <v>18</v>
      </c>
      <c r="E4011" s="8" t="n">
        <v>2.55222222222222</v>
      </c>
      <c r="F4011" s="4" t="n">
        <f aca="false">D4011*E4011</f>
        <v>45.94</v>
      </c>
      <c r="G4011" s="7" t="n">
        <v>2</v>
      </c>
      <c r="H4011" s="9" t="n">
        <f aca="false">IF(G4011&gt;0,D4011/G4011,"")</f>
        <v>9</v>
      </c>
      <c r="I4011" s="10" t="n">
        <v>46279</v>
      </c>
      <c r="J4011" s="3" t="s">
        <v>568</v>
      </c>
      <c r="K4011" s="10" t="n">
        <v>46268</v>
      </c>
      <c r="L4011" s="3" t="s">
        <v>14</v>
      </c>
      <c r="M4011" s="7" t="n">
        <v>20</v>
      </c>
      <c r="N4011" s="8" t="n">
        <v>2.5525</v>
      </c>
      <c r="O4011" s="4" t="n">
        <f aca="false">M4011*N4011</f>
        <v>51.05</v>
      </c>
    </row>
    <row r="4012" customFormat="false" ht="15" hidden="false" customHeight="false" outlineLevel="0" collapsed="false">
      <c r="A4012" s="0" t="s">
        <v>5521</v>
      </c>
      <c r="C4012" s="0" t="s">
        <v>35</v>
      </c>
      <c r="D4012" s="7" t="n">
        <v>8</v>
      </c>
      <c r="E4012" s="8" t="n">
        <v>5.7425</v>
      </c>
      <c r="F4012" s="4" t="n">
        <f aca="false">D4012*E4012</f>
        <v>45.94</v>
      </c>
      <c r="G4012" s="7" t="n">
        <v>2</v>
      </c>
      <c r="H4012" s="9" t="n">
        <f aca="false">IF(G4012&gt;0,D4012/G4012,"")</f>
        <v>4</v>
      </c>
      <c r="I4012" s="10" t="n">
        <v>46185</v>
      </c>
      <c r="J4012" s="3" t="s">
        <v>5522</v>
      </c>
      <c r="K4012" s="10" t="n">
        <v>44266</v>
      </c>
      <c r="L4012" s="3" t="s">
        <v>14</v>
      </c>
      <c r="M4012" s="7" t="n">
        <v>1</v>
      </c>
      <c r="N4012" s="8" t="n">
        <v>12.1122</v>
      </c>
      <c r="O4012" s="4" t="n">
        <f aca="false">M4012*N4012</f>
        <v>12.1122</v>
      </c>
    </row>
    <row r="4013" customFormat="false" ht="15" hidden="false" customHeight="false" outlineLevel="0" collapsed="false">
      <c r="A4013" s="0" t="s">
        <v>5523</v>
      </c>
      <c r="C4013" s="0" t="s">
        <v>340</v>
      </c>
      <c r="D4013" s="7" t="n">
        <v>1184</v>
      </c>
      <c r="E4013" s="8" t="n">
        <v>0.0388006756756757</v>
      </c>
      <c r="F4013" s="4" t="n">
        <f aca="false">D4013*E4013</f>
        <v>45.94</v>
      </c>
      <c r="G4013" s="7" t="n">
        <v>617</v>
      </c>
      <c r="H4013" s="9" t="n">
        <f aca="false">IF(G4013&gt;0,D4013/G4013,"")</f>
        <v>1.91896272285251</v>
      </c>
      <c r="I4013" s="10" t="n">
        <v>46309</v>
      </c>
      <c r="J4013" s="3" t="s">
        <v>5162</v>
      </c>
      <c r="K4013" s="10" t="n">
        <v>46231</v>
      </c>
      <c r="L4013" s="3" t="s">
        <v>19</v>
      </c>
      <c r="M4013" s="7" t="n">
        <v>500</v>
      </c>
      <c r="N4013" s="8" t="n">
        <v>0.0523</v>
      </c>
      <c r="O4013" s="4" t="n">
        <f aca="false">M4013*N4013</f>
        <v>26.15</v>
      </c>
    </row>
    <row r="4014" customFormat="false" ht="15" hidden="false" customHeight="false" outlineLevel="0" collapsed="false">
      <c r="A4014" s="0" t="s">
        <v>5524</v>
      </c>
      <c r="C4014" s="0" t="s">
        <v>61</v>
      </c>
      <c r="D4014" s="7" t="n">
        <v>445</v>
      </c>
      <c r="E4014" s="8" t="n">
        <v>0.103191011235955</v>
      </c>
      <c r="F4014" s="4" t="n">
        <f aca="false">D4014*E4014</f>
        <v>45.92</v>
      </c>
      <c r="G4014" s="7" t="n">
        <v>8</v>
      </c>
      <c r="H4014" s="9" t="n">
        <f aca="false">IF(G4014&gt;0,D4014/G4014,"")</f>
        <v>55.625</v>
      </c>
      <c r="I4014" s="10" t="n">
        <v>46210</v>
      </c>
      <c r="K4014" s="10"/>
      <c r="M4014" s="7"/>
      <c r="N4014" s="8"/>
      <c r="O4014" s="4"/>
    </row>
    <row r="4015" customFormat="false" ht="15" hidden="false" customHeight="false" outlineLevel="0" collapsed="false">
      <c r="A4015" s="0" t="s">
        <v>5525</v>
      </c>
      <c r="C4015" s="0" t="s">
        <v>889</v>
      </c>
      <c r="D4015" s="7" t="n">
        <v>6754</v>
      </c>
      <c r="E4015" s="8" t="n">
        <v>0.00679745336097128</v>
      </c>
      <c r="F4015" s="4" t="n">
        <f aca="false">D4015*E4015</f>
        <v>45.91</v>
      </c>
      <c r="G4015" s="7" t="n">
        <v>850</v>
      </c>
      <c r="H4015" s="9" t="n">
        <f aca="false">IF(G4015&gt;0,D4015/G4015,"")</f>
        <v>7.94588235294118</v>
      </c>
      <c r="I4015" s="10" t="n">
        <v>46171</v>
      </c>
      <c r="J4015" s="3" t="s">
        <v>249</v>
      </c>
      <c r="K4015" s="10" t="n">
        <v>44314</v>
      </c>
      <c r="L4015" s="3" t="s">
        <v>15</v>
      </c>
      <c r="M4015" s="7" t="n">
        <v>7790</v>
      </c>
      <c r="N4015" s="8" t="n">
        <v>0.00667</v>
      </c>
      <c r="O4015" s="4" t="n">
        <f aca="false">M4015*N4015</f>
        <v>51.9593</v>
      </c>
    </row>
    <row r="4016" customFormat="false" ht="15" hidden="false" customHeight="false" outlineLevel="0" collapsed="false">
      <c r="A4016" s="0" t="s">
        <v>5526</v>
      </c>
      <c r="C4016" s="0" t="s">
        <v>31</v>
      </c>
      <c r="D4016" s="7" t="n">
        <v>1591</v>
      </c>
      <c r="E4016" s="8" t="n">
        <v>0.0288434946574482</v>
      </c>
      <c r="F4016" s="4" t="n">
        <f aca="false">D4016*E4016</f>
        <v>45.89</v>
      </c>
      <c r="G4016" s="7" t="n">
        <v>51</v>
      </c>
      <c r="H4016" s="9" t="n">
        <f aca="false">IF(G4016&gt;0,D4016/G4016,"")</f>
        <v>31.1960784313726</v>
      </c>
      <c r="I4016" s="10" t="n">
        <v>46293</v>
      </c>
      <c r="J4016" s="3" t="s">
        <v>628</v>
      </c>
      <c r="K4016" s="10" t="n">
        <v>46128</v>
      </c>
      <c r="L4016" s="3" t="s">
        <v>16</v>
      </c>
      <c r="M4016" s="7" t="n">
        <v>1600</v>
      </c>
      <c r="N4016" s="8" t="n">
        <v>0.0288</v>
      </c>
      <c r="O4016" s="4" t="n">
        <f aca="false">M4016*N4016</f>
        <v>46.08</v>
      </c>
    </row>
    <row r="4017" customFormat="false" ht="15" hidden="false" customHeight="false" outlineLevel="0" collapsed="false">
      <c r="A4017" s="0" t="s">
        <v>5527</v>
      </c>
      <c r="C4017" s="0" t="s">
        <v>765</v>
      </c>
      <c r="D4017" s="7" t="n">
        <v>6553</v>
      </c>
      <c r="E4017" s="8" t="n">
        <v>0.00699984739813826</v>
      </c>
      <c r="F4017" s="4" t="n">
        <f aca="false">D4017*E4017</f>
        <v>45.87</v>
      </c>
      <c r="G4017" s="7" t="n">
        <v>187</v>
      </c>
      <c r="H4017" s="9" t="n">
        <f aca="false">IF(G4017&gt;0,D4017/G4017,"")</f>
        <v>35.0427807486631</v>
      </c>
      <c r="I4017" s="10" t="n">
        <v>46301</v>
      </c>
      <c r="J4017" s="3" t="s">
        <v>628</v>
      </c>
      <c r="K4017" s="10" t="n">
        <v>46128</v>
      </c>
      <c r="L4017" s="3" t="s">
        <v>16</v>
      </c>
      <c r="M4017" s="7" t="n">
        <v>7100</v>
      </c>
      <c r="N4017" s="8" t="n">
        <v>0.007</v>
      </c>
      <c r="O4017" s="4" t="n">
        <f aca="false">M4017*N4017</f>
        <v>49.7</v>
      </c>
    </row>
    <row r="4018" customFormat="false" ht="15" hidden="false" customHeight="false" outlineLevel="0" collapsed="false">
      <c r="A4018" s="0" t="s">
        <v>5528</v>
      </c>
      <c r="C4018" s="0" t="s">
        <v>38</v>
      </c>
      <c r="D4018" s="7" t="n">
        <v>1010</v>
      </c>
      <c r="E4018" s="8" t="n">
        <v>0.0453960396039604</v>
      </c>
      <c r="F4018" s="4" t="n">
        <f aca="false">D4018*E4018</f>
        <v>45.85</v>
      </c>
      <c r="G4018" s="7" t="n">
        <v>431</v>
      </c>
      <c r="H4018" s="9" t="n">
        <f aca="false">IF(G4018&gt;0,D4018/G4018,"")</f>
        <v>2.34338747099768</v>
      </c>
      <c r="I4018" s="10" t="n">
        <v>46142</v>
      </c>
      <c r="J4018" s="3" t="s">
        <v>3444</v>
      </c>
      <c r="K4018" s="10" t="n">
        <v>45925</v>
      </c>
      <c r="L4018" s="3" t="s">
        <v>18</v>
      </c>
      <c r="M4018" s="7" t="n">
        <v>1200</v>
      </c>
      <c r="N4018" s="8" t="n">
        <v>0.0454</v>
      </c>
      <c r="O4018" s="4" t="n">
        <f aca="false">M4018*N4018</f>
        <v>54.48</v>
      </c>
    </row>
    <row r="4019" customFormat="false" ht="15" hidden="false" customHeight="false" outlineLevel="0" collapsed="false">
      <c r="A4019" s="0" t="s">
        <v>5529</v>
      </c>
      <c r="C4019" s="0" t="s">
        <v>36</v>
      </c>
      <c r="D4019" s="7" t="n">
        <v>812</v>
      </c>
      <c r="E4019" s="8" t="n">
        <v>0.0564039408866995</v>
      </c>
      <c r="F4019" s="4" t="n">
        <f aca="false">D4019*E4019</f>
        <v>45.8</v>
      </c>
      <c r="G4019" s="7" t="n">
        <v>290</v>
      </c>
      <c r="H4019" s="9" t="n">
        <f aca="false">IF(G4019&gt;0,D4019/G4019,"")</f>
        <v>2.8</v>
      </c>
      <c r="I4019" s="10" t="n">
        <v>46311</v>
      </c>
      <c r="J4019" s="3" t="s">
        <v>1584</v>
      </c>
      <c r="K4019" s="10" t="n">
        <v>45275</v>
      </c>
      <c r="L4019" s="3" t="s">
        <v>15</v>
      </c>
      <c r="M4019" s="7" t="n">
        <v>1333</v>
      </c>
      <c r="N4019" s="8" t="n">
        <v>0.05641</v>
      </c>
      <c r="O4019" s="4" t="n">
        <f aca="false">M4019*N4019</f>
        <v>75.19453</v>
      </c>
    </row>
    <row r="4020" customFormat="false" ht="15" hidden="false" customHeight="false" outlineLevel="0" collapsed="false">
      <c r="A4020" s="0" t="s">
        <v>5530</v>
      </c>
      <c r="C4020" s="0" t="s">
        <v>118</v>
      </c>
      <c r="D4020" s="7" t="n">
        <v>103</v>
      </c>
      <c r="E4020" s="8" t="n">
        <v>0.444563106796117</v>
      </c>
      <c r="F4020" s="4" t="n">
        <f aca="false">D4020*E4020</f>
        <v>45.79</v>
      </c>
      <c r="G4020" s="7" t="n">
        <v>13</v>
      </c>
      <c r="H4020" s="9" t="n">
        <f aca="false">IF(G4020&gt;0,D4020/G4020,"")</f>
        <v>7.92307692307692</v>
      </c>
      <c r="I4020" s="10" t="n">
        <v>46133</v>
      </c>
      <c r="J4020" s="3" t="s">
        <v>249</v>
      </c>
      <c r="K4020" s="10" t="n">
        <v>44314</v>
      </c>
      <c r="L4020" s="3" t="s">
        <v>15</v>
      </c>
      <c r="M4020" s="7" t="n">
        <v>132</v>
      </c>
      <c r="N4020" s="8" t="n">
        <v>0.44461</v>
      </c>
      <c r="O4020" s="4" t="n">
        <f aca="false">M4020*N4020</f>
        <v>58.68852</v>
      </c>
    </row>
    <row r="4021" customFormat="false" ht="15" hidden="false" customHeight="false" outlineLevel="0" collapsed="false">
      <c r="A4021" s="0" t="s">
        <v>5531</v>
      </c>
      <c r="C4021" s="0" t="s">
        <v>35</v>
      </c>
      <c r="D4021" s="7" t="n">
        <v>281</v>
      </c>
      <c r="E4021" s="8" t="n">
        <v>0.162918149466192</v>
      </c>
      <c r="F4021" s="4" t="n">
        <f aca="false">D4021*E4021</f>
        <v>45.78</v>
      </c>
      <c r="G4021" s="7" t="n">
        <v>67</v>
      </c>
      <c r="H4021" s="9" t="n">
        <f aca="false">IF(G4021&gt;0,D4021/G4021,"")</f>
        <v>4.19402985074627</v>
      </c>
      <c r="I4021" s="10" t="n">
        <v>46288</v>
      </c>
      <c r="J4021" s="3" t="s">
        <v>886</v>
      </c>
      <c r="K4021" s="10" t="n">
        <v>44293</v>
      </c>
      <c r="L4021" s="3" t="s">
        <v>15</v>
      </c>
      <c r="M4021" s="7" t="n">
        <v>360</v>
      </c>
      <c r="N4021" s="8" t="n">
        <v>0.1629</v>
      </c>
      <c r="O4021" s="4" t="n">
        <f aca="false">M4021*N4021</f>
        <v>58.644</v>
      </c>
    </row>
    <row r="4022" customFormat="false" ht="15" hidden="false" customHeight="false" outlineLevel="0" collapsed="false">
      <c r="A4022" s="0" t="s">
        <v>5532</v>
      </c>
      <c r="C4022" s="0" t="s">
        <v>765</v>
      </c>
      <c r="D4022" s="7" t="n">
        <v>3441</v>
      </c>
      <c r="E4022" s="8" t="n">
        <v>0.013301365882011</v>
      </c>
      <c r="F4022" s="4" t="n">
        <f aca="false">D4022*E4022</f>
        <v>45.77</v>
      </c>
      <c r="G4022" s="7" t="n">
        <v>169</v>
      </c>
      <c r="H4022" s="9" t="n">
        <f aca="false">IF(G4022&gt;0,D4022/G4022,"")</f>
        <v>20.3609467455621</v>
      </c>
      <c r="I4022" s="10" t="n">
        <v>46234</v>
      </c>
      <c r="J4022" s="3" t="s">
        <v>628</v>
      </c>
      <c r="K4022" s="10" t="n">
        <v>46128</v>
      </c>
      <c r="L4022" s="3" t="s">
        <v>16</v>
      </c>
      <c r="M4022" s="7" t="n">
        <v>3700</v>
      </c>
      <c r="N4022" s="8" t="n">
        <v>0.0132</v>
      </c>
      <c r="O4022" s="4" t="n">
        <f aca="false">M4022*N4022</f>
        <v>48.84</v>
      </c>
    </row>
    <row r="4023" customFormat="false" ht="15" hidden="false" customHeight="false" outlineLevel="0" collapsed="false">
      <c r="A4023" s="0" t="s">
        <v>5533</v>
      </c>
      <c r="C4023" s="0" t="s">
        <v>34</v>
      </c>
      <c r="D4023" s="7" t="n">
        <v>3275</v>
      </c>
      <c r="E4023" s="8" t="n">
        <v>0.013969465648855</v>
      </c>
      <c r="F4023" s="4" t="n">
        <f aca="false">D4023*E4023</f>
        <v>45.75</v>
      </c>
      <c r="G4023" s="7" t="n">
        <v>296</v>
      </c>
      <c r="H4023" s="9" t="n">
        <f aca="false">IF(G4023&gt;0,D4023/G4023,"")</f>
        <v>11.0641891891892</v>
      </c>
      <c r="I4023" s="10" t="n">
        <v>46204</v>
      </c>
      <c r="J4023" s="3" t="s">
        <v>2228</v>
      </c>
      <c r="K4023" s="10" t="n">
        <v>44328</v>
      </c>
      <c r="L4023" s="3" t="s">
        <v>15</v>
      </c>
      <c r="M4023" s="7" t="n">
        <v>4550</v>
      </c>
      <c r="N4023" s="8" t="n">
        <v>0.01397</v>
      </c>
      <c r="O4023" s="4" t="n">
        <f aca="false">M4023*N4023</f>
        <v>63.5635</v>
      </c>
    </row>
    <row r="4024" customFormat="false" ht="15" hidden="false" customHeight="false" outlineLevel="0" collapsed="false">
      <c r="A4024" s="0" t="s">
        <v>5534</v>
      </c>
      <c r="C4024" s="0" t="s">
        <v>31</v>
      </c>
      <c r="D4024" s="7" t="n">
        <v>1684</v>
      </c>
      <c r="E4024" s="8" t="n">
        <v>0.0271496437054632</v>
      </c>
      <c r="F4024" s="4" t="n">
        <f aca="false">D4024*E4024</f>
        <v>45.72</v>
      </c>
      <c r="G4024" s="7" t="n">
        <v>14</v>
      </c>
      <c r="H4024" s="9" t="n">
        <f aca="false">IF(G4024&gt;0,D4024/G4024,"")</f>
        <v>120.285714285714</v>
      </c>
      <c r="I4024" s="10" t="n">
        <v>46231</v>
      </c>
      <c r="J4024" s="3" t="s">
        <v>628</v>
      </c>
      <c r="K4024" s="10" t="n">
        <v>46128</v>
      </c>
      <c r="L4024" s="3" t="s">
        <v>16</v>
      </c>
      <c r="M4024" s="7" t="n">
        <v>1700</v>
      </c>
      <c r="N4024" s="8" t="n">
        <v>0.0269</v>
      </c>
      <c r="O4024" s="4" t="n">
        <f aca="false">M4024*N4024</f>
        <v>45.73</v>
      </c>
    </row>
    <row r="4025" customFormat="false" ht="15" hidden="false" customHeight="false" outlineLevel="0" collapsed="false">
      <c r="A4025" s="0" t="s">
        <v>5535</v>
      </c>
      <c r="C4025" s="0" t="s">
        <v>765</v>
      </c>
      <c r="D4025" s="7" t="n">
        <v>2966</v>
      </c>
      <c r="E4025" s="8" t="n">
        <v>0.0154113283884019</v>
      </c>
      <c r="F4025" s="4" t="n">
        <f aca="false">D4025*E4025</f>
        <v>45.71</v>
      </c>
      <c r="G4025" s="7" t="n">
        <v>118</v>
      </c>
      <c r="H4025" s="9" t="n">
        <f aca="false">IF(G4025&gt;0,D4025/G4025,"")</f>
        <v>25.135593220339</v>
      </c>
      <c r="I4025" s="10" t="n">
        <v>46301</v>
      </c>
      <c r="J4025" s="3" t="s">
        <v>628</v>
      </c>
      <c r="K4025" s="10" t="n">
        <v>46128</v>
      </c>
      <c r="L4025" s="3" t="s">
        <v>16</v>
      </c>
      <c r="M4025" s="7" t="n">
        <v>3200</v>
      </c>
      <c r="N4025" s="8" t="n">
        <v>0.0153</v>
      </c>
      <c r="O4025" s="4" t="n">
        <f aca="false">M4025*N4025</f>
        <v>48.96</v>
      </c>
    </row>
    <row r="4026" customFormat="false" ht="15" hidden="false" customHeight="false" outlineLevel="0" collapsed="false">
      <c r="A4026" s="0" t="s">
        <v>5536</v>
      </c>
      <c r="C4026" s="0" t="s">
        <v>2515</v>
      </c>
      <c r="D4026" s="7" t="n">
        <v>42</v>
      </c>
      <c r="E4026" s="8" t="n">
        <v>1.08738095238095</v>
      </c>
      <c r="F4026" s="4" t="n">
        <f aca="false">D4026*E4026</f>
        <v>45.67</v>
      </c>
      <c r="G4026" s="7" t="n">
        <v>35</v>
      </c>
      <c r="H4026" s="9" t="n">
        <f aca="false">IF(G4026&gt;0,D4026/G4026,"")</f>
        <v>1.2</v>
      </c>
      <c r="I4026" s="10" t="n">
        <v>46293</v>
      </c>
      <c r="J4026" s="3" t="s">
        <v>5537</v>
      </c>
      <c r="K4026" s="10" t="n">
        <v>45567</v>
      </c>
      <c r="L4026" s="3" t="s">
        <v>313</v>
      </c>
      <c r="M4026" s="7" t="n">
        <v>100</v>
      </c>
      <c r="N4026" s="8" t="n">
        <v>1.0875</v>
      </c>
      <c r="O4026" s="4" t="n">
        <f aca="false">M4026*N4026</f>
        <v>108.75</v>
      </c>
    </row>
    <row r="4027" customFormat="false" ht="15" hidden="false" customHeight="false" outlineLevel="0" collapsed="false">
      <c r="A4027" s="0" t="s">
        <v>5538</v>
      </c>
      <c r="C4027" s="0" t="s">
        <v>31</v>
      </c>
      <c r="D4027" s="7" t="n">
        <v>3786</v>
      </c>
      <c r="E4027" s="8" t="n">
        <v>0.0120602218700475</v>
      </c>
      <c r="F4027" s="4" t="n">
        <f aca="false">D4027*E4027</f>
        <v>45.66</v>
      </c>
      <c r="G4027" s="7" t="n">
        <v>552</v>
      </c>
      <c r="H4027" s="9" t="n">
        <f aca="false">IF(G4027&gt;0,D4027/G4027,"")</f>
        <v>6.85869565217391</v>
      </c>
      <c r="I4027" s="10" t="n">
        <v>46269</v>
      </c>
      <c r="J4027" s="3" t="s">
        <v>3656</v>
      </c>
      <c r="K4027" s="10" t="n">
        <v>44320</v>
      </c>
      <c r="L4027" s="3" t="s">
        <v>16</v>
      </c>
      <c r="M4027" s="7" t="n">
        <v>6539</v>
      </c>
      <c r="N4027" s="8" t="n">
        <v>0.01206</v>
      </c>
      <c r="O4027" s="4" t="n">
        <f aca="false">M4027*N4027</f>
        <v>78.86034</v>
      </c>
    </row>
    <row r="4028" customFormat="false" ht="15" hidden="false" customHeight="false" outlineLevel="0" collapsed="false">
      <c r="A4028" s="0" t="s">
        <v>5539</v>
      </c>
      <c r="C4028" s="0" t="s">
        <v>765</v>
      </c>
      <c r="D4028" s="7" t="n">
        <v>153</v>
      </c>
      <c r="E4028" s="8" t="n">
        <v>0.29843137254902</v>
      </c>
      <c r="F4028" s="4" t="n">
        <f aca="false">D4028*E4028</f>
        <v>45.66</v>
      </c>
      <c r="G4028" s="7" t="n">
        <v>25</v>
      </c>
      <c r="H4028" s="9" t="n">
        <f aca="false">IF(G4028&gt;0,D4028/G4028,"")</f>
        <v>6.12</v>
      </c>
      <c r="I4028" s="10" t="n">
        <v>46279</v>
      </c>
      <c r="J4028" s="3" t="s">
        <v>2600</v>
      </c>
      <c r="K4028" s="10" t="n">
        <v>45799</v>
      </c>
      <c r="L4028" s="3" t="s">
        <v>14</v>
      </c>
      <c r="M4028" s="7" t="n">
        <v>270</v>
      </c>
      <c r="N4028" s="8" t="n">
        <v>0.298296</v>
      </c>
      <c r="O4028" s="4" t="n">
        <f aca="false">M4028*N4028</f>
        <v>80.53992</v>
      </c>
    </row>
    <row r="4029" customFormat="false" ht="15" hidden="false" customHeight="false" outlineLevel="0" collapsed="false">
      <c r="A4029" s="0" t="s">
        <v>5540</v>
      </c>
      <c r="D4029" s="7" t="n">
        <v>20</v>
      </c>
      <c r="E4029" s="8" t="n">
        <v>2.282</v>
      </c>
      <c r="F4029" s="4" t="n">
        <f aca="false">D4029*E4029</f>
        <v>45.64</v>
      </c>
      <c r="G4029" s="7" t="n">
        <v>2</v>
      </c>
      <c r="H4029" s="9" t="n">
        <f aca="false">IF(G4029&gt;0,D4029/G4029,"")</f>
        <v>10</v>
      </c>
      <c r="I4029" s="10" t="n">
        <v>46051</v>
      </c>
      <c r="J4029" s="3" t="s">
        <v>5541</v>
      </c>
      <c r="K4029" s="10" t="n">
        <v>46043</v>
      </c>
      <c r="L4029" s="3" t="s">
        <v>14</v>
      </c>
      <c r="M4029" s="7" t="n">
        <v>22</v>
      </c>
      <c r="N4029" s="8" t="n">
        <v>2.2816</v>
      </c>
      <c r="O4029" s="4" t="n">
        <f aca="false">M4029*N4029</f>
        <v>50.1952</v>
      </c>
    </row>
    <row r="4030" customFormat="false" ht="15" hidden="false" customHeight="false" outlineLevel="0" collapsed="false">
      <c r="A4030" s="0" t="s">
        <v>5542</v>
      </c>
      <c r="C4030" s="0" t="s">
        <v>934</v>
      </c>
      <c r="D4030" s="7" t="n">
        <v>34</v>
      </c>
      <c r="E4030" s="8" t="n">
        <v>1.34205882352941</v>
      </c>
      <c r="F4030" s="4" t="n">
        <f aca="false">D4030*E4030</f>
        <v>45.63</v>
      </c>
      <c r="G4030" s="7" t="n">
        <v>14</v>
      </c>
      <c r="H4030" s="9" t="n">
        <f aca="false">IF(G4030&gt;0,D4030/G4030,"")</f>
        <v>2.42857142857143</v>
      </c>
      <c r="I4030" s="10" t="n">
        <v>46218</v>
      </c>
      <c r="K4030" s="10"/>
      <c r="M4030" s="7"/>
      <c r="N4030" s="8"/>
      <c r="O4030" s="4"/>
    </row>
    <row r="4031" customFormat="false" ht="15" hidden="false" customHeight="false" outlineLevel="0" collapsed="false">
      <c r="A4031" s="0" t="s">
        <v>5543</v>
      </c>
      <c r="C4031" s="0" t="s">
        <v>765</v>
      </c>
      <c r="D4031" s="7" t="n">
        <v>6075</v>
      </c>
      <c r="E4031" s="8" t="n">
        <v>0.00749958847736626</v>
      </c>
      <c r="F4031" s="4" t="n">
        <f aca="false">D4031*E4031</f>
        <v>45.56</v>
      </c>
      <c r="G4031" s="7" t="n">
        <v>625</v>
      </c>
      <c r="H4031" s="9" t="n">
        <f aca="false">IF(G4031&gt;0,D4031/G4031,"")</f>
        <v>9.72</v>
      </c>
      <c r="I4031" s="10" t="n">
        <v>46304</v>
      </c>
      <c r="J4031" s="3" t="s">
        <v>4283</v>
      </c>
      <c r="K4031" s="10" t="n">
        <v>46276</v>
      </c>
      <c r="L4031" s="3" t="s">
        <v>16</v>
      </c>
      <c r="M4031" s="7" t="n">
        <v>6700</v>
      </c>
      <c r="N4031" s="8" t="n">
        <v>0.0075</v>
      </c>
      <c r="O4031" s="4" t="n">
        <f aca="false">M4031*N4031</f>
        <v>50.25</v>
      </c>
    </row>
    <row r="4032" customFormat="false" ht="15" hidden="false" customHeight="false" outlineLevel="0" collapsed="false">
      <c r="A4032" s="0" t="s">
        <v>5544</v>
      </c>
      <c r="C4032" s="0" t="s">
        <v>34</v>
      </c>
      <c r="D4032" s="7" t="n">
        <v>1064</v>
      </c>
      <c r="E4032" s="8" t="n">
        <v>0.0428007518796993</v>
      </c>
      <c r="F4032" s="4" t="n">
        <f aca="false">D4032*E4032</f>
        <v>45.54</v>
      </c>
      <c r="G4032" s="7" t="n">
        <v>550</v>
      </c>
      <c r="H4032" s="9" t="n">
        <f aca="false">IF(G4032&gt;0,D4032/G4032,"")</f>
        <v>1.93454545454545</v>
      </c>
      <c r="I4032" s="10" t="n">
        <v>46300</v>
      </c>
      <c r="J4032" s="3" t="s">
        <v>366</v>
      </c>
      <c r="K4032" s="10" t="n">
        <v>45721</v>
      </c>
      <c r="L4032" s="3" t="s">
        <v>16</v>
      </c>
      <c r="M4032" s="7" t="n">
        <v>2000</v>
      </c>
      <c r="N4032" s="8" t="n">
        <v>0.0428</v>
      </c>
      <c r="O4032" s="4" t="n">
        <f aca="false">M4032*N4032</f>
        <v>85.6</v>
      </c>
    </row>
    <row r="4033" customFormat="false" ht="15" hidden="false" customHeight="false" outlineLevel="0" collapsed="false">
      <c r="A4033" s="0" t="s">
        <v>5545</v>
      </c>
      <c r="C4033" s="0" t="s">
        <v>765</v>
      </c>
      <c r="D4033" s="7" t="n">
        <v>464</v>
      </c>
      <c r="E4033" s="8" t="n">
        <v>0.098125</v>
      </c>
      <c r="F4033" s="4" t="n">
        <f aca="false">D4033*E4033</f>
        <v>45.53</v>
      </c>
      <c r="G4033" s="7" t="n">
        <v>89</v>
      </c>
      <c r="H4033" s="9" t="n">
        <f aca="false">IF(G4033&gt;0,D4033/G4033,"")</f>
        <v>5.21348314606742</v>
      </c>
      <c r="I4033" s="10" t="n">
        <v>46293</v>
      </c>
      <c r="J4033" s="3" t="s">
        <v>4636</v>
      </c>
      <c r="K4033" s="10" t="n">
        <v>45119</v>
      </c>
      <c r="L4033" s="3" t="s">
        <v>14</v>
      </c>
      <c r="M4033" s="7" t="n">
        <v>1000</v>
      </c>
      <c r="N4033" s="8" t="n">
        <v>0.0981</v>
      </c>
      <c r="O4033" s="4" t="n">
        <f aca="false">M4033*N4033</f>
        <v>98.1</v>
      </c>
    </row>
    <row r="4034" customFormat="false" ht="15" hidden="false" customHeight="false" outlineLevel="0" collapsed="false">
      <c r="A4034" s="0" t="s">
        <v>5546</v>
      </c>
      <c r="C4034" s="0" t="s">
        <v>855</v>
      </c>
      <c r="D4034" s="7" t="n">
        <v>1290</v>
      </c>
      <c r="E4034" s="8" t="n">
        <v>0.0352790697674419</v>
      </c>
      <c r="F4034" s="4" t="n">
        <f aca="false">D4034*E4034</f>
        <v>45.51</v>
      </c>
      <c r="G4034" s="7" t="n">
        <v>97</v>
      </c>
      <c r="H4034" s="9" t="n">
        <f aca="false">IF(G4034&gt;0,D4034/G4034,"")</f>
        <v>13.298969072165</v>
      </c>
      <c r="I4034" s="10" t="n">
        <v>46300</v>
      </c>
      <c r="J4034" s="3" t="s">
        <v>5547</v>
      </c>
      <c r="K4034" s="10" t="n">
        <v>44734</v>
      </c>
      <c r="L4034" s="3" t="s">
        <v>19</v>
      </c>
      <c r="M4034" s="7" t="n">
        <v>1958</v>
      </c>
      <c r="N4034" s="8" t="n">
        <v>0</v>
      </c>
      <c r="O4034" s="4" t="n">
        <v>69.1362</v>
      </c>
    </row>
    <row r="4035" customFormat="false" ht="15" hidden="false" customHeight="false" outlineLevel="0" collapsed="false">
      <c r="A4035" s="0" t="s">
        <v>5548</v>
      </c>
      <c r="C4035" s="0" t="s">
        <v>34</v>
      </c>
      <c r="D4035" s="7" t="n">
        <v>1612</v>
      </c>
      <c r="E4035" s="8" t="n">
        <v>0.0282258064516129</v>
      </c>
      <c r="F4035" s="4" t="n">
        <f aca="false">D4035*E4035</f>
        <v>45.5</v>
      </c>
      <c r="G4035" s="7" t="n">
        <v>508</v>
      </c>
      <c r="H4035" s="9" t="n">
        <f aca="false">IF(G4035&gt;0,D4035/G4035,"")</f>
        <v>3.17322834645669</v>
      </c>
      <c r="I4035" s="10" t="n">
        <v>46247</v>
      </c>
      <c r="J4035" s="3" t="s">
        <v>1584</v>
      </c>
      <c r="K4035" s="10" t="n">
        <v>45275</v>
      </c>
      <c r="L4035" s="3" t="s">
        <v>15</v>
      </c>
      <c r="M4035" s="7" t="n">
        <v>2800</v>
      </c>
      <c r="N4035" s="8" t="n">
        <v>0.02822</v>
      </c>
      <c r="O4035" s="4" t="n">
        <f aca="false">M4035*N4035</f>
        <v>79.016</v>
      </c>
    </row>
    <row r="4036" customFormat="false" ht="15" hidden="false" customHeight="false" outlineLevel="0" collapsed="false">
      <c r="A4036" s="0" t="s">
        <v>5549</v>
      </c>
      <c r="C4036" s="0" t="s">
        <v>799</v>
      </c>
      <c r="D4036" s="7" t="n">
        <v>15</v>
      </c>
      <c r="E4036" s="8" t="n">
        <v>3.03266666666667</v>
      </c>
      <c r="F4036" s="4" t="n">
        <f aca="false">D4036*E4036</f>
        <v>45.49</v>
      </c>
      <c r="G4036" s="7" t="n">
        <v>1</v>
      </c>
      <c r="H4036" s="9" t="n">
        <f aca="false">IF(G4036&gt;0,D4036/G4036,"")</f>
        <v>15</v>
      </c>
      <c r="I4036" s="10" t="n">
        <v>46163</v>
      </c>
      <c r="J4036" s="3" t="s">
        <v>4448</v>
      </c>
      <c r="K4036" s="10" t="n">
        <v>45827</v>
      </c>
      <c r="L4036" s="3" t="s">
        <v>14</v>
      </c>
      <c r="M4036" s="7" t="n">
        <v>25</v>
      </c>
      <c r="N4036" s="8" t="n">
        <v>3.032</v>
      </c>
      <c r="O4036" s="4" t="n">
        <f aca="false">M4036*N4036</f>
        <v>75.8</v>
      </c>
    </row>
    <row r="4037" customFormat="false" ht="15" hidden="false" customHeight="false" outlineLevel="0" collapsed="false">
      <c r="A4037" s="0" t="s">
        <v>5550</v>
      </c>
      <c r="C4037" s="0" t="s">
        <v>38</v>
      </c>
      <c r="D4037" s="7" t="n">
        <v>2283</v>
      </c>
      <c r="E4037" s="8" t="n">
        <v>0.0198992553657468</v>
      </c>
      <c r="F4037" s="4" t="n">
        <f aca="false">D4037*E4037</f>
        <v>45.43</v>
      </c>
      <c r="G4037" s="7" t="n">
        <v>1270</v>
      </c>
      <c r="H4037" s="9" t="n">
        <f aca="false">IF(G4037&gt;0,D4037/G4037,"")</f>
        <v>1.79763779527559</v>
      </c>
      <c r="I4037" s="10" t="n">
        <v>46282</v>
      </c>
      <c r="J4037" s="3" t="s">
        <v>4735</v>
      </c>
      <c r="K4037" s="10" t="n">
        <v>45642</v>
      </c>
      <c r="L4037" s="3" t="s">
        <v>18</v>
      </c>
      <c r="M4037" s="7" t="n">
        <v>5000</v>
      </c>
      <c r="N4037" s="8" t="n">
        <v>0.0199</v>
      </c>
      <c r="O4037" s="4" t="n">
        <f aca="false">M4037*N4037</f>
        <v>99.5</v>
      </c>
    </row>
    <row r="4038" customFormat="false" ht="15" hidden="false" customHeight="false" outlineLevel="0" collapsed="false">
      <c r="A4038" s="0" t="s">
        <v>5551</v>
      </c>
      <c r="C4038" s="0" t="s">
        <v>31</v>
      </c>
      <c r="D4038" s="7" t="n">
        <v>4053</v>
      </c>
      <c r="E4038" s="8" t="n">
        <v>0.01119911176906</v>
      </c>
      <c r="F4038" s="4" t="n">
        <f aca="false">D4038*E4038</f>
        <v>45.39</v>
      </c>
      <c r="G4038" s="7" t="n">
        <v>750</v>
      </c>
      <c r="H4038" s="9" t="n">
        <f aca="false">IF(G4038&gt;0,D4038/G4038,"")</f>
        <v>5.404</v>
      </c>
      <c r="I4038" s="10" t="n">
        <v>46189</v>
      </c>
      <c r="J4038" s="3" t="s">
        <v>2716</v>
      </c>
      <c r="K4038" s="10" t="n">
        <v>46160</v>
      </c>
      <c r="L4038" s="3" t="s">
        <v>16</v>
      </c>
      <c r="M4038" s="7" t="n">
        <v>4500</v>
      </c>
      <c r="N4038" s="8" t="n">
        <v>0.0112</v>
      </c>
      <c r="O4038" s="4" t="n">
        <f aca="false">M4038*N4038</f>
        <v>50.4</v>
      </c>
    </row>
    <row r="4039" customFormat="false" ht="15" hidden="false" customHeight="false" outlineLevel="0" collapsed="false">
      <c r="A4039" s="0" t="s">
        <v>5552</v>
      </c>
      <c r="C4039" s="0" t="s">
        <v>34</v>
      </c>
      <c r="D4039" s="7" t="n">
        <v>587</v>
      </c>
      <c r="E4039" s="8" t="n">
        <v>0.0773083475298126</v>
      </c>
      <c r="F4039" s="4" t="n">
        <f aca="false">D4039*E4039</f>
        <v>45.38</v>
      </c>
      <c r="G4039" s="7" t="n">
        <v>30</v>
      </c>
      <c r="H4039" s="9" t="n">
        <f aca="false">IF(G4039&gt;0,D4039/G4039,"")</f>
        <v>19.5666666666667</v>
      </c>
      <c r="I4039" s="10" t="n">
        <v>46276</v>
      </c>
      <c r="J4039" s="3" t="s">
        <v>810</v>
      </c>
      <c r="K4039" s="10" t="n">
        <v>45056</v>
      </c>
      <c r="L4039" s="3" t="s">
        <v>16</v>
      </c>
      <c r="M4039" s="7" t="n">
        <v>672</v>
      </c>
      <c r="N4039" s="8" t="n">
        <v>0.0773</v>
      </c>
      <c r="O4039" s="4" t="n">
        <f aca="false">M4039*N4039</f>
        <v>51.9456</v>
      </c>
    </row>
    <row r="4040" customFormat="false" ht="15" hidden="false" customHeight="false" outlineLevel="0" collapsed="false">
      <c r="A4040" s="0" t="s">
        <v>5553</v>
      </c>
      <c r="C4040" s="0" t="s">
        <v>41</v>
      </c>
      <c r="D4040" s="7" t="n">
        <v>1925</v>
      </c>
      <c r="E4040" s="8" t="n">
        <v>0.0234961038961039</v>
      </c>
      <c r="F4040" s="4" t="n">
        <f aca="false">D4040*E4040</f>
        <v>45.23</v>
      </c>
      <c r="G4040" s="7" t="n">
        <v>188</v>
      </c>
      <c r="H4040" s="9" t="n">
        <f aca="false">IF(G4040&gt;0,D4040/G4040,"")</f>
        <v>10.2393617021277</v>
      </c>
      <c r="I4040" s="10" t="n">
        <v>46149</v>
      </c>
      <c r="K4040" s="10"/>
      <c r="M4040" s="7"/>
      <c r="N4040" s="8"/>
      <c r="O4040" s="4"/>
    </row>
    <row r="4041" customFormat="false" ht="15" hidden="false" customHeight="false" outlineLevel="0" collapsed="false">
      <c r="A4041" s="0" t="s">
        <v>5554</v>
      </c>
      <c r="C4041" s="0" t="s">
        <v>34</v>
      </c>
      <c r="D4041" s="7" t="n">
        <v>2601</v>
      </c>
      <c r="E4041" s="8" t="n">
        <v>0.0173817762399077</v>
      </c>
      <c r="F4041" s="4" t="n">
        <f aca="false">D4041*E4041</f>
        <v>45.21</v>
      </c>
      <c r="G4041" s="7" t="n">
        <v>25</v>
      </c>
      <c r="H4041" s="9" t="n">
        <f aca="false">IF(G4041&gt;0,D4041/G4041,"")</f>
        <v>104.04</v>
      </c>
      <c r="I4041" s="10" t="n">
        <v>46295</v>
      </c>
      <c r="K4041" s="10"/>
      <c r="M4041" s="7"/>
      <c r="N4041" s="8"/>
      <c r="O4041" s="4"/>
    </row>
    <row r="4042" customFormat="false" ht="15" hidden="false" customHeight="false" outlineLevel="0" collapsed="false">
      <c r="A4042" s="0" t="s">
        <v>5555</v>
      </c>
      <c r="C4042" s="0" t="s">
        <v>1101</v>
      </c>
      <c r="D4042" s="7" t="n">
        <v>10</v>
      </c>
      <c r="E4042" s="8" t="n">
        <v>4.52</v>
      </c>
      <c r="F4042" s="4" t="n">
        <f aca="false">D4042*E4042</f>
        <v>45.2</v>
      </c>
      <c r="G4042" s="7" t="n">
        <v>5</v>
      </c>
      <c r="H4042" s="9" t="n">
        <f aca="false">IF(G4042&gt;0,D4042/G4042,"")</f>
        <v>2</v>
      </c>
      <c r="I4042" s="10" t="n">
        <v>46156</v>
      </c>
      <c r="J4042" s="3" t="s">
        <v>5556</v>
      </c>
      <c r="K4042" s="10" t="n">
        <v>45489</v>
      </c>
      <c r="L4042" s="3" t="s">
        <v>834</v>
      </c>
      <c r="M4042" s="7" t="n">
        <v>25</v>
      </c>
      <c r="N4042" s="8" t="n">
        <v>4.52</v>
      </c>
      <c r="O4042" s="4" t="n">
        <f aca="false">M4042*N4042</f>
        <v>113</v>
      </c>
    </row>
    <row r="4043" customFormat="false" ht="15" hidden="false" customHeight="false" outlineLevel="0" collapsed="false">
      <c r="A4043" s="0" t="s">
        <v>5557</v>
      </c>
      <c r="C4043" s="0" t="s">
        <v>875</v>
      </c>
      <c r="D4043" s="7" t="n">
        <v>38</v>
      </c>
      <c r="E4043" s="8" t="n">
        <v>1.18789473684211</v>
      </c>
      <c r="F4043" s="4" t="n">
        <f aca="false">D4043*E4043</f>
        <v>45.14</v>
      </c>
      <c r="G4043" s="7" t="n">
        <v>14</v>
      </c>
      <c r="H4043" s="9" t="n">
        <f aca="false">IF(G4043&gt;0,D4043/G4043,"")</f>
        <v>2.71428571428571</v>
      </c>
      <c r="I4043" s="10" t="n">
        <v>46244</v>
      </c>
      <c r="J4043" s="3" t="s">
        <v>1538</v>
      </c>
      <c r="K4043" s="10" t="n">
        <v>46196</v>
      </c>
      <c r="L4043" s="3" t="s">
        <v>19</v>
      </c>
      <c r="M4043" s="7" t="n">
        <v>50</v>
      </c>
      <c r="N4043" s="8" t="n">
        <v>1.188</v>
      </c>
      <c r="O4043" s="4" t="n">
        <f aca="false">M4043*N4043</f>
        <v>59.4</v>
      </c>
    </row>
    <row r="4044" customFormat="false" ht="15" hidden="false" customHeight="false" outlineLevel="0" collapsed="false">
      <c r="A4044" s="0" t="s">
        <v>5558</v>
      </c>
      <c r="C4044" s="0" t="s">
        <v>34</v>
      </c>
      <c r="D4044" s="7" t="n">
        <v>239</v>
      </c>
      <c r="E4044" s="8" t="n">
        <v>0.188828451882845</v>
      </c>
      <c r="F4044" s="4" t="n">
        <f aca="false">D4044*E4044</f>
        <v>45.13</v>
      </c>
      <c r="G4044" s="7" t="n">
        <v>109</v>
      </c>
      <c r="H4044" s="9" t="n">
        <f aca="false">IF(G4044&gt;0,D4044/G4044,"")</f>
        <v>2.19266055045872</v>
      </c>
      <c r="I4044" s="10" t="n">
        <v>46287</v>
      </c>
      <c r="J4044" s="3" t="s">
        <v>3123</v>
      </c>
      <c r="K4044" s="10" t="n">
        <v>44643</v>
      </c>
      <c r="L4044" s="3" t="s">
        <v>19</v>
      </c>
      <c r="M4044" s="7" t="n">
        <v>27</v>
      </c>
      <c r="N4044" s="8" t="n">
        <v>0.577</v>
      </c>
      <c r="O4044" s="4" t="n">
        <v>15.002</v>
      </c>
    </row>
    <row r="4045" customFormat="false" ht="15" hidden="false" customHeight="false" outlineLevel="0" collapsed="false">
      <c r="A4045" s="0" t="s">
        <v>5559</v>
      </c>
      <c r="C4045" s="0" t="s">
        <v>38</v>
      </c>
      <c r="D4045" s="7" t="n">
        <v>484</v>
      </c>
      <c r="E4045" s="8" t="n">
        <v>0.093202479338843</v>
      </c>
      <c r="F4045" s="4" t="n">
        <f aca="false">D4045*E4045</f>
        <v>45.11</v>
      </c>
      <c r="G4045" s="7" t="n">
        <v>103</v>
      </c>
      <c r="H4045" s="9" t="n">
        <f aca="false">IF(G4045&gt;0,D4045/G4045,"")</f>
        <v>4.69902912621359</v>
      </c>
      <c r="I4045" s="10" t="n">
        <v>46316</v>
      </c>
      <c r="K4045" s="10"/>
      <c r="M4045" s="7"/>
      <c r="N4045" s="8"/>
      <c r="O4045" s="4"/>
    </row>
    <row r="4046" customFormat="false" ht="15" hidden="false" customHeight="false" outlineLevel="0" collapsed="false">
      <c r="A4046" s="0" t="s">
        <v>5560</v>
      </c>
      <c r="C4046" s="0" t="s">
        <v>31</v>
      </c>
      <c r="D4046" s="7" t="n">
        <v>1000</v>
      </c>
      <c r="E4046" s="8" t="n">
        <v>0.0451</v>
      </c>
      <c r="F4046" s="4" t="n">
        <f aca="false">D4046*E4046</f>
        <v>45.1</v>
      </c>
      <c r="G4046" s="7" t="n">
        <v>575</v>
      </c>
      <c r="H4046" s="9" t="n">
        <f aca="false">IF(G4046&gt;0,D4046/G4046,"")</f>
        <v>1.73913043478261</v>
      </c>
      <c r="I4046" s="10" t="n">
        <v>46304</v>
      </c>
      <c r="J4046" s="3" t="s">
        <v>3966</v>
      </c>
      <c r="K4046" s="10" t="n">
        <v>46315</v>
      </c>
      <c r="L4046" s="3" t="s">
        <v>19</v>
      </c>
      <c r="M4046" s="7" t="n">
        <v>1000</v>
      </c>
      <c r="N4046" s="8" t="n">
        <v>0.0451</v>
      </c>
      <c r="O4046" s="4" t="n">
        <f aca="false">M4046*N4046</f>
        <v>45.1</v>
      </c>
    </row>
    <row r="4047" customFormat="false" ht="15" hidden="false" customHeight="false" outlineLevel="0" collapsed="false">
      <c r="A4047" s="0" t="s">
        <v>5561</v>
      </c>
      <c r="C4047" s="0" t="s">
        <v>38</v>
      </c>
      <c r="D4047" s="7" t="n">
        <v>10661</v>
      </c>
      <c r="E4047" s="8" t="n">
        <v>0.0042275583903949</v>
      </c>
      <c r="F4047" s="4" t="n">
        <f aca="false">D4047*E4047</f>
        <v>45.07</v>
      </c>
      <c r="G4047" s="7" t="n">
        <v>4778</v>
      </c>
      <c r="H4047" s="9" t="n">
        <f aca="false">IF(G4047&gt;0,D4047/G4047,"")</f>
        <v>2.23126831310172</v>
      </c>
      <c r="I4047" s="10" t="n">
        <v>46304</v>
      </c>
      <c r="J4047" s="3" t="s">
        <v>234</v>
      </c>
      <c r="K4047" s="10" t="n">
        <v>44726</v>
      </c>
      <c r="L4047" s="3" t="s">
        <v>15</v>
      </c>
      <c r="M4047" s="7" t="n">
        <v>29164</v>
      </c>
      <c r="N4047" s="8" t="n">
        <v>0.00423</v>
      </c>
      <c r="O4047" s="4" t="n">
        <f aca="false">M4047*N4047</f>
        <v>123.36372</v>
      </c>
    </row>
    <row r="4048" customFormat="false" ht="15" hidden="false" customHeight="false" outlineLevel="0" collapsed="false">
      <c r="A4048" s="0" t="s">
        <v>5562</v>
      </c>
      <c r="C4048" s="0" t="s">
        <v>31</v>
      </c>
      <c r="D4048" s="7" t="n">
        <v>648</v>
      </c>
      <c r="E4048" s="8" t="n">
        <v>0.0694907407407407</v>
      </c>
      <c r="F4048" s="4" t="n">
        <f aca="false">D4048*E4048</f>
        <v>45.03</v>
      </c>
      <c r="G4048" s="7" t="n">
        <v>305</v>
      </c>
      <c r="H4048" s="9" t="n">
        <f aca="false">IF(G4048&gt;0,D4048/G4048,"")</f>
        <v>2.12459016393443</v>
      </c>
      <c r="I4048" s="10" t="n">
        <v>46161</v>
      </c>
      <c r="K4048" s="10"/>
      <c r="M4048" s="7"/>
      <c r="N4048" s="8"/>
      <c r="O4048" s="4"/>
    </row>
    <row r="4049" customFormat="false" ht="15" hidden="false" customHeight="false" outlineLevel="0" collapsed="false">
      <c r="A4049" s="0" t="s">
        <v>5563</v>
      </c>
      <c r="C4049" s="0" t="s">
        <v>31</v>
      </c>
      <c r="D4049" s="7" t="n">
        <v>595</v>
      </c>
      <c r="E4049" s="8" t="n">
        <v>0.0755966386554622</v>
      </c>
      <c r="F4049" s="4" t="n">
        <f aca="false">D4049*E4049</f>
        <v>44.98</v>
      </c>
      <c r="G4049" s="7" t="n">
        <v>281</v>
      </c>
      <c r="H4049" s="9" t="n">
        <f aca="false">IF(G4049&gt;0,D4049/G4049,"")</f>
        <v>2.11743772241993</v>
      </c>
      <c r="I4049" s="10" t="n">
        <v>46195</v>
      </c>
      <c r="J4049" s="3" t="s">
        <v>628</v>
      </c>
      <c r="K4049" s="10" t="n">
        <v>46128</v>
      </c>
      <c r="L4049" s="3" t="s">
        <v>16</v>
      </c>
      <c r="M4049" s="7" t="n">
        <v>600</v>
      </c>
      <c r="N4049" s="8" t="n">
        <v>0.0756</v>
      </c>
      <c r="O4049" s="4" t="n">
        <f aca="false">M4049*N4049</f>
        <v>45.36</v>
      </c>
    </row>
    <row r="4050" customFormat="false" ht="15" hidden="false" customHeight="false" outlineLevel="0" collapsed="false">
      <c r="A4050" s="0" t="s">
        <v>5564</v>
      </c>
      <c r="C4050" s="0" t="s">
        <v>44</v>
      </c>
      <c r="D4050" s="7" t="n">
        <v>6</v>
      </c>
      <c r="E4050" s="8" t="n">
        <v>7.49</v>
      </c>
      <c r="F4050" s="4" t="n">
        <f aca="false">D4050*E4050</f>
        <v>44.94</v>
      </c>
      <c r="G4050" s="7" t="n">
        <v>2</v>
      </c>
      <c r="H4050" s="9" t="n">
        <f aca="false">IF(G4050&gt;0,D4050/G4050,"")</f>
        <v>3</v>
      </c>
      <c r="I4050" s="10" t="n">
        <v>46147</v>
      </c>
      <c r="J4050" s="3" t="s">
        <v>5565</v>
      </c>
      <c r="K4050" s="10" t="n">
        <v>45730</v>
      </c>
      <c r="L4050" s="3" t="s">
        <v>14</v>
      </c>
      <c r="M4050" s="7" t="n">
        <v>250</v>
      </c>
      <c r="N4050" s="8" t="n">
        <v>7.4906</v>
      </c>
      <c r="O4050" s="4" t="n">
        <f aca="false">M4050*N4050</f>
        <v>1872.65</v>
      </c>
    </row>
    <row r="4051" customFormat="false" ht="15" hidden="false" customHeight="false" outlineLevel="0" collapsed="false">
      <c r="A4051" s="0" t="s">
        <v>5566</v>
      </c>
      <c r="C4051" s="0" t="s">
        <v>1039</v>
      </c>
      <c r="D4051" s="7" t="n">
        <v>2058</v>
      </c>
      <c r="E4051" s="8" t="n">
        <v>0.0218075801749271</v>
      </c>
      <c r="F4051" s="4" t="n">
        <f aca="false">D4051*E4051</f>
        <v>44.88</v>
      </c>
      <c r="G4051" s="7" t="n">
        <v>108</v>
      </c>
      <c r="H4051" s="9" t="n">
        <f aca="false">IF(G4051&gt;0,D4051/G4051,"")</f>
        <v>19.0555555555556</v>
      </c>
      <c r="I4051" s="10" t="n">
        <v>46171</v>
      </c>
      <c r="J4051" s="3" t="s">
        <v>495</v>
      </c>
      <c r="K4051" s="10" t="n">
        <v>45925</v>
      </c>
      <c r="L4051" s="3" t="s">
        <v>16</v>
      </c>
      <c r="M4051" s="7" t="n">
        <v>2200</v>
      </c>
      <c r="N4051" s="8" t="n">
        <v>0.0218</v>
      </c>
      <c r="O4051" s="4" t="n">
        <f aca="false">M4051*N4051</f>
        <v>47.96</v>
      </c>
    </row>
    <row r="4052" customFormat="false" ht="15" hidden="false" customHeight="false" outlineLevel="0" collapsed="false">
      <c r="A4052" s="0" t="s">
        <v>5567</v>
      </c>
      <c r="C4052" s="0" t="s">
        <v>1169</v>
      </c>
      <c r="D4052" s="7" t="n">
        <v>554</v>
      </c>
      <c r="E4052" s="8" t="n">
        <v>0.0810108303249097</v>
      </c>
      <c r="F4052" s="4" t="n">
        <f aca="false">D4052*E4052</f>
        <v>44.88</v>
      </c>
      <c r="G4052" s="7" t="n">
        <v>285</v>
      </c>
      <c r="H4052" s="9" t="n">
        <f aca="false">IF(G4052&gt;0,D4052/G4052,"")</f>
        <v>1.94385964912281</v>
      </c>
      <c r="I4052" s="10" t="n">
        <v>46252</v>
      </c>
      <c r="J4052" s="3" t="s">
        <v>4407</v>
      </c>
      <c r="K4052" s="10" t="n">
        <v>44524</v>
      </c>
      <c r="L4052" s="3" t="s">
        <v>21</v>
      </c>
      <c r="M4052" s="7" t="n">
        <v>1300</v>
      </c>
      <c r="N4052" s="8" t="n">
        <v>0.081</v>
      </c>
      <c r="O4052" s="4" t="n">
        <f aca="false">M4052*N4052</f>
        <v>105.3</v>
      </c>
    </row>
    <row r="4053" customFormat="false" ht="15" hidden="false" customHeight="false" outlineLevel="0" collapsed="false">
      <c r="A4053" s="0" t="s">
        <v>5568</v>
      </c>
      <c r="C4053" s="0" t="s">
        <v>875</v>
      </c>
      <c r="D4053" s="7" t="n">
        <v>27</v>
      </c>
      <c r="E4053" s="8" t="n">
        <v>1.66148148148148</v>
      </c>
      <c r="F4053" s="4" t="n">
        <f aca="false">D4053*E4053</f>
        <v>44.86</v>
      </c>
      <c r="G4053" s="7" t="n">
        <v>2</v>
      </c>
      <c r="H4053" s="9" t="n">
        <f aca="false">IF(G4053&gt;0,D4053/G4053,"")</f>
        <v>13.5</v>
      </c>
      <c r="I4053" s="10" t="n">
        <v>46106</v>
      </c>
      <c r="J4053" s="3" t="s">
        <v>962</v>
      </c>
      <c r="K4053" s="10" t="n">
        <v>45448</v>
      </c>
      <c r="L4053" s="3" t="s">
        <v>14</v>
      </c>
      <c r="M4053" s="7" t="n">
        <v>50</v>
      </c>
      <c r="N4053" s="8" t="n">
        <v>1.6614</v>
      </c>
      <c r="O4053" s="4" t="n">
        <f aca="false">M4053*N4053</f>
        <v>83.07</v>
      </c>
    </row>
    <row r="4054" customFormat="false" ht="15" hidden="false" customHeight="false" outlineLevel="0" collapsed="false">
      <c r="A4054" s="0" t="s">
        <v>5569</v>
      </c>
      <c r="C4054" s="0" t="s">
        <v>40</v>
      </c>
      <c r="D4054" s="7" t="n">
        <v>92</v>
      </c>
      <c r="E4054" s="8" t="n">
        <v>0.486956521739131</v>
      </c>
      <c r="F4054" s="4" t="n">
        <f aca="false">D4054*E4054</f>
        <v>44.8</v>
      </c>
      <c r="G4054" s="7" t="n">
        <v>50</v>
      </c>
      <c r="H4054" s="9" t="n">
        <f aca="false">IF(G4054&gt;0,D4054/G4054,"")</f>
        <v>1.84</v>
      </c>
      <c r="I4054" s="10" t="n">
        <v>46160</v>
      </c>
      <c r="J4054" s="3" t="s">
        <v>4403</v>
      </c>
      <c r="K4054" s="10" t="n">
        <v>45239</v>
      </c>
      <c r="L4054" s="3" t="s">
        <v>18</v>
      </c>
      <c r="M4054" s="7" t="n">
        <v>210</v>
      </c>
      <c r="N4054" s="8" t="n">
        <v>0.487</v>
      </c>
      <c r="O4054" s="4" t="n">
        <f aca="false">M4054*N4054</f>
        <v>102.27</v>
      </c>
    </row>
    <row r="4055" customFormat="false" ht="15" hidden="false" customHeight="false" outlineLevel="0" collapsed="false">
      <c r="A4055" s="0" t="s">
        <v>5570</v>
      </c>
      <c r="C4055" s="0" t="s">
        <v>31</v>
      </c>
      <c r="D4055" s="7" t="n">
        <v>754</v>
      </c>
      <c r="E4055" s="8" t="n">
        <v>0.0594164456233422</v>
      </c>
      <c r="F4055" s="4" t="n">
        <f aca="false">D4055*E4055</f>
        <v>44.8</v>
      </c>
      <c r="G4055" s="7" t="n">
        <v>241</v>
      </c>
      <c r="H4055" s="9" t="n">
        <f aca="false">IF(G4055&gt;0,D4055/G4055,"")</f>
        <v>3.12863070539419</v>
      </c>
      <c r="I4055" s="10" t="n">
        <v>46308</v>
      </c>
      <c r="J4055" s="3" t="s">
        <v>628</v>
      </c>
      <c r="K4055" s="10" t="n">
        <v>46128</v>
      </c>
      <c r="L4055" s="3" t="s">
        <v>16</v>
      </c>
      <c r="M4055" s="7" t="n">
        <v>750</v>
      </c>
      <c r="N4055" s="8" t="n">
        <v>0.0587</v>
      </c>
      <c r="O4055" s="4" t="n">
        <f aca="false">M4055*N4055</f>
        <v>44.025</v>
      </c>
    </row>
    <row r="4056" customFormat="false" ht="15" hidden="false" customHeight="false" outlineLevel="0" collapsed="false">
      <c r="A4056" s="0" t="s">
        <v>5571</v>
      </c>
      <c r="C4056" s="0" t="s">
        <v>340</v>
      </c>
      <c r="D4056" s="7" t="n">
        <v>7109</v>
      </c>
      <c r="E4056" s="8" t="n">
        <v>0.00630187086791391</v>
      </c>
      <c r="F4056" s="4" t="n">
        <f aca="false">D4056*E4056</f>
        <v>44.8</v>
      </c>
      <c r="G4056" s="7" t="n">
        <v>100</v>
      </c>
      <c r="H4056" s="9" t="n">
        <f aca="false">IF(G4056&gt;0,D4056/G4056,"")</f>
        <v>71.09</v>
      </c>
      <c r="I4056" s="10" t="n">
        <v>46231</v>
      </c>
      <c r="J4056" s="3" t="s">
        <v>5572</v>
      </c>
      <c r="K4056" s="10" t="n">
        <v>44342</v>
      </c>
      <c r="L4056" s="3" t="s">
        <v>19</v>
      </c>
      <c r="M4056" s="7" t="n">
        <v>8000</v>
      </c>
      <c r="N4056" s="8" t="n">
        <v>0.0063</v>
      </c>
      <c r="O4056" s="4" t="n">
        <f aca="false">M4056*N4056</f>
        <v>50.4</v>
      </c>
    </row>
    <row r="4057" customFormat="false" ht="15" hidden="false" customHeight="false" outlineLevel="0" collapsed="false">
      <c r="A4057" s="0" t="s">
        <v>5573</v>
      </c>
      <c r="C4057" s="0" t="s">
        <v>765</v>
      </c>
      <c r="D4057" s="7" t="n">
        <v>550</v>
      </c>
      <c r="E4057" s="8" t="n">
        <v>0.0814181818181818</v>
      </c>
      <c r="F4057" s="4" t="n">
        <f aca="false">D4057*E4057</f>
        <v>44.78</v>
      </c>
      <c r="G4057" s="7" t="n">
        <v>77</v>
      </c>
      <c r="H4057" s="9" t="n">
        <f aca="false">IF(G4057&gt;0,D4057/G4057,"")</f>
        <v>7.14285714285714</v>
      </c>
      <c r="I4057" s="10" t="n">
        <v>46269</v>
      </c>
      <c r="J4057" s="3" t="s">
        <v>628</v>
      </c>
      <c r="K4057" s="10" t="n">
        <v>46128</v>
      </c>
      <c r="L4057" s="3" t="s">
        <v>16</v>
      </c>
      <c r="M4057" s="7" t="n">
        <v>600</v>
      </c>
      <c r="N4057" s="8" t="n">
        <v>0.0814</v>
      </c>
      <c r="O4057" s="4" t="n">
        <f aca="false">M4057*N4057</f>
        <v>48.84</v>
      </c>
    </row>
    <row r="4058" customFormat="false" ht="15" hidden="false" customHeight="false" outlineLevel="0" collapsed="false">
      <c r="A4058" s="0" t="s">
        <v>5574</v>
      </c>
      <c r="C4058" s="0" t="s">
        <v>765</v>
      </c>
      <c r="D4058" s="7" t="n">
        <v>165</v>
      </c>
      <c r="E4058" s="8" t="n">
        <v>0.271333333333333</v>
      </c>
      <c r="F4058" s="4" t="n">
        <f aca="false">D4058*E4058</f>
        <v>44.77</v>
      </c>
      <c r="G4058" s="7" t="n">
        <v>14</v>
      </c>
      <c r="H4058" s="9" t="n">
        <f aca="false">IF(G4058&gt;0,D4058/G4058,"")</f>
        <v>11.7857142857143</v>
      </c>
      <c r="I4058" s="10" t="n">
        <v>46140</v>
      </c>
      <c r="J4058" s="3" t="s">
        <v>2099</v>
      </c>
      <c r="K4058" s="10" t="n">
        <v>45958</v>
      </c>
      <c r="L4058" s="3" t="s">
        <v>16</v>
      </c>
      <c r="M4058" s="7" t="n">
        <v>100</v>
      </c>
      <c r="N4058" s="8" t="n">
        <v>0.2</v>
      </c>
      <c r="O4058" s="4" t="n">
        <f aca="false">M4058*N4058</f>
        <v>20</v>
      </c>
    </row>
    <row r="4059" customFormat="false" ht="15" hidden="false" customHeight="false" outlineLevel="0" collapsed="false">
      <c r="A4059" s="0" t="s">
        <v>5575</v>
      </c>
      <c r="C4059" s="0" t="s">
        <v>31</v>
      </c>
      <c r="D4059" s="7" t="n">
        <v>15207</v>
      </c>
      <c r="E4059" s="8" t="n">
        <v>0.00294140856184652</v>
      </c>
      <c r="F4059" s="4" t="n">
        <f aca="false">D4059*E4059</f>
        <v>44.73</v>
      </c>
      <c r="G4059" s="7" t="n">
        <v>525</v>
      </c>
      <c r="H4059" s="9" t="n">
        <f aca="false">IF(G4059&gt;0,D4059/G4059,"")</f>
        <v>28.9657142857143</v>
      </c>
      <c r="I4059" s="10" t="n">
        <v>46309</v>
      </c>
      <c r="J4059" s="3" t="s">
        <v>886</v>
      </c>
      <c r="K4059" s="10" t="n">
        <v>44293</v>
      </c>
      <c r="L4059" s="3" t="s">
        <v>15</v>
      </c>
      <c r="M4059" s="7" t="n">
        <v>17500</v>
      </c>
      <c r="N4059" s="8" t="n">
        <v>0.00294</v>
      </c>
      <c r="O4059" s="4" t="n">
        <f aca="false">M4059*N4059</f>
        <v>51.45</v>
      </c>
    </row>
    <row r="4060" customFormat="false" ht="15" hidden="false" customHeight="false" outlineLevel="0" collapsed="false">
      <c r="A4060" s="0" t="s">
        <v>5576</v>
      </c>
      <c r="C4060" s="0" t="s">
        <v>31</v>
      </c>
      <c r="D4060" s="7" t="n">
        <v>426</v>
      </c>
      <c r="E4060" s="8" t="n">
        <v>0.104929577464789</v>
      </c>
      <c r="F4060" s="4" t="n">
        <f aca="false">D4060*E4060</f>
        <v>44.7</v>
      </c>
      <c r="G4060" s="7" t="n">
        <v>28</v>
      </c>
      <c r="H4060" s="9" t="n">
        <f aca="false">IF(G4060&gt;0,D4060/G4060,"")</f>
        <v>15.2142857142857</v>
      </c>
      <c r="I4060" s="10" t="n">
        <v>46237</v>
      </c>
      <c r="J4060" s="3" t="s">
        <v>628</v>
      </c>
      <c r="K4060" s="10" t="n">
        <v>46128</v>
      </c>
      <c r="L4060" s="3" t="s">
        <v>16</v>
      </c>
      <c r="M4060" s="7" t="n">
        <v>440</v>
      </c>
      <c r="N4060" s="8" t="n">
        <v>0.1049</v>
      </c>
      <c r="O4060" s="4" t="n">
        <f aca="false">M4060*N4060</f>
        <v>46.156</v>
      </c>
    </row>
    <row r="4061" customFormat="false" ht="15" hidden="false" customHeight="false" outlineLevel="0" collapsed="false">
      <c r="A4061" s="0" t="s">
        <v>5577</v>
      </c>
      <c r="C4061" s="0" t="s">
        <v>41</v>
      </c>
      <c r="D4061" s="7" t="n">
        <v>1756</v>
      </c>
      <c r="E4061" s="8" t="n">
        <v>0.0254384965831435</v>
      </c>
      <c r="F4061" s="4" t="n">
        <f aca="false">D4061*E4061</f>
        <v>44.67</v>
      </c>
      <c r="G4061" s="7" t="n">
        <v>24</v>
      </c>
      <c r="H4061" s="9" t="n">
        <f aca="false">IF(G4061&gt;0,D4061/G4061,"")</f>
        <v>73.1666666666667</v>
      </c>
      <c r="I4061" s="10" t="n">
        <v>46247</v>
      </c>
      <c r="K4061" s="10"/>
      <c r="M4061" s="7"/>
      <c r="N4061" s="8"/>
      <c r="O4061" s="4"/>
    </row>
    <row r="4062" customFormat="false" ht="15" hidden="false" customHeight="false" outlineLevel="0" collapsed="false">
      <c r="A4062" s="0" t="s">
        <v>5578</v>
      </c>
      <c r="C4062" s="0" t="s">
        <v>715</v>
      </c>
      <c r="D4062" s="7" t="n">
        <v>914</v>
      </c>
      <c r="E4062" s="8" t="n">
        <v>0.0488621444201313</v>
      </c>
      <c r="F4062" s="4" t="n">
        <f aca="false">D4062*E4062</f>
        <v>44.66</v>
      </c>
      <c r="G4062" s="7" t="n">
        <v>24</v>
      </c>
      <c r="H4062" s="9" t="n">
        <f aca="false">IF(G4062&gt;0,D4062/G4062,"")</f>
        <v>38.0833333333333</v>
      </c>
      <c r="I4062" s="10" t="n">
        <v>46057</v>
      </c>
      <c r="J4062" s="3" t="s">
        <v>2162</v>
      </c>
      <c r="K4062" s="10" t="n">
        <v>44222</v>
      </c>
      <c r="L4062" s="3" t="s">
        <v>15</v>
      </c>
      <c r="M4062" s="7" t="n">
        <v>1401</v>
      </c>
      <c r="N4062" s="8" t="n">
        <v>0.04886</v>
      </c>
      <c r="O4062" s="4" t="n">
        <f aca="false">M4062*N4062</f>
        <v>68.45286</v>
      </c>
    </row>
    <row r="4063" customFormat="false" ht="15" hidden="false" customHeight="false" outlineLevel="0" collapsed="false">
      <c r="A4063" s="0" t="s">
        <v>5579</v>
      </c>
      <c r="C4063" s="0" t="s">
        <v>765</v>
      </c>
      <c r="D4063" s="7" t="n">
        <v>759</v>
      </c>
      <c r="E4063" s="8" t="n">
        <v>0.0587878787878788</v>
      </c>
      <c r="F4063" s="4" t="n">
        <f aca="false">D4063*E4063</f>
        <v>44.62</v>
      </c>
      <c r="G4063" s="7" t="n">
        <v>39</v>
      </c>
      <c r="H4063" s="9" t="n">
        <f aca="false">IF(G4063&gt;0,D4063/G4063,"")</f>
        <v>19.4615384615385</v>
      </c>
      <c r="I4063" s="10" t="n">
        <v>46175</v>
      </c>
      <c r="J4063" s="3" t="s">
        <v>1080</v>
      </c>
      <c r="K4063" s="10" t="n">
        <v>44313</v>
      </c>
      <c r="L4063" s="3" t="s">
        <v>16</v>
      </c>
      <c r="M4063" s="7" t="n">
        <v>1750</v>
      </c>
      <c r="N4063" s="8" t="n">
        <v>0.0588</v>
      </c>
      <c r="O4063" s="4" t="n">
        <f aca="false">M4063*N4063</f>
        <v>102.9</v>
      </c>
    </row>
    <row r="4064" customFormat="false" ht="15" hidden="false" customHeight="false" outlineLevel="0" collapsed="false">
      <c r="A4064" s="0" t="s">
        <v>5580</v>
      </c>
      <c r="C4064" s="0" t="s">
        <v>360</v>
      </c>
      <c r="D4064" s="7" t="n">
        <v>4550</v>
      </c>
      <c r="E4064" s="8" t="n">
        <v>0.0097956043956044</v>
      </c>
      <c r="F4064" s="4" t="n">
        <f aca="false">D4064*E4064</f>
        <v>44.57</v>
      </c>
      <c r="G4064" s="7" t="n">
        <v>1430</v>
      </c>
      <c r="H4064" s="9" t="n">
        <f aca="false">IF(G4064&gt;0,D4064/G4064,"")</f>
        <v>3.18181818181818</v>
      </c>
      <c r="I4064" s="10" t="n">
        <v>46308</v>
      </c>
      <c r="J4064" s="3" t="s">
        <v>2662</v>
      </c>
      <c r="K4064" s="10" t="n">
        <v>46190</v>
      </c>
      <c r="L4064" s="3" t="s">
        <v>16</v>
      </c>
      <c r="M4064" s="7" t="n">
        <v>5000</v>
      </c>
      <c r="N4064" s="8" t="n">
        <v>0.0099</v>
      </c>
      <c r="O4064" s="4" t="n">
        <f aca="false">M4064*N4064</f>
        <v>49.5</v>
      </c>
    </row>
    <row r="4065" customFormat="false" ht="15" hidden="false" customHeight="false" outlineLevel="0" collapsed="false">
      <c r="A4065" s="0" t="s">
        <v>5581</v>
      </c>
      <c r="C4065" s="0" t="s">
        <v>1039</v>
      </c>
      <c r="D4065" s="7" t="n">
        <v>13920</v>
      </c>
      <c r="E4065" s="8" t="n">
        <v>0.00320114942528736</v>
      </c>
      <c r="F4065" s="4" t="n">
        <f aca="false">D4065*E4065</f>
        <v>44.56</v>
      </c>
      <c r="G4065" s="7" t="n">
        <v>1012</v>
      </c>
      <c r="H4065" s="9" t="n">
        <f aca="false">IF(G4065&gt;0,D4065/G4065,"")</f>
        <v>13.7549407114625</v>
      </c>
      <c r="I4065" s="10" t="n">
        <v>46308</v>
      </c>
      <c r="J4065" s="3" t="s">
        <v>495</v>
      </c>
      <c r="K4065" s="10" t="n">
        <v>45925</v>
      </c>
      <c r="L4065" s="3" t="s">
        <v>16</v>
      </c>
      <c r="M4065" s="7" t="n">
        <v>15000</v>
      </c>
      <c r="N4065" s="8" t="n">
        <v>0.0032</v>
      </c>
      <c r="O4065" s="4" t="n">
        <f aca="false">M4065*N4065</f>
        <v>48</v>
      </c>
    </row>
    <row r="4066" customFormat="false" ht="15" hidden="false" customHeight="false" outlineLevel="0" collapsed="false">
      <c r="A4066" s="0" t="s">
        <v>5582</v>
      </c>
      <c r="C4066" s="0" t="s">
        <v>39</v>
      </c>
      <c r="D4066" s="7" t="n">
        <v>67</v>
      </c>
      <c r="E4066" s="8" t="n">
        <v>0.664925373134328</v>
      </c>
      <c r="F4066" s="4" t="n">
        <f aca="false">D4066*E4066</f>
        <v>44.55</v>
      </c>
      <c r="G4066" s="7" t="n">
        <v>10</v>
      </c>
      <c r="H4066" s="9" t="n">
        <f aca="false">IF(G4066&gt;0,D4066/G4066,"")</f>
        <v>6.7</v>
      </c>
      <c r="I4066" s="10" t="n">
        <v>46258</v>
      </c>
      <c r="J4066" s="3" t="s">
        <v>5583</v>
      </c>
      <c r="K4066" s="10" t="n">
        <v>44915</v>
      </c>
      <c r="L4066" s="3" t="s">
        <v>18</v>
      </c>
      <c r="M4066" s="7" t="n">
        <v>460</v>
      </c>
      <c r="N4066" s="8" t="n">
        <v>0.6649</v>
      </c>
      <c r="O4066" s="4" t="n">
        <f aca="false">M4066*N4066</f>
        <v>305.854</v>
      </c>
    </row>
    <row r="4067" customFormat="false" ht="15" hidden="false" customHeight="false" outlineLevel="0" collapsed="false">
      <c r="A4067" s="0" t="s">
        <v>5584</v>
      </c>
      <c r="C4067" s="0" t="s">
        <v>275</v>
      </c>
      <c r="D4067" s="7" t="n">
        <v>3</v>
      </c>
      <c r="E4067" s="8" t="n">
        <v>14.8433333333333</v>
      </c>
      <c r="F4067" s="4" t="n">
        <f aca="false">D4067*E4067</f>
        <v>44.53</v>
      </c>
      <c r="G4067" s="7" t="n">
        <v>2</v>
      </c>
      <c r="H4067" s="9" t="n">
        <f aca="false">IF(G4067&gt;0,D4067/G4067,"")</f>
        <v>1.5</v>
      </c>
      <c r="I4067" s="10" t="n">
        <v>46126</v>
      </c>
      <c r="J4067" s="3" t="s">
        <v>439</v>
      </c>
      <c r="K4067" s="10" t="n">
        <v>46113</v>
      </c>
      <c r="L4067" s="3" t="s">
        <v>14</v>
      </c>
      <c r="M4067" s="7" t="n">
        <v>5</v>
      </c>
      <c r="N4067" s="8" t="n">
        <v>14.842</v>
      </c>
      <c r="O4067" s="4" t="n">
        <f aca="false">M4067*N4067</f>
        <v>74.21</v>
      </c>
    </row>
    <row r="4068" customFormat="false" ht="15" hidden="false" customHeight="false" outlineLevel="0" collapsed="false">
      <c r="A4068" s="0" t="s">
        <v>5585</v>
      </c>
      <c r="C4068" s="0" t="s">
        <v>31</v>
      </c>
      <c r="D4068" s="7" t="n">
        <v>9302</v>
      </c>
      <c r="E4068" s="8" t="n">
        <v>0.00478606751236293</v>
      </c>
      <c r="F4068" s="4" t="n">
        <f aca="false">D4068*E4068</f>
        <v>44.52</v>
      </c>
      <c r="G4068" s="7" t="n">
        <v>357</v>
      </c>
      <c r="H4068" s="9" t="n">
        <f aca="false">IF(G4068&gt;0,D4068/G4068,"")</f>
        <v>26.0560224089636</v>
      </c>
      <c r="I4068" s="10" t="n">
        <v>46308</v>
      </c>
      <c r="J4068" s="3" t="s">
        <v>5586</v>
      </c>
      <c r="K4068" s="10" t="n">
        <v>45071</v>
      </c>
      <c r="L4068" s="3" t="s">
        <v>15</v>
      </c>
      <c r="M4068" s="7" t="n">
        <v>10000</v>
      </c>
      <c r="N4068" s="8" t="n">
        <v>0.00479</v>
      </c>
      <c r="O4068" s="4" t="n">
        <f aca="false">M4068*N4068</f>
        <v>47.9</v>
      </c>
    </row>
    <row r="4069" customFormat="false" ht="15" hidden="false" customHeight="false" outlineLevel="0" collapsed="false">
      <c r="A4069" s="0" t="s">
        <v>5587</v>
      </c>
      <c r="C4069" s="0" t="s">
        <v>38</v>
      </c>
      <c r="D4069" s="7" t="n">
        <v>359</v>
      </c>
      <c r="E4069" s="8" t="n">
        <v>0.124011142061281</v>
      </c>
      <c r="F4069" s="4" t="n">
        <f aca="false">D4069*E4069</f>
        <v>44.52</v>
      </c>
      <c r="G4069" s="7" t="n">
        <v>353</v>
      </c>
      <c r="H4069" s="9" t="n">
        <f aca="false">IF(G4069&gt;0,D4069/G4069,"")</f>
        <v>1.01699716713881</v>
      </c>
      <c r="I4069" s="10" t="n">
        <v>46295</v>
      </c>
      <c r="J4069" s="3" t="s">
        <v>1045</v>
      </c>
      <c r="K4069" s="10" t="n">
        <v>46143</v>
      </c>
      <c r="L4069" s="3" t="s">
        <v>18</v>
      </c>
      <c r="M4069" s="7" t="n">
        <v>296</v>
      </c>
      <c r="N4069" s="8" t="n">
        <v>0.1278</v>
      </c>
      <c r="O4069" s="4" t="n">
        <f aca="false">M4069*N4069</f>
        <v>37.8288</v>
      </c>
    </row>
    <row r="4070" customFormat="false" ht="15" hidden="false" customHeight="false" outlineLevel="0" collapsed="false">
      <c r="A4070" s="0" t="s">
        <v>5588</v>
      </c>
      <c r="C4070" s="0" t="s">
        <v>34</v>
      </c>
      <c r="D4070" s="7" t="n">
        <v>1534</v>
      </c>
      <c r="E4070" s="8" t="n">
        <v>0.0290026075619296</v>
      </c>
      <c r="F4070" s="4" t="n">
        <f aca="false">D4070*E4070</f>
        <v>44.49</v>
      </c>
      <c r="G4070" s="7" t="n">
        <v>385</v>
      </c>
      <c r="H4070" s="9" t="n">
        <f aca="false">IF(G4070&gt;0,D4070/G4070,"")</f>
        <v>3.98441558441558</v>
      </c>
      <c r="I4070" s="10" t="n">
        <v>46212</v>
      </c>
      <c r="J4070" s="3" t="s">
        <v>5589</v>
      </c>
      <c r="K4070" s="10" t="n">
        <v>44918</v>
      </c>
      <c r="L4070" s="3" t="s">
        <v>16</v>
      </c>
      <c r="M4070" s="7" t="n">
        <v>2233</v>
      </c>
      <c r="N4070" s="8" t="n">
        <v>0.029</v>
      </c>
      <c r="O4070" s="4" t="n">
        <f aca="false">M4070*N4070</f>
        <v>64.757</v>
      </c>
    </row>
    <row r="4071" customFormat="false" ht="15" hidden="false" customHeight="false" outlineLevel="0" collapsed="false">
      <c r="A4071" s="0" t="s">
        <v>5590</v>
      </c>
      <c r="C4071" s="0" t="s">
        <v>298</v>
      </c>
      <c r="D4071" s="7" t="n">
        <v>65</v>
      </c>
      <c r="E4071" s="8" t="n">
        <v>0.684</v>
      </c>
      <c r="F4071" s="4" t="n">
        <f aca="false">D4071*E4071</f>
        <v>44.46</v>
      </c>
      <c r="G4071" s="7" t="n">
        <v>23</v>
      </c>
      <c r="H4071" s="9" t="n">
        <f aca="false">IF(G4071&gt;0,D4071/G4071,"")</f>
        <v>2.82608695652174</v>
      </c>
      <c r="I4071" s="10" t="n">
        <v>46174</v>
      </c>
      <c r="J4071" s="3" t="s">
        <v>5591</v>
      </c>
      <c r="K4071" s="10" t="n">
        <v>45385</v>
      </c>
      <c r="L4071" s="3" t="s">
        <v>14</v>
      </c>
      <c r="M4071" s="7" t="n">
        <v>115</v>
      </c>
      <c r="N4071" s="8" t="n">
        <v>0.684</v>
      </c>
      <c r="O4071" s="4" t="n">
        <f aca="false">M4071*N4071</f>
        <v>78.66</v>
      </c>
    </row>
    <row r="4072" customFormat="false" ht="15" hidden="false" customHeight="false" outlineLevel="0" collapsed="false">
      <c r="A4072" s="0" t="s">
        <v>5592</v>
      </c>
      <c r="C4072" s="0" t="s">
        <v>34</v>
      </c>
      <c r="D4072" s="7" t="n">
        <v>910</v>
      </c>
      <c r="E4072" s="8" t="n">
        <v>0.0488021978021978</v>
      </c>
      <c r="F4072" s="4" t="n">
        <f aca="false">D4072*E4072</f>
        <v>44.41</v>
      </c>
      <c r="G4072" s="7" t="n">
        <v>153</v>
      </c>
      <c r="H4072" s="9" t="n">
        <f aca="false">IF(G4072&gt;0,D4072/G4072,"")</f>
        <v>5.94771241830065</v>
      </c>
      <c r="I4072" s="10" t="n">
        <v>46237</v>
      </c>
      <c r="J4072" s="3" t="s">
        <v>1107</v>
      </c>
      <c r="K4072" s="10" t="n">
        <v>46035</v>
      </c>
      <c r="L4072" s="3" t="s">
        <v>16</v>
      </c>
      <c r="M4072" s="7" t="n">
        <v>1025</v>
      </c>
      <c r="N4072" s="8" t="n">
        <v>0.0488</v>
      </c>
      <c r="O4072" s="4" t="n">
        <f aca="false">M4072*N4072</f>
        <v>50.02</v>
      </c>
    </row>
    <row r="4073" customFormat="false" ht="15" hidden="false" customHeight="false" outlineLevel="0" collapsed="false">
      <c r="A4073" s="0" t="s">
        <v>5593</v>
      </c>
      <c r="C4073" s="0" t="s">
        <v>765</v>
      </c>
      <c r="D4073" s="7" t="n">
        <v>3981</v>
      </c>
      <c r="E4073" s="8" t="n">
        <v>0.0111529766390354</v>
      </c>
      <c r="F4073" s="4" t="n">
        <f aca="false">D4073*E4073</f>
        <v>44.4</v>
      </c>
      <c r="G4073" s="7" t="n">
        <v>345</v>
      </c>
      <c r="H4073" s="9" t="n">
        <f aca="false">IF(G4073&gt;0,D4073/G4073,"")</f>
        <v>11.5391304347826</v>
      </c>
      <c r="I4073" s="10" t="n">
        <v>46308</v>
      </c>
      <c r="J4073" s="3" t="s">
        <v>3207</v>
      </c>
      <c r="K4073" s="10" t="n">
        <v>45595</v>
      </c>
      <c r="L4073" s="3" t="s">
        <v>14</v>
      </c>
      <c r="M4073" s="7" t="n">
        <v>1000</v>
      </c>
      <c r="N4073" s="8" t="n">
        <v>0.0471</v>
      </c>
      <c r="O4073" s="4" t="n">
        <f aca="false">M4073*N4073</f>
        <v>47.1</v>
      </c>
    </row>
    <row r="4074" customFormat="false" ht="15" hidden="false" customHeight="false" outlineLevel="0" collapsed="false">
      <c r="A4074" s="0" t="s">
        <v>5594</v>
      </c>
      <c r="C4074" s="0" t="s">
        <v>31</v>
      </c>
      <c r="D4074" s="7" t="n">
        <v>413</v>
      </c>
      <c r="E4074" s="8" t="n">
        <v>0.107409200968523</v>
      </c>
      <c r="F4074" s="4" t="n">
        <f aca="false">D4074*E4074</f>
        <v>44.36</v>
      </c>
      <c r="G4074" s="7" t="n">
        <v>81</v>
      </c>
      <c r="H4074" s="9" t="n">
        <f aca="false">IF(G4074&gt;0,D4074/G4074,"")</f>
        <v>5.09876543209877</v>
      </c>
      <c r="I4074" s="10" t="n">
        <v>46316</v>
      </c>
      <c r="J4074" s="3" t="s">
        <v>1035</v>
      </c>
      <c r="K4074" s="10" t="n">
        <v>46251</v>
      </c>
      <c r="L4074" s="3" t="s">
        <v>16</v>
      </c>
      <c r="M4074" s="7" t="n">
        <v>466</v>
      </c>
      <c r="N4074" s="8" t="n">
        <v>0.1074</v>
      </c>
      <c r="O4074" s="4" t="n">
        <f aca="false">M4074*N4074</f>
        <v>50.0484</v>
      </c>
    </row>
    <row r="4075" customFormat="false" ht="15" hidden="false" customHeight="false" outlineLevel="0" collapsed="false">
      <c r="A4075" s="0" t="s">
        <v>5595</v>
      </c>
      <c r="C4075" s="0" t="s">
        <v>33</v>
      </c>
      <c r="D4075" s="7" t="n">
        <v>73</v>
      </c>
      <c r="E4075" s="8" t="n">
        <v>0.606849315068493</v>
      </c>
      <c r="F4075" s="4" t="n">
        <f aca="false">D4075*E4075</f>
        <v>44.3</v>
      </c>
      <c r="G4075" s="7" t="n">
        <v>71</v>
      </c>
      <c r="H4075" s="9" t="n">
        <f aca="false">IF(G4075&gt;0,D4075/G4075,"")</f>
        <v>1.02816901408451</v>
      </c>
      <c r="I4075" s="10" t="n">
        <v>46283</v>
      </c>
      <c r="J4075" s="3" t="s">
        <v>3065</v>
      </c>
      <c r="K4075" s="10" t="n">
        <v>45819</v>
      </c>
      <c r="L4075" s="3" t="s">
        <v>18</v>
      </c>
      <c r="M4075" s="7" t="n">
        <v>160</v>
      </c>
      <c r="N4075" s="8" t="n">
        <v>0.6068</v>
      </c>
      <c r="O4075" s="4" t="n">
        <f aca="false">M4075*N4075</f>
        <v>97.088</v>
      </c>
    </row>
    <row r="4076" customFormat="false" ht="15" hidden="false" customHeight="false" outlineLevel="0" collapsed="false">
      <c r="A4076" s="0" t="s">
        <v>5596</v>
      </c>
      <c r="C4076" s="0" t="s">
        <v>31</v>
      </c>
      <c r="D4076" s="7" t="n">
        <v>200</v>
      </c>
      <c r="E4076" s="8" t="n">
        <v>0.22145</v>
      </c>
      <c r="F4076" s="4" t="n">
        <f aca="false">D4076*E4076</f>
        <v>44.29</v>
      </c>
      <c r="G4076" s="7" t="n">
        <v>3</v>
      </c>
      <c r="H4076" s="9" t="n">
        <f aca="false">IF(G4076&gt;0,D4076/G4076,"")</f>
        <v>66.6666666666667</v>
      </c>
      <c r="I4076" s="10" t="n">
        <v>45996</v>
      </c>
      <c r="J4076" s="3" t="s">
        <v>5597</v>
      </c>
      <c r="K4076" s="10" t="n">
        <v>44196</v>
      </c>
      <c r="L4076" s="3" t="s">
        <v>19</v>
      </c>
      <c r="M4076" s="7" t="n">
        <v>404</v>
      </c>
      <c r="N4076" s="8" t="n">
        <v>0.2215</v>
      </c>
      <c r="O4076" s="4" t="n">
        <f aca="false">M4076*N4076</f>
        <v>89.486</v>
      </c>
    </row>
    <row r="4077" customFormat="false" ht="15" hidden="false" customHeight="false" outlineLevel="0" collapsed="false">
      <c r="A4077" s="0" t="s">
        <v>5598</v>
      </c>
      <c r="C4077" s="0" t="s">
        <v>34</v>
      </c>
      <c r="D4077" s="7" t="n">
        <v>1019</v>
      </c>
      <c r="E4077" s="8" t="n">
        <v>0.0433954857703631</v>
      </c>
      <c r="F4077" s="4" t="n">
        <f aca="false">D4077*E4077</f>
        <v>44.22</v>
      </c>
      <c r="G4077" s="7" t="n">
        <v>95</v>
      </c>
      <c r="H4077" s="9" t="n">
        <f aca="false">IF(G4077&gt;0,D4077/G4077,"")</f>
        <v>10.7263157894737</v>
      </c>
      <c r="I4077" s="10" t="n">
        <v>46279</v>
      </c>
      <c r="J4077" s="3" t="s">
        <v>1192</v>
      </c>
      <c r="K4077" s="10" t="n">
        <v>45736</v>
      </c>
      <c r="L4077" s="3" t="s">
        <v>26</v>
      </c>
      <c r="M4077" s="7" t="n">
        <v>200</v>
      </c>
      <c r="N4077" s="8" t="n">
        <v>0.0938</v>
      </c>
      <c r="O4077" s="4" t="n">
        <f aca="false">M4077*N4077</f>
        <v>18.76</v>
      </c>
    </row>
    <row r="4078" customFormat="false" ht="15" hidden="false" customHeight="false" outlineLevel="0" collapsed="false">
      <c r="A4078" s="0" t="s">
        <v>5599</v>
      </c>
      <c r="C4078" s="0" t="s">
        <v>31</v>
      </c>
      <c r="D4078" s="7" t="n">
        <v>528</v>
      </c>
      <c r="E4078" s="8" t="n">
        <v>0.0836742424242424</v>
      </c>
      <c r="F4078" s="4" t="n">
        <f aca="false">D4078*E4078</f>
        <v>44.18</v>
      </c>
      <c r="G4078" s="7" t="n">
        <v>60</v>
      </c>
      <c r="H4078" s="9" t="n">
        <f aca="false">IF(G4078&gt;0,D4078/G4078,"")</f>
        <v>8.8</v>
      </c>
      <c r="I4078" s="10" t="n">
        <v>46317</v>
      </c>
      <c r="J4078" s="3" t="s">
        <v>5600</v>
      </c>
      <c r="K4078" s="10" t="n">
        <v>44819</v>
      </c>
      <c r="L4078" s="3" t="s">
        <v>19</v>
      </c>
      <c r="M4078" s="7" t="n">
        <v>855</v>
      </c>
      <c r="N4078" s="8" t="n">
        <v>0.0837</v>
      </c>
      <c r="O4078" s="4" t="n">
        <f aca="false">M4078*N4078</f>
        <v>71.5635</v>
      </c>
    </row>
    <row r="4079" customFormat="false" ht="15" hidden="false" customHeight="false" outlineLevel="0" collapsed="false">
      <c r="A4079" s="0" t="s">
        <v>5601</v>
      </c>
      <c r="C4079" s="0" t="s">
        <v>298</v>
      </c>
      <c r="D4079" s="7" t="n">
        <v>31</v>
      </c>
      <c r="E4079" s="8" t="n">
        <v>1.42483870967742</v>
      </c>
      <c r="F4079" s="4" t="n">
        <f aca="false">D4079*E4079</f>
        <v>44.17</v>
      </c>
      <c r="G4079" s="7" t="n">
        <v>3</v>
      </c>
      <c r="H4079" s="9" t="n">
        <f aca="false">IF(G4079&gt;0,D4079/G4079,"")</f>
        <v>10.3333333333333</v>
      </c>
      <c r="I4079" s="10" t="n">
        <v>46037</v>
      </c>
      <c r="J4079" s="3" t="s">
        <v>821</v>
      </c>
      <c r="K4079" s="10" t="n">
        <v>45364</v>
      </c>
      <c r="L4079" s="3" t="s">
        <v>14</v>
      </c>
      <c r="M4079" s="7" t="n">
        <v>50</v>
      </c>
      <c r="N4079" s="8" t="n">
        <v>1.4248</v>
      </c>
      <c r="O4079" s="4" t="n">
        <f aca="false">M4079*N4079</f>
        <v>71.24</v>
      </c>
    </row>
    <row r="4080" customFormat="false" ht="15" hidden="false" customHeight="false" outlineLevel="0" collapsed="false">
      <c r="A4080" s="0" t="s">
        <v>5602</v>
      </c>
      <c r="C4080" s="0" t="s">
        <v>37</v>
      </c>
      <c r="D4080" s="7" t="n">
        <v>507</v>
      </c>
      <c r="E4080" s="8" t="n">
        <v>0.0871005917159763</v>
      </c>
      <c r="F4080" s="4" t="n">
        <f aca="false">D4080*E4080</f>
        <v>44.16</v>
      </c>
      <c r="G4080" s="7" t="n">
        <v>28</v>
      </c>
      <c r="H4080" s="9" t="n">
        <f aca="false">IF(G4080&gt;0,D4080/G4080,"")</f>
        <v>18.1071428571429</v>
      </c>
      <c r="I4080" s="10" t="n">
        <v>46213</v>
      </c>
      <c r="J4080" s="3" t="s">
        <v>5603</v>
      </c>
      <c r="K4080" s="10" t="n">
        <v>44280</v>
      </c>
      <c r="L4080" s="3" t="s">
        <v>19</v>
      </c>
      <c r="M4080" s="7" t="n">
        <v>700</v>
      </c>
      <c r="N4080" s="8" t="n">
        <v>0.0871</v>
      </c>
      <c r="O4080" s="4" t="n">
        <f aca="false">M4080*N4080</f>
        <v>60.97</v>
      </c>
    </row>
    <row r="4081" customFormat="false" ht="15" hidden="false" customHeight="false" outlineLevel="0" collapsed="false">
      <c r="A4081" s="0" t="s">
        <v>5604</v>
      </c>
      <c r="C4081" s="0" t="s">
        <v>715</v>
      </c>
      <c r="D4081" s="7" t="n">
        <v>162</v>
      </c>
      <c r="E4081" s="8" t="n">
        <v>0.272469135802469</v>
      </c>
      <c r="F4081" s="4" t="n">
        <f aca="false">D4081*E4081</f>
        <v>44.14</v>
      </c>
      <c r="G4081" s="7" t="n">
        <v>80</v>
      </c>
      <c r="H4081" s="9" t="n">
        <f aca="false">IF(G4081&gt;0,D4081/G4081,"")</f>
        <v>2.025</v>
      </c>
      <c r="I4081" s="10" t="n">
        <v>46275</v>
      </c>
      <c r="J4081" s="3" t="s">
        <v>1035</v>
      </c>
      <c r="K4081" s="10" t="n">
        <v>46251</v>
      </c>
      <c r="L4081" s="3" t="s">
        <v>16</v>
      </c>
      <c r="M4081" s="7" t="n">
        <v>225</v>
      </c>
      <c r="N4081" s="8" t="n">
        <v>0.2725</v>
      </c>
      <c r="O4081" s="4" t="n">
        <f aca="false">M4081*N4081</f>
        <v>61.3125</v>
      </c>
    </row>
    <row r="4082" customFormat="false" ht="15" hidden="false" customHeight="false" outlineLevel="0" collapsed="false">
      <c r="A4082" s="0" t="s">
        <v>5605</v>
      </c>
      <c r="C4082" s="0" t="s">
        <v>31</v>
      </c>
      <c r="D4082" s="7" t="n">
        <v>14236</v>
      </c>
      <c r="E4082" s="8" t="n">
        <v>0.0030998876088789</v>
      </c>
      <c r="F4082" s="4" t="n">
        <f aca="false">D4082*E4082</f>
        <v>44.13</v>
      </c>
      <c r="G4082" s="7" t="n">
        <v>1811</v>
      </c>
      <c r="H4082" s="9" t="n">
        <f aca="false">IF(G4082&gt;0,D4082/G4082,"")</f>
        <v>7.86085035891773</v>
      </c>
      <c r="I4082" s="10" t="n">
        <v>46247</v>
      </c>
      <c r="K4082" s="10"/>
      <c r="M4082" s="7"/>
      <c r="N4082" s="8"/>
      <c r="O4082" s="4"/>
    </row>
    <row r="4083" customFormat="false" ht="15" hidden="false" customHeight="false" outlineLevel="0" collapsed="false">
      <c r="A4083" s="0" t="s">
        <v>5606</v>
      </c>
      <c r="C4083" s="0" t="s">
        <v>33</v>
      </c>
      <c r="D4083" s="7" t="n">
        <v>744</v>
      </c>
      <c r="E4083" s="8" t="n">
        <v>0.0593010752688172</v>
      </c>
      <c r="F4083" s="4" t="n">
        <f aca="false">D4083*E4083</f>
        <v>44.12</v>
      </c>
      <c r="G4083" s="7" t="n">
        <v>463</v>
      </c>
      <c r="H4083" s="9" t="n">
        <f aca="false">IF(G4083&gt;0,D4083/G4083,"")</f>
        <v>1.60691144708423</v>
      </c>
      <c r="I4083" s="10" t="n">
        <v>46202</v>
      </c>
      <c r="J4083" s="3" t="s">
        <v>4801</v>
      </c>
      <c r="K4083" s="10" t="n">
        <v>46290</v>
      </c>
      <c r="L4083" s="3" t="s">
        <v>16</v>
      </c>
      <c r="M4083" s="7" t="n">
        <v>1600</v>
      </c>
      <c r="N4083" s="8" t="n">
        <v>0.0442</v>
      </c>
      <c r="O4083" s="4" t="n">
        <f aca="false">M4083*N4083</f>
        <v>70.72</v>
      </c>
    </row>
    <row r="4084" customFormat="false" ht="15" hidden="false" customHeight="false" outlineLevel="0" collapsed="false">
      <c r="A4084" s="0" t="s">
        <v>5607</v>
      </c>
      <c r="C4084" s="0" t="s">
        <v>1039</v>
      </c>
      <c r="D4084" s="7" t="n">
        <v>14230</v>
      </c>
      <c r="E4084" s="8" t="n">
        <v>0.00309978917779339</v>
      </c>
      <c r="F4084" s="4" t="n">
        <f aca="false">D4084*E4084</f>
        <v>44.11</v>
      </c>
      <c r="G4084" s="7" t="n">
        <v>1362</v>
      </c>
      <c r="H4084" s="9" t="n">
        <f aca="false">IF(G4084&gt;0,D4084/G4084,"")</f>
        <v>10.4478707782673</v>
      </c>
      <c r="I4084" s="10" t="n">
        <v>46308</v>
      </c>
      <c r="J4084" s="3" t="s">
        <v>2777</v>
      </c>
      <c r="K4084" s="10" t="n">
        <v>45763</v>
      </c>
      <c r="L4084" s="3" t="s">
        <v>16</v>
      </c>
      <c r="M4084" s="7" t="n">
        <v>18000</v>
      </c>
      <c r="N4084" s="8" t="n">
        <v>0.0031</v>
      </c>
      <c r="O4084" s="4" t="n">
        <f aca="false">M4084*N4084</f>
        <v>55.8</v>
      </c>
    </row>
    <row r="4085" customFormat="false" ht="15" hidden="false" customHeight="false" outlineLevel="0" collapsed="false">
      <c r="A4085" s="0" t="s">
        <v>5608</v>
      </c>
      <c r="C4085" s="0" t="s">
        <v>979</v>
      </c>
      <c r="D4085" s="7" t="n">
        <v>217</v>
      </c>
      <c r="E4085" s="8" t="n">
        <v>0.203271889400922</v>
      </c>
      <c r="F4085" s="4" t="n">
        <f aca="false">D4085*E4085</f>
        <v>44.11</v>
      </c>
      <c r="G4085" s="7" t="n">
        <v>200</v>
      </c>
      <c r="H4085" s="9" t="n">
        <f aca="false">IF(G4085&gt;0,D4085/G4085,"")</f>
        <v>1.085</v>
      </c>
      <c r="I4085" s="10" t="n">
        <v>46127</v>
      </c>
      <c r="J4085" s="3" t="s">
        <v>4089</v>
      </c>
      <c r="K4085" s="10" t="n">
        <v>45552</v>
      </c>
      <c r="L4085" s="3" t="s">
        <v>18</v>
      </c>
      <c r="M4085" s="7" t="n">
        <v>490</v>
      </c>
      <c r="N4085" s="8" t="n">
        <v>0.2033</v>
      </c>
      <c r="O4085" s="4" t="n">
        <f aca="false">M4085*N4085</f>
        <v>99.617</v>
      </c>
    </row>
    <row r="4086" customFormat="false" ht="15" hidden="false" customHeight="false" outlineLevel="0" collapsed="false">
      <c r="A4086" s="0" t="s">
        <v>5609</v>
      </c>
      <c r="C4086" s="0" t="s">
        <v>34</v>
      </c>
      <c r="D4086" s="7" t="n">
        <v>270</v>
      </c>
      <c r="E4086" s="8" t="n">
        <v>0.163296296296296</v>
      </c>
      <c r="F4086" s="4" t="n">
        <f aca="false">D4086*E4086</f>
        <v>44.09</v>
      </c>
      <c r="G4086" s="7" t="n">
        <v>3</v>
      </c>
      <c r="H4086" s="9" t="n">
        <f aca="false">IF(G4086&gt;0,D4086/G4086,"")</f>
        <v>90</v>
      </c>
      <c r="I4086" s="10" t="n">
        <v>46287</v>
      </c>
      <c r="J4086" s="3" t="s">
        <v>4283</v>
      </c>
      <c r="K4086" s="10" t="n">
        <v>46276</v>
      </c>
      <c r="L4086" s="3" t="s">
        <v>16</v>
      </c>
      <c r="M4086" s="7" t="n">
        <v>272</v>
      </c>
      <c r="N4086" s="8" t="n">
        <v>0.1633</v>
      </c>
      <c r="O4086" s="4" t="n">
        <f aca="false">M4086*N4086</f>
        <v>44.4176</v>
      </c>
    </row>
    <row r="4087" customFormat="false" ht="15" hidden="false" customHeight="false" outlineLevel="0" collapsed="false">
      <c r="A4087" s="0" t="s">
        <v>5610</v>
      </c>
      <c r="C4087" s="0" t="s">
        <v>741</v>
      </c>
      <c r="D4087" s="7" t="n">
        <v>76</v>
      </c>
      <c r="E4087" s="8" t="n">
        <v>0.579736842105263</v>
      </c>
      <c r="F4087" s="4" t="n">
        <f aca="false">D4087*E4087</f>
        <v>44.06</v>
      </c>
      <c r="G4087" s="7" t="n">
        <v>14</v>
      </c>
      <c r="H4087" s="9" t="n">
        <f aca="false">IF(G4087&gt;0,D4087/G4087,"")</f>
        <v>5.42857142857143</v>
      </c>
      <c r="I4087" s="10" t="n">
        <v>46009</v>
      </c>
      <c r="J4087" s="3" t="s">
        <v>5611</v>
      </c>
      <c r="K4087" s="10" t="n">
        <v>45364</v>
      </c>
      <c r="L4087" s="3" t="s">
        <v>27</v>
      </c>
      <c r="M4087" s="7" t="n">
        <v>100</v>
      </c>
      <c r="N4087" s="8" t="n">
        <v>0.5798</v>
      </c>
      <c r="O4087" s="4" t="n">
        <f aca="false">M4087*N4087</f>
        <v>57.98</v>
      </c>
    </row>
    <row r="4088" customFormat="false" ht="15" hidden="false" customHeight="false" outlineLevel="0" collapsed="false">
      <c r="A4088" s="0" t="s">
        <v>5612</v>
      </c>
      <c r="C4088" s="0" t="s">
        <v>715</v>
      </c>
      <c r="D4088" s="7" t="n">
        <v>137</v>
      </c>
      <c r="E4088" s="8" t="n">
        <v>0.321386861313869</v>
      </c>
      <c r="F4088" s="4" t="n">
        <f aca="false">D4088*E4088</f>
        <v>44.03</v>
      </c>
      <c r="G4088" s="7" t="n">
        <v>70</v>
      </c>
      <c r="H4088" s="9" t="n">
        <f aca="false">IF(G4088&gt;0,D4088/G4088,"")</f>
        <v>1.95714285714286</v>
      </c>
      <c r="I4088" s="10" t="n">
        <v>46275</v>
      </c>
      <c r="J4088" s="3" t="s">
        <v>1035</v>
      </c>
      <c r="K4088" s="10" t="n">
        <v>46251</v>
      </c>
      <c r="L4088" s="3" t="s">
        <v>16</v>
      </c>
      <c r="M4088" s="7" t="n">
        <v>170</v>
      </c>
      <c r="N4088" s="8" t="n">
        <v>0.3214</v>
      </c>
      <c r="O4088" s="4" t="n">
        <f aca="false">M4088*N4088</f>
        <v>54.638</v>
      </c>
    </row>
    <row r="4089" customFormat="false" ht="15" hidden="false" customHeight="false" outlineLevel="0" collapsed="false">
      <c r="A4089" s="0" t="s">
        <v>5613</v>
      </c>
      <c r="C4089" s="0" t="s">
        <v>855</v>
      </c>
      <c r="D4089" s="7" t="n">
        <v>413</v>
      </c>
      <c r="E4089" s="8" t="n">
        <v>0.106610169491525</v>
      </c>
      <c r="F4089" s="4" t="n">
        <f aca="false">D4089*E4089</f>
        <v>44.03</v>
      </c>
      <c r="G4089" s="7" t="n">
        <v>250</v>
      </c>
      <c r="H4089" s="9" t="n">
        <f aca="false">IF(G4089&gt;0,D4089/G4089,"")</f>
        <v>1.652</v>
      </c>
      <c r="I4089" s="10" t="n">
        <v>46062</v>
      </c>
      <c r="K4089" s="10"/>
      <c r="M4089" s="7"/>
      <c r="N4089" s="8"/>
      <c r="O4089" s="4"/>
    </row>
    <row r="4090" customFormat="false" ht="15" hidden="false" customHeight="false" outlineLevel="0" collapsed="false">
      <c r="A4090" s="0" t="s">
        <v>5614</v>
      </c>
      <c r="C4090" s="0" t="s">
        <v>31</v>
      </c>
      <c r="D4090" s="7" t="n">
        <v>2201</v>
      </c>
      <c r="E4090" s="8" t="n">
        <v>0.02</v>
      </c>
      <c r="F4090" s="4" t="n">
        <f aca="false">D4090*E4090</f>
        <v>44.02</v>
      </c>
      <c r="G4090" s="7" t="n">
        <v>549</v>
      </c>
      <c r="H4090" s="9" t="n">
        <f aca="false">IF(G4090&gt;0,D4090/G4090,"")</f>
        <v>4.00910746812386</v>
      </c>
      <c r="I4090" s="10" t="n">
        <v>46260</v>
      </c>
      <c r="J4090" s="3" t="s">
        <v>2048</v>
      </c>
      <c r="K4090" s="10" t="n">
        <v>45750</v>
      </c>
      <c r="L4090" s="3" t="s">
        <v>25</v>
      </c>
      <c r="M4090" s="7" t="n">
        <v>5000</v>
      </c>
      <c r="N4090" s="8" t="n">
        <v>0.02</v>
      </c>
      <c r="O4090" s="4" t="n">
        <f aca="false">M4090*N4090</f>
        <v>100</v>
      </c>
    </row>
    <row r="4091" customFormat="false" ht="15" hidden="false" customHeight="false" outlineLevel="0" collapsed="false">
      <c r="A4091" s="0" t="s">
        <v>5615</v>
      </c>
      <c r="C4091" s="0" t="s">
        <v>31</v>
      </c>
      <c r="D4091" s="7" t="n">
        <v>634</v>
      </c>
      <c r="E4091" s="8" t="n">
        <v>0.0694006309148265</v>
      </c>
      <c r="F4091" s="4" t="n">
        <f aca="false">D4091*E4091</f>
        <v>44</v>
      </c>
      <c r="G4091" s="7" t="n">
        <v>118</v>
      </c>
      <c r="H4091" s="9" t="n">
        <f aca="false">IF(G4091&gt;0,D4091/G4091,"")</f>
        <v>5.3728813559322</v>
      </c>
      <c r="I4091" s="10" t="n">
        <v>46275</v>
      </c>
      <c r="J4091" s="3" t="s">
        <v>1035</v>
      </c>
      <c r="K4091" s="10" t="n">
        <v>46251</v>
      </c>
      <c r="L4091" s="3" t="s">
        <v>16</v>
      </c>
      <c r="M4091" s="7" t="n">
        <v>721</v>
      </c>
      <c r="N4091" s="8" t="n">
        <v>0.0694</v>
      </c>
      <c r="O4091" s="4" t="n">
        <f aca="false">M4091*N4091</f>
        <v>50.0374</v>
      </c>
    </row>
    <row r="4092" customFormat="false" ht="15" hidden="false" customHeight="false" outlineLevel="0" collapsed="false">
      <c r="A4092" s="0" t="s">
        <v>5616</v>
      </c>
      <c r="C4092" s="0" t="s">
        <v>42</v>
      </c>
      <c r="D4092" s="7" t="n">
        <v>155</v>
      </c>
      <c r="E4092" s="8" t="n">
        <v>0.283806451612903</v>
      </c>
      <c r="F4092" s="4" t="n">
        <f aca="false">D4092*E4092</f>
        <v>43.99</v>
      </c>
      <c r="G4092" s="7" t="n">
        <v>12</v>
      </c>
      <c r="H4092" s="9" t="n">
        <f aca="false">IF(G4092&gt;0,D4092/G4092,"")</f>
        <v>12.9166666666667</v>
      </c>
      <c r="I4092" s="10" t="n">
        <v>46233</v>
      </c>
      <c r="K4092" s="10"/>
      <c r="M4092" s="7"/>
      <c r="N4092" s="8"/>
      <c r="O4092" s="4"/>
    </row>
    <row r="4093" customFormat="false" ht="15" hidden="false" customHeight="false" outlineLevel="0" collapsed="false">
      <c r="A4093" s="0" t="s">
        <v>5617</v>
      </c>
      <c r="C4093" s="0" t="s">
        <v>118</v>
      </c>
      <c r="D4093" s="7" t="n">
        <v>236</v>
      </c>
      <c r="E4093" s="8" t="n">
        <v>0.185974576271186</v>
      </c>
      <c r="F4093" s="4" t="n">
        <f aca="false">D4093*E4093</f>
        <v>43.89</v>
      </c>
      <c r="G4093" s="7" t="n">
        <v>16</v>
      </c>
      <c r="H4093" s="9" t="n">
        <f aca="false">IF(G4093&gt;0,D4093/G4093,"")</f>
        <v>14.75</v>
      </c>
      <c r="I4093" s="10" t="n">
        <v>46154</v>
      </c>
      <c r="J4093" s="3" t="s">
        <v>5618</v>
      </c>
      <c r="K4093" s="10" t="n">
        <v>44756</v>
      </c>
      <c r="L4093" s="3" t="s">
        <v>19</v>
      </c>
      <c r="M4093" s="7" t="n">
        <v>533</v>
      </c>
      <c r="N4093" s="8" t="n">
        <v>0.209</v>
      </c>
      <c r="O4093" s="4" t="n">
        <v>105.963</v>
      </c>
    </row>
    <row r="4094" customFormat="false" ht="15" hidden="false" customHeight="false" outlineLevel="0" collapsed="false">
      <c r="A4094" s="0" t="s">
        <v>5619</v>
      </c>
      <c r="C4094" s="0" t="s">
        <v>1039</v>
      </c>
      <c r="D4094" s="7" t="n">
        <v>2995</v>
      </c>
      <c r="E4094" s="8" t="n">
        <v>0.0146377295492488</v>
      </c>
      <c r="F4094" s="4" t="n">
        <f aca="false">D4094*E4094</f>
        <v>43.84</v>
      </c>
      <c r="G4094" s="7" t="n">
        <v>159</v>
      </c>
      <c r="H4094" s="9" t="n">
        <f aca="false">IF(G4094&gt;0,D4094/G4094,"")</f>
        <v>18.8364779874214</v>
      </c>
      <c r="I4094" s="10" t="n">
        <v>46231</v>
      </c>
      <c r="J4094" s="3" t="s">
        <v>495</v>
      </c>
      <c r="K4094" s="10" t="n">
        <v>45925</v>
      </c>
      <c r="L4094" s="3" t="s">
        <v>16</v>
      </c>
      <c r="M4094" s="7" t="n">
        <v>3200</v>
      </c>
      <c r="N4094" s="8" t="n">
        <v>0.0146</v>
      </c>
      <c r="O4094" s="4" t="n">
        <f aca="false">M4094*N4094</f>
        <v>46.72</v>
      </c>
    </row>
    <row r="4095" customFormat="false" ht="15" hidden="false" customHeight="false" outlineLevel="0" collapsed="false">
      <c r="A4095" s="0" t="s">
        <v>5620</v>
      </c>
      <c r="C4095" s="0" t="s">
        <v>34</v>
      </c>
      <c r="D4095" s="7" t="n">
        <v>66</v>
      </c>
      <c r="E4095" s="8" t="n">
        <v>0.664090909090909</v>
      </c>
      <c r="F4095" s="4" t="n">
        <f aca="false">D4095*E4095</f>
        <v>43.83</v>
      </c>
      <c r="G4095" s="7" t="n">
        <v>10</v>
      </c>
      <c r="H4095" s="9" t="n">
        <f aca="false">IF(G4095&gt;0,D4095/G4095,"")</f>
        <v>6.6</v>
      </c>
      <c r="I4095" s="10" t="n">
        <v>46314</v>
      </c>
      <c r="J4095" s="3" t="s">
        <v>623</v>
      </c>
      <c r="K4095" s="10" t="n">
        <v>46294</v>
      </c>
      <c r="L4095" s="3" t="s">
        <v>16</v>
      </c>
      <c r="M4095" s="7" t="n">
        <v>76</v>
      </c>
      <c r="N4095" s="8" t="n">
        <v>0.6641</v>
      </c>
      <c r="O4095" s="4" t="n">
        <f aca="false">M4095*N4095</f>
        <v>50.4716</v>
      </c>
    </row>
    <row r="4096" customFormat="false" ht="15" hidden="false" customHeight="false" outlineLevel="0" collapsed="false">
      <c r="A4096" s="0" t="s">
        <v>5621</v>
      </c>
      <c r="C4096" s="0" t="s">
        <v>1010</v>
      </c>
      <c r="D4096" s="7" t="n">
        <v>577</v>
      </c>
      <c r="E4096" s="8" t="n">
        <v>0.0758578856152513</v>
      </c>
      <c r="F4096" s="4" t="n">
        <f aca="false">D4096*E4096</f>
        <v>43.77</v>
      </c>
      <c r="G4096" s="7" t="n">
        <v>40</v>
      </c>
      <c r="H4096" s="9" t="n">
        <f aca="false">IF(G4096&gt;0,D4096/G4096,"")</f>
        <v>14.425</v>
      </c>
      <c r="I4096" s="10" t="n">
        <v>46160</v>
      </c>
      <c r="J4096" s="3" t="s">
        <v>628</v>
      </c>
      <c r="K4096" s="10" t="n">
        <v>46128</v>
      </c>
      <c r="L4096" s="3" t="s">
        <v>16</v>
      </c>
      <c r="M4096" s="7" t="n">
        <v>565</v>
      </c>
      <c r="N4096" s="8" t="n">
        <v>0.0757</v>
      </c>
      <c r="O4096" s="4" t="n">
        <f aca="false">M4096*N4096</f>
        <v>42.7705</v>
      </c>
    </row>
    <row r="4097" customFormat="false" ht="15" hidden="false" customHeight="false" outlineLevel="0" collapsed="false">
      <c r="A4097" s="0" t="s">
        <v>5622</v>
      </c>
      <c r="C4097" s="0" t="s">
        <v>844</v>
      </c>
      <c r="D4097" s="7" t="n">
        <v>27</v>
      </c>
      <c r="E4097" s="8" t="n">
        <v>1.62</v>
      </c>
      <c r="F4097" s="4" t="n">
        <f aca="false">D4097*E4097</f>
        <v>43.74</v>
      </c>
      <c r="G4097" s="7" t="n">
        <v>6</v>
      </c>
      <c r="H4097" s="9" t="n">
        <f aca="false">IF(G4097&gt;0,D4097/G4097,"")</f>
        <v>4.5</v>
      </c>
      <c r="I4097" s="10" t="n">
        <v>46126</v>
      </c>
      <c r="J4097" s="3" t="s">
        <v>4304</v>
      </c>
      <c r="K4097" s="10" t="n">
        <v>45632</v>
      </c>
      <c r="L4097" s="3" t="s">
        <v>1878</v>
      </c>
      <c r="M4097" s="7" t="n">
        <v>50</v>
      </c>
      <c r="N4097" s="8" t="n">
        <v>1.62</v>
      </c>
      <c r="O4097" s="4" t="n">
        <f aca="false">M4097*N4097</f>
        <v>81</v>
      </c>
    </row>
    <row r="4098" customFormat="false" ht="15" hidden="false" customHeight="false" outlineLevel="0" collapsed="false">
      <c r="A4098" s="0" t="s">
        <v>5623</v>
      </c>
      <c r="C4098" s="0" t="s">
        <v>34</v>
      </c>
      <c r="D4098" s="7" t="n">
        <v>84</v>
      </c>
      <c r="E4098" s="8" t="n">
        <v>0.520714285714286</v>
      </c>
      <c r="F4098" s="4" t="n">
        <f aca="false">D4098*E4098</f>
        <v>43.74</v>
      </c>
      <c r="G4098" s="7" t="n">
        <v>15</v>
      </c>
      <c r="H4098" s="9" t="n">
        <f aca="false">IF(G4098&gt;0,D4098/G4098,"")</f>
        <v>5.6</v>
      </c>
      <c r="I4098" s="10" t="n">
        <v>46224</v>
      </c>
      <c r="K4098" s="10"/>
      <c r="M4098" s="7"/>
      <c r="N4098" s="8"/>
      <c r="O4098" s="4"/>
    </row>
    <row r="4099" customFormat="false" ht="15" hidden="false" customHeight="false" outlineLevel="0" collapsed="false">
      <c r="A4099" s="0" t="s">
        <v>5624</v>
      </c>
      <c r="C4099" s="0" t="s">
        <v>298</v>
      </c>
      <c r="D4099" s="7" t="n">
        <v>153</v>
      </c>
      <c r="E4099" s="8" t="n">
        <v>0.285816993464052</v>
      </c>
      <c r="F4099" s="4" t="n">
        <f aca="false">D4099*E4099</f>
        <v>43.73</v>
      </c>
      <c r="G4099" s="7" t="n">
        <v>9</v>
      </c>
      <c r="H4099" s="9" t="n">
        <f aca="false">IF(G4099&gt;0,D4099/G4099,"")</f>
        <v>17</v>
      </c>
      <c r="I4099" s="10" t="n">
        <v>46309</v>
      </c>
      <c r="K4099" s="10"/>
      <c r="M4099" s="7"/>
      <c r="N4099" s="8"/>
      <c r="O4099" s="4"/>
    </row>
    <row r="4100" customFormat="false" ht="15" hidden="false" customHeight="false" outlineLevel="0" collapsed="false">
      <c r="A4100" s="0" t="s">
        <v>5625</v>
      </c>
      <c r="C4100" s="0" t="s">
        <v>32</v>
      </c>
      <c r="D4100" s="7" t="n">
        <v>21435</v>
      </c>
      <c r="E4100" s="8" t="n">
        <v>0.00203872171681829</v>
      </c>
      <c r="F4100" s="4" t="n">
        <f aca="false">D4100*E4100</f>
        <v>43.7</v>
      </c>
      <c r="G4100" s="7" t="n">
        <v>504</v>
      </c>
      <c r="H4100" s="9" t="n">
        <f aca="false">IF(G4100&gt;0,D4100/G4100,"")</f>
        <v>42.5297619047619</v>
      </c>
      <c r="I4100" s="10" t="n">
        <v>46310</v>
      </c>
      <c r="J4100" s="3" t="s">
        <v>3062</v>
      </c>
      <c r="K4100" s="10" t="n">
        <v>44965</v>
      </c>
      <c r="L4100" s="3" t="s">
        <v>18</v>
      </c>
      <c r="M4100" s="7" t="n">
        <v>11000</v>
      </c>
      <c r="N4100" s="8" t="n">
        <v>0.0028</v>
      </c>
      <c r="O4100" s="4" t="n">
        <f aca="false">M4100*N4100</f>
        <v>30.8</v>
      </c>
    </row>
    <row r="4101" customFormat="false" ht="15" hidden="false" customHeight="false" outlineLevel="0" collapsed="false">
      <c r="A4101" s="0" t="s">
        <v>5626</v>
      </c>
      <c r="C4101" s="0" t="s">
        <v>1101</v>
      </c>
      <c r="D4101" s="7" t="n">
        <v>10</v>
      </c>
      <c r="E4101" s="8" t="n">
        <v>4.358</v>
      </c>
      <c r="F4101" s="4" t="n">
        <f aca="false">D4101*E4101</f>
        <v>43.58</v>
      </c>
      <c r="G4101" s="7" t="n">
        <v>6</v>
      </c>
      <c r="H4101" s="9" t="n">
        <f aca="false">IF(G4101&gt;0,D4101/G4101,"")</f>
        <v>1.66666666666667</v>
      </c>
      <c r="I4101" s="10" t="n">
        <v>46302</v>
      </c>
      <c r="J4101" s="3" t="s">
        <v>4671</v>
      </c>
      <c r="K4101" s="10" t="n">
        <v>46251</v>
      </c>
      <c r="L4101" s="3" t="s">
        <v>834</v>
      </c>
      <c r="M4101" s="7" t="n">
        <v>13</v>
      </c>
      <c r="N4101" s="8" t="n">
        <v>4.7</v>
      </c>
      <c r="O4101" s="4" t="n">
        <f aca="false">M4101*N4101</f>
        <v>61.1</v>
      </c>
    </row>
    <row r="4102" customFormat="false" ht="15" hidden="false" customHeight="false" outlineLevel="0" collapsed="false">
      <c r="A4102" s="0" t="s">
        <v>5627</v>
      </c>
      <c r="C4102" s="0" t="s">
        <v>100</v>
      </c>
      <c r="D4102" s="7" t="n">
        <v>20</v>
      </c>
      <c r="E4102" s="8" t="n">
        <v>2.1785</v>
      </c>
      <c r="F4102" s="4" t="n">
        <f aca="false">D4102*E4102</f>
        <v>43.57</v>
      </c>
      <c r="G4102" s="7" t="n">
        <v>3</v>
      </c>
      <c r="H4102" s="9" t="n">
        <f aca="false">IF(G4102&gt;0,D4102/G4102,"")</f>
        <v>6.66666666666667</v>
      </c>
      <c r="I4102" s="10" t="n">
        <v>46163</v>
      </c>
      <c r="J4102" s="3" t="s">
        <v>620</v>
      </c>
      <c r="K4102" s="10" t="n">
        <v>46146</v>
      </c>
      <c r="L4102" s="3" t="s">
        <v>16</v>
      </c>
      <c r="M4102" s="7" t="n">
        <v>23</v>
      </c>
      <c r="N4102" s="8" t="n">
        <v>2.1783</v>
      </c>
      <c r="O4102" s="4" t="n">
        <f aca="false">M4102*N4102</f>
        <v>50.1009</v>
      </c>
    </row>
    <row r="4103" customFormat="false" ht="15" hidden="false" customHeight="false" outlineLevel="0" collapsed="false">
      <c r="A4103" s="0" t="s">
        <v>5628</v>
      </c>
      <c r="C4103" s="0" t="s">
        <v>34</v>
      </c>
      <c r="D4103" s="7" t="n">
        <v>594</v>
      </c>
      <c r="E4103" s="8" t="n">
        <v>0.0732996632996633</v>
      </c>
      <c r="F4103" s="4" t="n">
        <f aca="false">D4103*E4103</f>
        <v>43.54</v>
      </c>
      <c r="G4103" s="7" t="n">
        <v>61</v>
      </c>
      <c r="H4103" s="9" t="n">
        <f aca="false">IF(G4103&gt;0,D4103/G4103,"")</f>
        <v>9.73770491803279</v>
      </c>
      <c r="I4103" s="10" t="n">
        <v>46154</v>
      </c>
      <c r="J4103" s="3" t="s">
        <v>495</v>
      </c>
      <c r="K4103" s="10" t="n">
        <v>45925</v>
      </c>
      <c r="L4103" s="3" t="s">
        <v>16</v>
      </c>
      <c r="M4103" s="7" t="n">
        <v>650</v>
      </c>
      <c r="N4103" s="8" t="n">
        <v>0.0733</v>
      </c>
      <c r="O4103" s="4" t="n">
        <f aca="false">M4103*N4103</f>
        <v>47.645</v>
      </c>
    </row>
    <row r="4104" customFormat="false" ht="15" hidden="false" customHeight="false" outlineLevel="0" collapsed="false">
      <c r="A4104" s="0" t="s">
        <v>5629</v>
      </c>
      <c r="C4104" s="0" t="s">
        <v>61</v>
      </c>
      <c r="D4104" s="7" t="n">
        <v>457</v>
      </c>
      <c r="E4104" s="8" t="n">
        <v>0.0952516411378556</v>
      </c>
      <c r="F4104" s="4" t="n">
        <f aca="false">D4104*E4104</f>
        <v>43.53</v>
      </c>
      <c r="G4104" s="7" t="n">
        <v>40</v>
      </c>
      <c r="H4104" s="9" t="n">
        <f aca="false">IF(G4104&gt;0,D4104/G4104,"")</f>
        <v>11.425</v>
      </c>
      <c r="I4104" s="10" t="n">
        <v>46063</v>
      </c>
      <c r="K4104" s="10"/>
      <c r="M4104" s="7"/>
      <c r="N4104" s="8"/>
      <c r="O4104" s="4"/>
    </row>
    <row r="4105" customFormat="false" ht="15" hidden="false" customHeight="false" outlineLevel="0" collapsed="false">
      <c r="A4105" s="0" t="s">
        <v>5630</v>
      </c>
      <c r="C4105" s="0" t="s">
        <v>32</v>
      </c>
      <c r="D4105" s="7" t="n">
        <v>126</v>
      </c>
      <c r="E4105" s="8" t="n">
        <v>0.345396825396825</v>
      </c>
      <c r="F4105" s="4" t="n">
        <f aca="false">D4105*E4105</f>
        <v>43.52</v>
      </c>
      <c r="G4105" s="7" t="n">
        <v>23</v>
      </c>
      <c r="H4105" s="9" t="n">
        <f aca="false">IF(G4105&gt;0,D4105/G4105,"")</f>
        <v>5.47826086956522</v>
      </c>
      <c r="I4105" s="10" t="n">
        <v>46265</v>
      </c>
      <c r="J4105" s="3" t="s">
        <v>2506</v>
      </c>
      <c r="K4105" s="10" t="n">
        <v>45911</v>
      </c>
      <c r="L4105" s="3" t="s">
        <v>18</v>
      </c>
      <c r="M4105" s="7" t="n">
        <v>260</v>
      </c>
      <c r="N4105" s="8" t="n">
        <v>0.3454</v>
      </c>
      <c r="O4105" s="4" t="n">
        <f aca="false">M4105*N4105</f>
        <v>89.804</v>
      </c>
    </row>
    <row r="4106" customFormat="false" ht="15" hidden="false" customHeight="false" outlineLevel="0" collapsed="false">
      <c r="A4106" s="0" t="s">
        <v>5631</v>
      </c>
      <c r="C4106" s="0" t="s">
        <v>31</v>
      </c>
      <c r="D4106" s="7" t="n">
        <v>1882</v>
      </c>
      <c r="E4106" s="8" t="n">
        <v>0.0231243358129649</v>
      </c>
      <c r="F4106" s="4" t="n">
        <f aca="false">D4106*E4106</f>
        <v>43.52</v>
      </c>
      <c r="G4106" s="7" t="n">
        <v>524</v>
      </c>
      <c r="H4106" s="9" t="n">
        <f aca="false">IF(G4106&gt;0,D4106/G4106,"")</f>
        <v>3.59160305343511</v>
      </c>
      <c r="I4106" s="10" t="n">
        <v>46247</v>
      </c>
      <c r="J4106" s="3" t="s">
        <v>5632</v>
      </c>
      <c r="K4106" s="10" t="n">
        <v>45289</v>
      </c>
      <c r="L4106" s="3" t="s">
        <v>15</v>
      </c>
      <c r="M4106" s="7" t="n">
        <v>2500</v>
      </c>
      <c r="N4106" s="8" t="n">
        <v>0.02312</v>
      </c>
      <c r="O4106" s="4" t="n">
        <f aca="false">M4106*N4106</f>
        <v>57.8</v>
      </c>
    </row>
    <row r="4107" customFormat="false" ht="15" hidden="false" customHeight="false" outlineLevel="0" collapsed="false">
      <c r="A4107" s="0" t="s">
        <v>5633</v>
      </c>
      <c r="C4107" s="0" t="s">
        <v>41</v>
      </c>
      <c r="D4107" s="7" t="n">
        <v>806</v>
      </c>
      <c r="E4107" s="8" t="n">
        <v>0.0539950372208437</v>
      </c>
      <c r="F4107" s="4" t="n">
        <f aca="false">D4107*E4107</f>
        <v>43.52</v>
      </c>
      <c r="G4107" s="7" t="n">
        <v>164</v>
      </c>
      <c r="H4107" s="9" t="n">
        <f aca="false">IF(G4107&gt;0,D4107/G4107,"")</f>
        <v>4.91463414634146</v>
      </c>
      <c r="I4107" s="10" t="n">
        <v>46317</v>
      </c>
      <c r="J4107" s="3" t="s">
        <v>4264</v>
      </c>
      <c r="K4107" s="10" t="n">
        <v>45870</v>
      </c>
      <c r="L4107" s="3" t="s">
        <v>25</v>
      </c>
      <c r="M4107" s="7" t="n">
        <v>1000</v>
      </c>
      <c r="N4107" s="8" t="n">
        <v>0.054</v>
      </c>
      <c r="O4107" s="4" t="n">
        <f aca="false">M4107*N4107</f>
        <v>54</v>
      </c>
    </row>
    <row r="4108" customFormat="false" ht="15" hidden="false" customHeight="false" outlineLevel="0" collapsed="false">
      <c r="A4108" s="0" t="s">
        <v>5634</v>
      </c>
      <c r="C4108" s="0" t="s">
        <v>34</v>
      </c>
      <c r="D4108" s="7" t="n">
        <v>278</v>
      </c>
      <c r="E4108" s="8" t="n">
        <v>0.156510791366907</v>
      </c>
      <c r="F4108" s="4" t="n">
        <f aca="false">D4108*E4108</f>
        <v>43.51</v>
      </c>
      <c r="G4108" s="7" t="n">
        <v>14</v>
      </c>
      <c r="H4108" s="9" t="n">
        <f aca="false">IF(G4108&gt;0,D4108/G4108,"")</f>
        <v>19.8571428571429</v>
      </c>
      <c r="I4108" s="10" t="n">
        <v>46146</v>
      </c>
      <c r="J4108" s="3" t="s">
        <v>5635</v>
      </c>
      <c r="K4108" s="10" t="n">
        <v>45461</v>
      </c>
      <c r="L4108" s="3" t="s">
        <v>15</v>
      </c>
      <c r="M4108" s="7" t="n">
        <v>540</v>
      </c>
      <c r="N4108" s="8" t="n">
        <v>0.15654</v>
      </c>
      <c r="O4108" s="4" t="n">
        <f aca="false">M4108*N4108</f>
        <v>84.5316</v>
      </c>
    </row>
    <row r="4109" customFormat="false" ht="15" hidden="false" customHeight="false" outlineLevel="0" collapsed="false">
      <c r="A4109" s="0" t="s">
        <v>5636</v>
      </c>
      <c r="C4109" s="0" t="s">
        <v>583</v>
      </c>
      <c r="D4109" s="7" t="n">
        <v>6396</v>
      </c>
      <c r="E4109" s="8" t="n">
        <v>0.00679643527204503</v>
      </c>
      <c r="F4109" s="4" t="n">
        <f aca="false">D4109*E4109</f>
        <v>43.47</v>
      </c>
      <c r="G4109" s="7" t="n">
        <v>1667</v>
      </c>
      <c r="H4109" s="9" t="n">
        <f aca="false">IF(G4109&gt;0,D4109/G4109,"")</f>
        <v>3.83683263347331</v>
      </c>
      <c r="I4109" s="10" t="n">
        <v>46308</v>
      </c>
      <c r="J4109" s="3" t="s">
        <v>536</v>
      </c>
      <c r="K4109" s="10" t="n">
        <v>45531</v>
      </c>
      <c r="L4109" s="3" t="s">
        <v>16</v>
      </c>
      <c r="M4109" s="7" t="n">
        <v>10000</v>
      </c>
      <c r="N4109" s="8" t="n">
        <v>0.0068</v>
      </c>
      <c r="O4109" s="4" t="n">
        <f aca="false">M4109*N4109</f>
        <v>68</v>
      </c>
    </row>
    <row r="4110" customFormat="false" ht="15" hidden="false" customHeight="false" outlineLevel="0" collapsed="false">
      <c r="A4110" s="0" t="s">
        <v>5637</v>
      </c>
      <c r="C4110" s="0" t="s">
        <v>799</v>
      </c>
      <c r="D4110" s="7" t="n">
        <v>29</v>
      </c>
      <c r="E4110" s="8" t="n">
        <v>1.49862068965517</v>
      </c>
      <c r="F4110" s="4" t="n">
        <f aca="false">D4110*E4110</f>
        <v>43.46</v>
      </c>
      <c r="G4110" s="7" t="n">
        <v>10</v>
      </c>
      <c r="H4110" s="9" t="n">
        <f aca="false">IF(G4110&gt;0,D4110/G4110,"")</f>
        <v>2.9</v>
      </c>
      <c r="I4110" s="10" t="n">
        <v>46269</v>
      </c>
      <c r="J4110" s="3" t="s">
        <v>3890</v>
      </c>
      <c r="K4110" s="10" t="n">
        <v>44308</v>
      </c>
      <c r="L4110" s="3" t="s">
        <v>14</v>
      </c>
      <c r="M4110" s="7" t="n">
        <v>100</v>
      </c>
      <c r="N4110" s="8" t="n">
        <v>1.4974</v>
      </c>
      <c r="O4110" s="4" t="n">
        <f aca="false">M4110*N4110</f>
        <v>149.74</v>
      </c>
    </row>
    <row r="4111" customFormat="false" ht="15" hidden="false" customHeight="false" outlineLevel="0" collapsed="false">
      <c r="A4111" s="0" t="s">
        <v>5638</v>
      </c>
      <c r="C4111" s="0" t="s">
        <v>34</v>
      </c>
      <c r="D4111" s="7" t="n">
        <v>2472</v>
      </c>
      <c r="E4111" s="8" t="n">
        <v>0.0175283171521036</v>
      </c>
      <c r="F4111" s="4" t="n">
        <f aca="false">D4111*E4111</f>
        <v>43.33</v>
      </c>
      <c r="G4111" s="7" t="n">
        <v>10</v>
      </c>
      <c r="H4111" s="9" t="n">
        <f aca="false">IF(G4111&gt;0,D4111/G4111,"")</f>
        <v>247.2</v>
      </c>
      <c r="I4111" s="10" t="n">
        <v>45993</v>
      </c>
      <c r="J4111" s="3" t="s">
        <v>2914</v>
      </c>
      <c r="K4111" s="10" t="n">
        <v>45562</v>
      </c>
      <c r="L4111" s="3" t="s">
        <v>16</v>
      </c>
      <c r="M4111" s="7" t="n">
        <v>2641</v>
      </c>
      <c r="N4111" s="8" t="n">
        <v>0.0143</v>
      </c>
      <c r="O4111" s="4" t="n">
        <f aca="false">M4111*N4111</f>
        <v>37.7663</v>
      </c>
    </row>
    <row r="4112" customFormat="false" ht="15" hidden="false" customHeight="false" outlineLevel="0" collapsed="false">
      <c r="A4112" s="0" t="s">
        <v>5639</v>
      </c>
      <c r="C4112" s="0" t="s">
        <v>31</v>
      </c>
      <c r="D4112" s="7" t="n">
        <v>39</v>
      </c>
      <c r="E4112" s="8" t="n">
        <v>1.11</v>
      </c>
      <c r="F4112" s="4" t="n">
        <f aca="false">D4112*E4112</f>
        <v>43.29</v>
      </c>
      <c r="G4112" s="7" t="n">
        <v>15</v>
      </c>
      <c r="H4112" s="9" t="n">
        <f aca="false">IF(G4112&gt;0,D4112/G4112,"")</f>
        <v>2.6</v>
      </c>
      <c r="I4112" s="10" t="n">
        <v>46288</v>
      </c>
      <c r="K4112" s="10"/>
      <c r="M4112" s="7"/>
      <c r="N4112" s="8"/>
      <c r="O4112" s="4"/>
    </row>
    <row r="4113" customFormat="false" ht="15" hidden="false" customHeight="false" outlineLevel="0" collapsed="false">
      <c r="A4113" s="0" t="s">
        <v>5640</v>
      </c>
      <c r="C4113" s="0" t="s">
        <v>34</v>
      </c>
      <c r="D4113" s="7" t="n">
        <v>313</v>
      </c>
      <c r="E4113" s="8" t="n">
        <v>0.138178913738019</v>
      </c>
      <c r="F4113" s="4" t="n">
        <f aca="false">D4113*E4113</f>
        <v>43.25</v>
      </c>
      <c r="G4113" s="7" t="n">
        <v>65</v>
      </c>
      <c r="H4113" s="9" t="n">
        <f aca="false">IF(G4113&gt;0,D4113/G4113,"")</f>
        <v>4.81538461538462</v>
      </c>
      <c r="I4113" s="10" t="n">
        <v>46168</v>
      </c>
      <c r="J4113" s="3" t="s">
        <v>886</v>
      </c>
      <c r="K4113" s="10" t="n">
        <v>44293</v>
      </c>
      <c r="L4113" s="3" t="s">
        <v>15</v>
      </c>
      <c r="M4113" s="7" t="n">
        <v>550</v>
      </c>
      <c r="N4113" s="8" t="n">
        <v>0.13563</v>
      </c>
      <c r="O4113" s="4" t="n">
        <f aca="false">M4113*N4113</f>
        <v>74.5965</v>
      </c>
    </row>
    <row r="4114" customFormat="false" ht="15" hidden="false" customHeight="false" outlineLevel="0" collapsed="false">
      <c r="A4114" s="0" t="s">
        <v>5641</v>
      </c>
      <c r="C4114" s="0" t="s">
        <v>765</v>
      </c>
      <c r="D4114" s="7" t="n">
        <v>4531</v>
      </c>
      <c r="E4114" s="8" t="n">
        <v>0.00953873317148532</v>
      </c>
      <c r="F4114" s="4" t="n">
        <f aca="false">D4114*E4114</f>
        <v>43.22</v>
      </c>
      <c r="G4114" s="7" t="n">
        <v>450</v>
      </c>
      <c r="H4114" s="9" t="n">
        <f aca="false">IF(G4114&gt;0,D4114/G4114,"")</f>
        <v>10.0688888888889</v>
      </c>
      <c r="I4114" s="10" t="n">
        <v>46301</v>
      </c>
      <c r="J4114" s="3" t="s">
        <v>628</v>
      </c>
      <c r="K4114" s="10" t="n">
        <v>46128</v>
      </c>
      <c r="L4114" s="3" t="s">
        <v>16</v>
      </c>
      <c r="M4114" s="7" t="n">
        <v>5200</v>
      </c>
      <c r="N4114" s="8" t="n">
        <v>0.0095</v>
      </c>
      <c r="O4114" s="4" t="n">
        <f aca="false">M4114*N4114</f>
        <v>49.4</v>
      </c>
    </row>
    <row r="4115" customFormat="false" ht="15" hidden="false" customHeight="false" outlineLevel="0" collapsed="false">
      <c r="A4115" s="0" t="s">
        <v>5642</v>
      </c>
      <c r="C4115" s="0" t="s">
        <v>1039</v>
      </c>
      <c r="D4115" s="7" t="n">
        <v>1186</v>
      </c>
      <c r="E4115" s="8" t="n">
        <v>0.0364080944350759</v>
      </c>
      <c r="F4115" s="4" t="n">
        <f aca="false">D4115*E4115</f>
        <v>43.18</v>
      </c>
      <c r="G4115" s="7" t="n">
        <v>66</v>
      </c>
      <c r="H4115" s="9" t="n">
        <f aca="false">IF(G4115&gt;0,D4115/G4115,"")</f>
        <v>17.969696969697</v>
      </c>
      <c r="I4115" s="10" t="n">
        <v>46171</v>
      </c>
      <c r="J4115" s="3" t="s">
        <v>495</v>
      </c>
      <c r="K4115" s="10" t="n">
        <v>45925</v>
      </c>
      <c r="L4115" s="3" t="s">
        <v>16</v>
      </c>
      <c r="M4115" s="7" t="n">
        <v>1300</v>
      </c>
      <c r="N4115" s="8" t="n">
        <v>0.0364</v>
      </c>
      <c r="O4115" s="4" t="n">
        <f aca="false">M4115*N4115</f>
        <v>47.32</v>
      </c>
    </row>
    <row r="4116" customFormat="false" ht="15" hidden="false" customHeight="false" outlineLevel="0" collapsed="false">
      <c r="A4116" s="0" t="s">
        <v>5643</v>
      </c>
      <c r="C4116" s="0" t="s">
        <v>1039</v>
      </c>
      <c r="D4116" s="7" t="n">
        <v>1316</v>
      </c>
      <c r="E4116" s="8" t="n">
        <v>0.0328039513677812</v>
      </c>
      <c r="F4116" s="4" t="n">
        <f aca="false">D4116*E4116</f>
        <v>43.17</v>
      </c>
      <c r="G4116" s="7" t="n">
        <v>200</v>
      </c>
      <c r="H4116" s="9" t="n">
        <f aca="false">IF(G4116&gt;0,D4116/G4116,"")</f>
        <v>6.58</v>
      </c>
      <c r="I4116" s="10" t="n">
        <v>45968</v>
      </c>
      <c r="J4116" s="3" t="s">
        <v>2267</v>
      </c>
      <c r="K4116" s="10" t="n">
        <v>45946</v>
      </c>
      <c r="L4116" s="3" t="s">
        <v>16</v>
      </c>
      <c r="M4116" s="7" t="n">
        <v>1381</v>
      </c>
      <c r="N4116" s="8" t="n">
        <v>0.0328</v>
      </c>
      <c r="O4116" s="4" t="n">
        <f aca="false">M4116*N4116</f>
        <v>45.2968</v>
      </c>
    </row>
    <row r="4117" customFormat="false" ht="15" hidden="false" customHeight="false" outlineLevel="0" collapsed="false">
      <c r="A4117" s="0" t="s">
        <v>5644</v>
      </c>
      <c r="C4117" s="0" t="s">
        <v>2569</v>
      </c>
      <c r="D4117" s="7" t="n">
        <v>74</v>
      </c>
      <c r="E4117" s="8" t="n">
        <v>0.582837837837838</v>
      </c>
      <c r="F4117" s="4" t="n">
        <f aca="false">D4117*E4117</f>
        <v>43.13</v>
      </c>
      <c r="G4117" s="7" t="n">
        <v>29</v>
      </c>
      <c r="H4117" s="9" t="n">
        <f aca="false">IF(G4117&gt;0,D4117/G4117,"")</f>
        <v>2.55172413793103</v>
      </c>
      <c r="I4117" s="10" t="n">
        <v>46171</v>
      </c>
      <c r="J4117" s="3" t="s">
        <v>5019</v>
      </c>
      <c r="K4117" s="10" t="n">
        <v>45041</v>
      </c>
      <c r="L4117" s="3" t="s">
        <v>2571</v>
      </c>
      <c r="M4117" s="7" t="n">
        <v>178</v>
      </c>
      <c r="N4117" s="8" t="n">
        <v>0.584</v>
      </c>
      <c r="O4117" s="4" t="n">
        <f aca="false">M4117*N4117</f>
        <v>103.952</v>
      </c>
    </row>
    <row r="4118" customFormat="false" ht="15" hidden="false" customHeight="false" outlineLevel="0" collapsed="false">
      <c r="A4118" s="0" t="s">
        <v>5645</v>
      </c>
      <c r="C4118" s="0" t="s">
        <v>1039</v>
      </c>
      <c r="D4118" s="7" t="n">
        <v>2497</v>
      </c>
      <c r="E4118" s="8" t="n">
        <v>0.0172567080496596</v>
      </c>
      <c r="F4118" s="4" t="n">
        <f aca="false">D4118*E4118</f>
        <v>43.09</v>
      </c>
      <c r="G4118" s="7" t="n">
        <v>308</v>
      </c>
      <c r="H4118" s="9" t="n">
        <f aca="false">IF(G4118&gt;0,D4118/G4118,"")</f>
        <v>8.10714285714286</v>
      </c>
      <c r="I4118" s="10" t="n">
        <v>46174</v>
      </c>
      <c r="J4118" s="3" t="s">
        <v>5646</v>
      </c>
      <c r="K4118" s="10" t="n">
        <v>46275</v>
      </c>
      <c r="L4118" s="3" t="s">
        <v>19</v>
      </c>
      <c r="M4118" s="7" t="n">
        <v>1000</v>
      </c>
      <c r="N4118" s="8" t="n">
        <v>0.0238</v>
      </c>
      <c r="O4118" s="4" t="n">
        <f aca="false">M4118*N4118</f>
        <v>23.8</v>
      </c>
    </row>
    <row r="4119" customFormat="false" ht="15" hidden="false" customHeight="false" outlineLevel="0" collapsed="false">
      <c r="A4119" s="0" t="s">
        <v>5647</v>
      </c>
      <c r="C4119" s="0" t="s">
        <v>340</v>
      </c>
      <c r="D4119" s="7" t="n">
        <v>13900</v>
      </c>
      <c r="E4119" s="8" t="n">
        <v>0.0031</v>
      </c>
      <c r="F4119" s="4" t="n">
        <f aca="false">D4119*E4119</f>
        <v>43.09</v>
      </c>
      <c r="G4119" s="7" t="n">
        <v>2250</v>
      </c>
      <c r="H4119" s="9" t="n">
        <f aca="false">IF(G4119&gt;0,D4119/G4119,"")</f>
        <v>6.17777777777778</v>
      </c>
      <c r="I4119" s="10" t="n">
        <v>46224</v>
      </c>
      <c r="J4119" s="3" t="s">
        <v>1576</v>
      </c>
      <c r="K4119" s="10" t="n">
        <v>46196</v>
      </c>
      <c r="L4119" s="3" t="s">
        <v>16</v>
      </c>
      <c r="M4119" s="7" t="n">
        <v>16150</v>
      </c>
      <c r="N4119" s="8" t="n">
        <v>0.0031</v>
      </c>
      <c r="O4119" s="4" t="n">
        <f aca="false">M4119*N4119</f>
        <v>50.065</v>
      </c>
    </row>
    <row r="4120" customFormat="false" ht="15" hidden="false" customHeight="false" outlineLevel="0" collapsed="false">
      <c r="A4120" s="0" t="s">
        <v>5648</v>
      </c>
      <c r="C4120" s="0" t="s">
        <v>32</v>
      </c>
      <c r="D4120" s="7" t="n">
        <v>258</v>
      </c>
      <c r="E4120" s="8" t="n">
        <v>0.166937984496124</v>
      </c>
      <c r="F4120" s="4" t="n">
        <f aca="false">D4120*E4120</f>
        <v>43.07</v>
      </c>
      <c r="G4120" s="7" t="n">
        <v>30</v>
      </c>
      <c r="H4120" s="9" t="n">
        <f aca="false">IF(G4120&gt;0,D4120/G4120,"")</f>
        <v>8.6</v>
      </c>
      <c r="I4120" s="10" t="n">
        <v>46113</v>
      </c>
      <c r="J4120" s="3" t="s">
        <v>2182</v>
      </c>
      <c r="K4120" s="10" t="n">
        <v>45457</v>
      </c>
      <c r="L4120" s="3" t="s">
        <v>18</v>
      </c>
      <c r="M4120" s="7" t="n">
        <v>500</v>
      </c>
      <c r="N4120" s="8" t="n">
        <v>0.1669</v>
      </c>
      <c r="O4120" s="4" t="n">
        <f aca="false">M4120*N4120</f>
        <v>83.45</v>
      </c>
    </row>
    <row r="4121" customFormat="false" ht="15" hidden="false" customHeight="false" outlineLevel="0" collapsed="false">
      <c r="A4121" s="0" t="s">
        <v>5649</v>
      </c>
      <c r="C4121" s="0" t="s">
        <v>1802</v>
      </c>
      <c r="D4121" s="7" t="n">
        <v>33</v>
      </c>
      <c r="E4121" s="8" t="n">
        <v>1.30454545454545</v>
      </c>
      <c r="F4121" s="4" t="n">
        <f aca="false">D4121*E4121</f>
        <v>43.05</v>
      </c>
      <c r="G4121" s="7" t="n">
        <v>2</v>
      </c>
      <c r="H4121" s="9" t="n">
        <f aca="false">IF(G4121&gt;0,D4121/G4121,"")</f>
        <v>16.5</v>
      </c>
      <c r="I4121" s="10" t="n">
        <v>46177</v>
      </c>
      <c r="J4121" s="3" t="s">
        <v>1977</v>
      </c>
      <c r="K4121" s="10" t="n">
        <v>45659</v>
      </c>
      <c r="L4121" s="3" t="s">
        <v>14</v>
      </c>
      <c r="M4121" s="7" t="n">
        <v>131</v>
      </c>
      <c r="N4121" s="8" t="n">
        <v>1.3044</v>
      </c>
      <c r="O4121" s="4" t="n">
        <f aca="false">M4121*N4121</f>
        <v>170.8764</v>
      </c>
    </row>
    <row r="4122" customFormat="false" ht="15" hidden="false" customHeight="false" outlineLevel="0" collapsed="false">
      <c r="A4122" s="0" t="s">
        <v>5650</v>
      </c>
      <c r="C4122" s="0" t="s">
        <v>31</v>
      </c>
      <c r="D4122" s="7" t="n">
        <v>1728</v>
      </c>
      <c r="E4122" s="8" t="n">
        <v>0.0249016203703704</v>
      </c>
      <c r="F4122" s="4" t="n">
        <f aca="false">D4122*E4122</f>
        <v>43.03</v>
      </c>
      <c r="G4122" s="7" t="n">
        <v>22</v>
      </c>
      <c r="H4122" s="9" t="n">
        <f aca="false">IF(G4122&gt;0,D4122/G4122,"")</f>
        <v>78.5454545454546</v>
      </c>
      <c r="I4122" s="10" t="n">
        <v>46078</v>
      </c>
      <c r="K4122" s="10"/>
      <c r="M4122" s="7"/>
      <c r="N4122" s="8"/>
      <c r="O4122" s="4"/>
    </row>
    <row r="4123" customFormat="false" ht="15" hidden="false" customHeight="false" outlineLevel="0" collapsed="false">
      <c r="A4123" s="0" t="s">
        <v>5651</v>
      </c>
      <c r="C4123" s="0" t="s">
        <v>37</v>
      </c>
      <c r="D4123" s="7" t="n">
        <v>1655</v>
      </c>
      <c r="E4123" s="8" t="n">
        <v>0.026</v>
      </c>
      <c r="F4123" s="4" t="n">
        <f aca="false">D4123*E4123</f>
        <v>43.03</v>
      </c>
      <c r="G4123" s="7" t="n">
        <v>40</v>
      </c>
      <c r="H4123" s="9" t="n">
        <f aca="false">IF(G4123&gt;0,D4123/G4123,"")</f>
        <v>41.375</v>
      </c>
      <c r="I4123" s="10" t="n">
        <v>46317</v>
      </c>
      <c r="J4123" s="3" t="s">
        <v>5652</v>
      </c>
      <c r="K4123" s="10" t="n">
        <v>44256</v>
      </c>
      <c r="L4123" s="3" t="s">
        <v>19</v>
      </c>
      <c r="M4123" s="7" t="n">
        <v>1950</v>
      </c>
      <c r="N4123" s="8" t="n">
        <v>0.026</v>
      </c>
      <c r="O4123" s="4" t="n">
        <f aca="false">M4123*N4123</f>
        <v>50.7</v>
      </c>
    </row>
    <row r="4124" customFormat="false" ht="15" hidden="false" customHeight="false" outlineLevel="0" collapsed="false">
      <c r="A4124" s="0" t="s">
        <v>5653</v>
      </c>
      <c r="C4124" s="0" t="s">
        <v>438</v>
      </c>
      <c r="D4124" s="7" t="n">
        <v>19</v>
      </c>
      <c r="E4124" s="8" t="n">
        <v>2.26473684210526</v>
      </c>
      <c r="F4124" s="4" t="n">
        <f aca="false">D4124*E4124</f>
        <v>43.03</v>
      </c>
      <c r="G4124" s="7" t="n">
        <v>12</v>
      </c>
      <c r="H4124" s="9" t="n">
        <f aca="false">IF(G4124&gt;0,D4124/G4124,"")</f>
        <v>1.58333333333333</v>
      </c>
      <c r="I4124" s="10" t="n">
        <v>46280</v>
      </c>
      <c r="J4124" s="3" t="s">
        <v>2496</v>
      </c>
      <c r="K4124" s="10" t="n">
        <v>45978</v>
      </c>
      <c r="L4124" s="3" t="s">
        <v>14</v>
      </c>
      <c r="M4124" s="7" t="n">
        <v>25</v>
      </c>
      <c r="N4124" s="8" t="n">
        <v>2.2645</v>
      </c>
      <c r="O4124" s="4" t="n">
        <f aca="false">M4124*N4124</f>
        <v>56.6125</v>
      </c>
    </row>
    <row r="4125" customFormat="false" ht="15" hidden="false" customHeight="false" outlineLevel="0" collapsed="false">
      <c r="A4125" s="0" t="s">
        <v>5654</v>
      </c>
      <c r="C4125" s="0" t="s">
        <v>41</v>
      </c>
      <c r="D4125" s="7" t="n">
        <v>9537</v>
      </c>
      <c r="E4125" s="8" t="n">
        <v>0.00450036699171647</v>
      </c>
      <c r="F4125" s="4" t="n">
        <f aca="false">D4125*E4125</f>
        <v>42.92</v>
      </c>
      <c r="G4125" s="7" t="n">
        <v>3438</v>
      </c>
      <c r="H4125" s="9" t="n">
        <f aca="false">IF(G4125&gt;0,D4125/G4125,"")</f>
        <v>2.7739965095986</v>
      </c>
      <c r="I4125" s="10" t="n">
        <v>46308</v>
      </c>
      <c r="J4125" s="3" t="s">
        <v>1107</v>
      </c>
      <c r="K4125" s="10" t="n">
        <v>46035</v>
      </c>
      <c r="L4125" s="3" t="s">
        <v>16</v>
      </c>
      <c r="M4125" s="7" t="n">
        <v>12447</v>
      </c>
      <c r="N4125" s="8" t="n">
        <v>0.0045</v>
      </c>
      <c r="O4125" s="4" t="n">
        <f aca="false">M4125*N4125</f>
        <v>56.0115</v>
      </c>
    </row>
    <row r="4126" customFormat="false" ht="15" hidden="false" customHeight="false" outlineLevel="0" collapsed="false">
      <c r="A4126" s="0" t="s">
        <v>5655</v>
      </c>
      <c r="C4126" s="0" t="s">
        <v>34</v>
      </c>
      <c r="D4126" s="7" t="n">
        <v>814</v>
      </c>
      <c r="E4126" s="8" t="n">
        <v>0.0527149877149877</v>
      </c>
      <c r="F4126" s="4" t="n">
        <f aca="false">D4126*E4126</f>
        <v>42.91</v>
      </c>
      <c r="G4126" s="7" t="n">
        <v>94</v>
      </c>
      <c r="H4126" s="9" t="n">
        <f aca="false">IF(G4126&gt;0,D4126/G4126,"")</f>
        <v>8.65957446808511</v>
      </c>
      <c r="I4126" s="10" t="n">
        <v>46143</v>
      </c>
      <c r="K4126" s="10"/>
      <c r="M4126" s="7"/>
      <c r="N4126" s="8"/>
      <c r="O4126" s="4"/>
    </row>
    <row r="4127" customFormat="false" ht="15" hidden="false" customHeight="false" outlineLevel="0" collapsed="false">
      <c r="A4127" s="0" t="s">
        <v>5656</v>
      </c>
      <c r="D4127" s="7" t="n">
        <v>6915</v>
      </c>
      <c r="E4127" s="8" t="n">
        <v>0.00619956616052061</v>
      </c>
      <c r="F4127" s="4" t="n">
        <f aca="false">D4127*E4127</f>
        <v>42.87</v>
      </c>
      <c r="G4127" s="7" t="n">
        <v>314</v>
      </c>
      <c r="H4127" s="9" t="n">
        <f aca="false">IF(G4127&gt;0,D4127/G4127,"")</f>
        <v>22.0222929936306</v>
      </c>
      <c r="I4127" s="10" t="n">
        <v>46317</v>
      </c>
      <c r="K4127" s="10"/>
      <c r="M4127" s="7"/>
      <c r="N4127" s="8"/>
      <c r="O4127" s="4"/>
    </row>
    <row r="4128" customFormat="false" ht="15" hidden="false" customHeight="false" outlineLevel="0" collapsed="false">
      <c r="A4128" s="0" t="s">
        <v>5657</v>
      </c>
      <c r="C4128" s="0" t="s">
        <v>34</v>
      </c>
      <c r="D4128" s="7" t="n">
        <v>20</v>
      </c>
      <c r="E4128" s="8" t="n">
        <v>2.143</v>
      </c>
      <c r="F4128" s="4" t="n">
        <f aca="false">D4128*E4128</f>
        <v>42.86</v>
      </c>
      <c r="G4128" s="7" t="n">
        <v>10</v>
      </c>
      <c r="H4128" s="9" t="n">
        <f aca="false">IF(G4128&gt;0,D4128/G4128,"")</f>
        <v>2</v>
      </c>
      <c r="I4128" s="10" t="n">
        <v>46035</v>
      </c>
      <c r="J4128" s="3" t="s">
        <v>2710</v>
      </c>
      <c r="K4128" s="10" t="n">
        <v>46006</v>
      </c>
      <c r="L4128" s="3" t="s">
        <v>2203</v>
      </c>
      <c r="M4128" s="7" t="n">
        <v>30</v>
      </c>
      <c r="N4128" s="8" t="n">
        <v>2.143</v>
      </c>
      <c r="O4128" s="4" t="n">
        <f aca="false">M4128*N4128</f>
        <v>64.29</v>
      </c>
    </row>
    <row r="4129" customFormat="false" ht="15" hidden="false" customHeight="false" outlineLevel="0" collapsed="false">
      <c r="A4129" s="0" t="s">
        <v>5658</v>
      </c>
      <c r="C4129" s="0" t="s">
        <v>34</v>
      </c>
      <c r="D4129" s="7" t="n">
        <v>130</v>
      </c>
      <c r="E4129" s="8" t="n">
        <v>0.329153846153846</v>
      </c>
      <c r="F4129" s="4" t="n">
        <f aca="false">D4129*E4129</f>
        <v>42.79</v>
      </c>
      <c r="G4129" s="7" t="n">
        <v>6</v>
      </c>
      <c r="H4129" s="9" t="n">
        <f aca="false">IF(G4129&gt;0,D4129/G4129,"")</f>
        <v>21.6666666666667</v>
      </c>
      <c r="I4129" s="10" t="n">
        <v>46260</v>
      </c>
      <c r="K4129" s="10"/>
      <c r="M4129" s="7"/>
      <c r="N4129" s="8"/>
      <c r="O4129" s="4"/>
    </row>
    <row r="4130" customFormat="false" ht="15" hidden="false" customHeight="false" outlineLevel="0" collapsed="false">
      <c r="A4130" s="0" t="s">
        <v>5659</v>
      </c>
      <c r="C4130" s="0" t="s">
        <v>1169</v>
      </c>
      <c r="D4130" s="7" t="n">
        <v>157</v>
      </c>
      <c r="E4130" s="8" t="n">
        <v>0.272484076433121</v>
      </c>
      <c r="F4130" s="4" t="n">
        <f aca="false">D4130*E4130</f>
        <v>42.78</v>
      </c>
      <c r="G4130" s="7" t="n">
        <v>16</v>
      </c>
      <c r="H4130" s="9" t="n">
        <f aca="false">IF(G4130&gt;0,D4130/G4130,"")</f>
        <v>9.8125</v>
      </c>
      <c r="I4130" s="10" t="n">
        <v>46232</v>
      </c>
      <c r="K4130" s="10"/>
      <c r="M4130" s="7"/>
      <c r="N4130" s="8"/>
      <c r="O4130" s="4"/>
    </row>
    <row r="4131" customFormat="false" ht="15" hidden="false" customHeight="false" outlineLevel="0" collapsed="false">
      <c r="A4131" s="0" t="s">
        <v>5660</v>
      </c>
      <c r="C4131" s="0" t="s">
        <v>715</v>
      </c>
      <c r="D4131" s="7" t="n">
        <v>708</v>
      </c>
      <c r="E4131" s="8" t="n">
        <v>0.0603954802259887</v>
      </c>
      <c r="F4131" s="4" t="n">
        <f aca="false">D4131*E4131</f>
        <v>42.76</v>
      </c>
      <c r="G4131" s="7" t="n">
        <v>18</v>
      </c>
      <c r="H4131" s="9" t="n">
        <f aca="false">IF(G4131&gt;0,D4131/G4131,"")</f>
        <v>39.3333333333333</v>
      </c>
      <c r="I4131" s="10" t="n">
        <v>46029</v>
      </c>
      <c r="J4131" s="3" t="s">
        <v>5661</v>
      </c>
      <c r="K4131" s="10" t="n">
        <v>44386</v>
      </c>
      <c r="L4131" s="3" t="s">
        <v>19</v>
      </c>
      <c r="M4131" s="7" t="n">
        <v>830</v>
      </c>
      <c r="N4131" s="8" t="n">
        <v>0.0604</v>
      </c>
      <c r="O4131" s="4" t="n">
        <f aca="false">M4131*N4131</f>
        <v>50.132</v>
      </c>
    </row>
    <row r="4132" customFormat="false" ht="15" hidden="false" customHeight="false" outlineLevel="0" collapsed="false">
      <c r="A4132" s="0" t="s">
        <v>5662</v>
      </c>
      <c r="C4132" s="0" t="s">
        <v>402</v>
      </c>
      <c r="D4132" s="7" t="n">
        <v>19</v>
      </c>
      <c r="E4132" s="8" t="n">
        <v>2.25</v>
      </c>
      <c r="F4132" s="4" t="n">
        <f aca="false">D4132*E4132</f>
        <v>42.75</v>
      </c>
      <c r="G4132" s="7" t="n">
        <v>2</v>
      </c>
      <c r="H4132" s="9" t="n">
        <f aca="false">IF(G4132&gt;0,D4132/G4132,"")</f>
        <v>9.5</v>
      </c>
      <c r="I4132" s="10" t="n">
        <v>46233</v>
      </c>
      <c r="K4132" s="10"/>
      <c r="M4132" s="7"/>
      <c r="N4132" s="8"/>
      <c r="O4132" s="4"/>
    </row>
    <row r="4133" customFormat="false" ht="15" hidden="false" customHeight="false" outlineLevel="0" collapsed="false">
      <c r="A4133" s="0" t="s">
        <v>5663</v>
      </c>
      <c r="C4133" s="0" t="s">
        <v>340</v>
      </c>
      <c r="D4133" s="7" t="n">
        <v>245</v>
      </c>
      <c r="E4133" s="8" t="n">
        <v>0.173795918367347</v>
      </c>
      <c r="F4133" s="4" t="n">
        <f aca="false">D4133*E4133</f>
        <v>42.58</v>
      </c>
      <c r="G4133" s="7" t="n">
        <v>124</v>
      </c>
      <c r="H4133" s="9" t="n">
        <f aca="false">IF(G4133&gt;0,D4133/G4133,"")</f>
        <v>1.9758064516129</v>
      </c>
      <c r="I4133" s="10" t="n">
        <v>46273</v>
      </c>
      <c r="J4133" s="3" t="s">
        <v>341</v>
      </c>
      <c r="K4133" s="10" t="n">
        <v>46078</v>
      </c>
      <c r="L4133" s="3" t="s">
        <v>15</v>
      </c>
      <c r="M4133" s="7" t="n">
        <v>75</v>
      </c>
      <c r="N4133" s="8" t="n">
        <v>0.13968</v>
      </c>
      <c r="O4133" s="4" t="n">
        <f aca="false">M4133*N4133</f>
        <v>10.476</v>
      </c>
    </row>
    <row r="4134" customFormat="false" ht="15" hidden="false" customHeight="false" outlineLevel="0" collapsed="false">
      <c r="A4134" s="0" t="s">
        <v>5664</v>
      </c>
      <c r="C4134" s="0" t="s">
        <v>1101</v>
      </c>
      <c r="D4134" s="7" t="n">
        <v>16</v>
      </c>
      <c r="E4134" s="8" t="n">
        <v>2.66</v>
      </c>
      <c r="F4134" s="4" t="n">
        <f aca="false">D4134*E4134</f>
        <v>42.56</v>
      </c>
      <c r="G4134" s="7" t="n">
        <v>1</v>
      </c>
      <c r="H4134" s="9" t="n">
        <f aca="false">IF(G4134&gt;0,D4134/G4134,"")</f>
        <v>16</v>
      </c>
      <c r="I4134" s="10" t="n">
        <v>46178</v>
      </c>
      <c r="K4134" s="10"/>
      <c r="M4134" s="7"/>
      <c r="N4134" s="8"/>
      <c r="O4134" s="4"/>
    </row>
    <row r="4135" customFormat="false" ht="15" hidden="false" customHeight="false" outlineLevel="0" collapsed="false">
      <c r="A4135" s="0" t="s">
        <v>5665</v>
      </c>
      <c r="C4135" s="0" t="s">
        <v>295</v>
      </c>
      <c r="D4135" s="7" t="n">
        <v>908</v>
      </c>
      <c r="E4135" s="8" t="n">
        <v>0.0468612334801762</v>
      </c>
      <c r="F4135" s="4" t="n">
        <f aca="false">D4135*E4135</f>
        <v>42.55</v>
      </c>
      <c r="G4135" s="7" t="n">
        <v>239</v>
      </c>
      <c r="H4135" s="9" t="n">
        <f aca="false">IF(G4135&gt;0,D4135/G4135,"")</f>
        <v>3.79916317991632</v>
      </c>
      <c r="I4135" s="10" t="n">
        <v>46190</v>
      </c>
      <c r="K4135" s="10"/>
      <c r="M4135" s="7"/>
      <c r="N4135" s="8"/>
      <c r="O4135" s="4"/>
    </row>
    <row r="4136" customFormat="false" ht="15" hidden="false" customHeight="false" outlineLevel="0" collapsed="false">
      <c r="A4136" s="0" t="s">
        <v>5666</v>
      </c>
      <c r="C4136" s="0" t="s">
        <v>34</v>
      </c>
      <c r="D4136" s="7" t="n">
        <v>960</v>
      </c>
      <c r="E4136" s="8" t="n">
        <v>0.0443020833333333</v>
      </c>
      <c r="F4136" s="4" t="n">
        <f aca="false">D4136*E4136</f>
        <v>42.53</v>
      </c>
      <c r="G4136" s="7" t="n">
        <v>36</v>
      </c>
      <c r="H4136" s="9" t="n">
        <f aca="false">IF(G4136&gt;0,D4136/G4136,"")</f>
        <v>26.6666666666667</v>
      </c>
      <c r="I4136" s="10" t="n">
        <v>46296</v>
      </c>
      <c r="J4136" s="3" t="s">
        <v>5667</v>
      </c>
      <c r="K4136" s="10" t="n">
        <v>45511</v>
      </c>
      <c r="L4136" s="3" t="s">
        <v>14</v>
      </c>
      <c r="M4136" s="7" t="n">
        <v>40</v>
      </c>
      <c r="N4136" s="8" t="n">
        <v>0.3904</v>
      </c>
      <c r="O4136" s="4" t="n">
        <f aca="false">M4136*N4136</f>
        <v>15.616</v>
      </c>
    </row>
    <row r="4137" customFormat="false" ht="15" hidden="false" customHeight="false" outlineLevel="0" collapsed="false">
      <c r="A4137" s="0" t="s">
        <v>5668</v>
      </c>
      <c r="C4137" s="0" t="s">
        <v>295</v>
      </c>
      <c r="D4137" s="7" t="n">
        <v>57</v>
      </c>
      <c r="E4137" s="8" t="n">
        <v>0.745789473684211</v>
      </c>
      <c r="F4137" s="4" t="n">
        <f aca="false">D4137*E4137</f>
        <v>42.51</v>
      </c>
      <c r="G4137" s="7" t="n">
        <v>3</v>
      </c>
      <c r="H4137" s="9" t="n">
        <f aca="false">IF(G4137&gt;0,D4137/G4137,"")</f>
        <v>19</v>
      </c>
      <c r="I4137" s="10" t="n">
        <v>46135</v>
      </c>
      <c r="J4137" s="3" t="s">
        <v>644</v>
      </c>
      <c r="K4137" s="10" t="n">
        <v>44867</v>
      </c>
      <c r="L4137" s="3" t="s">
        <v>19</v>
      </c>
      <c r="M4137" s="7" t="n">
        <v>100</v>
      </c>
      <c r="N4137" s="8" t="n">
        <v>0.7459</v>
      </c>
      <c r="O4137" s="4" t="n">
        <f aca="false">M4137*N4137</f>
        <v>74.59</v>
      </c>
    </row>
    <row r="4138" customFormat="false" ht="15" hidden="false" customHeight="false" outlineLevel="0" collapsed="false">
      <c r="A4138" s="0" t="s">
        <v>5669</v>
      </c>
      <c r="C4138" s="0" t="s">
        <v>715</v>
      </c>
      <c r="D4138" s="7" t="n">
        <v>1006</v>
      </c>
      <c r="E4138" s="8" t="n">
        <v>0.0421968190854871</v>
      </c>
      <c r="F4138" s="4" t="n">
        <f aca="false">D4138*E4138</f>
        <v>42.45</v>
      </c>
      <c r="G4138" s="7" t="n">
        <v>525</v>
      </c>
      <c r="H4138" s="9" t="n">
        <f aca="false">IF(G4138&gt;0,D4138/G4138,"")</f>
        <v>1.91619047619048</v>
      </c>
      <c r="I4138" s="10" t="n">
        <v>46287</v>
      </c>
      <c r="J4138" s="3" t="s">
        <v>606</v>
      </c>
      <c r="K4138" s="10" t="n">
        <v>46252</v>
      </c>
      <c r="L4138" s="3" t="s">
        <v>16</v>
      </c>
      <c r="M4138" s="7" t="n">
        <v>1200</v>
      </c>
      <c r="N4138" s="8" t="n">
        <v>0.0422</v>
      </c>
      <c r="O4138" s="4" t="n">
        <f aca="false">M4138*N4138</f>
        <v>50.64</v>
      </c>
    </row>
    <row r="4139" customFormat="false" ht="15" hidden="false" customHeight="false" outlineLevel="0" collapsed="false">
      <c r="A4139" s="0" t="s">
        <v>5670</v>
      </c>
      <c r="C4139" s="0" t="s">
        <v>275</v>
      </c>
      <c r="D4139" s="7" t="n">
        <v>3</v>
      </c>
      <c r="E4139" s="8" t="n">
        <v>14.13</v>
      </c>
      <c r="F4139" s="4" t="n">
        <f aca="false">D4139*E4139</f>
        <v>42.39</v>
      </c>
      <c r="G4139" s="7" t="n">
        <v>3</v>
      </c>
      <c r="H4139" s="9" t="n">
        <f aca="false">IF(G4139&gt;0,D4139/G4139,"")</f>
        <v>1</v>
      </c>
      <c r="I4139" s="10" t="n">
        <v>46154</v>
      </c>
      <c r="J4139" s="3" t="s">
        <v>4419</v>
      </c>
      <c r="K4139" s="10" t="n">
        <v>46141</v>
      </c>
      <c r="L4139" s="3" t="s">
        <v>14</v>
      </c>
      <c r="M4139" s="7" t="n">
        <v>6</v>
      </c>
      <c r="N4139" s="8" t="n">
        <v>14.1283</v>
      </c>
      <c r="O4139" s="4" t="n">
        <f aca="false">M4139*N4139</f>
        <v>84.7698</v>
      </c>
    </row>
    <row r="4140" customFormat="false" ht="15" hidden="false" customHeight="false" outlineLevel="0" collapsed="false">
      <c r="A4140" s="0" t="s">
        <v>5671</v>
      </c>
      <c r="C4140" s="0" t="s">
        <v>298</v>
      </c>
      <c r="D4140" s="7" t="n">
        <v>100</v>
      </c>
      <c r="E4140" s="8" t="n">
        <v>0.4231</v>
      </c>
      <c r="F4140" s="4" t="n">
        <f aca="false">D4140*E4140</f>
        <v>42.31</v>
      </c>
      <c r="G4140" s="7" t="n">
        <v>8</v>
      </c>
      <c r="H4140" s="9" t="n">
        <f aca="false">IF(G4140&gt;0,D4140/G4140,"")</f>
        <v>12.5</v>
      </c>
      <c r="I4140" s="10" t="n">
        <v>46247</v>
      </c>
      <c r="K4140" s="10"/>
      <c r="M4140" s="7"/>
      <c r="N4140" s="8"/>
      <c r="O4140" s="4"/>
    </row>
    <row r="4141" customFormat="false" ht="15" hidden="false" customHeight="false" outlineLevel="0" collapsed="false">
      <c r="A4141" s="0" t="s">
        <v>5672</v>
      </c>
      <c r="C4141" s="0" t="s">
        <v>741</v>
      </c>
      <c r="D4141" s="7" t="n">
        <v>73</v>
      </c>
      <c r="E4141" s="8" t="n">
        <v>0.579315068493151</v>
      </c>
      <c r="F4141" s="4" t="n">
        <f aca="false">D4141*E4141</f>
        <v>42.29</v>
      </c>
      <c r="G4141" s="7" t="n">
        <v>3</v>
      </c>
      <c r="H4141" s="9" t="n">
        <f aca="false">IF(G4141&gt;0,D4141/G4141,"")</f>
        <v>24.3333333333333</v>
      </c>
      <c r="I4141" s="10" t="n">
        <v>46294</v>
      </c>
      <c r="K4141" s="10"/>
      <c r="M4141" s="7"/>
      <c r="N4141" s="8"/>
      <c r="O4141" s="4"/>
    </row>
    <row r="4142" customFormat="false" ht="15" hidden="false" customHeight="false" outlineLevel="0" collapsed="false">
      <c r="A4142" s="0" t="s">
        <v>5673</v>
      </c>
      <c r="C4142" s="0" t="s">
        <v>35</v>
      </c>
      <c r="D4142" s="7" t="n">
        <v>8</v>
      </c>
      <c r="E4142" s="8" t="n">
        <v>5.28625</v>
      </c>
      <c r="F4142" s="4" t="n">
        <f aca="false">D4142*E4142</f>
        <v>42.29</v>
      </c>
      <c r="G4142" s="7" t="n">
        <v>7</v>
      </c>
      <c r="H4142" s="9" t="n">
        <f aca="false">IF(G4142&gt;0,D4142/G4142,"")</f>
        <v>1.14285714285714</v>
      </c>
      <c r="I4142" s="10" t="n">
        <v>46073</v>
      </c>
      <c r="J4142" s="3" t="s">
        <v>886</v>
      </c>
      <c r="K4142" s="10" t="n">
        <v>44293</v>
      </c>
      <c r="L4142" s="3" t="s">
        <v>15</v>
      </c>
      <c r="M4142" s="7" t="n">
        <v>7</v>
      </c>
      <c r="N4142" s="8" t="n">
        <v>6.4233</v>
      </c>
      <c r="O4142" s="4" t="n">
        <f aca="false">M4142*N4142</f>
        <v>44.9631</v>
      </c>
    </row>
    <row r="4143" customFormat="false" ht="15" hidden="false" customHeight="false" outlineLevel="0" collapsed="false">
      <c r="A4143" s="0" t="s">
        <v>5674</v>
      </c>
      <c r="C4143" s="0" t="s">
        <v>340</v>
      </c>
      <c r="D4143" s="7" t="n">
        <v>95</v>
      </c>
      <c r="E4143" s="8" t="n">
        <v>0.444736842105263</v>
      </c>
      <c r="F4143" s="4" t="n">
        <f aca="false">D4143*E4143</f>
        <v>42.25</v>
      </c>
      <c r="G4143" s="7" t="n">
        <v>50</v>
      </c>
      <c r="H4143" s="9" t="n">
        <f aca="false">IF(G4143&gt;0,D4143/G4143,"")</f>
        <v>1.9</v>
      </c>
      <c r="I4143" s="10" t="n">
        <v>46211</v>
      </c>
      <c r="J4143" s="3" t="s">
        <v>1411</v>
      </c>
      <c r="K4143" s="10" t="n">
        <v>46176</v>
      </c>
      <c r="L4143" s="3" t="s">
        <v>19</v>
      </c>
      <c r="M4143" s="7" t="n">
        <v>145</v>
      </c>
      <c r="N4143" s="8" t="n">
        <v>0.4447</v>
      </c>
      <c r="O4143" s="4" t="n">
        <f aca="false">M4143*N4143</f>
        <v>64.4815</v>
      </c>
    </row>
    <row r="4144" customFormat="false" ht="15" hidden="false" customHeight="false" outlineLevel="0" collapsed="false">
      <c r="A4144" s="0" t="s">
        <v>5675</v>
      </c>
      <c r="C4144" s="0" t="s">
        <v>166</v>
      </c>
      <c r="D4144" s="7" t="n">
        <v>24</v>
      </c>
      <c r="E4144" s="8" t="n">
        <v>1.76</v>
      </c>
      <c r="F4144" s="4" t="n">
        <f aca="false">D4144*E4144</f>
        <v>42.24</v>
      </c>
      <c r="G4144" s="7" t="n">
        <v>6</v>
      </c>
      <c r="H4144" s="9" t="n">
        <f aca="false">IF(G4144&gt;0,D4144/G4144,"")</f>
        <v>4</v>
      </c>
      <c r="I4144" s="10" t="n">
        <v>46174</v>
      </c>
      <c r="J4144" s="3" t="s">
        <v>2496</v>
      </c>
      <c r="K4144" s="10" t="n">
        <v>45978</v>
      </c>
      <c r="L4144" s="3" t="s">
        <v>14</v>
      </c>
      <c r="M4144" s="7" t="n">
        <v>30</v>
      </c>
      <c r="N4144" s="8" t="n">
        <v>1.76</v>
      </c>
      <c r="O4144" s="4" t="n">
        <f aca="false">M4144*N4144</f>
        <v>52.8</v>
      </c>
    </row>
    <row r="4145" customFormat="false" ht="15" hidden="false" customHeight="false" outlineLevel="0" collapsed="false">
      <c r="A4145" s="0" t="s">
        <v>5676</v>
      </c>
      <c r="C4145" s="0" t="s">
        <v>39</v>
      </c>
      <c r="D4145" s="7" t="n">
        <v>2834</v>
      </c>
      <c r="E4145" s="8" t="n">
        <v>0.0149011997177135</v>
      </c>
      <c r="F4145" s="4" t="n">
        <f aca="false">D4145*E4145</f>
        <v>42.23</v>
      </c>
      <c r="G4145" s="7" t="n">
        <v>300</v>
      </c>
      <c r="H4145" s="9" t="n">
        <f aca="false">IF(G4145&gt;0,D4145/G4145,"")</f>
        <v>9.44666666666667</v>
      </c>
      <c r="I4145" s="10" t="n">
        <v>46217</v>
      </c>
      <c r="K4145" s="10"/>
      <c r="M4145" s="7"/>
      <c r="N4145" s="8"/>
      <c r="O4145" s="4"/>
    </row>
    <row r="4146" customFormat="false" ht="15" hidden="false" customHeight="false" outlineLevel="0" collapsed="false">
      <c r="A4146" s="0" t="s">
        <v>5677</v>
      </c>
      <c r="C4146" s="0" t="s">
        <v>39</v>
      </c>
      <c r="D4146" s="7" t="n">
        <v>369</v>
      </c>
      <c r="E4146" s="8" t="n">
        <v>0.114417344173442</v>
      </c>
      <c r="F4146" s="4" t="n">
        <f aca="false">D4146*E4146</f>
        <v>42.22</v>
      </c>
      <c r="G4146" s="7" t="n">
        <v>323</v>
      </c>
      <c r="H4146" s="9" t="n">
        <f aca="false">IF(G4146&gt;0,D4146/G4146,"")</f>
        <v>1.14241486068111</v>
      </c>
      <c r="I4146" s="10" t="n">
        <v>46279</v>
      </c>
      <c r="J4146" s="3" t="s">
        <v>1021</v>
      </c>
      <c r="K4146" s="10" t="n">
        <v>45779</v>
      </c>
      <c r="L4146" s="3" t="s">
        <v>18</v>
      </c>
      <c r="M4146" s="7" t="n">
        <v>2000</v>
      </c>
      <c r="N4146" s="8" t="n">
        <v>0.1144</v>
      </c>
      <c r="O4146" s="4" t="n">
        <f aca="false">M4146*N4146</f>
        <v>228.8</v>
      </c>
    </row>
    <row r="4147" customFormat="false" ht="15" hidden="false" customHeight="false" outlineLevel="0" collapsed="false">
      <c r="A4147" s="0" t="s">
        <v>5678</v>
      </c>
      <c r="C4147" s="0" t="s">
        <v>32</v>
      </c>
      <c r="D4147" s="7" t="n">
        <v>211</v>
      </c>
      <c r="E4147" s="8" t="n">
        <v>0.2</v>
      </c>
      <c r="F4147" s="4" t="n">
        <f aca="false">D4147*E4147</f>
        <v>42.2</v>
      </c>
      <c r="G4147" s="7" t="n">
        <v>80</v>
      </c>
      <c r="H4147" s="9" t="n">
        <f aca="false">IF(G4147&gt;0,D4147/G4147,"")</f>
        <v>2.6375</v>
      </c>
      <c r="I4147" s="10" t="n">
        <v>46290</v>
      </c>
      <c r="J4147" s="3" t="s">
        <v>4250</v>
      </c>
      <c r="K4147" s="10" t="n">
        <v>45659</v>
      </c>
      <c r="L4147" s="3" t="s">
        <v>18</v>
      </c>
      <c r="M4147" s="7" t="n">
        <v>120</v>
      </c>
      <c r="N4147" s="8" t="n">
        <v>0.2</v>
      </c>
      <c r="O4147" s="4" t="n">
        <f aca="false">M4147*N4147</f>
        <v>24</v>
      </c>
    </row>
    <row r="4148" customFormat="false" ht="15" hidden="false" customHeight="false" outlineLevel="0" collapsed="false">
      <c r="A4148" s="0" t="s">
        <v>5679</v>
      </c>
      <c r="C4148" s="0" t="s">
        <v>855</v>
      </c>
      <c r="D4148" s="7" t="n">
        <v>11708</v>
      </c>
      <c r="E4148" s="8" t="n">
        <v>0.00360010249402118</v>
      </c>
      <c r="F4148" s="4" t="n">
        <f aca="false">D4148*E4148</f>
        <v>42.15</v>
      </c>
      <c r="G4148" s="7" t="n">
        <v>7337</v>
      </c>
      <c r="H4148" s="9" t="n">
        <f aca="false">IF(G4148&gt;0,D4148/G4148,"")</f>
        <v>1.59574758075508</v>
      </c>
      <c r="I4148" s="10" t="n">
        <v>46293</v>
      </c>
      <c r="J4148" s="3" t="s">
        <v>296</v>
      </c>
      <c r="K4148" s="10" t="n">
        <v>45975</v>
      </c>
      <c r="L4148" s="3" t="s">
        <v>16</v>
      </c>
      <c r="M4148" s="7" t="n">
        <v>14000</v>
      </c>
      <c r="N4148" s="8" t="n">
        <v>0.0036</v>
      </c>
      <c r="O4148" s="4" t="n">
        <f aca="false">M4148*N4148</f>
        <v>50.4</v>
      </c>
    </row>
    <row r="4149" customFormat="false" ht="15" hidden="false" customHeight="false" outlineLevel="0" collapsed="false">
      <c r="A4149" s="0" t="s">
        <v>5680</v>
      </c>
      <c r="C4149" s="0" t="s">
        <v>31</v>
      </c>
      <c r="D4149" s="7" t="n">
        <v>2629</v>
      </c>
      <c r="E4149" s="8" t="n">
        <v>0.0160327120578167</v>
      </c>
      <c r="F4149" s="4" t="n">
        <f aca="false">D4149*E4149</f>
        <v>42.15</v>
      </c>
      <c r="G4149" s="7" t="n">
        <v>749</v>
      </c>
      <c r="H4149" s="9" t="n">
        <f aca="false">IF(G4149&gt;0,D4149/G4149,"")</f>
        <v>3.51001335113485</v>
      </c>
      <c r="I4149" s="10" t="n">
        <v>46219</v>
      </c>
      <c r="J4149" s="3" t="s">
        <v>90</v>
      </c>
      <c r="K4149" s="10" t="n">
        <v>46055</v>
      </c>
      <c r="L4149" s="3" t="s">
        <v>16</v>
      </c>
      <c r="M4149" s="7" t="n">
        <v>2955</v>
      </c>
      <c r="N4149" s="8" t="n">
        <v>0.016</v>
      </c>
      <c r="O4149" s="4" t="n">
        <f aca="false">M4149*N4149</f>
        <v>47.28</v>
      </c>
    </row>
    <row r="4150" customFormat="false" ht="15" hidden="false" customHeight="false" outlineLevel="0" collapsed="false">
      <c r="A4150" s="0" t="s">
        <v>5681</v>
      </c>
      <c r="C4150" s="0" t="s">
        <v>34</v>
      </c>
      <c r="D4150" s="7" t="n">
        <v>364</v>
      </c>
      <c r="E4150" s="8" t="n">
        <v>0.115796703296703</v>
      </c>
      <c r="F4150" s="4" t="n">
        <f aca="false">D4150*E4150</f>
        <v>42.15</v>
      </c>
      <c r="G4150" s="7" t="n">
        <v>50</v>
      </c>
      <c r="H4150" s="9" t="n">
        <f aca="false">IF(G4150&gt;0,D4150/G4150,"")</f>
        <v>7.28</v>
      </c>
      <c r="I4150" s="10" t="n">
        <v>46092</v>
      </c>
      <c r="K4150" s="10"/>
      <c r="M4150" s="7"/>
      <c r="N4150" s="8"/>
      <c r="O4150" s="4"/>
    </row>
    <row r="4151" customFormat="false" ht="15" hidden="false" customHeight="false" outlineLevel="0" collapsed="false">
      <c r="A4151" s="0" t="s">
        <v>5682</v>
      </c>
      <c r="C4151" s="0" t="s">
        <v>31</v>
      </c>
      <c r="D4151" s="7" t="n">
        <v>30</v>
      </c>
      <c r="E4151" s="8" t="n">
        <v>1.40433333333333</v>
      </c>
      <c r="F4151" s="4" t="n">
        <f aca="false">D4151*E4151</f>
        <v>42.13</v>
      </c>
      <c r="G4151" s="7" t="n">
        <v>9</v>
      </c>
      <c r="H4151" s="9" t="n">
        <f aca="false">IF(G4151&gt;0,D4151/G4151,"")</f>
        <v>3.33333333333333</v>
      </c>
      <c r="I4151" s="10" t="n">
        <v>46316</v>
      </c>
      <c r="K4151" s="10"/>
      <c r="M4151" s="7"/>
      <c r="N4151" s="8"/>
      <c r="O4151" s="4"/>
    </row>
    <row r="4152" customFormat="false" ht="15" hidden="false" customHeight="false" outlineLevel="0" collapsed="false">
      <c r="A4152" s="0" t="s">
        <v>5683</v>
      </c>
      <c r="C4152" s="0" t="s">
        <v>2569</v>
      </c>
      <c r="D4152" s="7" t="n">
        <v>22</v>
      </c>
      <c r="E4152" s="8" t="n">
        <v>1.915</v>
      </c>
      <c r="F4152" s="4" t="n">
        <f aca="false">D4152*E4152</f>
        <v>42.13</v>
      </c>
      <c r="G4152" s="7" t="n">
        <v>3</v>
      </c>
      <c r="H4152" s="9" t="n">
        <f aca="false">IF(G4152&gt;0,D4152/G4152,"")</f>
        <v>7.33333333333333</v>
      </c>
      <c r="I4152" s="10" t="n">
        <v>46309</v>
      </c>
      <c r="J4152" s="3" t="s">
        <v>403</v>
      </c>
      <c r="K4152" s="10" t="n">
        <v>46209</v>
      </c>
      <c r="L4152" s="3" t="s">
        <v>14</v>
      </c>
      <c r="M4152" s="7" t="n">
        <v>25</v>
      </c>
      <c r="N4152" s="8" t="n">
        <v>1.9148</v>
      </c>
      <c r="O4152" s="4" t="n">
        <f aca="false">M4152*N4152</f>
        <v>47.87</v>
      </c>
    </row>
    <row r="4153" customFormat="false" ht="15" hidden="false" customHeight="false" outlineLevel="0" collapsed="false">
      <c r="A4153" s="0" t="s">
        <v>5684</v>
      </c>
      <c r="C4153" s="0" t="s">
        <v>35</v>
      </c>
      <c r="D4153" s="7" t="n">
        <v>9</v>
      </c>
      <c r="E4153" s="8" t="n">
        <v>4.67888888888889</v>
      </c>
      <c r="F4153" s="4" t="n">
        <f aca="false">D4153*E4153</f>
        <v>42.11</v>
      </c>
      <c r="G4153" s="7" t="n">
        <v>1</v>
      </c>
      <c r="H4153" s="9" t="n">
        <f aca="false">IF(G4153&gt;0,D4153/G4153,"")</f>
        <v>9</v>
      </c>
      <c r="I4153" s="10" t="n">
        <v>46181</v>
      </c>
      <c r="J4153" s="3" t="s">
        <v>699</v>
      </c>
      <c r="K4153" s="10" t="n">
        <v>45840</v>
      </c>
      <c r="L4153" s="3" t="s">
        <v>14</v>
      </c>
      <c r="M4153" s="7" t="n">
        <v>11</v>
      </c>
      <c r="N4153" s="8" t="n">
        <v>4.67909</v>
      </c>
      <c r="O4153" s="4" t="n">
        <f aca="false">M4153*N4153</f>
        <v>51.46999</v>
      </c>
    </row>
    <row r="4154" customFormat="false" ht="15" hidden="false" customHeight="false" outlineLevel="0" collapsed="false">
      <c r="A4154" s="0" t="s">
        <v>5685</v>
      </c>
      <c r="C4154" s="0" t="s">
        <v>35</v>
      </c>
      <c r="D4154" s="7" t="n">
        <v>314</v>
      </c>
      <c r="E4154" s="8" t="n">
        <v>0.134012738853503</v>
      </c>
      <c r="F4154" s="4" t="n">
        <f aca="false">D4154*E4154</f>
        <v>42.08</v>
      </c>
      <c r="G4154" s="7" t="n">
        <v>13</v>
      </c>
      <c r="H4154" s="9" t="n">
        <f aca="false">IF(G4154&gt;0,D4154/G4154,"")</f>
        <v>24.1538461538462</v>
      </c>
      <c r="I4154" s="10" t="n">
        <v>46191</v>
      </c>
      <c r="J4154" s="3" t="s">
        <v>182</v>
      </c>
      <c r="K4154" s="10" t="n">
        <v>44285</v>
      </c>
      <c r="L4154" s="3" t="s">
        <v>20</v>
      </c>
      <c r="M4154" s="7" t="n">
        <v>375</v>
      </c>
      <c r="N4154" s="8" t="n">
        <v>0.134</v>
      </c>
      <c r="O4154" s="4" t="n">
        <f aca="false">M4154*N4154</f>
        <v>50.25</v>
      </c>
    </row>
    <row r="4155" customFormat="false" ht="15" hidden="false" customHeight="false" outlineLevel="0" collapsed="false">
      <c r="A4155" s="0" t="s">
        <v>5686</v>
      </c>
      <c r="C4155" s="0" t="s">
        <v>31</v>
      </c>
      <c r="D4155" s="7" t="n">
        <v>52</v>
      </c>
      <c r="E4155" s="8" t="n">
        <v>0.809230769230769</v>
      </c>
      <c r="F4155" s="4" t="n">
        <f aca="false">D4155*E4155</f>
        <v>42.08</v>
      </c>
      <c r="G4155" s="7" t="n">
        <v>20</v>
      </c>
      <c r="H4155" s="9" t="n">
        <f aca="false">IF(G4155&gt;0,D4155/G4155,"")</f>
        <v>2.6</v>
      </c>
      <c r="I4155" s="10" t="n">
        <v>45971</v>
      </c>
      <c r="J4155" s="3" t="s">
        <v>2561</v>
      </c>
      <c r="K4155" s="10" t="n">
        <v>44680</v>
      </c>
      <c r="L4155" s="3" t="s">
        <v>15</v>
      </c>
      <c r="M4155" s="7" t="n">
        <v>117</v>
      </c>
      <c r="N4155" s="8" t="n">
        <v>0.80928</v>
      </c>
      <c r="O4155" s="4" t="n">
        <f aca="false">M4155*N4155</f>
        <v>94.68576</v>
      </c>
    </row>
    <row r="4156" customFormat="false" ht="15" hidden="false" customHeight="false" outlineLevel="0" collapsed="false">
      <c r="A4156" s="0" t="s">
        <v>5687</v>
      </c>
      <c r="C4156" s="0" t="s">
        <v>31</v>
      </c>
      <c r="D4156" s="7" t="n">
        <v>3132</v>
      </c>
      <c r="E4156" s="8" t="n">
        <v>0.0134195402298851</v>
      </c>
      <c r="F4156" s="4" t="n">
        <f aca="false">D4156*E4156</f>
        <v>42.03</v>
      </c>
      <c r="G4156" s="7" t="n">
        <v>558</v>
      </c>
      <c r="H4156" s="9" t="n">
        <f aca="false">IF(G4156&gt;0,D4156/G4156,"")</f>
        <v>5.61290322580645</v>
      </c>
      <c r="I4156" s="10" t="n">
        <v>46315</v>
      </c>
      <c r="J4156" s="3" t="s">
        <v>478</v>
      </c>
      <c r="K4156" s="10" t="n">
        <v>46185</v>
      </c>
      <c r="L4156" s="3" t="s">
        <v>16</v>
      </c>
      <c r="M4156" s="7" t="n">
        <v>3300</v>
      </c>
      <c r="N4156" s="8" t="n">
        <v>0.0133</v>
      </c>
      <c r="O4156" s="4" t="n">
        <f aca="false">M4156*N4156</f>
        <v>43.89</v>
      </c>
    </row>
    <row r="4157" customFormat="false" ht="15" hidden="false" customHeight="false" outlineLevel="0" collapsed="false">
      <c r="A4157" s="0" t="s">
        <v>5688</v>
      </c>
      <c r="C4157" s="0" t="s">
        <v>35</v>
      </c>
      <c r="D4157" s="7" t="n">
        <v>53</v>
      </c>
      <c r="E4157" s="8" t="n">
        <v>0.793018867924528</v>
      </c>
      <c r="F4157" s="4" t="n">
        <f aca="false">D4157*E4157</f>
        <v>42.03</v>
      </c>
      <c r="G4157" s="7" t="n">
        <v>2</v>
      </c>
      <c r="H4157" s="9" t="n">
        <f aca="false">IF(G4157&gt;0,D4157/G4157,"")</f>
        <v>26.5</v>
      </c>
      <c r="I4157" s="10" t="n">
        <v>46147</v>
      </c>
      <c r="J4157" s="3" t="s">
        <v>2549</v>
      </c>
      <c r="K4157" s="10" t="n">
        <v>45103</v>
      </c>
      <c r="L4157" s="3" t="s">
        <v>14</v>
      </c>
      <c r="M4157" s="7" t="n">
        <v>200</v>
      </c>
      <c r="N4157" s="8" t="n">
        <v>0.7932</v>
      </c>
      <c r="O4157" s="4" t="n">
        <f aca="false">M4157*N4157</f>
        <v>158.64</v>
      </c>
    </row>
    <row r="4158" customFormat="false" ht="15" hidden="false" customHeight="false" outlineLevel="0" collapsed="false">
      <c r="A4158" s="0" t="s">
        <v>5689</v>
      </c>
      <c r="C4158" s="0" t="s">
        <v>31</v>
      </c>
      <c r="D4158" s="7" t="n">
        <v>1601</v>
      </c>
      <c r="E4158" s="8" t="n">
        <v>0.0262336039975016</v>
      </c>
      <c r="F4158" s="4" t="n">
        <f aca="false">D4158*E4158</f>
        <v>42</v>
      </c>
      <c r="G4158" s="7" t="n">
        <v>419</v>
      </c>
      <c r="H4158" s="9" t="n">
        <f aca="false">IF(G4158&gt;0,D4158/G4158,"")</f>
        <v>3.82100238663485</v>
      </c>
      <c r="I4158" s="10" t="n">
        <v>46248</v>
      </c>
      <c r="J4158" s="3" t="s">
        <v>940</v>
      </c>
      <c r="K4158" s="10" t="n">
        <v>46231</v>
      </c>
      <c r="L4158" s="3" t="s">
        <v>16</v>
      </c>
      <c r="M4158" s="7" t="n">
        <v>2000</v>
      </c>
      <c r="N4158" s="8" t="n">
        <v>0.0262</v>
      </c>
      <c r="O4158" s="4" t="n">
        <f aca="false">M4158*N4158</f>
        <v>52.4</v>
      </c>
    </row>
    <row r="4159" customFormat="false" ht="15" hidden="false" customHeight="false" outlineLevel="0" collapsed="false">
      <c r="A4159" s="0" t="s">
        <v>5690</v>
      </c>
      <c r="C4159" s="0" t="s">
        <v>41</v>
      </c>
      <c r="D4159" s="7" t="n">
        <v>9334</v>
      </c>
      <c r="E4159" s="8" t="n">
        <v>0.00449967859438612</v>
      </c>
      <c r="F4159" s="4" t="n">
        <f aca="false">D4159*E4159</f>
        <v>42</v>
      </c>
      <c r="G4159" s="7" t="n">
        <v>2314</v>
      </c>
      <c r="H4159" s="9" t="n">
        <f aca="false">IF(G4159&gt;0,D4159/G4159,"")</f>
        <v>4.03370786516854</v>
      </c>
      <c r="I4159" s="10" t="n">
        <v>46311</v>
      </c>
      <c r="J4159" s="3" t="s">
        <v>2890</v>
      </c>
      <c r="K4159" s="10" t="n">
        <v>46198</v>
      </c>
      <c r="L4159" s="3" t="s">
        <v>16</v>
      </c>
      <c r="M4159" s="7" t="n">
        <v>11200</v>
      </c>
      <c r="N4159" s="8" t="n">
        <v>0.0045</v>
      </c>
      <c r="O4159" s="4" t="n">
        <f aca="false">M4159*N4159</f>
        <v>50.4</v>
      </c>
    </row>
    <row r="4160" customFormat="false" ht="15" hidden="false" customHeight="false" outlineLevel="0" collapsed="false">
      <c r="A4160" s="0" t="s">
        <v>5691</v>
      </c>
      <c r="C4160" s="0" t="s">
        <v>360</v>
      </c>
      <c r="D4160" s="7" t="n">
        <v>21</v>
      </c>
      <c r="E4160" s="8" t="n">
        <v>2</v>
      </c>
      <c r="F4160" s="4" t="n">
        <f aca="false">D4160*E4160</f>
        <v>42</v>
      </c>
      <c r="G4160" s="7" t="n">
        <v>1</v>
      </c>
      <c r="H4160" s="9" t="n">
        <f aca="false">IF(G4160&gt;0,D4160/G4160,"")</f>
        <v>21</v>
      </c>
      <c r="I4160" s="10" t="n">
        <v>46177</v>
      </c>
      <c r="J4160" s="3" t="s">
        <v>5692</v>
      </c>
      <c r="K4160" s="10" t="n">
        <v>44547</v>
      </c>
      <c r="L4160" s="3" t="s">
        <v>14</v>
      </c>
      <c r="M4160" s="7" t="n">
        <v>25</v>
      </c>
      <c r="N4160" s="8" t="n">
        <v>2</v>
      </c>
      <c r="O4160" s="4" t="n">
        <f aca="false">M4160*N4160</f>
        <v>50</v>
      </c>
    </row>
    <row r="4161" customFormat="false" ht="15" hidden="false" customHeight="false" outlineLevel="0" collapsed="false">
      <c r="A4161" s="0" t="s">
        <v>5693</v>
      </c>
      <c r="C4161" s="0" t="s">
        <v>32</v>
      </c>
      <c r="D4161" s="7" t="n">
        <v>5831</v>
      </c>
      <c r="E4161" s="8" t="n">
        <v>0.00719773623735208</v>
      </c>
      <c r="F4161" s="4" t="n">
        <f aca="false">D4161*E4161</f>
        <v>41.97</v>
      </c>
      <c r="G4161" s="7" t="n">
        <v>1066</v>
      </c>
      <c r="H4161" s="9" t="n">
        <f aca="false">IF(G4161&gt;0,D4161/G4161,"")</f>
        <v>5.46998123827392</v>
      </c>
      <c r="I4161" s="10" t="n">
        <v>46274</v>
      </c>
      <c r="J4161" s="3" t="s">
        <v>5694</v>
      </c>
      <c r="K4161" s="10" t="n">
        <v>44704</v>
      </c>
      <c r="L4161" s="3" t="s">
        <v>19</v>
      </c>
      <c r="M4161" s="7" t="n">
        <v>10000</v>
      </c>
      <c r="N4161" s="8" t="n">
        <v>0.0072</v>
      </c>
      <c r="O4161" s="4" t="n">
        <f aca="false">M4161*N4161</f>
        <v>72</v>
      </c>
    </row>
    <row r="4162" customFormat="false" ht="15" hidden="false" customHeight="false" outlineLevel="0" collapsed="false">
      <c r="A4162" s="0" t="s">
        <v>5695</v>
      </c>
      <c r="C4162" s="0" t="s">
        <v>340</v>
      </c>
      <c r="D4162" s="7" t="n">
        <v>67</v>
      </c>
      <c r="E4162" s="8" t="n">
        <v>0.625671641791045</v>
      </c>
      <c r="F4162" s="4" t="n">
        <f aca="false">D4162*E4162</f>
        <v>41.92</v>
      </c>
      <c r="G4162" s="7" t="n">
        <v>20</v>
      </c>
      <c r="H4162" s="9" t="n">
        <f aca="false">IF(G4162&gt;0,D4162/G4162,"")</f>
        <v>3.35</v>
      </c>
      <c r="I4162" s="10" t="n">
        <v>45966</v>
      </c>
      <c r="J4162" s="3" t="s">
        <v>341</v>
      </c>
      <c r="K4162" s="10" t="n">
        <v>46078</v>
      </c>
      <c r="L4162" s="3" t="s">
        <v>15</v>
      </c>
      <c r="M4162" s="7" t="n">
        <v>9</v>
      </c>
      <c r="N4162" s="8" t="n">
        <v>0.4216</v>
      </c>
      <c r="O4162" s="4" t="n">
        <f aca="false">M4162*N4162</f>
        <v>3.7944</v>
      </c>
    </row>
    <row r="4163" customFormat="false" ht="15" hidden="false" customHeight="false" outlineLevel="0" collapsed="false">
      <c r="A4163" s="0" t="s">
        <v>5696</v>
      </c>
      <c r="C4163" s="0" t="s">
        <v>1010</v>
      </c>
      <c r="D4163" s="7" t="n">
        <v>136</v>
      </c>
      <c r="E4163" s="8" t="n">
        <v>0.307867647058824</v>
      </c>
      <c r="F4163" s="4" t="n">
        <f aca="false">D4163*E4163</f>
        <v>41.87</v>
      </c>
      <c r="G4163" s="7" t="n">
        <v>10</v>
      </c>
      <c r="H4163" s="9" t="n">
        <f aca="false">IF(G4163&gt;0,D4163/G4163,"")</f>
        <v>13.6</v>
      </c>
      <c r="I4163" s="10" t="n">
        <v>46111</v>
      </c>
      <c r="K4163" s="10"/>
      <c r="M4163" s="7"/>
      <c r="N4163" s="8"/>
      <c r="O4163" s="4"/>
    </row>
    <row r="4164" customFormat="false" ht="15" hidden="false" customHeight="false" outlineLevel="0" collapsed="false">
      <c r="A4164" s="0" t="s">
        <v>5697</v>
      </c>
      <c r="C4164" s="0" t="s">
        <v>34</v>
      </c>
      <c r="D4164" s="7" t="n">
        <v>2186</v>
      </c>
      <c r="E4164" s="8" t="n">
        <v>0.0191399817017383</v>
      </c>
      <c r="F4164" s="4" t="n">
        <f aca="false">D4164*E4164</f>
        <v>41.84</v>
      </c>
      <c r="G4164" s="7" t="n">
        <v>121</v>
      </c>
      <c r="H4164" s="9" t="n">
        <f aca="false">IF(G4164&gt;0,D4164/G4164,"")</f>
        <v>18.0661157024793</v>
      </c>
      <c r="I4164" s="10" t="n">
        <v>46168</v>
      </c>
      <c r="J4164" s="3" t="s">
        <v>1912</v>
      </c>
      <c r="K4164" s="10" t="n">
        <v>44320</v>
      </c>
      <c r="L4164" s="3" t="s">
        <v>15</v>
      </c>
      <c r="M4164" s="7" t="n">
        <v>2500</v>
      </c>
      <c r="N4164" s="8" t="n">
        <v>0.01914</v>
      </c>
      <c r="O4164" s="4" t="n">
        <f aca="false">M4164*N4164</f>
        <v>47.85</v>
      </c>
    </row>
    <row r="4165" customFormat="false" ht="15" hidden="false" customHeight="false" outlineLevel="0" collapsed="false">
      <c r="A4165" s="0" t="s">
        <v>5698</v>
      </c>
      <c r="C4165" s="0" t="s">
        <v>855</v>
      </c>
      <c r="D4165" s="7" t="n">
        <v>1902</v>
      </c>
      <c r="E4165" s="8" t="n">
        <v>0.0219978969505783</v>
      </c>
      <c r="F4165" s="4" t="n">
        <f aca="false">D4165*E4165</f>
        <v>41.84</v>
      </c>
      <c r="G4165" s="7" t="n">
        <v>8</v>
      </c>
      <c r="H4165" s="9" t="n">
        <f aca="false">IF(G4165&gt;0,D4165/G4165,"")</f>
        <v>237.75</v>
      </c>
      <c r="I4165" s="10" t="n">
        <v>46038</v>
      </c>
      <c r="J4165" s="3" t="s">
        <v>4893</v>
      </c>
      <c r="K4165" s="10" t="n">
        <v>45429</v>
      </c>
      <c r="L4165" s="3" t="s">
        <v>25</v>
      </c>
      <c r="M4165" s="7" t="n">
        <v>5000</v>
      </c>
      <c r="N4165" s="8" t="n">
        <v>0.022</v>
      </c>
      <c r="O4165" s="4" t="n">
        <f aca="false">M4165*N4165</f>
        <v>110</v>
      </c>
    </row>
    <row r="4166" customFormat="false" ht="15" hidden="false" customHeight="false" outlineLevel="0" collapsed="false">
      <c r="A4166" s="0" t="s">
        <v>5699</v>
      </c>
      <c r="C4166" s="0" t="s">
        <v>855</v>
      </c>
      <c r="D4166" s="7" t="n">
        <v>5846</v>
      </c>
      <c r="E4166" s="8" t="n">
        <v>0.00715531987683886</v>
      </c>
      <c r="F4166" s="4" t="n">
        <f aca="false">D4166*E4166</f>
        <v>41.83</v>
      </c>
      <c r="G4166" s="7" t="n">
        <v>1027</v>
      </c>
      <c r="H4166" s="9" t="n">
        <f aca="false">IF(G4166&gt;0,D4166/G4166,"")</f>
        <v>5.69230769230769</v>
      </c>
      <c r="I4166" s="10" t="n">
        <v>46156</v>
      </c>
      <c r="J4166" s="3" t="s">
        <v>5700</v>
      </c>
      <c r="K4166" s="10" t="n">
        <v>44364</v>
      </c>
      <c r="L4166" s="3" t="s">
        <v>15</v>
      </c>
      <c r="M4166" s="7" t="n">
        <v>7090</v>
      </c>
      <c r="N4166" s="8" t="n">
        <v>0.00716</v>
      </c>
      <c r="O4166" s="4" t="n">
        <f aca="false">M4166*N4166</f>
        <v>50.7644</v>
      </c>
    </row>
    <row r="4167" customFormat="false" ht="15" hidden="false" customHeight="false" outlineLevel="0" collapsed="false">
      <c r="A4167" s="0" t="s">
        <v>5701</v>
      </c>
      <c r="C4167" s="0" t="s">
        <v>33</v>
      </c>
      <c r="D4167" s="7" t="n">
        <v>6</v>
      </c>
      <c r="E4167" s="8" t="n">
        <v>6.97</v>
      </c>
      <c r="F4167" s="4" t="n">
        <f aca="false">D4167*E4167</f>
        <v>41.82</v>
      </c>
      <c r="G4167" s="7" t="n">
        <v>4</v>
      </c>
      <c r="H4167" s="9" t="n">
        <f aca="false">IF(G4167&gt;0,D4167/G4167,"")</f>
        <v>1.5</v>
      </c>
      <c r="I4167" s="10" t="n">
        <v>46042</v>
      </c>
      <c r="J4167" s="3" t="s">
        <v>5099</v>
      </c>
      <c r="K4167" s="10" t="n">
        <v>44680</v>
      </c>
      <c r="L4167" s="3" t="s">
        <v>20</v>
      </c>
      <c r="M4167" s="7" t="n">
        <v>18</v>
      </c>
      <c r="N4167" s="8" t="n">
        <v>6.96998</v>
      </c>
      <c r="O4167" s="4" t="n">
        <f aca="false">M4167*N4167</f>
        <v>125.45964</v>
      </c>
    </row>
    <row r="4168" customFormat="false" ht="15" hidden="false" customHeight="false" outlineLevel="0" collapsed="false">
      <c r="A4168" s="0" t="s">
        <v>5702</v>
      </c>
      <c r="C4168" s="0" t="s">
        <v>340</v>
      </c>
      <c r="D4168" s="7" t="n">
        <v>409</v>
      </c>
      <c r="E4168" s="8" t="n">
        <v>0.102224938875306</v>
      </c>
      <c r="F4168" s="4" t="n">
        <f aca="false">D4168*E4168</f>
        <v>41.81</v>
      </c>
      <c r="G4168" s="7" t="n">
        <v>32</v>
      </c>
      <c r="H4168" s="9" t="n">
        <f aca="false">IF(G4168&gt;0,D4168/G4168,"")</f>
        <v>12.78125</v>
      </c>
      <c r="I4168" s="10" t="n">
        <v>46281</v>
      </c>
      <c r="J4168" s="3" t="s">
        <v>341</v>
      </c>
      <c r="K4168" s="10" t="n">
        <v>46078</v>
      </c>
      <c r="L4168" s="3" t="s">
        <v>15</v>
      </c>
      <c r="M4168" s="7" t="n">
        <v>275</v>
      </c>
      <c r="N4168" s="8" t="n">
        <v>0.09686</v>
      </c>
      <c r="O4168" s="4" t="n">
        <f aca="false">M4168*N4168</f>
        <v>26.6365</v>
      </c>
    </row>
    <row r="4169" customFormat="false" ht="15" hidden="false" customHeight="false" outlineLevel="0" collapsed="false">
      <c r="A4169" s="0" t="s">
        <v>5703</v>
      </c>
      <c r="C4169" s="0" t="s">
        <v>799</v>
      </c>
      <c r="D4169" s="7" t="n">
        <v>18</v>
      </c>
      <c r="E4169" s="8" t="n">
        <v>2.32222222222222</v>
      </c>
      <c r="F4169" s="4" t="n">
        <f aca="false">D4169*E4169</f>
        <v>41.8</v>
      </c>
      <c r="G4169" s="7" t="n">
        <v>3</v>
      </c>
      <c r="H4169" s="9" t="n">
        <f aca="false">IF(G4169&gt;0,D4169/G4169,"")</f>
        <v>6</v>
      </c>
      <c r="I4169" s="10" t="n">
        <v>45971</v>
      </c>
      <c r="J4169" s="3" t="s">
        <v>802</v>
      </c>
      <c r="K4169" s="10" t="n">
        <v>45824</v>
      </c>
      <c r="L4169" s="3" t="s">
        <v>14</v>
      </c>
      <c r="M4169" s="7" t="n">
        <v>25</v>
      </c>
      <c r="N4169" s="8" t="n">
        <v>2.3224</v>
      </c>
      <c r="O4169" s="4" t="n">
        <f aca="false">M4169*N4169</f>
        <v>58.06</v>
      </c>
    </row>
    <row r="4170" customFormat="false" ht="15" hidden="false" customHeight="false" outlineLevel="0" collapsed="false">
      <c r="A4170" s="0" t="s">
        <v>5704</v>
      </c>
      <c r="C4170" s="0" t="s">
        <v>765</v>
      </c>
      <c r="D4170" s="7" t="n">
        <v>3348</v>
      </c>
      <c r="E4170" s="8" t="n">
        <v>0.0124641577060932</v>
      </c>
      <c r="F4170" s="4" t="n">
        <f aca="false">D4170*E4170</f>
        <v>41.73</v>
      </c>
      <c r="G4170" s="7" t="n">
        <v>120</v>
      </c>
      <c r="H4170" s="9" t="n">
        <f aca="false">IF(G4170&gt;0,D4170/G4170,"")</f>
        <v>27.9</v>
      </c>
      <c r="I4170" s="10" t="n">
        <v>46146</v>
      </c>
      <c r="J4170" s="3" t="s">
        <v>5705</v>
      </c>
      <c r="K4170" s="10" t="n">
        <v>44564</v>
      </c>
      <c r="L4170" s="3" t="s">
        <v>16</v>
      </c>
      <c r="M4170" s="7" t="n">
        <v>5009</v>
      </c>
      <c r="N4170" s="8" t="n">
        <v>0</v>
      </c>
      <c r="O4170" s="4" t="n">
        <v>62.5</v>
      </c>
    </row>
    <row r="4171" customFormat="false" ht="15" hidden="false" customHeight="false" outlineLevel="0" collapsed="false">
      <c r="A4171" s="0" t="s">
        <v>5706</v>
      </c>
      <c r="C4171" s="0" t="s">
        <v>34</v>
      </c>
      <c r="D4171" s="7" t="n">
        <v>155</v>
      </c>
      <c r="E4171" s="8" t="n">
        <v>0.269161290322581</v>
      </c>
      <c r="F4171" s="4" t="n">
        <f aca="false">D4171*E4171</f>
        <v>41.72</v>
      </c>
      <c r="G4171" s="7" t="n">
        <v>24</v>
      </c>
      <c r="H4171" s="9" t="n">
        <f aca="false">IF(G4171&gt;0,D4171/G4171,"")</f>
        <v>6.45833333333333</v>
      </c>
      <c r="I4171" s="10" t="n">
        <v>46190</v>
      </c>
      <c r="J4171" s="3" t="s">
        <v>2716</v>
      </c>
      <c r="K4171" s="10" t="n">
        <v>46160</v>
      </c>
      <c r="L4171" s="3" t="s">
        <v>16</v>
      </c>
      <c r="M4171" s="7" t="n">
        <v>171</v>
      </c>
      <c r="N4171" s="8" t="n">
        <v>0.2692</v>
      </c>
      <c r="O4171" s="4" t="n">
        <f aca="false">M4171*N4171</f>
        <v>46.0332</v>
      </c>
    </row>
    <row r="4172" customFormat="false" ht="15" hidden="false" customHeight="false" outlineLevel="0" collapsed="false">
      <c r="A4172" s="0" t="s">
        <v>5707</v>
      </c>
      <c r="C4172" s="0" t="s">
        <v>31</v>
      </c>
      <c r="D4172" s="7" t="n">
        <v>1063</v>
      </c>
      <c r="E4172" s="8" t="n">
        <v>0.0392097836312324</v>
      </c>
      <c r="F4172" s="4" t="n">
        <f aca="false">D4172*E4172</f>
        <v>41.68</v>
      </c>
      <c r="G4172" s="7" t="n">
        <v>327</v>
      </c>
      <c r="H4172" s="9" t="n">
        <f aca="false">IF(G4172&gt;0,D4172/G4172,"")</f>
        <v>3.25076452599388</v>
      </c>
      <c r="I4172" s="10" t="n">
        <v>46080</v>
      </c>
      <c r="J4172" s="3" t="s">
        <v>2777</v>
      </c>
      <c r="K4172" s="10" t="n">
        <v>45763</v>
      </c>
      <c r="L4172" s="3" t="s">
        <v>16</v>
      </c>
      <c r="M4172" s="7" t="n">
        <v>1400</v>
      </c>
      <c r="N4172" s="8" t="n">
        <v>0.0392</v>
      </c>
      <c r="O4172" s="4" t="n">
        <f aca="false">M4172*N4172</f>
        <v>54.88</v>
      </c>
    </row>
    <row r="4173" customFormat="false" ht="15" hidden="false" customHeight="false" outlineLevel="0" collapsed="false">
      <c r="A4173" s="0" t="s">
        <v>5708</v>
      </c>
      <c r="C4173" s="0" t="s">
        <v>438</v>
      </c>
      <c r="D4173" s="7" t="n">
        <v>28</v>
      </c>
      <c r="E4173" s="8" t="n">
        <v>1.48785714285714</v>
      </c>
      <c r="F4173" s="4" t="n">
        <f aca="false">D4173*E4173</f>
        <v>41.66</v>
      </c>
      <c r="G4173" s="7" t="n">
        <v>24</v>
      </c>
      <c r="H4173" s="9" t="n">
        <f aca="false">IF(G4173&gt;0,D4173/G4173,"")</f>
        <v>1.16666666666667</v>
      </c>
      <c r="I4173" s="10" t="n">
        <v>46182</v>
      </c>
      <c r="J4173" s="3" t="s">
        <v>848</v>
      </c>
      <c r="K4173" s="10" t="n">
        <v>46083</v>
      </c>
      <c r="L4173" s="3" t="s">
        <v>14</v>
      </c>
      <c r="M4173" s="7" t="n">
        <v>50</v>
      </c>
      <c r="N4173" s="8" t="n">
        <v>1.5198</v>
      </c>
      <c r="O4173" s="4" t="n">
        <f aca="false">M4173*N4173</f>
        <v>75.99</v>
      </c>
    </row>
    <row r="4174" customFormat="false" ht="15" hidden="false" customHeight="false" outlineLevel="0" collapsed="false">
      <c r="A4174" s="0" t="s">
        <v>5709</v>
      </c>
      <c r="C4174" s="0" t="s">
        <v>715</v>
      </c>
      <c r="D4174" s="7" t="n">
        <v>9808</v>
      </c>
      <c r="E4174" s="8" t="n">
        <v>0.00424653344208809</v>
      </c>
      <c r="F4174" s="4" t="n">
        <f aca="false">D4174*E4174</f>
        <v>41.65</v>
      </c>
      <c r="G4174" s="7" t="n">
        <v>350</v>
      </c>
      <c r="H4174" s="9" t="n">
        <f aca="false">IF(G4174&gt;0,D4174/G4174,"")</f>
        <v>28.0228571428571</v>
      </c>
      <c r="I4174" s="10" t="n">
        <v>46147</v>
      </c>
      <c r="J4174" s="3" t="s">
        <v>2561</v>
      </c>
      <c r="K4174" s="10" t="n">
        <v>44680</v>
      </c>
      <c r="L4174" s="3" t="s">
        <v>15</v>
      </c>
      <c r="M4174" s="7" t="n">
        <v>13200</v>
      </c>
      <c r="N4174" s="8" t="n">
        <v>0.0044</v>
      </c>
      <c r="O4174" s="4" t="n">
        <f aca="false">M4174*N4174</f>
        <v>58.08</v>
      </c>
    </row>
    <row r="4175" customFormat="false" ht="15" hidden="false" customHeight="false" outlineLevel="0" collapsed="false">
      <c r="A4175" s="0" t="s">
        <v>5710</v>
      </c>
      <c r="C4175" s="0" t="s">
        <v>31</v>
      </c>
      <c r="D4175" s="7" t="n">
        <v>1388</v>
      </c>
      <c r="E4175" s="8" t="n">
        <v>0.03</v>
      </c>
      <c r="F4175" s="4" t="n">
        <f aca="false">D4175*E4175</f>
        <v>41.64</v>
      </c>
      <c r="G4175" s="7" t="n">
        <v>567</v>
      </c>
      <c r="H4175" s="9" t="n">
        <f aca="false">IF(G4175&gt;0,D4175/G4175,"")</f>
        <v>2.44797178130511</v>
      </c>
      <c r="I4175" s="10" t="n">
        <v>46252</v>
      </c>
      <c r="K4175" s="10"/>
      <c r="M4175" s="7"/>
      <c r="N4175" s="8"/>
      <c r="O4175" s="4"/>
    </row>
    <row r="4176" customFormat="false" ht="15" hidden="false" customHeight="false" outlineLevel="0" collapsed="false">
      <c r="A4176" s="0" t="s">
        <v>5711</v>
      </c>
      <c r="C4176" s="0" t="s">
        <v>40</v>
      </c>
      <c r="D4176" s="7" t="n">
        <v>349</v>
      </c>
      <c r="E4176" s="8" t="n">
        <v>0.119169054441261</v>
      </c>
      <c r="F4176" s="4" t="n">
        <f aca="false">D4176*E4176</f>
        <v>41.59</v>
      </c>
      <c r="G4176" s="7" t="n">
        <v>53</v>
      </c>
      <c r="H4176" s="9" t="n">
        <f aca="false">IF(G4176&gt;0,D4176/G4176,"")</f>
        <v>6.58490566037736</v>
      </c>
      <c r="I4176" s="10" t="n">
        <v>46300</v>
      </c>
      <c r="J4176" s="3" t="s">
        <v>5380</v>
      </c>
      <c r="K4176" s="10" t="n">
        <v>44572</v>
      </c>
      <c r="L4176" s="3" t="s">
        <v>19</v>
      </c>
      <c r="M4176" s="7" t="n">
        <v>909</v>
      </c>
      <c r="N4176" s="8" t="n">
        <v>0.1223</v>
      </c>
      <c r="O4176" s="4" t="n">
        <v>110.07</v>
      </c>
    </row>
    <row r="4177" customFormat="false" ht="15" hidden="false" customHeight="false" outlineLevel="0" collapsed="false">
      <c r="A4177" s="0" t="s">
        <v>5712</v>
      </c>
      <c r="C4177" s="0" t="s">
        <v>1039</v>
      </c>
      <c r="D4177" s="7" t="n">
        <v>7560</v>
      </c>
      <c r="E4177" s="8" t="n">
        <v>0.0055</v>
      </c>
      <c r="F4177" s="4" t="n">
        <f aca="false">D4177*E4177</f>
        <v>41.58</v>
      </c>
      <c r="G4177" s="7" t="n">
        <v>2029</v>
      </c>
      <c r="H4177" s="9" t="n">
        <f aca="false">IF(G4177&gt;0,D4177/G4177,"")</f>
        <v>3.72597338590439</v>
      </c>
      <c r="I4177" s="10" t="n">
        <v>46296</v>
      </c>
      <c r="J4177" s="3" t="s">
        <v>5119</v>
      </c>
      <c r="K4177" s="10" t="n">
        <v>46164</v>
      </c>
      <c r="L4177" s="3" t="s">
        <v>16</v>
      </c>
      <c r="M4177" s="7" t="n">
        <v>9100</v>
      </c>
      <c r="N4177" s="8" t="n">
        <v>0.0055</v>
      </c>
      <c r="O4177" s="4" t="n">
        <f aca="false">M4177*N4177</f>
        <v>50.05</v>
      </c>
    </row>
    <row r="4178" customFormat="false" ht="15" hidden="false" customHeight="false" outlineLevel="0" collapsed="false">
      <c r="A4178" s="0" t="s">
        <v>5713</v>
      </c>
      <c r="C4178" s="0" t="s">
        <v>4363</v>
      </c>
      <c r="D4178" s="7" t="n">
        <v>5</v>
      </c>
      <c r="E4178" s="8" t="n">
        <v>8.31</v>
      </c>
      <c r="F4178" s="4" t="n">
        <f aca="false">D4178*E4178</f>
        <v>41.55</v>
      </c>
      <c r="G4178" s="7" t="n">
        <v>3</v>
      </c>
      <c r="H4178" s="9" t="n">
        <f aca="false">IF(G4178&gt;0,D4178/G4178,"")</f>
        <v>1.66666666666667</v>
      </c>
      <c r="I4178" s="10" t="n">
        <v>46203</v>
      </c>
      <c r="J4178" s="3" t="s">
        <v>5714</v>
      </c>
      <c r="K4178" s="10" t="n">
        <v>45585</v>
      </c>
      <c r="L4178" s="3" t="s">
        <v>4365</v>
      </c>
      <c r="M4178" s="7" t="n">
        <v>10</v>
      </c>
      <c r="N4178" s="8" t="n">
        <v>8.31</v>
      </c>
      <c r="O4178" s="4" t="n">
        <f aca="false">M4178*N4178</f>
        <v>83.1</v>
      </c>
    </row>
    <row r="4179" customFormat="false" ht="15" hidden="false" customHeight="false" outlineLevel="0" collapsed="false">
      <c r="A4179" s="0" t="s">
        <v>5715</v>
      </c>
      <c r="C4179" s="0" t="s">
        <v>31</v>
      </c>
      <c r="D4179" s="7" t="n">
        <v>567</v>
      </c>
      <c r="E4179" s="8" t="n">
        <v>0.0732804232804233</v>
      </c>
      <c r="F4179" s="4" t="n">
        <f aca="false">D4179*E4179</f>
        <v>41.55</v>
      </c>
      <c r="G4179" s="7" t="n">
        <v>112</v>
      </c>
      <c r="H4179" s="9" t="n">
        <f aca="false">IF(G4179&gt;0,D4179/G4179,"")</f>
        <v>5.0625</v>
      </c>
      <c r="I4179" s="10" t="n">
        <v>46287</v>
      </c>
      <c r="J4179" s="3" t="s">
        <v>5600</v>
      </c>
      <c r="K4179" s="10" t="n">
        <v>44819</v>
      </c>
      <c r="L4179" s="3" t="s">
        <v>19</v>
      </c>
      <c r="M4179" s="7" t="n">
        <v>998</v>
      </c>
      <c r="N4179" s="8" t="n">
        <v>0.0733</v>
      </c>
      <c r="O4179" s="4" t="n">
        <f aca="false">M4179*N4179</f>
        <v>73.1534</v>
      </c>
    </row>
    <row r="4180" customFormat="false" ht="15" hidden="false" customHeight="false" outlineLevel="0" collapsed="false">
      <c r="A4180" s="0" t="s">
        <v>5716</v>
      </c>
      <c r="C4180" s="0" t="s">
        <v>34</v>
      </c>
      <c r="D4180" s="7" t="n">
        <v>15</v>
      </c>
      <c r="E4180" s="8" t="n">
        <v>2.76733333333333</v>
      </c>
      <c r="F4180" s="4" t="n">
        <f aca="false">D4180*E4180</f>
        <v>41.51</v>
      </c>
      <c r="G4180" s="7" t="n">
        <v>5</v>
      </c>
      <c r="H4180" s="9" t="n">
        <f aca="false">IF(G4180&gt;0,D4180/G4180,"")</f>
        <v>3</v>
      </c>
      <c r="I4180" s="10" t="n">
        <v>46289</v>
      </c>
      <c r="K4180" s="10"/>
      <c r="M4180" s="7"/>
      <c r="N4180" s="8"/>
      <c r="O4180" s="4"/>
    </row>
    <row r="4181" customFormat="false" ht="15" hidden="false" customHeight="false" outlineLevel="0" collapsed="false">
      <c r="A4181" s="0" t="s">
        <v>5717</v>
      </c>
      <c r="C4181" s="0" t="s">
        <v>295</v>
      </c>
      <c r="D4181" s="7" t="n">
        <v>259</v>
      </c>
      <c r="E4181" s="8" t="n">
        <v>0.16011583011583</v>
      </c>
      <c r="F4181" s="4" t="n">
        <f aca="false">D4181*E4181</f>
        <v>41.47</v>
      </c>
      <c r="G4181" s="7" t="n">
        <v>6</v>
      </c>
      <c r="H4181" s="9" t="n">
        <f aca="false">IF(G4181&gt;0,D4181/G4181,"")</f>
        <v>43.1666666666667</v>
      </c>
      <c r="I4181" s="10" t="n">
        <v>46168</v>
      </c>
      <c r="J4181" s="3" t="s">
        <v>1731</v>
      </c>
      <c r="K4181" s="10" t="n">
        <v>44356</v>
      </c>
      <c r="L4181" s="3" t="s">
        <v>19</v>
      </c>
      <c r="M4181" s="7" t="n">
        <v>315</v>
      </c>
      <c r="N4181" s="8" t="n">
        <v>0.1601</v>
      </c>
      <c r="O4181" s="4" t="n">
        <f aca="false">M4181*N4181</f>
        <v>50.4315</v>
      </c>
    </row>
    <row r="4182" customFormat="false" ht="15" hidden="false" customHeight="false" outlineLevel="0" collapsed="false">
      <c r="A4182" s="0" t="s">
        <v>5718</v>
      </c>
      <c r="C4182" s="0" t="s">
        <v>39</v>
      </c>
      <c r="D4182" s="7" t="n">
        <v>258</v>
      </c>
      <c r="E4182" s="8" t="n">
        <v>0.160697674418605</v>
      </c>
      <c r="F4182" s="4" t="n">
        <f aca="false">D4182*E4182</f>
        <v>41.46</v>
      </c>
      <c r="G4182" s="7" t="n">
        <v>10</v>
      </c>
      <c r="H4182" s="9" t="n">
        <f aca="false">IF(G4182&gt;0,D4182/G4182,"")</f>
        <v>25.8</v>
      </c>
      <c r="I4182" s="10" t="n">
        <v>46316</v>
      </c>
      <c r="J4182" s="3" t="s">
        <v>4735</v>
      </c>
      <c r="K4182" s="10" t="n">
        <v>45642</v>
      </c>
      <c r="L4182" s="3" t="s">
        <v>18</v>
      </c>
      <c r="M4182" s="7" t="n">
        <v>580</v>
      </c>
      <c r="N4182" s="8" t="n">
        <v>0.1607</v>
      </c>
      <c r="O4182" s="4" t="n">
        <f aca="false">M4182*N4182</f>
        <v>93.206</v>
      </c>
    </row>
    <row r="4183" customFormat="false" ht="15" hidden="false" customHeight="false" outlineLevel="0" collapsed="false">
      <c r="A4183" s="0" t="s">
        <v>5719</v>
      </c>
      <c r="C4183" s="0" t="s">
        <v>31</v>
      </c>
      <c r="D4183" s="7" t="n">
        <v>694</v>
      </c>
      <c r="E4183" s="8" t="n">
        <v>0.0596974063400576</v>
      </c>
      <c r="F4183" s="4" t="n">
        <f aca="false">D4183*E4183</f>
        <v>41.43</v>
      </c>
      <c r="G4183" s="7" t="n">
        <v>12</v>
      </c>
      <c r="H4183" s="9" t="n">
        <f aca="false">IF(G4183&gt;0,D4183/G4183,"")</f>
        <v>57.8333333333333</v>
      </c>
      <c r="I4183" s="10" t="n">
        <v>46091</v>
      </c>
      <c r="J4183" s="3" t="s">
        <v>90</v>
      </c>
      <c r="K4183" s="10" t="n">
        <v>46055</v>
      </c>
      <c r="L4183" s="3" t="s">
        <v>16</v>
      </c>
      <c r="M4183" s="7" t="n">
        <v>706</v>
      </c>
      <c r="N4183" s="8" t="n">
        <v>0.0597</v>
      </c>
      <c r="O4183" s="4" t="n">
        <f aca="false">M4183*N4183</f>
        <v>42.1482</v>
      </c>
    </row>
    <row r="4184" customFormat="false" ht="15" hidden="false" customHeight="false" outlineLevel="0" collapsed="false">
      <c r="A4184" s="0" t="s">
        <v>5720</v>
      </c>
      <c r="C4184" s="0" t="s">
        <v>36</v>
      </c>
      <c r="D4184" s="7" t="n">
        <v>616</v>
      </c>
      <c r="E4184" s="8" t="n">
        <v>0.0672077922077922</v>
      </c>
      <c r="F4184" s="4" t="n">
        <f aca="false">D4184*E4184</f>
        <v>41.4</v>
      </c>
      <c r="G4184" s="7" t="n">
        <v>480</v>
      </c>
      <c r="H4184" s="9" t="n">
        <f aca="false">IF(G4184&gt;0,D4184/G4184,"")</f>
        <v>1.28333333333333</v>
      </c>
      <c r="I4184" s="10" t="n">
        <v>46202</v>
      </c>
      <c r="J4184" s="3" t="s">
        <v>4012</v>
      </c>
      <c r="K4184" s="10" t="n">
        <v>45733</v>
      </c>
      <c r="L4184" s="3" t="s">
        <v>18</v>
      </c>
      <c r="M4184" s="7" t="n">
        <v>1500</v>
      </c>
      <c r="N4184" s="8" t="n">
        <v>0.0672</v>
      </c>
      <c r="O4184" s="4" t="n">
        <f aca="false">M4184*N4184</f>
        <v>100.8</v>
      </c>
    </row>
    <row r="4185" customFormat="false" ht="15" hidden="false" customHeight="false" outlineLevel="0" collapsed="false">
      <c r="A4185" s="0" t="s">
        <v>5721</v>
      </c>
      <c r="C4185" s="0" t="s">
        <v>679</v>
      </c>
      <c r="D4185" s="7" t="n">
        <v>94</v>
      </c>
      <c r="E4185" s="8" t="n">
        <v>0.44</v>
      </c>
      <c r="F4185" s="4" t="n">
        <f aca="false">D4185*E4185</f>
        <v>41.36</v>
      </c>
      <c r="G4185" s="7" t="n">
        <v>2</v>
      </c>
      <c r="H4185" s="9" t="n">
        <f aca="false">IF(G4185&gt;0,D4185/G4185,"")</f>
        <v>47</v>
      </c>
      <c r="I4185" s="10" t="n">
        <v>46293</v>
      </c>
      <c r="K4185" s="10"/>
      <c r="M4185" s="7"/>
      <c r="N4185" s="8"/>
      <c r="O4185" s="4"/>
    </row>
    <row r="4186" customFormat="false" ht="15" hidden="false" customHeight="false" outlineLevel="0" collapsed="false">
      <c r="A4186" s="0" t="s">
        <v>5722</v>
      </c>
      <c r="C4186" s="0" t="s">
        <v>1101</v>
      </c>
      <c r="D4186" s="7" t="n">
        <v>10</v>
      </c>
      <c r="E4186" s="8" t="n">
        <v>4.13</v>
      </c>
      <c r="F4186" s="4" t="n">
        <f aca="false">D4186*E4186</f>
        <v>41.3</v>
      </c>
      <c r="G4186" s="7" t="n">
        <v>6</v>
      </c>
      <c r="H4186" s="9" t="n">
        <f aca="false">IF(G4186&gt;0,D4186/G4186,"")</f>
        <v>1.66666666666667</v>
      </c>
      <c r="I4186" s="10" t="n">
        <v>46302</v>
      </c>
      <c r="J4186" s="3" t="s">
        <v>4671</v>
      </c>
      <c r="K4186" s="10" t="n">
        <v>46251</v>
      </c>
      <c r="L4186" s="3" t="s">
        <v>834</v>
      </c>
      <c r="M4186" s="7" t="n">
        <v>16</v>
      </c>
      <c r="N4186" s="8" t="n">
        <v>4.13</v>
      </c>
      <c r="O4186" s="4" t="n">
        <f aca="false">M4186*N4186</f>
        <v>66.08</v>
      </c>
    </row>
    <row r="4187" customFormat="false" ht="15" hidden="false" customHeight="false" outlineLevel="0" collapsed="false">
      <c r="A4187" s="0" t="s">
        <v>5723</v>
      </c>
      <c r="C4187" s="0" t="s">
        <v>1010</v>
      </c>
      <c r="D4187" s="7" t="n">
        <v>186</v>
      </c>
      <c r="E4187" s="8" t="n">
        <v>0.221720430107527</v>
      </c>
      <c r="F4187" s="4" t="n">
        <f aca="false">D4187*E4187</f>
        <v>41.24</v>
      </c>
      <c r="G4187" s="7" t="n">
        <v>10</v>
      </c>
      <c r="H4187" s="9" t="n">
        <f aca="false">IF(G4187&gt;0,D4187/G4187,"")</f>
        <v>18.6</v>
      </c>
      <c r="I4187" s="10" t="n">
        <v>46111</v>
      </c>
      <c r="K4187" s="10"/>
      <c r="M4187" s="7"/>
      <c r="N4187" s="8"/>
      <c r="O4187" s="4"/>
    </row>
    <row r="4188" customFormat="false" ht="15" hidden="false" customHeight="false" outlineLevel="0" collapsed="false">
      <c r="A4188" s="0" t="s">
        <v>5724</v>
      </c>
      <c r="C4188" s="0" t="s">
        <v>31</v>
      </c>
      <c r="D4188" s="7" t="n">
        <v>1451</v>
      </c>
      <c r="E4188" s="8" t="n">
        <v>0.0284148862853205</v>
      </c>
      <c r="F4188" s="4" t="n">
        <f aca="false">D4188*E4188</f>
        <v>41.23</v>
      </c>
      <c r="G4188" s="7" t="n">
        <v>413</v>
      </c>
      <c r="H4188" s="9" t="n">
        <f aca="false">IF(G4188&gt;0,D4188/G4188,"")</f>
        <v>3.51331719128329</v>
      </c>
      <c r="I4188" s="10" t="n">
        <v>46283</v>
      </c>
      <c r="K4188" s="10"/>
      <c r="M4188" s="7"/>
      <c r="N4188" s="8"/>
      <c r="O4188" s="4"/>
    </row>
    <row r="4189" customFormat="false" ht="15" hidden="false" customHeight="false" outlineLevel="0" collapsed="false">
      <c r="A4189" s="0" t="s">
        <v>5725</v>
      </c>
      <c r="C4189" s="0" t="s">
        <v>765</v>
      </c>
      <c r="D4189" s="7" t="n">
        <v>46</v>
      </c>
      <c r="E4189" s="8" t="n">
        <v>0.896086956521739</v>
      </c>
      <c r="F4189" s="4" t="n">
        <f aca="false">D4189*E4189</f>
        <v>41.22</v>
      </c>
      <c r="G4189" s="7" t="n">
        <v>24</v>
      </c>
      <c r="H4189" s="9" t="n">
        <f aca="false">IF(G4189&gt;0,D4189/G4189,"")</f>
        <v>1.91666666666667</v>
      </c>
      <c r="I4189" s="10" t="n">
        <v>46283</v>
      </c>
      <c r="J4189" s="3" t="s">
        <v>3961</v>
      </c>
      <c r="K4189" s="10" t="n">
        <v>45433</v>
      </c>
      <c r="L4189" s="3" t="s">
        <v>14</v>
      </c>
      <c r="M4189" s="7" t="n">
        <v>173</v>
      </c>
      <c r="N4189" s="8" t="n">
        <v>0.8961</v>
      </c>
      <c r="O4189" s="4" t="n">
        <f aca="false">M4189*N4189</f>
        <v>155.0253</v>
      </c>
    </row>
    <row r="4190" customFormat="false" ht="15" hidden="false" customHeight="false" outlineLevel="0" collapsed="false">
      <c r="A4190" s="0" t="s">
        <v>5726</v>
      </c>
      <c r="C4190" s="0" t="s">
        <v>295</v>
      </c>
      <c r="D4190" s="7" t="n">
        <v>525</v>
      </c>
      <c r="E4190" s="8" t="n">
        <v>0.0784952380952381</v>
      </c>
      <c r="F4190" s="4" t="n">
        <f aca="false">D4190*E4190</f>
        <v>41.21</v>
      </c>
      <c r="G4190" s="7" t="n">
        <v>175</v>
      </c>
      <c r="H4190" s="9" t="n">
        <f aca="false">IF(G4190&gt;0,D4190/G4190,"")</f>
        <v>3</v>
      </c>
      <c r="I4190" s="10" t="n">
        <v>46266</v>
      </c>
      <c r="J4190" s="3" t="s">
        <v>5727</v>
      </c>
      <c r="K4190" s="10" t="n">
        <v>46078</v>
      </c>
      <c r="L4190" s="3" t="s">
        <v>15</v>
      </c>
      <c r="M4190" s="7" t="n">
        <v>700</v>
      </c>
      <c r="N4190" s="8" t="n">
        <v>0.07849</v>
      </c>
      <c r="O4190" s="4" t="n">
        <f aca="false">M4190*N4190</f>
        <v>54.943</v>
      </c>
    </row>
    <row r="4191" customFormat="false" ht="15" hidden="false" customHeight="false" outlineLevel="0" collapsed="false">
      <c r="A4191" s="0" t="s">
        <v>5728</v>
      </c>
      <c r="C4191" s="0" t="s">
        <v>36</v>
      </c>
      <c r="D4191" s="7" t="n">
        <v>5527</v>
      </c>
      <c r="E4191" s="8" t="n">
        <v>0.00745612447982631</v>
      </c>
      <c r="F4191" s="4" t="n">
        <f aca="false">D4191*E4191</f>
        <v>41.21</v>
      </c>
      <c r="G4191" s="7" t="n">
        <v>4395</v>
      </c>
      <c r="H4191" s="9" t="n">
        <f aca="false">IF(G4191&gt;0,D4191/G4191,"")</f>
        <v>1.2575654152446</v>
      </c>
      <c r="I4191" s="10" t="n">
        <v>46251</v>
      </c>
      <c r="K4191" s="10"/>
      <c r="M4191" s="7"/>
      <c r="N4191" s="8"/>
      <c r="O4191" s="4"/>
    </row>
    <row r="4192" customFormat="false" ht="15" hidden="false" customHeight="false" outlineLevel="0" collapsed="false">
      <c r="A4192" s="0" t="s">
        <v>5729</v>
      </c>
      <c r="C4192" s="0" t="s">
        <v>36</v>
      </c>
      <c r="D4192" s="7" t="n">
        <v>625</v>
      </c>
      <c r="E4192" s="8" t="n">
        <v>0.065904</v>
      </c>
      <c r="F4192" s="4" t="n">
        <f aca="false">D4192*E4192</f>
        <v>41.19</v>
      </c>
      <c r="G4192" s="7" t="n">
        <v>106</v>
      </c>
      <c r="H4192" s="9" t="n">
        <f aca="false">IF(G4192&gt;0,D4192/G4192,"")</f>
        <v>5.89622641509434</v>
      </c>
      <c r="I4192" s="10" t="n">
        <v>46154</v>
      </c>
      <c r="J4192" s="3" t="s">
        <v>5730</v>
      </c>
      <c r="K4192" s="10" t="n">
        <v>44717</v>
      </c>
      <c r="L4192" s="3" t="s">
        <v>19</v>
      </c>
      <c r="M4192" s="7" t="n">
        <v>1002</v>
      </c>
      <c r="N4192" s="8" t="n">
        <v>0</v>
      </c>
      <c r="O4192" s="4" t="n">
        <v>66.1</v>
      </c>
    </row>
    <row r="4193" customFormat="false" ht="15" hidden="false" customHeight="false" outlineLevel="0" collapsed="false">
      <c r="A4193" s="0" t="s">
        <v>5731</v>
      </c>
      <c r="C4193" s="0" t="s">
        <v>1010</v>
      </c>
      <c r="D4193" s="7" t="n">
        <v>568</v>
      </c>
      <c r="E4193" s="8" t="n">
        <v>0.0725</v>
      </c>
      <c r="F4193" s="4" t="n">
        <f aca="false">D4193*E4193</f>
        <v>41.18</v>
      </c>
      <c r="G4193" s="7" t="n">
        <v>29</v>
      </c>
      <c r="H4193" s="9" t="n">
        <f aca="false">IF(G4193&gt;0,D4193/G4193,"")</f>
        <v>19.5862068965517</v>
      </c>
      <c r="I4193" s="10" t="n">
        <v>46111</v>
      </c>
      <c r="K4193" s="10"/>
      <c r="M4193" s="7"/>
      <c r="N4193" s="8"/>
      <c r="O4193" s="4"/>
    </row>
    <row r="4194" customFormat="false" ht="15" hidden="false" customHeight="false" outlineLevel="0" collapsed="false">
      <c r="A4194" s="0" t="s">
        <v>5732</v>
      </c>
      <c r="C4194" s="0" t="s">
        <v>2569</v>
      </c>
      <c r="D4194" s="7" t="n">
        <v>61</v>
      </c>
      <c r="E4194" s="8" t="n">
        <v>0.674918032786885</v>
      </c>
      <c r="F4194" s="4" t="n">
        <f aca="false">D4194*E4194</f>
        <v>41.17</v>
      </c>
      <c r="G4194" s="7" t="n">
        <v>6</v>
      </c>
      <c r="H4194" s="9" t="n">
        <f aca="false">IF(G4194&gt;0,D4194/G4194,"")</f>
        <v>10.1666666666667</v>
      </c>
      <c r="I4194" s="10" t="n">
        <v>46168</v>
      </c>
      <c r="J4194" s="3" t="s">
        <v>5733</v>
      </c>
      <c r="K4194" s="10" t="n">
        <v>45167</v>
      </c>
      <c r="L4194" s="3" t="s">
        <v>2571</v>
      </c>
      <c r="M4194" s="7" t="n">
        <v>200</v>
      </c>
      <c r="N4194" s="8" t="n">
        <v>0.675</v>
      </c>
      <c r="O4194" s="4" t="n">
        <f aca="false">M4194*N4194</f>
        <v>135</v>
      </c>
    </row>
    <row r="4195" customFormat="false" ht="15" hidden="false" customHeight="false" outlineLevel="0" collapsed="false">
      <c r="A4195" s="0" t="s">
        <v>5734</v>
      </c>
      <c r="C4195" s="0" t="s">
        <v>31</v>
      </c>
      <c r="D4195" s="7" t="n">
        <v>297</v>
      </c>
      <c r="E4195" s="8" t="n">
        <v>0.138619528619529</v>
      </c>
      <c r="F4195" s="4" t="n">
        <f aca="false">D4195*E4195</f>
        <v>41.17</v>
      </c>
      <c r="G4195" s="7" t="n">
        <v>17</v>
      </c>
      <c r="H4195" s="9" t="n">
        <f aca="false">IF(G4195&gt;0,D4195/G4195,"")</f>
        <v>17.4705882352941</v>
      </c>
      <c r="I4195" s="10" t="n">
        <v>46091</v>
      </c>
      <c r="K4195" s="10"/>
      <c r="M4195" s="7"/>
      <c r="N4195" s="8"/>
      <c r="O4195" s="4"/>
    </row>
    <row r="4196" customFormat="false" ht="15" hidden="false" customHeight="false" outlineLevel="0" collapsed="false">
      <c r="A4196" s="0" t="s">
        <v>5735</v>
      </c>
      <c r="C4196" s="0" t="s">
        <v>295</v>
      </c>
      <c r="D4196" s="7" t="n">
        <v>1183</v>
      </c>
      <c r="E4196" s="8" t="n">
        <v>0.034792899408284</v>
      </c>
      <c r="F4196" s="4" t="n">
        <f aca="false">D4196*E4196</f>
        <v>41.16</v>
      </c>
      <c r="G4196" s="7" t="n">
        <v>780</v>
      </c>
      <c r="H4196" s="9" t="n">
        <f aca="false">IF(G4196&gt;0,D4196/G4196,"")</f>
        <v>1.51666666666667</v>
      </c>
      <c r="I4196" s="10" t="n">
        <v>46308</v>
      </c>
      <c r="J4196" s="3" t="s">
        <v>3545</v>
      </c>
      <c r="K4196" s="10" t="n">
        <v>45772</v>
      </c>
      <c r="L4196" s="3" t="s">
        <v>19</v>
      </c>
      <c r="M4196" s="7" t="n">
        <v>1400</v>
      </c>
      <c r="N4196" s="8" t="n">
        <v>0.0361</v>
      </c>
      <c r="O4196" s="4" t="n">
        <f aca="false">M4196*N4196</f>
        <v>50.54</v>
      </c>
    </row>
    <row r="4197" customFormat="false" ht="15" hidden="false" customHeight="false" outlineLevel="0" collapsed="false">
      <c r="A4197" s="0" t="s">
        <v>5736</v>
      </c>
      <c r="C4197" s="0" t="s">
        <v>40</v>
      </c>
      <c r="D4197" s="7" t="n">
        <v>639</v>
      </c>
      <c r="E4197" s="8" t="n">
        <v>0.0644131455399061</v>
      </c>
      <c r="F4197" s="4" t="n">
        <f aca="false">D4197*E4197</f>
        <v>41.16</v>
      </c>
      <c r="G4197" s="7" t="n">
        <v>108</v>
      </c>
      <c r="H4197" s="9" t="n">
        <f aca="false">IF(G4197&gt;0,D4197/G4197,"")</f>
        <v>5.91666666666667</v>
      </c>
      <c r="I4197" s="10" t="n">
        <v>46314</v>
      </c>
      <c r="J4197" s="3" t="s">
        <v>3334</v>
      </c>
      <c r="K4197" s="10" t="n">
        <v>44403</v>
      </c>
      <c r="L4197" s="3" t="s">
        <v>18</v>
      </c>
      <c r="M4197" s="7" t="n">
        <v>1300</v>
      </c>
      <c r="N4197" s="8" t="n">
        <v>0.0542</v>
      </c>
      <c r="O4197" s="4" t="n">
        <f aca="false">M4197*N4197</f>
        <v>70.46</v>
      </c>
    </row>
    <row r="4198" customFormat="false" ht="15" hidden="false" customHeight="false" outlineLevel="0" collapsed="false">
      <c r="A4198" s="0" t="s">
        <v>5737</v>
      </c>
      <c r="C4198" s="0" t="s">
        <v>34</v>
      </c>
      <c r="D4198" s="7" t="n">
        <v>314</v>
      </c>
      <c r="E4198" s="8" t="n">
        <v>0.130987261146497</v>
      </c>
      <c r="F4198" s="4" t="n">
        <f aca="false">D4198*E4198</f>
        <v>41.13</v>
      </c>
      <c r="G4198" s="7" t="n">
        <v>71</v>
      </c>
      <c r="H4198" s="9" t="n">
        <f aca="false">IF(G4198&gt;0,D4198/G4198,"")</f>
        <v>4.42253521126761</v>
      </c>
      <c r="I4198" s="10" t="n">
        <v>46244</v>
      </c>
      <c r="J4198" s="3" t="s">
        <v>570</v>
      </c>
      <c r="K4198" s="10" t="n">
        <v>46106</v>
      </c>
      <c r="L4198" s="3" t="s">
        <v>16</v>
      </c>
      <c r="M4198" s="7" t="n">
        <v>385</v>
      </c>
      <c r="N4198" s="8" t="n">
        <v>0.131</v>
      </c>
      <c r="O4198" s="4" t="n">
        <f aca="false">M4198*N4198</f>
        <v>50.435</v>
      </c>
    </row>
    <row r="4199" customFormat="false" ht="15" hidden="false" customHeight="false" outlineLevel="0" collapsed="false">
      <c r="A4199" s="0" t="s">
        <v>5738</v>
      </c>
      <c r="C4199" s="0" t="s">
        <v>715</v>
      </c>
      <c r="D4199" s="7" t="n">
        <v>2952</v>
      </c>
      <c r="E4199" s="8" t="n">
        <v>0.013929539295393</v>
      </c>
      <c r="F4199" s="4" t="n">
        <f aca="false">D4199*E4199</f>
        <v>41.12</v>
      </c>
      <c r="G4199" s="7" t="n">
        <v>250</v>
      </c>
      <c r="H4199" s="9" t="n">
        <f aca="false">IF(G4199&gt;0,D4199/G4199,"")</f>
        <v>11.808</v>
      </c>
      <c r="I4199" s="10" t="n">
        <v>46171</v>
      </c>
      <c r="J4199" s="3" t="s">
        <v>3030</v>
      </c>
      <c r="K4199" s="10" t="n">
        <v>46126</v>
      </c>
      <c r="L4199" s="3" t="s">
        <v>14</v>
      </c>
      <c r="M4199" s="7" t="n">
        <v>3069</v>
      </c>
      <c r="N4199" s="8" t="n">
        <v>0.0139</v>
      </c>
      <c r="O4199" s="4" t="n">
        <f aca="false">M4199*N4199</f>
        <v>42.6591</v>
      </c>
    </row>
    <row r="4200" customFormat="false" ht="15" hidden="false" customHeight="false" outlineLevel="0" collapsed="false">
      <c r="A4200" s="0" t="s">
        <v>5739</v>
      </c>
      <c r="C4200" s="0" t="s">
        <v>34</v>
      </c>
      <c r="D4200" s="7" t="n">
        <v>374</v>
      </c>
      <c r="E4200" s="8" t="n">
        <v>0.109893048128342</v>
      </c>
      <c r="F4200" s="4" t="n">
        <f aca="false">D4200*E4200</f>
        <v>41.1</v>
      </c>
      <c r="G4200" s="7" t="n">
        <v>5</v>
      </c>
      <c r="H4200" s="9" t="n">
        <f aca="false">IF(G4200&gt;0,D4200/G4200,"")</f>
        <v>74.8</v>
      </c>
      <c r="I4200" s="10" t="n">
        <v>46118</v>
      </c>
      <c r="J4200" s="3" t="s">
        <v>3385</v>
      </c>
      <c r="K4200" s="10" t="n">
        <v>45595</v>
      </c>
      <c r="L4200" s="3" t="s">
        <v>16</v>
      </c>
      <c r="M4200" s="7" t="n">
        <v>460</v>
      </c>
      <c r="N4200" s="8" t="n">
        <v>0.08</v>
      </c>
      <c r="O4200" s="4" t="n">
        <f aca="false">M4200*N4200</f>
        <v>36.8</v>
      </c>
    </row>
    <row r="4201" customFormat="false" ht="15" hidden="false" customHeight="false" outlineLevel="0" collapsed="false">
      <c r="A4201" s="0" t="s">
        <v>5740</v>
      </c>
      <c r="C4201" s="0" t="s">
        <v>855</v>
      </c>
      <c r="D4201" s="7" t="n">
        <v>146</v>
      </c>
      <c r="E4201" s="8" t="n">
        <v>0.281095890410959</v>
      </c>
      <c r="F4201" s="4" t="n">
        <f aca="false">D4201*E4201</f>
        <v>41.04</v>
      </c>
      <c r="G4201" s="7" t="n">
        <v>2</v>
      </c>
      <c r="H4201" s="9" t="n">
        <f aca="false">IF(G4201&gt;0,D4201/G4201,"")</f>
        <v>73</v>
      </c>
      <c r="I4201" s="10" t="n">
        <v>46090</v>
      </c>
      <c r="J4201" s="3" t="s">
        <v>1369</v>
      </c>
      <c r="K4201" s="10" t="n">
        <v>44299</v>
      </c>
      <c r="L4201" s="3" t="s">
        <v>15</v>
      </c>
      <c r="M4201" s="7" t="n">
        <v>153</v>
      </c>
      <c r="N4201" s="8" t="n">
        <v>0.28112</v>
      </c>
      <c r="O4201" s="4" t="n">
        <f aca="false">M4201*N4201</f>
        <v>43.01136</v>
      </c>
    </row>
    <row r="4202" customFormat="false" ht="15" hidden="false" customHeight="false" outlineLevel="0" collapsed="false">
      <c r="A4202" s="0" t="s">
        <v>5741</v>
      </c>
      <c r="C4202" s="0" t="s">
        <v>5255</v>
      </c>
      <c r="D4202" s="7" t="n">
        <v>145</v>
      </c>
      <c r="E4202" s="8" t="n">
        <v>0.282896551724138</v>
      </c>
      <c r="F4202" s="4" t="n">
        <f aca="false">D4202*E4202</f>
        <v>41.02</v>
      </c>
      <c r="G4202" s="7" t="n">
        <v>2</v>
      </c>
      <c r="H4202" s="9" t="n">
        <f aca="false">IF(G4202&gt;0,D4202/G4202,"")</f>
        <v>72.5</v>
      </c>
      <c r="I4202" s="10" t="n">
        <v>46234</v>
      </c>
      <c r="J4202" s="3" t="s">
        <v>3979</v>
      </c>
      <c r="K4202" s="10" t="n">
        <v>44286</v>
      </c>
      <c r="L4202" s="3" t="s">
        <v>19</v>
      </c>
      <c r="M4202" s="7" t="n">
        <v>150</v>
      </c>
      <c r="N4202" s="8" t="n">
        <v>0.2829</v>
      </c>
      <c r="O4202" s="4" t="n">
        <f aca="false">M4202*N4202</f>
        <v>42.435</v>
      </c>
    </row>
    <row r="4203" customFormat="false" ht="15" hidden="false" customHeight="false" outlineLevel="0" collapsed="false">
      <c r="A4203" s="0" t="s">
        <v>5742</v>
      </c>
      <c r="C4203" s="0" t="s">
        <v>31</v>
      </c>
      <c r="D4203" s="7" t="n">
        <v>852</v>
      </c>
      <c r="E4203" s="8" t="n">
        <v>0.0481103286384977</v>
      </c>
      <c r="F4203" s="4" t="n">
        <f aca="false">D4203*E4203</f>
        <v>40.99</v>
      </c>
      <c r="G4203" s="7" t="n">
        <v>15</v>
      </c>
      <c r="H4203" s="9" t="n">
        <f aca="false">IF(G4203&gt;0,D4203/G4203,"")</f>
        <v>56.8</v>
      </c>
      <c r="I4203" s="10" t="n">
        <v>46094</v>
      </c>
      <c r="J4203" s="3" t="s">
        <v>5743</v>
      </c>
      <c r="K4203" s="10" t="n">
        <v>44664</v>
      </c>
      <c r="L4203" s="3" t="s">
        <v>19</v>
      </c>
      <c r="M4203" s="7" t="n">
        <v>1181</v>
      </c>
      <c r="N4203" s="8" t="n">
        <v>0.0481</v>
      </c>
      <c r="O4203" s="4" t="n">
        <f aca="false">M4203*N4203</f>
        <v>56.8061</v>
      </c>
    </row>
    <row r="4204" customFormat="false" ht="15" hidden="false" customHeight="false" outlineLevel="0" collapsed="false">
      <c r="A4204" s="0" t="s">
        <v>5744</v>
      </c>
      <c r="C4204" s="0" t="s">
        <v>31</v>
      </c>
      <c r="D4204" s="7" t="n">
        <v>4097</v>
      </c>
      <c r="E4204" s="8" t="n">
        <v>0.01</v>
      </c>
      <c r="F4204" s="4" t="n">
        <f aca="false">D4204*E4204</f>
        <v>40.97</v>
      </c>
      <c r="G4204" s="7" t="n">
        <v>59</v>
      </c>
      <c r="H4204" s="9" t="n">
        <f aca="false">IF(G4204&gt;0,D4204/G4204,"")</f>
        <v>69.4406779661017</v>
      </c>
      <c r="I4204" s="10" t="n">
        <v>46204</v>
      </c>
      <c r="K4204" s="10"/>
      <c r="M4204" s="7"/>
      <c r="N4204" s="8"/>
      <c r="O4204" s="4"/>
    </row>
    <row r="4205" customFormat="false" ht="15" hidden="false" customHeight="false" outlineLevel="0" collapsed="false">
      <c r="A4205" s="0" t="s">
        <v>5745</v>
      </c>
      <c r="D4205" s="7" t="n">
        <v>15</v>
      </c>
      <c r="E4205" s="8" t="n">
        <v>2.73133333333333</v>
      </c>
      <c r="F4205" s="4" t="n">
        <f aca="false">D4205*E4205</f>
        <v>40.97</v>
      </c>
      <c r="G4205" s="7" t="n">
        <v>5</v>
      </c>
      <c r="H4205" s="9" t="n">
        <f aca="false">IF(G4205&gt;0,D4205/G4205,"")</f>
        <v>3</v>
      </c>
      <c r="I4205" s="10" t="n">
        <v>46048</v>
      </c>
      <c r="J4205" s="3" t="s">
        <v>1810</v>
      </c>
      <c r="K4205" s="10" t="n">
        <v>44942</v>
      </c>
      <c r="L4205" s="3" t="s">
        <v>14</v>
      </c>
      <c r="M4205" s="7" t="n">
        <v>30</v>
      </c>
      <c r="N4205" s="8" t="n">
        <v>2.7313</v>
      </c>
      <c r="O4205" s="4" t="n">
        <f aca="false">M4205*N4205</f>
        <v>81.939</v>
      </c>
    </row>
    <row r="4206" customFormat="false" ht="15" hidden="false" customHeight="false" outlineLevel="0" collapsed="false">
      <c r="A4206" s="0" t="s">
        <v>5746</v>
      </c>
      <c r="C4206" s="0" t="s">
        <v>765</v>
      </c>
      <c r="D4206" s="7" t="n">
        <v>96</v>
      </c>
      <c r="E4206" s="8" t="n">
        <v>0.42625</v>
      </c>
      <c r="F4206" s="4" t="n">
        <f aca="false">D4206*E4206</f>
        <v>40.92</v>
      </c>
      <c r="G4206" s="7" t="n">
        <v>5</v>
      </c>
      <c r="H4206" s="9" t="n">
        <f aca="false">IF(G4206&gt;0,D4206/G4206,"")</f>
        <v>19.2</v>
      </c>
      <c r="I4206" s="10" t="n">
        <v>46294</v>
      </c>
      <c r="J4206" s="3" t="s">
        <v>2278</v>
      </c>
      <c r="K4206" s="10" t="n">
        <v>45702</v>
      </c>
      <c r="L4206" s="3" t="s">
        <v>14</v>
      </c>
      <c r="M4206" s="7" t="n">
        <v>101</v>
      </c>
      <c r="N4206" s="8" t="n">
        <v>0.4262</v>
      </c>
      <c r="O4206" s="4" t="n">
        <f aca="false">M4206*N4206</f>
        <v>43.0462</v>
      </c>
    </row>
    <row r="4207" customFormat="false" ht="15" hidden="false" customHeight="false" outlineLevel="0" collapsed="false">
      <c r="A4207" s="0" t="s">
        <v>5747</v>
      </c>
      <c r="C4207" s="0" t="s">
        <v>38</v>
      </c>
      <c r="D4207" s="7" t="n">
        <v>439</v>
      </c>
      <c r="E4207" s="8" t="n">
        <v>0.0931890660592255</v>
      </c>
      <c r="F4207" s="4" t="n">
        <f aca="false">D4207*E4207</f>
        <v>40.91</v>
      </c>
      <c r="G4207" s="7" t="n">
        <v>31</v>
      </c>
      <c r="H4207" s="9" t="n">
        <f aca="false">IF(G4207&gt;0,D4207/G4207,"")</f>
        <v>14.1612903225806</v>
      </c>
      <c r="I4207" s="10" t="n">
        <v>46108</v>
      </c>
      <c r="J4207" s="3" t="s">
        <v>1274</v>
      </c>
      <c r="K4207" s="10" t="n">
        <v>45468</v>
      </c>
      <c r="L4207" s="3" t="s">
        <v>14</v>
      </c>
      <c r="M4207" s="7" t="n">
        <v>1000</v>
      </c>
      <c r="N4207" s="8" t="n">
        <v>0.0932</v>
      </c>
      <c r="O4207" s="4" t="n">
        <f aca="false">M4207*N4207</f>
        <v>93.2</v>
      </c>
    </row>
    <row r="4208" customFormat="false" ht="15" hidden="false" customHeight="false" outlineLevel="0" collapsed="false">
      <c r="A4208" s="0" t="s">
        <v>5748</v>
      </c>
      <c r="C4208" s="0" t="s">
        <v>855</v>
      </c>
      <c r="D4208" s="7" t="n">
        <v>57</v>
      </c>
      <c r="E4208" s="8" t="n">
        <v>0.717719298245614</v>
      </c>
      <c r="F4208" s="4" t="n">
        <f aca="false">D4208*E4208</f>
        <v>40.91</v>
      </c>
      <c r="G4208" s="7" t="n">
        <v>4</v>
      </c>
      <c r="H4208" s="9" t="n">
        <f aca="false">IF(G4208&gt;0,D4208/G4208,"")</f>
        <v>14.25</v>
      </c>
      <c r="I4208" s="10" t="n">
        <v>46297</v>
      </c>
      <c r="J4208" s="3" t="s">
        <v>5415</v>
      </c>
      <c r="K4208" s="10" t="n">
        <v>44329</v>
      </c>
      <c r="L4208" s="3" t="s">
        <v>15</v>
      </c>
      <c r="M4208" s="7" t="n">
        <v>66</v>
      </c>
      <c r="N4208" s="8" t="n">
        <v>0.71771</v>
      </c>
      <c r="O4208" s="4" t="n">
        <f aca="false">M4208*N4208</f>
        <v>47.36886</v>
      </c>
    </row>
    <row r="4209" customFormat="false" ht="15" hidden="false" customHeight="false" outlineLevel="0" collapsed="false">
      <c r="A4209" s="0" t="s">
        <v>5749</v>
      </c>
      <c r="C4209" s="0" t="s">
        <v>285</v>
      </c>
      <c r="D4209" s="7" t="n">
        <v>693</v>
      </c>
      <c r="E4209" s="8" t="n">
        <v>0.059004329004329</v>
      </c>
      <c r="F4209" s="4" t="n">
        <f aca="false">D4209*E4209</f>
        <v>40.89</v>
      </c>
      <c r="G4209" s="7" t="n">
        <v>30</v>
      </c>
      <c r="H4209" s="9" t="n">
        <f aca="false">IF(G4209&gt;0,D4209/G4209,"")</f>
        <v>23.1</v>
      </c>
      <c r="I4209" s="10" t="n">
        <v>46304</v>
      </c>
      <c r="K4209" s="10"/>
      <c r="M4209" s="7"/>
      <c r="N4209" s="8"/>
      <c r="O4209" s="4"/>
    </row>
    <row r="4210" customFormat="false" ht="15" hidden="false" customHeight="false" outlineLevel="0" collapsed="false">
      <c r="A4210" s="0" t="s">
        <v>5750</v>
      </c>
      <c r="C4210" s="0" t="s">
        <v>34</v>
      </c>
      <c r="D4210" s="7" t="n">
        <v>4493</v>
      </c>
      <c r="E4210" s="8" t="n">
        <v>0.00909859781882929</v>
      </c>
      <c r="F4210" s="4" t="n">
        <f aca="false">D4210*E4210</f>
        <v>40.88</v>
      </c>
      <c r="G4210" s="7" t="n">
        <v>1565</v>
      </c>
      <c r="H4210" s="9" t="n">
        <f aca="false">IF(G4210&gt;0,D4210/G4210,"")</f>
        <v>2.87092651757188</v>
      </c>
      <c r="I4210" s="10" t="n">
        <v>46308</v>
      </c>
      <c r="J4210" s="3" t="s">
        <v>628</v>
      </c>
      <c r="K4210" s="10" t="n">
        <v>46128</v>
      </c>
      <c r="L4210" s="3" t="s">
        <v>16</v>
      </c>
      <c r="M4210" s="7" t="n">
        <v>5500</v>
      </c>
      <c r="N4210" s="8" t="n">
        <v>0.0091</v>
      </c>
      <c r="O4210" s="4" t="n">
        <f aca="false">M4210*N4210</f>
        <v>50.05</v>
      </c>
    </row>
    <row r="4211" customFormat="false" ht="15" hidden="false" customHeight="false" outlineLevel="0" collapsed="false">
      <c r="A4211" s="0" t="s">
        <v>5751</v>
      </c>
      <c r="C4211" s="0" t="s">
        <v>31</v>
      </c>
      <c r="D4211" s="7" t="n">
        <v>1682</v>
      </c>
      <c r="E4211" s="8" t="n">
        <v>0.0243043995243757</v>
      </c>
      <c r="F4211" s="4" t="n">
        <f aca="false">D4211*E4211</f>
        <v>40.88</v>
      </c>
      <c r="G4211" s="7" t="n">
        <v>290</v>
      </c>
      <c r="H4211" s="9" t="n">
        <f aca="false">IF(G4211&gt;0,D4211/G4211,"")</f>
        <v>5.8</v>
      </c>
      <c r="I4211" s="10" t="n">
        <v>46316</v>
      </c>
      <c r="K4211" s="10"/>
      <c r="M4211" s="7"/>
      <c r="N4211" s="8"/>
      <c r="O4211" s="4"/>
    </row>
    <row r="4212" customFormat="false" ht="15" hidden="false" customHeight="false" outlineLevel="0" collapsed="false">
      <c r="A4212" s="0" t="s">
        <v>5752</v>
      </c>
      <c r="C4212" s="0" t="s">
        <v>34</v>
      </c>
      <c r="D4212" s="7" t="n">
        <v>103</v>
      </c>
      <c r="E4212" s="8" t="n">
        <v>0.396504854368932</v>
      </c>
      <c r="F4212" s="4" t="n">
        <f aca="false">D4212*E4212</f>
        <v>40.84</v>
      </c>
      <c r="G4212" s="7" t="n">
        <v>97</v>
      </c>
      <c r="H4212" s="9" t="n">
        <f aca="false">IF(G4212&gt;0,D4212/G4212,"")</f>
        <v>1.06185567010309</v>
      </c>
      <c r="I4212" s="10" t="n">
        <v>46314</v>
      </c>
      <c r="J4212" s="3" t="s">
        <v>3966</v>
      </c>
      <c r="K4212" s="10" t="n">
        <v>46315</v>
      </c>
      <c r="L4212" s="3" t="s">
        <v>19</v>
      </c>
      <c r="M4212" s="7" t="n">
        <v>100</v>
      </c>
      <c r="N4212" s="8" t="n">
        <v>0.3962</v>
      </c>
      <c r="O4212" s="4" t="n">
        <f aca="false">M4212*N4212</f>
        <v>39.62</v>
      </c>
    </row>
    <row r="4213" customFormat="false" ht="15" hidden="false" customHeight="false" outlineLevel="0" collapsed="false">
      <c r="A4213" s="0" t="s">
        <v>5753</v>
      </c>
      <c r="C4213" s="0" t="s">
        <v>31</v>
      </c>
      <c r="D4213" s="7" t="n">
        <v>484</v>
      </c>
      <c r="E4213" s="8" t="n">
        <v>0.084297520661157</v>
      </c>
      <c r="F4213" s="4" t="n">
        <f aca="false">D4213*E4213</f>
        <v>40.8</v>
      </c>
      <c r="G4213" s="7" t="n">
        <v>200</v>
      </c>
      <c r="H4213" s="9" t="n">
        <f aca="false">IF(G4213&gt;0,D4213/G4213,"")</f>
        <v>2.42</v>
      </c>
      <c r="I4213" s="10" t="n">
        <v>46246</v>
      </c>
      <c r="J4213" s="3" t="s">
        <v>1318</v>
      </c>
      <c r="K4213" s="10" t="n">
        <v>46213</v>
      </c>
      <c r="L4213" s="3" t="s">
        <v>16</v>
      </c>
      <c r="M4213" s="7" t="n">
        <v>600</v>
      </c>
      <c r="N4213" s="8" t="n">
        <v>0.0843</v>
      </c>
      <c r="O4213" s="4" t="n">
        <f aca="false">M4213*N4213</f>
        <v>50.58</v>
      </c>
    </row>
    <row r="4214" customFormat="false" ht="15" hidden="false" customHeight="false" outlineLevel="0" collapsed="false">
      <c r="A4214" s="0" t="s">
        <v>5754</v>
      </c>
      <c r="C4214" s="0" t="s">
        <v>1169</v>
      </c>
      <c r="D4214" s="7" t="n">
        <v>84</v>
      </c>
      <c r="E4214" s="8" t="n">
        <v>0.485357142857143</v>
      </c>
      <c r="F4214" s="4" t="n">
        <f aca="false">D4214*E4214</f>
        <v>40.77</v>
      </c>
      <c r="G4214" s="7" t="n">
        <v>10</v>
      </c>
      <c r="H4214" s="9" t="n">
        <f aca="false">IF(G4214&gt;0,D4214/G4214,"")</f>
        <v>8.4</v>
      </c>
      <c r="I4214" s="10" t="n">
        <v>46126</v>
      </c>
      <c r="J4214" s="3" t="s">
        <v>3805</v>
      </c>
      <c r="K4214" s="10" t="n">
        <v>45457</v>
      </c>
      <c r="L4214" s="3" t="s">
        <v>14</v>
      </c>
      <c r="M4214" s="7" t="n">
        <v>100</v>
      </c>
      <c r="N4214" s="8" t="n">
        <v>0.4853</v>
      </c>
      <c r="O4214" s="4" t="n">
        <f aca="false">M4214*N4214</f>
        <v>48.53</v>
      </c>
    </row>
    <row r="4215" customFormat="false" ht="15" hidden="false" customHeight="false" outlineLevel="0" collapsed="false">
      <c r="A4215" s="0" t="s">
        <v>5755</v>
      </c>
      <c r="C4215" s="0" t="s">
        <v>298</v>
      </c>
      <c r="D4215" s="7" t="n">
        <v>444</v>
      </c>
      <c r="E4215" s="8" t="n">
        <v>0.0917792792792793</v>
      </c>
      <c r="F4215" s="4" t="n">
        <f aca="false">D4215*E4215</f>
        <v>40.75</v>
      </c>
      <c r="G4215" s="7" t="n">
        <v>86</v>
      </c>
      <c r="H4215" s="9" t="n">
        <f aca="false">IF(G4215&gt;0,D4215/G4215,"")</f>
        <v>5.16279069767442</v>
      </c>
      <c r="I4215" s="10" t="n">
        <v>46304</v>
      </c>
      <c r="K4215" s="10"/>
      <c r="M4215" s="7"/>
      <c r="N4215" s="8"/>
      <c r="O4215" s="4"/>
    </row>
    <row r="4216" customFormat="false" ht="15" hidden="false" customHeight="false" outlineLevel="0" collapsed="false">
      <c r="A4216" s="0" t="s">
        <v>5756</v>
      </c>
      <c r="C4216" s="0" t="s">
        <v>1039</v>
      </c>
      <c r="D4216" s="7" t="n">
        <v>1729</v>
      </c>
      <c r="E4216" s="8" t="n">
        <v>0.023556969346443</v>
      </c>
      <c r="F4216" s="4" t="n">
        <f aca="false">D4216*E4216</f>
        <v>40.73</v>
      </c>
      <c r="G4216" s="7" t="n">
        <v>244</v>
      </c>
      <c r="H4216" s="9" t="n">
        <f aca="false">IF(G4216&gt;0,D4216/G4216,"")</f>
        <v>7.08606557377049</v>
      </c>
      <c r="I4216" s="10" t="n">
        <v>46171</v>
      </c>
      <c r="J4216" s="3" t="s">
        <v>495</v>
      </c>
      <c r="K4216" s="10" t="n">
        <v>45925</v>
      </c>
      <c r="L4216" s="3" t="s">
        <v>16</v>
      </c>
      <c r="M4216" s="7" t="n">
        <v>2000</v>
      </c>
      <c r="N4216" s="8" t="n">
        <v>0.0234</v>
      </c>
      <c r="O4216" s="4" t="n">
        <f aca="false">M4216*N4216</f>
        <v>46.8</v>
      </c>
    </row>
    <row r="4217" customFormat="false" ht="15" hidden="false" customHeight="false" outlineLevel="0" collapsed="false">
      <c r="A4217" s="0" t="s">
        <v>5757</v>
      </c>
      <c r="C4217" s="0" t="s">
        <v>37</v>
      </c>
      <c r="D4217" s="7" t="n">
        <v>189</v>
      </c>
      <c r="E4217" s="8" t="n">
        <v>0.215449735449735</v>
      </c>
      <c r="F4217" s="4" t="n">
        <f aca="false">D4217*E4217</f>
        <v>40.72</v>
      </c>
      <c r="G4217" s="7" t="n">
        <v>64</v>
      </c>
      <c r="H4217" s="9" t="n">
        <f aca="false">IF(G4217&gt;0,D4217/G4217,"")</f>
        <v>2.953125</v>
      </c>
      <c r="I4217" s="10" t="n">
        <v>46288</v>
      </c>
      <c r="J4217" s="3" t="s">
        <v>341</v>
      </c>
      <c r="K4217" s="10" t="n">
        <v>46078</v>
      </c>
      <c r="L4217" s="3" t="s">
        <v>15</v>
      </c>
      <c r="M4217" s="7" t="n">
        <v>202</v>
      </c>
      <c r="N4217" s="8" t="n">
        <v>0.21565</v>
      </c>
      <c r="O4217" s="4" t="n">
        <f aca="false">M4217*N4217</f>
        <v>43.5613</v>
      </c>
    </row>
    <row r="4218" customFormat="false" ht="15" hidden="false" customHeight="false" outlineLevel="0" collapsed="false">
      <c r="A4218" s="0" t="s">
        <v>5758</v>
      </c>
      <c r="C4218" s="0" t="s">
        <v>61</v>
      </c>
      <c r="D4218" s="7" t="n">
        <v>11</v>
      </c>
      <c r="E4218" s="8" t="n">
        <v>3.7</v>
      </c>
      <c r="F4218" s="4" t="n">
        <f aca="false">D4218*E4218</f>
        <v>40.7</v>
      </c>
      <c r="G4218" s="7" t="n">
        <v>4</v>
      </c>
      <c r="H4218" s="9" t="n">
        <f aca="false">IF(G4218&gt;0,D4218/G4218,"")</f>
        <v>2.75</v>
      </c>
      <c r="I4218" s="10" t="n">
        <v>46286</v>
      </c>
      <c r="J4218" s="3" t="s">
        <v>315</v>
      </c>
      <c r="K4218" s="10" t="n">
        <v>46274</v>
      </c>
      <c r="L4218" s="3" t="s">
        <v>14</v>
      </c>
      <c r="M4218" s="7" t="n">
        <v>15</v>
      </c>
      <c r="N4218" s="8" t="n">
        <v>3.6993</v>
      </c>
      <c r="O4218" s="4" t="n">
        <f aca="false">M4218*N4218</f>
        <v>55.4895</v>
      </c>
    </row>
    <row r="4219" customFormat="false" ht="15" hidden="false" customHeight="false" outlineLevel="0" collapsed="false">
      <c r="A4219" s="0" t="s">
        <v>5759</v>
      </c>
      <c r="C4219" s="0" t="s">
        <v>41</v>
      </c>
      <c r="D4219" s="7" t="n">
        <v>4258</v>
      </c>
      <c r="E4219" s="8" t="n">
        <v>0.00954203851573509</v>
      </c>
      <c r="F4219" s="4" t="n">
        <f aca="false">D4219*E4219</f>
        <v>40.63</v>
      </c>
      <c r="G4219" s="7" t="n">
        <v>1294</v>
      </c>
      <c r="H4219" s="9" t="n">
        <f aca="false">IF(G4219&gt;0,D4219/G4219,"")</f>
        <v>3.29057187017002</v>
      </c>
      <c r="I4219" s="10" t="n">
        <v>46273</v>
      </c>
      <c r="J4219" s="3" t="s">
        <v>4181</v>
      </c>
      <c r="K4219" s="10" t="n">
        <v>45198</v>
      </c>
      <c r="L4219" s="3" t="s">
        <v>16</v>
      </c>
      <c r="M4219" s="7" t="n">
        <v>10000</v>
      </c>
      <c r="N4219" s="8" t="n">
        <v>0.00954</v>
      </c>
      <c r="O4219" s="4" t="n">
        <f aca="false">M4219*N4219</f>
        <v>95.4</v>
      </c>
    </row>
    <row r="4220" customFormat="false" ht="15" hidden="false" customHeight="false" outlineLevel="0" collapsed="false">
      <c r="A4220" s="0" t="s">
        <v>5760</v>
      </c>
      <c r="C4220" s="0" t="s">
        <v>855</v>
      </c>
      <c r="D4220" s="7" t="n">
        <v>116</v>
      </c>
      <c r="E4220" s="8" t="n">
        <v>0.35</v>
      </c>
      <c r="F4220" s="4" t="n">
        <f aca="false">D4220*E4220</f>
        <v>40.6</v>
      </c>
      <c r="G4220" s="7" t="n">
        <v>36</v>
      </c>
      <c r="H4220" s="9" t="n">
        <f aca="false">IF(G4220&gt;0,D4220/G4220,"")</f>
        <v>3.22222222222222</v>
      </c>
      <c r="I4220" s="10" t="n">
        <v>46259</v>
      </c>
      <c r="K4220" s="10"/>
      <c r="M4220" s="7"/>
      <c r="N4220" s="8"/>
      <c r="O4220" s="4"/>
    </row>
    <row r="4221" customFormat="false" ht="15" hidden="false" customHeight="false" outlineLevel="0" collapsed="false">
      <c r="A4221" s="0" t="s">
        <v>5761</v>
      </c>
      <c r="C4221" s="0" t="s">
        <v>34</v>
      </c>
      <c r="D4221" s="7" t="n">
        <v>72</v>
      </c>
      <c r="E4221" s="8" t="n">
        <v>0.563333333333333</v>
      </c>
      <c r="F4221" s="4" t="n">
        <f aca="false">D4221*E4221</f>
        <v>40.56</v>
      </c>
      <c r="G4221" s="7" t="n">
        <v>5</v>
      </c>
      <c r="H4221" s="9" t="n">
        <f aca="false">IF(G4221&gt;0,D4221/G4221,"")</f>
        <v>14.4</v>
      </c>
      <c r="I4221" s="10" t="n">
        <v>46084</v>
      </c>
      <c r="J4221" s="3" t="s">
        <v>90</v>
      </c>
      <c r="K4221" s="10" t="n">
        <v>46055</v>
      </c>
      <c r="L4221" s="3" t="s">
        <v>16</v>
      </c>
      <c r="M4221" s="7" t="n">
        <v>77</v>
      </c>
      <c r="N4221" s="8" t="n">
        <v>0.5634</v>
      </c>
      <c r="O4221" s="4" t="n">
        <f aca="false">M4221*N4221</f>
        <v>43.3818</v>
      </c>
    </row>
    <row r="4222" customFormat="false" ht="15" hidden="false" customHeight="false" outlineLevel="0" collapsed="false">
      <c r="A4222" s="0" t="s">
        <v>5762</v>
      </c>
      <c r="C4222" s="0" t="s">
        <v>298</v>
      </c>
      <c r="D4222" s="7" t="n">
        <v>27</v>
      </c>
      <c r="E4222" s="8" t="n">
        <v>1.50185185185185</v>
      </c>
      <c r="F4222" s="4" t="n">
        <f aca="false">D4222*E4222</f>
        <v>40.55</v>
      </c>
      <c r="G4222" s="7" t="n">
        <v>11</v>
      </c>
      <c r="H4222" s="9" t="n">
        <f aca="false">IF(G4222&gt;0,D4222/G4222,"")</f>
        <v>2.45454545454545</v>
      </c>
      <c r="I4222" s="10" t="n">
        <v>46148</v>
      </c>
      <c r="J4222" s="3" t="s">
        <v>821</v>
      </c>
      <c r="K4222" s="10" t="n">
        <v>45364</v>
      </c>
      <c r="L4222" s="3" t="s">
        <v>14</v>
      </c>
      <c r="M4222" s="7" t="n">
        <v>50</v>
      </c>
      <c r="N4222" s="8" t="n">
        <v>1.5016</v>
      </c>
      <c r="O4222" s="4" t="n">
        <f aca="false">M4222*N4222</f>
        <v>75.08</v>
      </c>
    </row>
    <row r="4223" customFormat="false" ht="15" hidden="false" customHeight="false" outlineLevel="0" collapsed="false">
      <c r="A4223" s="0" t="s">
        <v>5763</v>
      </c>
      <c r="C4223" s="0" t="s">
        <v>765</v>
      </c>
      <c r="D4223" s="7" t="n">
        <v>705</v>
      </c>
      <c r="E4223" s="8" t="n">
        <v>0.0575035460992908</v>
      </c>
      <c r="F4223" s="4" t="n">
        <f aca="false">D4223*E4223</f>
        <v>40.54</v>
      </c>
      <c r="G4223" s="7" t="n">
        <v>118</v>
      </c>
      <c r="H4223" s="9" t="n">
        <f aca="false">IF(G4223&gt;0,D4223/G4223,"")</f>
        <v>5.97457627118644</v>
      </c>
      <c r="I4223" s="10" t="n">
        <v>46293</v>
      </c>
      <c r="J4223" s="3" t="s">
        <v>658</v>
      </c>
      <c r="K4223" s="10" t="n">
        <v>45552</v>
      </c>
      <c r="L4223" s="3" t="s">
        <v>14</v>
      </c>
      <c r="M4223" s="7" t="n">
        <v>1000</v>
      </c>
      <c r="N4223" s="8" t="n">
        <v>0.0575</v>
      </c>
      <c r="O4223" s="4" t="n">
        <f aca="false">M4223*N4223</f>
        <v>57.5</v>
      </c>
    </row>
    <row r="4224" customFormat="false" ht="15" hidden="false" customHeight="false" outlineLevel="0" collapsed="false">
      <c r="A4224" s="0" t="s">
        <v>5764</v>
      </c>
      <c r="C4224" s="0" t="s">
        <v>370</v>
      </c>
      <c r="D4224" s="7" t="n">
        <v>60</v>
      </c>
      <c r="E4224" s="8" t="n">
        <v>0.674333333333333</v>
      </c>
      <c r="F4224" s="4" t="n">
        <f aca="false">D4224*E4224</f>
        <v>40.46</v>
      </c>
      <c r="G4224" s="7" t="n">
        <v>4</v>
      </c>
      <c r="H4224" s="9" t="n">
        <f aca="false">IF(G4224&gt;0,D4224/G4224,"")</f>
        <v>15</v>
      </c>
      <c r="I4224" s="10" t="n">
        <v>46176</v>
      </c>
      <c r="J4224" s="3" t="s">
        <v>4504</v>
      </c>
      <c r="K4224" s="10" t="n">
        <v>44704</v>
      </c>
      <c r="L4224" s="3" t="s">
        <v>14</v>
      </c>
      <c r="M4224" s="7" t="n">
        <v>102</v>
      </c>
      <c r="N4224" s="8" t="n">
        <v>0.6977</v>
      </c>
      <c r="O4224" s="4" t="n">
        <v>69.77</v>
      </c>
    </row>
    <row r="4225" customFormat="false" ht="15" hidden="false" customHeight="false" outlineLevel="0" collapsed="false">
      <c r="A4225" s="0" t="s">
        <v>5765</v>
      </c>
      <c r="C4225" s="0" t="s">
        <v>118</v>
      </c>
      <c r="D4225" s="7" t="n">
        <v>65</v>
      </c>
      <c r="E4225" s="8" t="n">
        <v>0.622307692307692</v>
      </c>
      <c r="F4225" s="4" t="n">
        <f aca="false">D4225*E4225</f>
        <v>40.45</v>
      </c>
      <c r="G4225" s="7" t="n">
        <v>4</v>
      </c>
      <c r="H4225" s="9" t="n">
        <f aca="false">IF(G4225&gt;0,D4225/G4225,"")</f>
        <v>16.25</v>
      </c>
      <c r="I4225" s="10" t="n">
        <v>46177</v>
      </c>
      <c r="K4225" s="10"/>
      <c r="M4225" s="7"/>
      <c r="N4225" s="8"/>
      <c r="O4225" s="4"/>
    </row>
    <row r="4226" customFormat="false" ht="15" hidden="false" customHeight="false" outlineLevel="0" collapsed="false">
      <c r="A4226" s="0" t="s">
        <v>5766</v>
      </c>
      <c r="C4226" s="0" t="s">
        <v>340</v>
      </c>
      <c r="D4226" s="7" t="n">
        <v>500</v>
      </c>
      <c r="E4226" s="8" t="n">
        <v>0.0809</v>
      </c>
      <c r="F4226" s="4" t="n">
        <f aca="false">D4226*E4226</f>
        <v>40.45</v>
      </c>
      <c r="G4226" s="7" t="n">
        <v>500</v>
      </c>
      <c r="H4226" s="9" t="n">
        <f aca="false">IF(G4226&gt;0,D4226/G4226,"")</f>
        <v>1</v>
      </c>
      <c r="I4226" s="10" t="n">
        <v>46217</v>
      </c>
      <c r="J4226" s="3" t="s">
        <v>2890</v>
      </c>
      <c r="K4226" s="10" t="n">
        <v>46198</v>
      </c>
      <c r="L4226" s="3" t="s">
        <v>16</v>
      </c>
      <c r="M4226" s="7" t="n">
        <v>1000</v>
      </c>
      <c r="N4226" s="8" t="n">
        <v>0.0809</v>
      </c>
      <c r="O4226" s="4" t="n">
        <f aca="false">M4226*N4226</f>
        <v>80.9</v>
      </c>
    </row>
    <row r="4227" customFormat="false" ht="15" hidden="false" customHeight="false" outlineLevel="0" collapsed="false">
      <c r="A4227" s="0" t="s">
        <v>5767</v>
      </c>
      <c r="C4227" s="0" t="s">
        <v>34</v>
      </c>
      <c r="D4227" s="7" t="n">
        <v>352</v>
      </c>
      <c r="E4227" s="8" t="n">
        <v>0.114801136363636</v>
      </c>
      <c r="F4227" s="4" t="n">
        <f aca="false">D4227*E4227</f>
        <v>40.41</v>
      </c>
      <c r="G4227" s="7" t="n">
        <v>36</v>
      </c>
      <c r="H4227" s="9" t="n">
        <f aca="false">IF(G4227&gt;0,D4227/G4227,"")</f>
        <v>9.77777777777778</v>
      </c>
      <c r="I4227" s="10" t="n">
        <v>46192</v>
      </c>
      <c r="J4227" s="3" t="s">
        <v>5119</v>
      </c>
      <c r="K4227" s="10" t="n">
        <v>46164</v>
      </c>
      <c r="L4227" s="3" t="s">
        <v>16</v>
      </c>
      <c r="M4227" s="7" t="n">
        <v>363</v>
      </c>
      <c r="N4227" s="8" t="n">
        <v>0.1148</v>
      </c>
      <c r="O4227" s="4" t="n">
        <f aca="false">M4227*N4227</f>
        <v>41.6724</v>
      </c>
    </row>
    <row r="4228" customFormat="false" ht="15" hidden="false" customHeight="false" outlineLevel="0" collapsed="false">
      <c r="A4228" s="0" t="s">
        <v>5768</v>
      </c>
      <c r="C4228" s="0" t="s">
        <v>37</v>
      </c>
      <c r="D4228" s="7" t="n">
        <v>4239</v>
      </c>
      <c r="E4228" s="8" t="n">
        <v>0.00951875442321302</v>
      </c>
      <c r="F4228" s="4" t="n">
        <f aca="false">D4228*E4228</f>
        <v>40.35</v>
      </c>
      <c r="G4228" s="7" t="n">
        <v>225</v>
      </c>
      <c r="H4228" s="9" t="n">
        <f aca="false">IF(G4228&gt;0,D4228/G4228,"")</f>
        <v>18.84</v>
      </c>
      <c r="I4228" s="10" t="n">
        <v>46134</v>
      </c>
      <c r="J4228" s="3" t="s">
        <v>2672</v>
      </c>
      <c r="K4228" s="10" t="n">
        <v>44670</v>
      </c>
      <c r="L4228" s="3" t="s">
        <v>15</v>
      </c>
      <c r="M4228" s="7" t="n">
        <v>6630</v>
      </c>
      <c r="N4228" s="8" t="n">
        <v>0.00952</v>
      </c>
      <c r="O4228" s="4" t="n">
        <f aca="false">M4228*N4228</f>
        <v>63.1176</v>
      </c>
    </row>
    <row r="4229" customFormat="false" ht="15" hidden="false" customHeight="false" outlineLevel="0" collapsed="false">
      <c r="A4229" s="0" t="s">
        <v>5769</v>
      </c>
      <c r="C4229" s="0" t="s">
        <v>38</v>
      </c>
      <c r="D4229" s="7" t="n">
        <v>128</v>
      </c>
      <c r="E4229" s="8" t="n">
        <v>0.315078125</v>
      </c>
      <c r="F4229" s="4" t="n">
        <f aca="false">D4229*E4229</f>
        <v>40.33</v>
      </c>
      <c r="G4229" s="7" t="n">
        <v>19</v>
      </c>
      <c r="H4229" s="9" t="n">
        <f aca="false">IF(G4229&gt;0,D4229/G4229,"")</f>
        <v>6.73684210526316</v>
      </c>
      <c r="I4229" s="10" t="n">
        <v>46274</v>
      </c>
      <c r="K4229" s="10"/>
      <c r="M4229" s="7"/>
      <c r="N4229" s="8"/>
      <c r="O4229" s="4"/>
    </row>
    <row r="4230" customFormat="false" ht="15" hidden="false" customHeight="false" outlineLevel="0" collapsed="false">
      <c r="A4230" s="0" t="s">
        <v>5770</v>
      </c>
      <c r="C4230" s="0" t="s">
        <v>32</v>
      </c>
      <c r="D4230" s="7" t="n">
        <v>284</v>
      </c>
      <c r="E4230" s="8" t="n">
        <v>0.14193661971831</v>
      </c>
      <c r="F4230" s="4" t="n">
        <f aca="false">D4230*E4230</f>
        <v>40.31</v>
      </c>
      <c r="G4230" s="7" t="n">
        <v>33</v>
      </c>
      <c r="H4230" s="9" t="n">
        <f aca="false">IF(G4230&gt;0,D4230/G4230,"")</f>
        <v>8.60606060606061</v>
      </c>
      <c r="I4230" s="10" t="n">
        <v>46294</v>
      </c>
      <c r="J4230" s="3" t="s">
        <v>5244</v>
      </c>
      <c r="K4230" s="10" t="n">
        <v>45821</v>
      </c>
      <c r="L4230" s="3" t="s">
        <v>18</v>
      </c>
      <c r="M4230" s="7" t="n">
        <v>300</v>
      </c>
      <c r="N4230" s="8" t="n">
        <v>0.1422</v>
      </c>
      <c r="O4230" s="4" t="n">
        <f aca="false">M4230*N4230</f>
        <v>42.66</v>
      </c>
    </row>
    <row r="4231" customFormat="false" ht="15" hidden="false" customHeight="false" outlineLevel="0" collapsed="false">
      <c r="A4231" s="0" t="s">
        <v>5771</v>
      </c>
      <c r="C4231" s="0" t="s">
        <v>295</v>
      </c>
      <c r="D4231" s="7" t="n">
        <v>660</v>
      </c>
      <c r="E4231" s="8" t="n">
        <v>0.061</v>
      </c>
      <c r="F4231" s="4" t="n">
        <f aca="false">D4231*E4231</f>
        <v>40.26</v>
      </c>
      <c r="G4231" s="7" t="n">
        <v>110</v>
      </c>
      <c r="H4231" s="9" t="n">
        <f aca="false">IF(G4231&gt;0,D4231/G4231,"")</f>
        <v>6</v>
      </c>
      <c r="I4231" s="10" t="n">
        <v>46310</v>
      </c>
      <c r="J4231" s="3" t="s">
        <v>5772</v>
      </c>
      <c r="K4231" s="10" t="n">
        <v>45012</v>
      </c>
      <c r="L4231" s="3" t="s">
        <v>19</v>
      </c>
      <c r="M4231" s="7" t="n">
        <v>1000</v>
      </c>
      <c r="N4231" s="8" t="n">
        <v>0.061</v>
      </c>
      <c r="O4231" s="4" t="n">
        <f aca="false">M4231*N4231</f>
        <v>61</v>
      </c>
    </row>
    <row r="4232" customFormat="false" ht="15" hidden="false" customHeight="false" outlineLevel="0" collapsed="false">
      <c r="A4232" s="0" t="s">
        <v>5773</v>
      </c>
      <c r="C4232" s="0" t="s">
        <v>34</v>
      </c>
      <c r="D4232" s="7" t="n">
        <v>199</v>
      </c>
      <c r="E4232" s="8" t="n">
        <v>0.202261306532663</v>
      </c>
      <c r="F4232" s="4" t="n">
        <f aca="false">D4232*E4232</f>
        <v>40.25</v>
      </c>
      <c r="G4232" s="7" t="n">
        <v>8</v>
      </c>
      <c r="H4232" s="9" t="n">
        <f aca="false">IF(G4232&gt;0,D4232/G4232,"")</f>
        <v>24.875</v>
      </c>
      <c r="I4232" s="10" t="n">
        <v>46258</v>
      </c>
      <c r="J4232" s="3" t="s">
        <v>2162</v>
      </c>
      <c r="K4232" s="10" t="n">
        <v>44222</v>
      </c>
      <c r="L4232" s="3" t="s">
        <v>15</v>
      </c>
      <c r="M4232" s="7" t="n">
        <v>290</v>
      </c>
      <c r="N4232" s="8" t="n">
        <v>0.20229</v>
      </c>
      <c r="O4232" s="4" t="n">
        <f aca="false">M4232*N4232</f>
        <v>58.6641</v>
      </c>
    </row>
    <row r="4233" customFormat="false" ht="15" hidden="false" customHeight="false" outlineLevel="0" collapsed="false">
      <c r="A4233" s="0" t="s">
        <v>5774</v>
      </c>
      <c r="C4233" s="0" t="s">
        <v>38</v>
      </c>
      <c r="D4233" s="7" t="n">
        <v>1305</v>
      </c>
      <c r="E4233" s="8" t="n">
        <v>0.0308275862068966</v>
      </c>
      <c r="F4233" s="4" t="n">
        <f aca="false">D4233*E4233</f>
        <v>40.23</v>
      </c>
      <c r="G4233" s="7" t="n">
        <v>15</v>
      </c>
      <c r="H4233" s="9" t="n">
        <f aca="false">IF(G4233&gt;0,D4233/G4233,"")</f>
        <v>87</v>
      </c>
      <c r="I4233" s="10" t="n">
        <v>46062</v>
      </c>
      <c r="J4233" s="3" t="s">
        <v>4012</v>
      </c>
      <c r="K4233" s="10" t="n">
        <v>45733</v>
      </c>
      <c r="L4233" s="3" t="s">
        <v>18</v>
      </c>
      <c r="M4233" s="7" t="n">
        <v>1780</v>
      </c>
      <c r="N4233" s="8" t="n">
        <v>0.0309</v>
      </c>
      <c r="O4233" s="4" t="n">
        <f aca="false">M4233*N4233</f>
        <v>55.002</v>
      </c>
    </row>
    <row r="4234" customFormat="false" ht="15" hidden="false" customHeight="false" outlineLevel="0" collapsed="false">
      <c r="A4234" s="0" t="s">
        <v>5775</v>
      </c>
      <c r="C4234" s="0" t="s">
        <v>31</v>
      </c>
      <c r="D4234" s="7" t="n">
        <v>1193</v>
      </c>
      <c r="E4234" s="8" t="n">
        <v>0.0337049455155071</v>
      </c>
      <c r="F4234" s="4" t="n">
        <f aca="false">D4234*E4234</f>
        <v>40.21</v>
      </c>
      <c r="G4234" s="7" t="n">
        <v>41</v>
      </c>
      <c r="H4234" s="9" t="n">
        <f aca="false">IF(G4234&gt;0,D4234/G4234,"")</f>
        <v>29.0975609756098</v>
      </c>
      <c r="I4234" s="10" t="n">
        <v>46219</v>
      </c>
      <c r="J4234" s="3" t="s">
        <v>2494</v>
      </c>
      <c r="K4234" s="10" t="n">
        <v>45379</v>
      </c>
      <c r="L4234" s="3" t="s">
        <v>14</v>
      </c>
      <c r="M4234" s="7" t="n">
        <v>2500</v>
      </c>
      <c r="N4234" s="8" t="n">
        <v>0.0337</v>
      </c>
      <c r="O4234" s="4" t="n">
        <f aca="false">M4234*N4234</f>
        <v>84.25</v>
      </c>
    </row>
    <row r="4235" customFormat="false" ht="15" hidden="false" customHeight="false" outlineLevel="0" collapsed="false">
      <c r="A4235" s="0" t="s">
        <v>5776</v>
      </c>
      <c r="C4235" s="0" t="s">
        <v>298</v>
      </c>
      <c r="D4235" s="7" t="n">
        <v>69</v>
      </c>
      <c r="E4235" s="8" t="n">
        <v>0.582753623188406</v>
      </c>
      <c r="F4235" s="4" t="n">
        <f aca="false">D4235*E4235</f>
        <v>40.21</v>
      </c>
      <c r="G4235" s="7" t="n">
        <v>45</v>
      </c>
      <c r="H4235" s="9" t="n">
        <f aca="false">IF(G4235&gt;0,D4235/G4235,"")</f>
        <v>1.53333333333333</v>
      </c>
      <c r="I4235" s="10" t="n">
        <v>46317</v>
      </c>
      <c r="J4235" s="3" t="s">
        <v>2777</v>
      </c>
      <c r="K4235" s="10" t="n">
        <v>45763</v>
      </c>
      <c r="L4235" s="3" t="s">
        <v>16</v>
      </c>
      <c r="M4235" s="7" t="n">
        <v>193</v>
      </c>
      <c r="N4235" s="8" t="n">
        <v>0.5828</v>
      </c>
      <c r="O4235" s="4" t="n">
        <f aca="false">M4235*N4235</f>
        <v>112.4804</v>
      </c>
    </row>
    <row r="4236" customFormat="false" ht="15" hidden="false" customHeight="false" outlineLevel="0" collapsed="false">
      <c r="A4236" s="0" t="s">
        <v>5777</v>
      </c>
      <c r="C4236" s="0" t="s">
        <v>34</v>
      </c>
      <c r="D4236" s="7" t="n">
        <v>748</v>
      </c>
      <c r="E4236" s="8" t="n">
        <v>0.0537032085561497</v>
      </c>
      <c r="F4236" s="4" t="n">
        <f aca="false">D4236*E4236</f>
        <v>40.17</v>
      </c>
      <c r="G4236" s="7" t="n">
        <v>491</v>
      </c>
      <c r="H4236" s="9" t="n">
        <f aca="false">IF(G4236&gt;0,D4236/G4236,"")</f>
        <v>1.5234215885947</v>
      </c>
      <c r="I4236" s="10" t="n">
        <v>46274</v>
      </c>
      <c r="J4236" s="3" t="s">
        <v>2719</v>
      </c>
      <c r="K4236" s="10" t="n">
        <v>46049</v>
      </c>
      <c r="L4236" s="3" t="s">
        <v>16</v>
      </c>
      <c r="M4236" s="7" t="n">
        <v>1128</v>
      </c>
      <c r="N4236" s="8" t="n">
        <v>0.0537</v>
      </c>
      <c r="O4236" s="4" t="n">
        <f aca="false">M4236*N4236</f>
        <v>60.5736</v>
      </c>
    </row>
    <row r="4237" customFormat="false" ht="15" hidden="false" customHeight="false" outlineLevel="0" collapsed="false">
      <c r="A4237" s="0" t="s">
        <v>5778</v>
      </c>
      <c r="C4237" s="0" t="s">
        <v>31</v>
      </c>
      <c r="D4237" s="7" t="n">
        <v>142</v>
      </c>
      <c r="E4237" s="8" t="n">
        <v>0.282535211267606</v>
      </c>
      <c r="F4237" s="4" t="n">
        <f aca="false">D4237*E4237</f>
        <v>40.12</v>
      </c>
      <c r="G4237" s="7" t="n">
        <v>12</v>
      </c>
      <c r="H4237" s="9" t="n">
        <f aca="false">IF(G4237&gt;0,D4237/G4237,"")</f>
        <v>11.8333333333333</v>
      </c>
      <c r="I4237" s="10" t="n">
        <v>46195</v>
      </c>
      <c r="K4237" s="10"/>
      <c r="M4237" s="7"/>
      <c r="N4237" s="8"/>
      <c r="O4237" s="4"/>
    </row>
    <row r="4238" customFormat="false" ht="15" hidden="false" customHeight="false" outlineLevel="0" collapsed="false">
      <c r="A4238" s="0" t="s">
        <v>5779</v>
      </c>
      <c r="C4238" s="0" t="s">
        <v>42</v>
      </c>
      <c r="D4238" s="7" t="n">
        <v>116</v>
      </c>
      <c r="E4238" s="8" t="n">
        <v>0.345775862068966</v>
      </c>
      <c r="F4238" s="4" t="n">
        <f aca="false">D4238*E4238</f>
        <v>40.11</v>
      </c>
      <c r="G4238" s="7" t="n">
        <v>92</v>
      </c>
      <c r="H4238" s="9" t="n">
        <f aca="false">IF(G4238&gt;0,D4238/G4238,"")</f>
        <v>1.26086956521739</v>
      </c>
      <c r="I4238" s="10" t="n">
        <v>46216</v>
      </c>
      <c r="J4238" s="3" t="s">
        <v>2241</v>
      </c>
      <c r="K4238" s="10" t="n">
        <v>45946</v>
      </c>
      <c r="L4238" s="3" t="s">
        <v>14</v>
      </c>
      <c r="M4238" s="7" t="n">
        <v>200</v>
      </c>
      <c r="N4238" s="8" t="n">
        <v>0.3458</v>
      </c>
      <c r="O4238" s="4" t="n">
        <f aca="false">M4238*N4238</f>
        <v>69.16</v>
      </c>
    </row>
    <row r="4239" customFormat="false" ht="15" hidden="false" customHeight="false" outlineLevel="0" collapsed="false">
      <c r="A4239" s="0" t="s">
        <v>5780</v>
      </c>
      <c r="C4239" s="0" t="s">
        <v>402</v>
      </c>
      <c r="D4239" s="7" t="n">
        <v>6</v>
      </c>
      <c r="E4239" s="8" t="n">
        <v>6.68</v>
      </c>
      <c r="F4239" s="4" t="n">
        <f aca="false">D4239*E4239</f>
        <v>40.08</v>
      </c>
      <c r="G4239" s="7" t="n">
        <v>2</v>
      </c>
      <c r="H4239" s="9" t="n">
        <f aca="false">IF(G4239&gt;0,D4239/G4239,"")</f>
        <v>3</v>
      </c>
      <c r="I4239" s="10" t="n">
        <v>46269</v>
      </c>
      <c r="J4239" s="3" t="s">
        <v>5781</v>
      </c>
      <c r="K4239" s="10" t="n">
        <v>44246</v>
      </c>
      <c r="L4239" s="3" t="s">
        <v>1103</v>
      </c>
      <c r="M4239" s="7" t="n">
        <v>10</v>
      </c>
      <c r="N4239" s="8" t="n">
        <v>6.68</v>
      </c>
      <c r="O4239" s="4" t="n">
        <f aca="false">M4239*N4239</f>
        <v>66.8</v>
      </c>
    </row>
    <row r="4240" customFormat="false" ht="15" hidden="false" customHeight="false" outlineLevel="0" collapsed="false">
      <c r="A4240" s="0" t="s">
        <v>5782</v>
      </c>
      <c r="C4240" s="0" t="s">
        <v>298</v>
      </c>
      <c r="D4240" s="7" t="n">
        <v>258</v>
      </c>
      <c r="E4240" s="8" t="n">
        <v>0.15515503875969</v>
      </c>
      <c r="F4240" s="4" t="n">
        <f aca="false">D4240*E4240</f>
        <v>40.03</v>
      </c>
      <c r="G4240" s="7" t="n">
        <v>115</v>
      </c>
      <c r="H4240" s="9" t="n">
        <f aca="false">IF(G4240&gt;0,D4240/G4240,"")</f>
        <v>2.24347826086957</v>
      </c>
      <c r="I4240" s="10" t="n">
        <v>46251</v>
      </c>
      <c r="J4240" s="3" t="s">
        <v>4811</v>
      </c>
      <c r="K4240" s="10" t="n">
        <v>45763</v>
      </c>
      <c r="L4240" s="3" t="s">
        <v>15</v>
      </c>
      <c r="M4240" s="7" t="n">
        <v>500</v>
      </c>
      <c r="N4240" s="8" t="n">
        <v>0.15518</v>
      </c>
      <c r="O4240" s="4" t="n">
        <f aca="false">M4240*N4240</f>
        <v>77.59</v>
      </c>
    </row>
    <row r="4241" customFormat="false" ht="15" hidden="false" customHeight="false" outlineLevel="0" collapsed="false">
      <c r="A4241" s="0" t="s">
        <v>5783</v>
      </c>
      <c r="C4241" s="0" t="s">
        <v>298</v>
      </c>
      <c r="D4241" s="7" t="n">
        <v>166</v>
      </c>
      <c r="E4241" s="8" t="n">
        <v>0.241144578313253</v>
      </c>
      <c r="F4241" s="4" t="n">
        <f aca="false">D4241*E4241</f>
        <v>40.03</v>
      </c>
      <c r="G4241" s="7" t="n">
        <v>49</v>
      </c>
      <c r="H4241" s="9" t="n">
        <f aca="false">IF(G4241&gt;0,D4241/G4241,"")</f>
        <v>3.38775510204082</v>
      </c>
      <c r="I4241" s="10" t="n">
        <v>46301</v>
      </c>
      <c r="J4241" s="3" t="s">
        <v>1018</v>
      </c>
      <c r="K4241" s="10" t="n">
        <v>45912</v>
      </c>
      <c r="L4241" s="3" t="s">
        <v>15</v>
      </c>
      <c r="M4241" s="7" t="n">
        <v>215</v>
      </c>
      <c r="N4241" s="8" t="n">
        <v>0.24112</v>
      </c>
      <c r="O4241" s="4" t="n">
        <f aca="false">M4241*N4241</f>
        <v>51.8408</v>
      </c>
    </row>
    <row r="4242" customFormat="false" ht="15" hidden="false" customHeight="false" outlineLevel="0" collapsed="false">
      <c r="A4242" s="0" t="s">
        <v>5784</v>
      </c>
      <c r="C4242" s="0" t="s">
        <v>95</v>
      </c>
      <c r="D4242" s="7" t="n">
        <v>400</v>
      </c>
      <c r="E4242" s="8" t="n">
        <v>0.1</v>
      </c>
      <c r="F4242" s="4" t="n">
        <f aca="false">D4242*E4242</f>
        <v>40</v>
      </c>
      <c r="G4242" s="7" t="n">
        <v>400</v>
      </c>
      <c r="H4242" s="9" t="n">
        <f aca="false">IF(G4242&gt;0,D4242/G4242,"")</f>
        <v>1</v>
      </c>
      <c r="I4242" s="10" t="n">
        <v>46042</v>
      </c>
      <c r="J4242" s="3" t="s">
        <v>895</v>
      </c>
      <c r="K4242" s="10" t="n">
        <v>45516</v>
      </c>
      <c r="L4242" s="3" t="s">
        <v>21</v>
      </c>
      <c r="M4242" s="7" t="n">
        <v>1000</v>
      </c>
      <c r="N4242" s="8" t="n">
        <v>0.1</v>
      </c>
      <c r="O4242" s="4" t="n">
        <f aca="false">M4242*N4242</f>
        <v>100</v>
      </c>
    </row>
    <row r="4243" customFormat="false" ht="15" hidden="false" customHeight="false" outlineLevel="0" collapsed="false">
      <c r="A4243" s="0" t="s">
        <v>5785</v>
      </c>
      <c r="C4243" s="0" t="s">
        <v>37</v>
      </c>
      <c r="D4243" s="7" t="n">
        <v>468</v>
      </c>
      <c r="E4243" s="8" t="n">
        <v>0.0853632478632479</v>
      </c>
      <c r="F4243" s="4" t="n">
        <f aca="false">D4243*E4243</f>
        <v>39.95</v>
      </c>
      <c r="G4243" s="7" t="n">
        <v>10</v>
      </c>
      <c r="H4243" s="9" t="n">
        <f aca="false">IF(G4243&gt;0,D4243/G4243,"")</f>
        <v>46.8</v>
      </c>
      <c r="I4243" s="10" t="n">
        <v>46255</v>
      </c>
      <c r="J4243" s="3" t="s">
        <v>341</v>
      </c>
      <c r="K4243" s="10" t="n">
        <v>46078</v>
      </c>
      <c r="L4243" s="3" t="s">
        <v>15</v>
      </c>
      <c r="M4243" s="7" t="n">
        <v>478</v>
      </c>
      <c r="N4243" s="8" t="n">
        <v>0.08536</v>
      </c>
      <c r="O4243" s="4" t="n">
        <f aca="false">M4243*N4243</f>
        <v>40.80208</v>
      </c>
    </row>
    <row r="4244" customFormat="false" ht="15" hidden="false" customHeight="false" outlineLevel="0" collapsed="false">
      <c r="A4244" s="0" t="s">
        <v>5786</v>
      </c>
      <c r="C4244" s="0" t="s">
        <v>855</v>
      </c>
      <c r="D4244" s="7" t="n">
        <v>1347</v>
      </c>
      <c r="E4244" s="8" t="n">
        <v>0.0296436525612472</v>
      </c>
      <c r="F4244" s="4" t="n">
        <f aca="false">D4244*E4244</f>
        <v>39.93</v>
      </c>
      <c r="G4244" s="7" t="n">
        <v>557</v>
      </c>
      <c r="H4244" s="9" t="n">
        <f aca="false">IF(G4244&gt;0,D4244/G4244,"")</f>
        <v>2.41831238779174</v>
      </c>
      <c r="I4244" s="10" t="n">
        <v>46202</v>
      </c>
      <c r="J4244" s="3" t="s">
        <v>3568</v>
      </c>
      <c r="K4244" s="10" t="n">
        <v>45924</v>
      </c>
      <c r="L4244" s="3" t="s">
        <v>19</v>
      </c>
      <c r="M4244" s="7" t="n">
        <v>1000</v>
      </c>
      <c r="N4244" s="8" t="n">
        <v>0.0457</v>
      </c>
      <c r="O4244" s="4" t="n">
        <f aca="false">M4244*N4244</f>
        <v>45.7</v>
      </c>
    </row>
    <row r="4245" customFormat="false" ht="15" hidden="false" customHeight="false" outlineLevel="0" collapsed="false">
      <c r="A4245" s="0" t="s">
        <v>5787</v>
      </c>
      <c r="C4245" s="0" t="s">
        <v>31</v>
      </c>
      <c r="D4245" s="7" t="n">
        <v>6261</v>
      </c>
      <c r="E4245" s="8" t="n">
        <v>0.00637278390033541</v>
      </c>
      <c r="F4245" s="4" t="n">
        <f aca="false">D4245*E4245</f>
        <v>39.9</v>
      </c>
      <c r="G4245" s="7" t="n">
        <v>3133</v>
      </c>
      <c r="H4245" s="9" t="n">
        <f aca="false">IF(G4245&gt;0,D4245/G4245,"")</f>
        <v>1.99840408554102</v>
      </c>
      <c r="I4245" s="10" t="n">
        <v>46310</v>
      </c>
      <c r="J4245" s="3" t="s">
        <v>5788</v>
      </c>
      <c r="K4245" s="10" t="n">
        <v>45692</v>
      </c>
      <c r="L4245" s="3" t="s">
        <v>19</v>
      </c>
      <c r="M4245" s="7" t="n">
        <v>1000</v>
      </c>
      <c r="N4245" s="8" t="n">
        <v>0.0212</v>
      </c>
      <c r="O4245" s="4" t="n">
        <f aca="false">M4245*N4245</f>
        <v>21.2</v>
      </c>
    </row>
    <row r="4246" customFormat="false" ht="15" hidden="false" customHeight="false" outlineLevel="0" collapsed="false">
      <c r="A4246" s="0" t="s">
        <v>5789</v>
      </c>
      <c r="C4246" s="0" t="s">
        <v>31</v>
      </c>
      <c r="D4246" s="7" t="n">
        <v>1756</v>
      </c>
      <c r="E4246" s="8" t="n">
        <v>0.0226936218678816</v>
      </c>
      <c r="F4246" s="4" t="n">
        <f aca="false">D4246*E4246</f>
        <v>39.85</v>
      </c>
      <c r="G4246" s="7" t="n">
        <v>605</v>
      </c>
      <c r="H4246" s="9" t="n">
        <f aca="false">IF(G4246&gt;0,D4246/G4246,"")</f>
        <v>2.90247933884298</v>
      </c>
      <c r="I4246" s="10" t="n">
        <v>46309</v>
      </c>
      <c r="J4246" s="3" t="s">
        <v>628</v>
      </c>
      <c r="K4246" s="10" t="n">
        <v>46128</v>
      </c>
      <c r="L4246" s="3" t="s">
        <v>16</v>
      </c>
      <c r="M4246" s="7" t="n">
        <v>2000</v>
      </c>
      <c r="N4246" s="8" t="n">
        <v>0.0224</v>
      </c>
      <c r="O4246" s="4" t="n">
        <f aca="false">M4246*N4246</f>
        <v>44.8</v>
      </c>
    </row>
    <row r="4247" customFormat="false" ht="15" hidden="false" customHeight="false" outlineLevel="0" collapsed="false">
      <c r="A4247" s="0" t="s">
        <v>5790</v>
      </c>
      <c r="C4247" s="0" t="s">
        <v>31</v>
      </c>
      <c r="D4247" s="7" t="n">
        <v>587</v>
      </c>
      <c r="E4247" s="8" t="n">
        <v>0.0677683134582624</v>
      </c>
      <c r="F4247" s="4" t="n">
        <f aca="false">D4247*E4247</f>
        <v>39.78</v>
      </c>
      <c r="G4247" s="7" t="n">
        <v>208</v>
      </c>
      <c r="H4247" s="9" t="n">
        <f aca="false">IF(G4247&gt;0,D4247/G4247,"")</f>
        <v>2.82211538461538</v>
      </c>
      <c r="I4247" s="10" t="n">
        <v>46286</v>
      </c>
      <c r="J4247" s="3" t="s">
        <v>1480</v>
      </c>
      <c r="K4247" s="10" t="n">
        <v>46121</v>
      </c>
      <c r="L4247" s="3" t="s">
        <v>16</v>
      </c>
      <c r="M4247" s="7" t="n">
        <v>795</v>
      </c>
      <c r="N4247" s="8" t="n">
        <v>0.0678</v>
      </c>
      <c r="O4247" s="4" t="n">
        <f aca="false">M4247*N4247</f>
        <v>53.901</v>
      </c>
    </row>
    <row r="4248" customFormat="false" ht="15" hidden="false" customHeight="false" outlineLevel="0" collapsed="false">
      <c r="A4248" s="0" t="s">
        <v>5791</v>
      </c>
      <c r="C4248" s="0" t="s">
        <v>40</v>
      </c>
      <c r="D4248" s="7" t="n">
        <v>313</v>
      </c>
      <c r="E4248" s="8" t="n">
        <v>0.126996805111821</v>
      </c>
      <c r="F4248" s="4" t="n">
        <f aca="false">D4248*E4248</f>
        <v>39.75</v>
      </c>
      <c r="G4248" s="7" t="n">
        <v>32</v>
      </c>
      <c r="H4248" s="9" t="n">
        <f aca="false">IF(G4248&gt;0,D4248/G4248,"")</f>
        <v>9.78125</v>
      </c>
      <c r="I4248" s="10" t="n">
        <v>46139</v>
      </c>
      <c r="J4248" s="3" t="s">
        <v>5792</v>
      </c>
      <c r="K4248" s="10" t="n">
        <v>45182</v>
      </c>
      <c r="L4248" s="3" t="s">
        <v>18</v>
      </c>
      <c r="M4248" s="7" t="n">
        <v>790</v>
      </c>
      <c r="N4248" s="8" t="n">
        <v>0.127</v>
      </c>
      <c r="O4248" s="4" t="n">
        <f aca="false">M4248*N4248</f>
        <v>100.33</v>
      </c>
    </row>
    <row r="4249" customFormat="false" ht="15" hidden="false" customHeight="false" outlineLevel="0" collapsed="false">
      <c r="A4249" s="0" t="s">
        <v>5793</v>
      </c>
      <c r="C4249" s="0" t="s">
        <v>765</v>
      </c>
      <c r="D4249" s="7" t="n">
        <v>75</v>
      </c>
      <c r="E4249" s="8" t="n">
        <v>0.529466666666667</v>
      </c>
      <c r="F4249" s="4" t="n">
        <f aca="false">D4249*E4249</f>
        <v>39.71</v>
      </c>
      <c r="G4249" s="7" t="n">
        <v>70</v>
      </c>
      <c r="H4249" s="9" t="n">
        <f aca="false">IF(G4249&gt;0,D4249/G4249,"")</f>
        <v>1.07142857142857</v>
      </c>
      <c r="I4249" s="10" t="n">
        <v>46241</v>
      </c>
      <c r="J4249" s="3" t="s">
        <v>763</v>
      </c>
      <c r="K4249" s="10" t="n">
        <v>46231</v>
      </c>
      <c r="L4249" s="3" t="s">
        <v>14</v>
      </c>
      <c r="M4249" s="7" t="n">
        <v>100</v>
      </c>
      <c r="N4249" s="8" t="n">
        <v>0.5295</v>
      </c>
      <c r="O4249" s="4" t="n">
        <f aca="false">M4249*N4249</f>
        <v>52.95</v>
      </c>
    </row>
    <row r="4250" customFormat="false" ht="15" hidden="false" customHeight="false" outlineLevel="0" collapsed="false">
      <c r="A4250" s="0" t="s">
        <v>5794</v>
      </c>
      <c r="C4250" s="0" t="s">
        <v>1802</v>
      </c>
      <c r="D4250" s="7" t="n">
        <v>5</v>
      </c>
      <c r="E4250" s="8" t="n">
        <v>7.942</v>
      </c>
      <c r="F4250" s="4" t="n">
        <f aca="false">D4250*E4250</f>
        <v>39.71</v>
      </c>
      <c r="G4250" s="7" t="n">
        <v>2</v>
      </c>
      <c r="H4250" s="9" t="n">
        <f aca="false">IF(G4250&gt;0,D4250/G4250,"")</f>
        <v>2.5</v>
      </c>
      <c r="I4250" s="10" t="n">
        <v>46129</v>
      </c>
      <c r="K4250" s="10"/>
      <c r="M4250" s="7"/>
      <c r="N4250" s="8"/>
      <c r="O4250" s="4"/>
    </row>
    <row r="4251" customFormat="false" ht="15" hidden="false" customHeight="false" outlineLevel="0" collapsed="false">
      <c r="A4251" s="0" t="s">
        <v>5795</v>
      </c>
      <c r="C4251" s="0" t="s">
        <v>31</v>
      </c>
      <c r="D4251" s="7" t="n">
        <v>625</v>
      </c>
      <c r="E4251" s="8" t="n">
        <v>0.06344</v>
      </c>
      <c r="F4251" s="4" t="n">
        <f aca="false">D4251*E4251</f>
        <v>39.65</v>
      </c>
      <c r="G4251" s="7" t="n">
        <v>35</v>
      </c>
      <c r="H4251" s="9" t="n">
        <f aca="false">IF(G4251&gt;0,D4251/G4251,"")</f>
        <v>17.8571428571429</v>
      </c>
      <c r="I4251" s="10" t="n">
        <v>46119</v>
      </c>
      <c r="J4251" s="3" t="s">
        <v>5727</v>
      </c>
      <c r="K4251" s="10" t="n">
        <v>46078</v>
      </c>
      <c r="L4251" s="3" t="s">
        <v>15</v>
      </c>
      <c r="M4251" s="7" t="n">
        <v>627</v>
      </c>
      <c r="N4251" s="8" t="n">
        <v>0.06203</v>
      </c>
      <c r="O4251" s="4" t="n">
        <f aca="false">M4251*N4251</f>
        <v>38.89281</v>
      </c>
    </row>
    <row r="4252" customFormat="false" ht="15" hidden="false" customHeight="false" outlineLevel="0" collapsed="false">
      <c r="A4252" s="0" t="s">
        <v>5796</v>
      </c>
      <c r="C4252" s="0" t="s">
        <v>34</v>
      </c>
      <c r="D4252" s="7" t="n">
        <v>3670</v>
      </c>
      <c r="E4252" s="8" t="n">
        <v>0.0108010899182561</v>
      </c>
      <c r="F4252" s="4" t="n">
        <f aca="false">D4252*E4252</f>
        <v>39.64</v>
      </c>
      <c r="G4252" s="7" t="n">
        <v>30</v>
      </c>
      <c r="H4252" s="9" t="n">
        <f aca="false">IF(G4252&gt;0,D4252/G4252,"")</f>
        <v>122.333333333333</v>
      </c>
      <c r="I4252" s="10" t="n">
        <v>46202</v>
      </c>
      <c r="J4252" s="3" t="s">
        <v>4045</v>
      </c>
      <c r="K4252" s="10" t="n">
        <v>45587</v>
      </c>
      <c r="L4252" s="3" t="s">
        <v>16</v>
      </c>
      <c r="M4252" s="7" t="n">
        <v>3800</v>
      </c>
      <c r="N4252" s="8" t="n">
        <v>0.0108</v>
      </c>
      <c r="O4252" s="4" t="n">
        <f aca="false">M4252*N4252</f>
        <v>41.04</v>
      </c>
    </row>
    <row r="4253" customFormat="false" ht="15" hidden="false" customHeight="false" outlineLevel="0" collapsed="false">
      <c r="A4253" s="0" t="s">
        <v>5797</v>
      </c>
      <c r="C4253" s="0" t="s">
        <v>38</v>
      </c>
      <c r="D4253" s="7" t="n">
        <v>923</v>
      </c>
      <c r="E4253" s="8" t="n">
        <v>0.0429252437703142</v>
      </c>
      <c r="F4253" s="4" t="n">
        <f aca="false">D4253*E4253</f>
        <v>39.62</v>
      </c>
      <c r="G4253" s="7" t="n">
        <v>30</v>
      </c>
      <c r="H4253" s="9" t="n">
        <f aca="false">IF(G4253&gt;0,D4253/G4253,"")</f>
        <v>30.7666666666667</v>
      </c>
      <c r="I4253" s="10" t="n">
        <v>46174</v>
      </c>
      <c r="K4253" s="10"/>
      <c r="M4253" s="7"/>
      <c r="N4253" s="8"/>
      <c r="O4253" s="4"/>
    </row>
    <row r="4254" customFormat="false" ht="15" hidden="false" customHeight="false" outlineLevel="0" collapsed="false">
      <c r="A4254" s="0" t="s">
        <v>5798</v>
      </c>
      <c r="C4254" s="0" t="s">
        <v>1039</v>
      </c>
      <c r="D4254" s="7" t="n">
        <v>640</v>
      </c>
      <c r="E4254" s="8" t="n">
        <v>0.06190625</v>
      </c>
      <c r="F4254" s="4" t="n">
        <f aca="false">D4254*E4254</f>
        <v>39.62</v>
      </c>
      <c r="G4254" s="7" t="n">
        <v>60</v>
      </c>
      <c r="H4254" s="9" t="n">
        <f aca="false">IF(G4254&gt;0,D4254/G4254,"")</f>
        <v>10.6666666666667</v>
      </c>
      <c r="I4254" s="10" t="n">
        <v>46190</v>
      </c>
      <c r="J4254" s="3" t="s">
        <v>5119</v>
      </c>
      <c r="K4254" s="10" t="n">
        <v>46164</v>
      </c>
      <c r="L4254" s="3" t="s">
        <v>16</v>
      </c>
      <c r="M4254" s="7" t="n">
        <v>700</v>
      </c>
      <c r="N4254" s="8" t="n">
        <v>0.0619</v>
      </c>
      <c r="O4254" s="4" t="n">
        <f aca="false">M4254*N4254</f>
        <v>43.33</v>
      </c>
    </row>
    <row r="4255" customFormat="false" ht="15" hidden="false" customHeight="false" outlineLevel="0" collapsed="false">
      <c r="A4255" s="0" t="s">
        <v>5799</v>
      </c>
      <c r="C4255" s="0" t="s">
        <v>34</v>
      </c>
      <c r="D4255" s="7" t="n">
        <v>233</v>
      </c>
      <c r="E4255" s="8" t="n">
        <v>0.169828326180258</v>
      </c>
      <c r="F4255" s="4" t="n">
        <f aca="false">D4255*E4255</f>
        <v>39.57</v>
      </c>
      <c r="G4255" s="7" t="n">
        <v>25</v>
      </c>
      <c r="H4255" s="9" t="n">
        <f aca="false">IF(G4255&gt;0,D4255/G4255,"")</f>
        <v>9.32</v>
      </c>
      <c r="I4255" s="10" t="n">
        <v>46168</v>
      </c>
      <c r="J4255" s="3" t="s">
        <v>3860</v>
      </c>
      <c r="K4255" s="10" t="n">
        <v>44692</v>
      </c>
      <c r="L4255" s="3" t="s">
        <v>15</v>
      </c>
      <c r="M4255" s="7" t="n">
        <v>300</v>
      </c>
      <c r="N4255" s="8" t="n">
        <v>0.16988</v>
      </c>
      <c r="O4255" s="4" t="n">
        <f aca="false">M4255*N4255</f>
        <v>50.964</v>
      </c>
    </row>
    <row r="4256" customFormat="false" ht="15" hidden="false" customHeight="false" outlineLevel="0" collapsed="false">
      <c r="A4256" s="0" t="s">
        <v>5800</v>
      </c>
      <c r="C4256" s="0" t="s">
        <v>31</v>
      </c>
      <c r="D4256" s="7" t="n">
        <v>8591</v>
      </c>
      <c r="E4256" s="8" t="n">
        <v>0.00460481899662437</v>
      </c>
      <c r="F4256" s="4" t="n">
        <f aca="false">D4256*E4256</f>
        <v>39.56</v>
      </c>
      <c r="G4256" s="7" t="n">
        <v>625</v>
      </c>
      <c r="H4256" s="9" t="n">
        <f aca="false">IF(G4256&gt;0,D4256/G4256,"")</f>
        <v>13.7456</v>
      </c>
      <c r="I4256" s="10" t="n">
        <v>46304</v>
      </c>
      <c r="K4256" s="10"/>
      <c r="M4256" s="7"/>
      <c r="N4256" s="8"/>
      <c r="O4256" s="4"/>
    </row>
    <row r="4257" customFormat="false" ht="15" hidden="false" customHeight="false" outlineLevel="0" collapsed="false">
      <c r="A4257" s="0" t="s">
        <v>5801</v>
      </c>
      <c r="C4257" s="0" t="s">
        <v>36</v>
      </c>
      <c r="D4257" s="7" t="n">
        <v>269</v>
      </c>
      <c r="E4257" s="8" t="n">
        <v>0.146988847583643</v>
      </c>
      <c r="F4257" s="4" t="n">
        <f aca="false">D4257*E4257</f>
        <v>39.54</v>
      </c>
      <c r="G4257" s="7" t="n">
        <v>260</v>
      </c>
      <c r="H4257" s="9" t="n">
        <f aca="false">IF(G4257&gt;0,D4257/G4257,"")</f>
        <v>1.03461538461538</v>
      </c>
      <c r="I4257" s="10" t="n">
        <v>46076</v>
      </c>
      <c r="J4257" s="3" t="s">
        <v>4121</v>
      </c>
      <c r="K4257" s="10" t="n">
        <v>45453</v>
      </c>
      <c r="L4257" s="3" t="s">
        <v>18</v>
      </c>
      <c r="M4257" s="7" t="n">
        <v>1600</v>
      </c>
      <c r="N4257" s="8" t="n">
        <v>0.147</v>
      </c>
      <c r="O4257" s="4" t="n">
        <f aca="false">M4257*N4257</f>
        <v>235.2</v>
      </c>
    </row>
    <row r="4258" customFormat="false" ht="15" hidden="false" customHeight="false" outlineLevel="0" collapsed="false">
      <c r="A4258" s="0" t="s">
        <v>5802</v>
      </c>
      <c r="C4258" s="0" t="s">
        <v>34</v>
      </c>
      <c r="D4258" s="7" t="n">
        <v>400</v>
      </c>
      <c r="E4258" s="8" t="n">
        <v>0.09885</v>
      </c>
      <c r="F4258" s="4" t="n">
        <f aca="false">D4258*E4258</f>
        <v>39.54</v>
      </c>
      <c r="G4258" s="7" t="n">
        <v>125</v>
      </c>
      <c r="H4258" s="9" t="n">
        <f aca="false">IF(G4258&gt;0,D4258/G4258,"")</f>
        <v>3.2</v>
      </c>
      <c r="I4258" s="10" t="n">
        <v>46314</v>
      </c>
      <c r="J4258" s="3" t="s">
        <v>1872</v>
      </c>
      <c r="K4258" s="10" t="n">
        <v>46290</v>
      </c>
      <c r="L4258" s="3" t="s">
        <v>19</v>
      </c>
      <c r="M4258" s="7" t="n">
        <v>50</v>
      </c>
      <c r="N4258" s="8" t="n">
        <v>0.498</v>
      </c>
      <c r="O4258" s="4" t="n">
        <f aca="false">M4258*N4258</f>
        <v>24.9</v>
      </c>
    </row>
    <row r="4259" customFormat="false" ht="15" hidden="false" customHeight="false" outlineLevel="0" collapsed="false">
      <c r="A4259" s="0" t="s">
        <v>5803</v>
      </c>
      <c r="C4259" s="0" t="s">
        <v>765</v>
      </c>
      <c r="D4259" s="7" t="n">
        <v>142</v>
      </c>
      <c r="E4259" s="8" t="n">
        <v>0.27830985915493</v>
      </c>
      <c r="F4259" s="4" t="n">
        <f aca="false">D4259*E4259</f>
        <v>39.52</v>
      </c>
      <c r="G4259" s="7" t="n">
        <v>6</v>
      </c>
      <c r="H4259" s="9" t="n">
        <f aca="false">IF(G4259&gt;0,D4259/G4259,"")</f>
        <v>23.6666666666667</v>
      </c>
      <c r="I4259" s="10" t="n">
        <v>45981</v>
      </c>
      <c r="J4259" s="3" t="s">
        <v>2099</v>
      </c>
      <c r="K4259" s="10" t="n">
        <v>45958</v>
      </c>
      <c r="L4259" s="3" t="s">
        <v>16</v>
      </c>
      <c r="M4259" s="7" t="n">
        <v>100</v>
      </c>
      <c r="N4259" s="8" t="n">
        <v>0.2</v>
      </c>
      <c r="O4259" s="4" t="n">
        <f aca="false">M4259*N4259</f>
        <v>20</v>
      </c>
    </row>
    <row r="4260" customFormat="false" ht="15" hidden="false" customHeight="false" outlineLevel="0" collapsed="false">
      <c r="A4260" s="0" t="s">
        <v>5804</v>
      </c>
      <c r="C4260" s="0" t="s">
        <v>34</v>
      </c>
      <c r="D4260" s="7" t="n">
        <v>3694</v>
      </c>
      <c r="E4260" s="8" t="n">
        <v>0.0106957227937195</v>
      </c>
      <c r="F4260" s="4" t="n">
        <f aca="false">D4260*E4260</f>
        <v>39.51</v>
      </c>
      <c r="G4260" s="7" t="n">
        <v>1211</v>
      </c>
      <c r="H4260" s="9" t="n">
        <f aca="false">IF(G4260&gt;0,D4260/G4260,"")</f>
        <v>3.0503715937242</v>
      </c>
      <c r="I4260" s="10" t="n">
        <v>46293</v>
      </c>
      <c r="K4260" s="10"/>
      <c r="M4260" s="7"/>
      <c r="N4260" s="8"/>
      <c r="O4260" s="4"/>
    </row>
    <row r="4261" customFormat="false" ht="15" hidden="false" customHeight="false" outlineLevel="0" collapsed="false">
      <c r="A4261" s="0" t="s">
        <v>5805</v>
      </c>
      <c r="C4261" s="0" t="s">
        <v>41</v>
      </c>
      <c r="D4261" s="7" t="n">
        <v>3706</v>
      </c>
      <c r="E4261" s="8" t="n">
        <v>0.0106556934700486</v>
      </c>
      <c r="F4261" s="4" t="n">
        <f aca="false">D4261*E4261</f>
        <v>39.49</v>
      </c>
      <c r="G4261" s="7" t="n">
        <v>1188</v>
      </c>
      <c r="H4261" s="9" t="n">
        <f aca="false">IF(G4261&gt;0,D4261/G4261,"")</f>
        <v>3.11952861952862</v>
      </c>
      <c r="I4261" s="10" t="n">
        <v>46238</v>
      </c>
      <c r="J4261" s="3" t="s">
        <v>2694</v>
      </c>
      <c r="K4261" s="10" t="n">
        <v>46218</v>
      </c>
      <c r="L4261" s="3" t="s">
        <v>16</v>
      </c>
      <c r="M4261" s="7" t="n">
        <v>4624</v>
      </c>
      <c r="N4261" s="8" t="n">
        <v>0.0105</v>
      </c>
      <c r="O4261" s="4" t="n">
        <f aca="false">M4261*N4261</f>
        <v>48.552</v>
      </c>
    </row>
    <row r="4262" customFormat="false" ht="15" hidden="false" customHeight="false" outlineLevel="0" collapsed="false">
      <c r="A4262" s="0" t="s">
        <v>5806</v>
      </c>
      <c r="C4262" s="0" t="s">
        <v>41</v>
      </c>
      <c r="D4262" s="7" t="n">
        <v>1836</v>
      </c>
      <c r="E4262" s="8" t="n">
        <v>0.0214978213507625</v>
      </c>
      <c r="F4262" s="4" t="n">
        <f aca="false">D4262*E4262</f>
        <v>39.47</v>
      </c>
      <c r="G4262" s="7" t="n">
        <v>330</v>
      </c>
      <c r="H4262" s="9" t="n">
        <f aca="false">IF(G4262&gt;0,D4262/G4262,"")</f>
        <v>5.56363636363636</v>
      </c>
      <c r="I4262" s="10" t="n">
        <v>46253</v>
      </c>
      <c r="J4262" s="3" t="s">
        <v>5807</v>
      </c>
      <c r="K4262" s="10" t="n">
        <v>45023</v>
      </c>
      <c r="L4262" s="3" t="s">
        <v>19</v>
      </c>
      <c r="M4262" s="7" t="n">
        <v>5000</v>
      </c>
      <c r="N4262" s="8" t="n">
        <v>0.0215</v>
      </c>
      <c r="O4262" s="4" t="n">
        <f aca="false">M4262*N4262</f>
        <v>107.5</v>
      </c>
    </row>
    <row r="4263" customFormat="false" ht="15" hidden="false" customHeight="false" outlineLevel="0" collapsed="false">
      <c r="A4263" s="0" t="s">
        <v>5808</v>
      </c>
      <c r="C4263" s="0" t="s">
        <v>34</v>
      </c>
      <c r="D4263" s="7" t="n">
        <v>1466</v>
      </c>
      <c r="E4263" s="8" t="n">
        <v>0.0269031377899045</v>
      </c>
      <c r="F4263" s="4" t="n">
        <f aca="false">D4263*E4263</f>
        <v>39.44</v>
      </c>
      <c r="G4263" s="7" t="n">
        <v>120</v>
      </c>
      <c r="H4263" s="9" t="n">
        <f aca="false">IF(G4263&gt;0,D4263/G4263,"")</f>
        <v>12.2166666666667</v>
      </c>
      <c r="I4263" s="10" t="n">
        <v>46036</v>
      </c>
      <c r="K4263" s="10"/>
      <c r="M4263" s="7"/>
      <c r="N4263" s="8"/>
      <c r="O4263" s="4"/>
    </row>
    <row r="4264" customFormat="false" ht="15" hidden="false" customHeight="false" outlineLevel="0" collapsed="false">
      <c r="A4264" s="0" t="s">
        <v>5809</v>
      </c>
      <c r="C4264" s="0" t="s">
        <v>765</v>
      </c>
      <c r="D4264" s="7" t="n">
        <v>1433</v>
      </c>
      <c r="E4264" s="8" t="n">
        <v>0.0275157013258897</v>
      </c>
      <c r="F4264" s="4" t="n">
        <f aca="false">D4264*E4264</f>
        <v>39.43</v>
      </c>
      <c r="G4264" s="7" t="n">
        <v>490</v>
      </c>
      <c r="H4264" s="9" t="n">
        <f aca="false">IF(G4264&gt;0,D4264/G4264,"")</f>
        <v>2.92448979591837</v>
      </c>
      <c r="I4264" s="10" t="n">
        <v>46301</v>
      </c>
      <c r="K4264" s="10"/>
      <c r="M4264" s="7"/>
      <c r="N4264" s="8"/>
      <c r="O4264" s="4"/>
    </row>
    <row r="4265" customFormat="false" ht="15" hidden="false" customHeight="false" outlineLevel="0" collapsed="false">
      <c r="A4265" s="0" t="s">
        <v>5810</v>
      </c>
      <c r="D4265" s="7" t="n">
        <v>1962</v>
      </c>
      <c r="E4265" s="8" t="n">
        <v>0.0200866462793068</v>
      </c>
      <c r="F4265" s="4" t="n">
        <f aca="false">D4265*E4265</f>
        <v>39.41</v>
      </c>
      <c r="G4265" s="7" t="n">
        <v>300</v>
      </c>
      <c r="H4265" s="9" t="n">
        <f aca="false">IF(G4265&gt;0,D4265/G4265,"")</f>
        <v>6.54</v>
      </c>
      <c r="I4265" s="10" t="n">
        <v>46212</v>
      </c>
      <c r="J4265" s="3" t="s">
        <v>5811</v>
      </c>
      <c r="K4265" s="10" t="n">
        <v>44861</v>
      </c>
      <c r="L4265" s="3" t="s">
        <v>15</v>
      </c>
      <c r="M4265" s="7" t="n">
        <v>2385</v>
      </c>
      <c r="N4265" s="8" t="n">
        <v>0.02009</v>
      </c>
      <c r="O4265" s="4" t="n">
        <f aca="false">M4265*N4265</f>
        <v>47.91465</v>
      </c>
    </row>
    <row r="4266" customFormat="false" ht="15" hidden="false" customHeight="false" outlineLevel="0" collapsed="false">
      <c r="A4266" s="0" t="s">
        <v>5812</v>
      </c>
      <c r="C4266" s="0" t="s">
        <v>4779</v>
      </c>
      <c r="D4266" s="7" t="n">
        <v>31</v>
      </c>
      <c r="E4266" s="8" t="n">
        <v>1.27129032258065</v>
      </c>
      <c r="F4266" s="4" t="n">
        <f aca="false">D4266*E4266</f>
        <v>39.41</v>
      </c>
      <c r="G4266" s="7" t="n">
        <v>2</v>
      </c>
      <c r="H4266" s="9" t="n">
        <f aca="false">IF(G4266&gt;0,D4266/G4266,"")</f>
        <v>15.5</v>
      </c>
      <c r="I4266" s="10" t="n">
        <v>46134</v>
      </c>
      <c r="K4266" s="10"/>
      <c r="M4266" s="7"/>
      <c r="N4266" s="8"/>
      <c r="O4266" s="4"/>
    </row>
    <row r="4267" customFormat="false" ht="15" hidden="false" customHeight="false" outlineLevel="0" collapsed="false">
      <c r="A4267" s="0" t="s">
        <v>5813</v>
      </c>
      <c r="C4267" s="0" t="s">
        <v>37</v>
      </c>
      <c r="D4267" s="7" t="n">
        <v>550</v>
      </c>
      <c r="E4267" s="8" t="n">
        <v>0.0716</v>
      </c>
      <c r="F4267" s="4" t="n">
        <f aca="false">D4267*E4267</f>
        <v>39.38</v>
      </c>
      <c r="G4267" s="7" t="n">
        <v>40</v>
      </c>
      <c r="H4267" s="9" t="n">
        <f aca="false">IF(G4267&gt;0,D4267/G4267,"")</f>
        <v>13.75</v>
      </c>
      <c r="I4267" s="10" t="n">
        <v>46317</v>
      </c>
      <c r="J4267" s="3" t="s">
        <v>5814</v>
      </c>
      <c r="K4267" s="10" t="n">
        <v>44250</v>
      </c>
      <c r="L4267" s="3" t="s">
        <v>19</v>
      </c>
      <c r="M4267" s="7" t="n">
        <v>700</v>
      </c>
      <c r="N4267" s="8" t="n">
        <v>0.0716</v>
      </c>
      <c r="O4267" s="4" t="n">
        <f aca="false">M4267*N4267</f>
        <v>50.12</v>
      </c>
    </row>
    <row r="4268" customFormat="false" ht="15" hidden="false" customHeight="false" outlineLevel="0" collapsed="false">
      <c r="A4268" s="0" t="s">
        <v>5815</v>
      </c>
      <c r="C4268" s="0" t="s">
        <v>31</v>
      </c>
      <c r="D4268" s="7" t="n">
        <v>300</v>
      </c>
      <c r="E4268" s="8" t="n">
        <v>0.131233333333333</v>
      </c>
      <c r="F4268" s="4" t="n">
        <f aca="false">D4268*E4268</f>
        <v>39.37</v>
      </c>
      <c r="G4268" s="7" t="n">
        <v>251</v>
      </c>
      <c r="H4268" s="9" t="n">
        <f aca="false">IF(G4268&gt;0,D4268/G4268,"")</f>
        <v>1.19521912350598</v>
      </c>
      <c r="I4268" s="10" t="n">
        <v>46314</v>
      </c>
      <c r="J4268" s="3" t="s">
        <v>1054</v>
      </c>
      <c r="K4268" s="10" t="n">
        <v>46224</v>
      </c>
      <c r="L4268" s="3" t="s">
        <v>16</v>
      </c>
      <c r="M4268" s="7" t="n">
        <v>425</v>
      </c>
      <c r="N4268" s="8" t="n">
        <v>0.1312</v>
      </c>
      <c r="O4268" s="4" t="n">
        <f aca="false">M4268*N4268</f>
        <v>55.76</v>
      </c>
    </row>
    <row r="4269" customFormat="false" ht="15" hidden="false" customHeight="false" outlineLevel="0" collapsed="false">
      <c r="A4269" s="0" t="s">
        <v>5816</v>
      </c>
      <c r="C4269" s="0" t="s">
        <v>31</v>
      </c>
      <c r="D4269" s="7" t="n">
        <v>3277</v>
      </c>
      <c r="E4269" s="8" t="n">
        <v>0.0120079340860543</v>
      </c>
      <c r="F4269" s="4" t="n">
        <f aca="false">D4269*E4269</f>
        <v>39.35</v>
      </c>
      <c r="G4269" s="7" t="n">
        <v>334</v>
      </c>
      <c r="H4269" s="9" t="n">
        <f aca="false">IF(G4269&gt;0,D4269/G4269,"")</f>
        <v>9.81137724550898</v>
      </c>
      <c r="I4269" s="10" t="n">
        <v>46230</v>
      </c>
      <c r="K4269" s="10"/>
      <c r="M4269" s="7"/>
      <c r="N4269" s="8"/>
      <c r="O4269" s="4"/>
    </row>
    <row r="4270" customFormat="false" ht="15" hidden="false" customHeight="false" outlineLevel="0" collapsed="false">
      <c r="A4270" s="0" t="s">
        <v>5817</v>
      </c>
      <c r="C4270" s="0" t="s">
        <v>462</v>
      </c>
      <c r="D4270" s="7" t="n">
        <v>1357</v>
      </c>
      <c r="E4270" s="8" t="n">
        <v>0.0289904200442152</v>
      </c>
      <c r="F4270" s="4" t="n">
        <f aca="false">D4270*E4270</f>
        <v>39.34</v>
      </c>
      <c r="G4270" s="7" t="n">
        <v>73</v>
      </c>
      <c r="H4270" s="9" t="n">
        <f aca="false">IF(G4270&gt;0,D4270/G4270,"")</f>
        <v>18.5890410958904</v>
      </c>
      <c r="I4270" s="10" t="n">
        <v>46308</v>
      </c>
      <c r="K4270" s="10"/>
      <c r="M4270" s="7"/>
      <c r="N4270" s="8"/>
      <c r="O4270" s="4"/>
    </row>
    <row r="4271" customFormat="false" ht="15" hidden="false" customHeight="false" outlineLevel="0" collapsed="false">
      <c r="A4271" s="0" t="s">
        <v>5818</v>
      </c>
      <c r="C4271" s="0" t="s">
        <v>715</v>
      </c>
      <c r="D4271" s="7" t="n">
        <v>2641</v>
      </c>
      <c r="E4271" s="8" t="n">
        <v>0.0148882998864067</v>
      </c>
      <c r="F4271" s="4" t="n">
        <f aca="false">D4271*E4271</f>
        <v>39.32</v>
      </c>
      <c r="G4271" s="7" t="n">
        <v>100</v>
      </c>
      <c r="H4271" s="9" t="n">
        <f aca="false">IF(G4271&gt;0,D4271/G4271,"")</f>
        <v>26.41</v>
      </c>
      <c r="I4271" s="10" t="n">
        <v>46051</v>
      </c>
      <c r="J4271" s="3" t="s">
        <v>5705</v>
      </c>
      <c r="K4271" s="10" t="n">
        <v>44564</v>
      </c>
      <c r="L4271" s="3" t="s">
        <v>16</v>
      </c>
      <c r="M4271" s="7" t="n">
        <v>9113</v>
      </c>
      <c r="N4271" s="8" t="n">
        <v>0.015</v>
      </c>
      <c r="O4271" s="4" t="n">
        <v>136.41</v>
      </c>
    </row>
    <row r="4272" customFormat="false" ht="15" hidden="false" customHeight="false" outlineLevel="0" collapsed="false">
      <c r="A4272" s="0" t="s">
        <v>5819</v>
      </c>
      <c r="C4272" s="0" t="s">
        <v>34</v>
      </c>
      <c r="D4272" s="7" t="n">
        <v>6667</v>
      </c>
      <c r="E4272" s="8" t="n">
        <v>0.00589770511474426</v>
      </c>
      <c r="F4272" s="4" t="n">
        <f aca="false">D4272*E4272</f>
        <v>39.32</v>
      </c>
      <c r="G4272" s="7" t="n">
        <v>5923</v>
      </c>
      <c r="H4272" s="9" t="n">
        <f aca="false">IF(G4272&gt;0,D4272/G4272,"")</f>
        <v>1.12561202093534</v>
      </c>
      <c r="I4272" s="10" t="n">
        <v>46317</v>
      </c>
      <c r="J4272" s="3" t="s">
        <v>2385</v>
      </c>
      <c r="K4272" s="10" t="n">
        <v>45629</v>
      </c>
      <c r="L4272" s="3" t="s">
        <v>16</v>
      </c>
      <c r="M4272" s="7" t="n">
        <v>12500</v>
      </c>
      <c r="N4272" s="8" t="n">
        <v>0.0059</v>
      </c>
      <c r="O4272" s="4" t="n">
        <f aca="false">M4272*N4272</f>
        <v>73.75</v>
      </c>
    </row>
    <row r="4273" customFormat="false" ht="15" hidden="false" customHeight="false" outlineLevel="0" collapsed="false">
      <c r="A4273" s="0" t="s">
        <v>5820</v>
      </c>
      <c r="C4273" s="0" t="s">
        <v>583</v>
      </c>
      <c r="D4273" s="7" t="n">
        <v>786</v>
      </c>
      <c r="E4273" s="8" t="n">
        <v>0.05</v>
      </c>
      <c r="F4273" s="4" t="n">
        <f aca="false">D4273*E4273</f>
        <v>39.3</v>
      </c>
      <c r="G4273" s="7" t="n">
        <v>565</v>
      </c>
      <c r="H4273" s="9" t="n">
        <f aca="false">IF(G4273&gt;0,D4273/G4273,"")</f>
        <v>1.39115044247788</v>
      </c>
      <c r="I4273" s="10" t="n">
        <v>46293</v>
      </c>
      <c r="J4273" s="3" t="s">
        <v>457</v>
      </c>
      <c r="K4273" s="10" t="n">
        <v>45866</v>
      </c>
      <c r="L4273" s="3" t="s">
        <v>16</v>
      </c>
      <c r="M4273" s="7" t="n">
        <v>1500</v>
      </c>
      <c r="N4273" s="8" t="n">
        <v>0.0543</v>
      </c>
      <c r="O4273" s="4" t="n">
        <f aca="false">M4273*N4273</f>
        <v>81.45</v>
      </c>
    </row>
    <row r="4274" customFormat="false" ht="15" hidden="false" customHeight="false" outlineLevel="0" collapsed="false">
      <c r="A4274" s="0" t="s">
        <v>5821</v>
      </c>
      <c r="C4274" s="0" t="s">
        <v>34</v>
      </c>
      <c r="D4274" s="7" t="n">
        <v>438</v>
      </c>
      <c r="E4274" s="8" t="n">
        <v>0.089703196347032</v>
      </c>
      <c r="F4274" s="4" t="n">
        <f aca="false">D4274*E4274</f>
        <v>39.29</v>
      </c>
      <c r="G4274" s="7" t="n">
        <v>166</v>
      </c>
      <c r="H4274" s="9" t="n">
        <f aca="false">IF(G4274&gt;0,D4274/G4274,"")</f>
        <v>2.63855421686747</v>
      </c>
      <c r="I4274" s="10" t="n">
        <v>46258</v>
      </c>
      <c r="J4274" s="3" t="s">
        <v>2888</v>
      </c>
      <c r="K4274" s="10" t="n">
        <v>45984</v>
      </c>
      <c r="L4274" s="3" t="s">
        <v>16</v>
      </c>
      <c r="M4274" s="7" t="n">
        <v>600</v>
      </c>
      <c r="N4274" s="8" t="n">
        <v>0.0868</v>
      </c>
      <c r="O4274" s="4" t="n">
        <f aca="false">M4274*N4274</f>
        <v>52.08</v>
      </c>
    </row>
    <row r="4275" customFormat="false" ht="15" hidden="false" customHeight="false" outlineLevel="0" collapsed="false">
      <c r="A4275" s="0" t="s">
        <v>5822</v>
      </c>
      <c r="C4275" s="0" t="s">
        <v>40</v>
      </c>
      <c r="D4275" s="7" t="n">
        <v>130</v>
      </c>
      <c r="E4275" s="8" t="n">
        <v>0.302</v>
      </c>
      <c r="F4275" s="4" t="n">
        <f aca="false">D4275*E4275</f>
        <v>39.26</v>
      </c>
      <c r="G4275" s="7" t="n">
        <v>109</v>
      </c>
      <c r="H4275" s="9" t="n">
        <f aca="false">IF(G4275&gt;0,D4275/G4275,"")</f>
        <v>1.19266055045872</v>
      </c>
      <c r="I4275" s="10" t="n">
        <v>46238</v>
      </c>
      <c r="J4275" s="3" t="s">
        <v>3669</v>
      </c>
      <c r="K4275" s="10" t="n">
        <v>46226</v>
      </c>
      <c r="L4275" s="3" t="s">
        <v>18</v>
      </c>
      <c r="M4275" s="7" t="n">
        <v>138</v>
      </c>
      <c r="N4275" s="8" t="n">
        <v>0.302</v>
      </c>
      <c r="O4275" s="4" t="n">
        <f aca="false">M4275*N4275</f>
        <v>41.676</v>
      </c>
    </row>
    <row r="4276" customFormat="false" ht="15" hidden="false" customHeight="false" outlineLevel="0" collapsed="false">
      <c r="A4276" s="0" t="s">
        <v>5823</v>
      </c>
      <c r="C4276" s="0" t="s">
        <v>40</v>
      </c>
      <c r="D4276" s="7" t="n">
        <v>105</v>
      </c>
      <c r="E4276" s="8" t="n">
        <v>0.37352380952381</v>
      </c>
      <c r="F4276" s="4" t="n">
        <f aca="false">D4276*E4276</f>
        <v>39.22</v>
      </c>
      <c r="G4276" s="7" t="n">
        <v>15</v>
      </c>
      <c r="H4276" s="9" t="n">
        <f aca="false">IF(G4276&gt;0,D4276/G4276,"")</f>
        <v>7</v>
      </c>
      <c r="I4276" s="10" t="n">
        <v>46275</v>
      </c>
      <c r="K4276" s="10"/>
      <c r="M4276" s="7"/>
      <c r="N4276" s="8"/>
      <c r="O4276" s="4"/>
    </row>
    <row r="4277" customFormat="false" ht="15" hidden="false" customHeight="false" outlineLevel="0" collapsed="false">
      <c r="A4277" s="0" t="s">
        <v>5824</v>
      </c>
      <c r="C4277" s="0" t="s">
        <v>2569</v>
      </c>
      <c r="D4277" s="7" t="n">
        <v>89</v>
      </c>
      <c r="E4277" s="8" t="n">
        <v>0.440561797752809</v>
      </c>
      <c r="F4277" s="4" t="n">
        <f aca="false">D4277*E4277</f>
        <v>39.21</v>
      </c>
      <c r="G4277" s="7" t="n">
        <v>4</v>
      </c>
      <c r="H4277" s="9" t="n">
        <f aca="false">IF(G4277&gt;0,D4277/G4277,"")</f>
        <v>22.25</v>
      </c>
      <c r="I4277" s="10" t="n">
        <v>46191</v>
      </c>
      <c r="K4277" s="10"/>
      <c r="M4277" s="7"/>
      <c r="N4277" s="8"/>
      <c r="O4277" s="4"/>
    </row>
    <row r="4278" customFormat="false" ht="15" hidden="false" customHeight="false" outlineLevel="0" collapsed="false">
      <c r="A4278" s="0" t="s">
        <v>5825</v>
      </c>
      <c r="C4278" s="0" t="s">
        <v>1169</v>
      </c>
      <c r="D4278" s="7" t="n">
        <v>196</v>
      </c>
      <c r="E4278" s="8" t="n">
        <v>0.2</v>
      </c>
      <c r="F4278" s="4" t="n">
        <f aca="false">D4278*E4278</f>
        <v>39.2</v>
      </c>
      <c r="G4278" s="7" t="n">
        <v>110</v>
      </c>
      <c r="H4278" s="9" t="n">
        <f aca="false">IF(G4278&gt;0,D4278/G4278,"")</f>
        <v>1.78181818181818</v>
      </c>
      <c r="I4278" s="10" t="n">
        <v>45996</v>
      </c>
      <c r="J4278" s="3" t="s">
        <v>3875</v>
      </c>
      <c r="K4278" s="10" t="n">
        <v>45629</v>
      </c>
      <c r="L4278" s="3" t="s">
        <v>21</v>
      </c>
      <c r="M4278" s="7" t="n">
        <v>500</v>
      </c>
      <c r="N4278" s="8" t="n">
        <v>0.2</v>
      </c>
      <c r="O4278" s="4" t="n">
        <f aca="false">M4278*N4278</f>
        <v>100</v>
      </c>
    </row>
    <row r="4279" customFormat="false" ht="15" hidden="false" customHeight="false" outlineLevel="0" collapsed="false">
      <c r="A4279" s="0" t="s">
        <v>5826</v>
      </c>
      <c r="C4279" s="0" t="s">
        <v>741</v>
      </c>
      <c r="D4279" s="7" t="n">
        <v>140</v>
      </c>
      <c r="E4279" s="8" t="n">
        <v>0.279928571428571</v>
      </c>
      <c r="F4279" s="4" t="n">
        <f aca="false">D4279*E4279</f>
        <v>39.19</v>
      </c>
      <c r="G4279" s="7" t="n">
        <v>8</v>
      </c>
      <c r="H4279" s="9" t="n">
        <f aca="false">IF(G4279&gt;0,D4279/G4279,"")</f>
        <v>17.5</v>
      </c>
      <c r="I4279" s="10" t="n">
        <v>46183</v>
      </c>
      <c r="J4279" s="3" t="s">
        <v>4658</v>
      </c>
      <c r="K4279" s="10" t="n">
        <v>45517</v>
      </c>
      <c r="L4279" s="3" t="s">
        <v>27</v>
      </c>
      <c r="M4279" s="7" t="n">
        <v>150</v>
      </c>
      <c r="N4279" s="8" t="n">
        <v>0.2799</v>
      </c>
      <c r="O4279" s="4" t="n">
        <f aca="false">M4279*N4279</f>
        <v>41.985</v>
      </c>
    </row>
    <row r="4280" customFormat="false" ht="15" hidden="false" customHeight="false" outlineLevel="0" collapsed="false">
      <c r="A4280" s="0" t="s">
        <v>5827</v>
      </c>
      <c r="C4280" s="0" t="s">
        <v>34</v>
      </c>
      <c r="D4280" s="7" t="n">
        <v>1471</v>
      </c>
      <c r="E4280" s="8" t="n">
        <v>0.0266077498300476</v>
      </c>
      <c r="F4280" s="4" t="n">
        <f aca="false">D4280*E4280</f>
        <v>39.14</v>
      </c>
      <c r="G4280" s="7" t="n">
        <v>142</v>
      </c>
      <c r="H4280" s="9" t="n">
        <f aca="false">IF(G4280&gt;0,D4280/G4280,"")</f>
        <v>10.3591549295775</v>
      </c>
      <c r="I4280" s="10" t="n">
        <v>46238</v>
      </c>
      <c r="J4280" s="3" t="s">
        <v>5828</v>
      </c>
      <c r="K4280" s="10" t="n">
        <v>45509</v>
      </c>
      <c r="L4280" s="3" t="s">
        <v>15</v>
      </c>
      <c r="M4280" s="7" t="n">
        <v>1650</v>
      </c>
      <c r="N4280" s="8" t="n">
        <v>0.02661</v>
      </c>
      <c r="O4280" s="4" t="n">
        <f aca="false">M4280*N4280</f>
        <v>43.9065</v>
      </c>
    </row>
    <row r="4281" customFormat="false" ht="15" hidden="false" customHeight="false" outlineLevel="0" collapsed="false">
      <c r="A4281" s="0" t="s">
        <v>5829</v>
      </c>
      <c r="C4281" s="0" t="s">
        <v>31</v>
      </c>
      <c r="D4281" s="7" t="n">
        <v>26</v>
      </c>
      <c r="E4281" s="8" t="n">
        <v>1.50423076923077</v>
      </c>
      <c r="F4281" s="4" t="n">
        <f aca="false">D4281*E4281</f>
        <v>39.11</v>
      </c>
      <c r="G4281" s="7" t="n">
        <v>2</v>
      </c>
      <c r="H4281" s="9" t="n">
        <f aca="false">IF(G4281&gt;0,D4281/G4281,"")</f>
        <v>13</v>
      </c>
      <c r="I4281" s="10" t="n">
        <v>46154</v>
      </c>
      <c r="J4281" s="3" t="s">
        <v>4008</v>
      </c>
      <c r="K4281" s="10" t="n">
        <v>45607</v>
      </c>
      <c r="L4281" s="3" t="s">
        <v>19</v>
      </c>
      <c r="M4281" s="7" t="n">
        <v>23</v>
      </c>
      <c r="N4281" s="8" t="n">
        <v>1.5312</v>
      </c>
      <c r="O4281" s="4" t="n">
        <f aca="false">M4281*N4281</f>
        <v>35.2176</v>
      </c>
    </row>
    <row r="4282" customFormat="false" ht="15" hidden="false" customHeight="false" outlineLevel="0" collapsed="false">
      <c r="A4282" s="0" t="s">
        <v>5830</v>
      </c>
      <c r="C4282" s="0" t="s">
        <v>31</v>
      </c>
      <c r="D4282" s="7" t="n">
        <v>1845</v>
      </c>
      <c r="E4282" s="8" t="n">
        <v>0.0211924119241192</v>
      </c>
      <c r="F4282" s="4" t="n">
        <f aca="false">D4282*E4282</f>
        <v>39.1</v>
      </c>
      <c r="G4282" s="7" t="n">
        <v>313</v>
      </c>
      <c r="H4282" s="9" t="n">
        <f aca="false">IF(G4282&gt;0,D4282/G4282,"")</f>
        <v>5.89456869009585</v>
      </c>
      <c r="I4282" s="10" t="n">
        <v>46304</v>
      </c>
      <c r="J4282" s="3" t="s">
        <v>5831</v>
      </c>
      <c r="K4282" s="10" t="n">
        <v>44235</v>
      </c>
      <c r="L4282" s="3" t="s">
        <v>19</v>
      </c>
      <c r="M4282" s="7" t="n">
        <v>10000</v>
      </c>
      <c r="N4282" s="8" t="n">
        <v>0.0212</v>
      </c>
      <c r="O4282" s="4" t="n">
        <f aca="false">M4282*N4282</f>
        <v>212</v>
      </c>
    </row>
    <row r="4283" customFormat="false" ht="15" hidden="false" customHeight="false" outlineLevel="0" collapsed="false">
      <c r="A4283" s="0" t="s">
        <v>5832</v>
      </c>
      <c r="C4283" s="0" t="s">
        <v>41</v>
      </c>
      <c r="D4283" s="7" t="n">
        <v>208</v>
      </c>
      <c r="E4283" s="8" t="n">
        <v>0.187980769230769</v>
      </c>
      <c r="F4283" s="4" t="n">
        <f aca="false">D4283*E4283</f>
        <v>39.1</v>
      </c>
      <c r="G4283" s="7" t="n">
        <v>40</v>
      </c>
      <c r="H4283" s="9" t="n">
        <f aca="false">IF(G4283&gt;0,D4283/G4283,"")</f>
        <v>5.2</v>
      </c>
      <c r="I4283" s="10" t="n">
        <v>46224</v>
      </c>
      <c r="J4283" s="3" t="s">
        <v>5833</v>
      </c>
      <c r="K4283" s="10" t="n">
        <v>44785</v>
      </c>
      <c r="L4283" s="3" t="s">
        <v>19</v>
      </c>
      <c r="M4283" s="7" t="n">
        <v>253</v>
      </c>
      <c r="N4283" s="8" t="n">
        <v>0.1907</v>
      </c>
      <c r="O4283" s="4" t="n">
        <v>47.675</v>
      </c>
    </row>
    <row r="4284" customFormat="false" ht="15" hidden="false" customHeight="false" outlineLevel="0" collapsed="false">
      <c r="A4284" s="0" t="s">
        <v>5834</v>
      </c>
      <c r="C4284" s="0" t="s">
        <v>31</v>
      </c>
      <c r="D4284" s="7" t="n">
        <v>18515</v>
      </c>
      <c r="E4284" s="8" t="n">
        <v>0.00211072103699703</v>
      </c>
      <c r="F4284" s="4" t="n">
        <f aca="false">D4284*E4284</f>
        <v>39.08</v>
      </c>
      <c r="G4284" s="7" t="n">
        <v>714</v>
      </c>
      <c r="H4284" s="9" t="n">
        <f aca="false">IF(G4284&gt;0,D4284/G4284,"")</f>
        <v>25.9313725490196</v>
      </c>
      <c r="I4284" s="10" t="n">
        <v>46287</v>
      </c>
      <c r="J4284" s="3" t="s">
        <v>3797</v>
      </c>
      <c r="K4284" s="10" t="n">
        <v>45056</v>
      </c>
      <c r="L4284" s="3" t="s">
        <v>15</v>
      </c>
      <c r="M4284" s="7" t="n">
        <v>25000</v>
      </c>
      <c r="N4284" s="8" t="n">
        <v>0.00211</v>
      </c>
      <c r="O4284" s="4" t="n">
        <f aca="false">M4284*N4284</f>
        <v>52.75</v>
      </c>
    </row>
    <row r="4285" customFormat="false" ht="15" hidden="false" customHeight="false" outlineLevel="0" collapsed="false">
      <c r="A4285" s="0" t="s">
        <v>5835</v>
      </c>
      <c r="C4285" s="0" t="s">
        <v>31</v>
      </c>
      <c r="D4285" s="7" t="n">
        <v>738</v>
      </c>
      <c r="E4285" s="8" t="n">
        <v>0.05289972899729</v>
      </c>
      <c r="F4285" s="4" t="n">
        <f aca="false">D4285*E4285</f>
        <v>39.04</v>
      </c>
      <c r="G4285" s="7" t="n">
        <v>175</v>
      </c>
      <c r="H4285" s="9" t="n">
        <f aca="false">IF(G4285&gt;0,D4285/G4285,"")</f>
        <v>4.21714285714286</v>
      </c>
      <c r="I4285" s="10" t="n">
        <v>46309</v>
      </c>
      <c r="J4285" s="3" t="s">
        <v>628</v>
      </c>
      <c r="K4285" s="10" t="n">
        <v>46128</v>
      </c>
      <c r="L4285" s="3" t="s">
        <v>16</v>
      </c>
      <c r="M4285" s="7" t="n">
        <v>837</v>
      </c>
      <c r="N4285" s="8" t="n">
        <v>0.0335</v>
      </c>
      <c r="O4285" s="4" t="n">
        <v>39.9987</v>
      </c>
    </row>
    <row r="4286" customFormat="false" ht="15" hidden="false" customHeight="false" outlineLevel="0" collapsed="false">
      <c r="A4286" s="0" t="s">
        <v>5836</v>
      </c>
      <c r="C4286" s="0" t="s">
        <v>166</v>
      </c>
      <c r="D4286" s="7" t="n">
        <v>60</v>
      </c>
      <c r="E4286" s="8" t="n">
        <v>0.65</v>
      </c>
      <c r="F4286" s="4" t="n">
        <f aca="false">D4286*E4286</f>
        <v>39</v>
      </c>
      <c r="G4286" s="7" t="n">
        <v>4</v>
      </c>
      <c r="H4286" s="9" t="n">
        <f aca="false">IF(G4286&gt;0,D4286/G4286,"")</f>
        <v>15</v>
      </c>
      <c r="I4286" s="10" t="n">
        <v>46027</v>
      </c>
      <c r="K4286" s="10"/>
      <c r="M4286" s="7"/>
      <c r="N4286" s="8"/>
      <c r="O4286" s="4"/>
    </row>
    <row r="4287" customFormat="false" ht="15" hidden="false" customHeight="false" outlineLevel="0" collapsed="false">
      <c r="A4287" s="0" t="s">
        <v>5837</v>
      </c>
      <c r="C4287" s="0" t="s">
        <v>33</v>
      </c>
      <c r="D4287" s="7" t="n">
        <v>4543</v>
      </c>
      <c r="E4287" s="8" t="n">
        <v>0.00857142857142857</v>
      </c>
      <c r="F4287" s="4" t="n">
        <f aca="false">D4287*E4287</f>
        <v>38.94</v>
      </c>
      <c r="G4287" s="7" t="n">
        <v>260</v>
      </c>
      <c r="H4287" s="9" t="n">
        <f aca="false">IF(G4287&gt;0,D4287/G4287,"")</f>
        <v>17.4730769230769</v>
      </c>
      <c r="I4287" s="10" t="n">
        <v>46251</v>
      </c>
      <c r="J4287" s="3" t="s">
        <v>416</v>
      </c>
      <c r="K4287" s="10" t="n">
        <v>45051</v>
      </c>
      <c r="L4287" s="3" t="s">
        <v>18</v>
      </c>
      <c r="M4287" s="7" t="n">
        <v>3300</v>
      </c>
      <c r="N4287" s="8" t="n">
        <v>0.008</v>
      </c>
      <c r="O4287" s="4" t="n">
        <f aca="false">M4287*N4287</f>
        <v>26.4</v>
      </c>
    </row>
    <row r="4288" customFormat="false" ht="15" hidden="false" customHeight="false" outlineLevel="0" collapsed="false">
      <c r="A4288" s="0" t="s">
        <v>5838</v>
      </c>
      <c r="C4288" s="0" t="s">
        <v>31</v>
      </c>
      <c r="D4288" s="7" t="n">
        <v>3894</v>
      </c>
      <c r="E4288" s="8" t="n">
        <v>0.01</v>
      </c>
      <c r="F4288" s="4" t="n">
        <f aca="false">D4288*E4288</f>
        <v>38.94</v>
      </c>
      <c r="G4288" s="7" t="n">
        <v>240</v>
      </c>
      <c r="H4288" s="9" t="n">
        <f aca="false">IF(G4288&gt;0,D4288/G4288,"")</f>
        <v>16.225</v>
      </c>
      <c r="I4288" s="10" t="n">
        <v>46283</v>
      </c>
      <c r="K4288" s="10"/>
      <c r="M4288" s="7"/>
      <c r="N4288" s="8"/>
      <c r="O4288" s="4"/>
    </row>
    <row r="4289" customFormat="false" ht="15" hidden="false" customHeight="false" outlineLevel="0" collapsed="false">
      <c r="A4289" s="0" t="s">
        <v>5839</v>
      </c>
      <c r="C4289" s="0" t="s">
        <v>979</v>
      </c>
      <c r="D4289" s="7" t="n">
        <v>3164</v>
      </c>
      <c r="E4289" s="8" t="n">
        <v>0.0122945638432364</v>
      </c>
      <c r="F4289" s="4" t="n">
        <f aca="false">D4289*E4289</f>
        <v>38.9</v>
      </c>
      <c r="G4289" s="7" t="n">
        <v>842</v>
      </c>
      <c r="H4289" s="9" t="n">
        <f aca="false">IF(G4289&gt;0,D4289/G4289,"")</f>
        <v>3.75771971496437</v>
      </c>
      <c r="I4289" s="10" t="n">
        <v>46280</v>
      </c>
      <c r="J4289" s="3" t="s">
        <v>4139</v>
      </c>
      <c r="K4289" s="10" t="n">
        <v>44748</v>
      </c>
      <c r="L4289" s="3" t="s">
        <v>18</v>
      </c>
      <c r="M4289" s="7" t="n">
        <v>5400</v>
      </c>
      <c r="N4289" s="8" t="n">
        <v>0.0123</v>
      </c>
      <c r="O4289" s="4" t="n">
        <f aca="false">M4289*N4289</f>
        <v>66.42</v>
      </c>
    </row>
    <row r="4290" customFormat="false" ht="15" hidden="false" customHeight="false" outlineLevel="0" collapsed="false">
      <c r="A4290" s="0" t="s">
        <v>5840</v>
      </c>
      <c r="C4290" s="0" t="s">
        <v>340</v>
      </c>
      <c r="D4290" s="7" t="n">
        <v>12550</v>
      </c>
      <c r="E4290" s="8" t="n">
        <v>0.0030996015936255</v>
      </c>
      <c r="F4290" s="4" t="n">
        <f aca="false">D4290*E4290</f>
        <v>38.9</v>
      </c>
      <c r="G4290" s="7" t="n">
        <v>3650</v>
      </c>
      <c r="H4290" s="9" t="n">
        <f aca="false">IF(G4290&gt;0,D4290/G4290,"")</f>
        <v>3.43835616438356</v>
      </c>
      <c r="I4290" s="10" t="n">
        <v>46308</v>
      </c>
      <c r="J4290" s="3" t="s">
        <v>2890</v>
      </c>
      <c r="K4290" s="10" t="n">
        <v>46198</v>
      </c>
      <c r="L4290" s="3" t="s">
        <v>16</v>
      </c>
      <c r="M4290" s="7" t="n">
        <v>16200</v>
      </c>
      <c r="N4290" s="8" t="n">
        <v>0.0031</v>
      </c>
      <c r="O4290" s="4" t="n">
        <f aca="false">M4290*N4290</f>
        <v>50.22</v>
      </c>
    </row>
    <row r="4291" customFormat="false" ht="15" hidden="false" customHeight="false" outlineLevel="0" collapsed="false">
      <c r="A4291" s="0" t="s">
        <v>5841</v>
      </c>
      <c r="C4291" s="0" t="s">
        <v>360</v>
      </c>
      <c r="D4291" s="7" t="n">
        <v>177</v>
      </c>
      <c r="E4291" s="8" t="n">
        <v>0.219717514124294</v>
      </c>
      <c r="F4291" s="4" t="n">
        <f aca="false">D4291*E4291</f>
        <v>38.89</v>
      </c>
      <c r="G4291" s="7" t="n">
        <v>28</v>
      </c>
      <c r="H4291" s="9" t="n">
        <f aca="false">IF(G4291&gt;0,D4291/G4291,"")</f>
        <v>6.32142857142857</v>
      </c>
      <c r="I4291" s="10" t="n">
        <v>46309</v>
      </c>
      <c r="K4291" s="10"/>
      <c r="M4291" s="7"/>
      <c r="N4291" s="8"/>
      <c r="O4291" s="4"/>
    </row>
    <row r="4292" customFormat="false" ht="15" hidden="false" customHeight="false" outlineLevel="0" collapsed="false">
      <c r="A4292" s="0" t="s">
        <v>5842</v>
      </c>
      <c r="C4292" s="0" t="s">
        <v>438</v>
      </c>
      <c r="D4292" s="7" t="n">
        <v>12</v>
      </c>
      <c r="E4292" s="8" t="n">
        <v>3.23916666666667</v>
      </c>
      <c r="F4292" s="4" t="n">
        <f aca="false">D4292*E4292</f>
        <v>38.87</v>
      </c>
      <c r="G4292" s="7" t="n">
        <v>8</v>
      </c>
      <c r="H4292" s="9" t="n">
        <f aca="false">IF(G4292&gt;0,D4292/G4292,"")</f>
        <v>1.5</v>
      </c>
      <c r="I4292" s="10" t="n">
        <v>45957</v>
      </c>
      <c r="K4292" s="10"/>
      <c r="M4292" s="7"/>
      <c r="N4292" s="8"/>
      <c r="O4292" s="4"/>
    </row>
    <row r="4293" customFormat="false" ht="15" hidden="false" customHeight="false" outlineLevel="0" collapsed="false">
      <c r="A4293" s="0" t="s">
        <v>5843</v>
      </c>
      <c r="C4293" s="0" t="s">
        <v>889</v>
      </c>
      <c r="D4293" s="7" t="n">
        <v>83</v>
      </c>
      <c r="E4293" s="8" t="n">
        <v>0.467951807228916</v>
      </c>
      <c r="F4293" s="4" t="n">
        <f aca="false">D4293*E4293</f>
        <v>38.84</v>
      </c>
      <c r="G4293" s="7" t="n">
        <v>17</v>
      </c>
      <c r="H4293" s="9" t="n">
        <f aca="false">IF(G4293&gt;0,D4293/G4293,"")</f>
        <v>4.88235294117647</v>
      </c>
      <c r="I4293" s="10" t="n">
        <v>45974</v>
      </c>
      <c r="J4293" s="3" t="s">
        <v>5844</v>
      </c>
      <c r="K4293" s="10" t="n">
        <v>45950</v>
      </c>
      <c r="L4293" s="3" t="s">
        <v>15</v>
      </c>
      <c r="M4293" s="7" t="n">
        <v>100</v>
      </c>
      <c r="N4293" s="8" t="n">
        <v>0.46794</v>
      </c>
      <c r="O4293" s="4" t="n">
        <f aca="false">M4293*N4293</f>
        <v>46.794</v>
      </c>
    </row>
    <row r="4294" customFormat="false" ht="15" hidden="false" customHeight="false" outlineLevel="0" collapsed="false">
      <c r="A4294" s="0" t="s">
        <v>5845</v>
      </c>
      <c r="C4294" s="0" t="s">
        <v>855</v>
      </c>
      <c r="D4294" s="7" t="n">
        <v>3460</v>
      </c>
      <c r="E4294" s="8" t="n">
        <v>0.0112138728323699</v>
      </c>
      <c r="F4294" s="4" t="n">
        <f aca="false">D4294*E4294</f>
        <v>38.8</v>
      </c>
      <c r="G4294" s="7" t="n">
        <v>200</v>
      </c>
      <c r="H4294" s="9" t="n">
        <f aca="false">IF(G4294&gt;0,D4294/G4294,"")</f>
        <v>17.3</v>
      </c>
      <c r="I4294" s="10" t="n">
        <v>45993</v>
      </c>
      <c r="J4294" s="3" t="s">
        <v>1698</v>
      </c>
      <c r="K4294" s="10" t="n">
        <v>44270</v>
      </c>
      <c r="L4294" s="3" t="s">
        <v>15</v>
      </c>
      <c r="M4294" s="7" t="n">
        <v>3720</v>
      </c>
      <c r="N4294" s="8" t="n">
        <v>0.01121</v>
      </c>
      <c r="O4294" s="4" t="n">
        <f aca="false">M4294*N4294</f>
        <v>41.7012</v>
      </c>
    </row>
    <row r="4295" customFormat="false" ht="15" hidden="false" customHeight="false" outlineLevel="0" collapsed="false">
      <c r="A4295" s="0" t="s">
        <v>5846</v>
      </c>
      <c r="C4295" s="0" t="s">
        <v>31</v>
      </c>
      <c r="D4295" s="7" t="n">
        <v>366</v>
      </c>
      <c r="E4295" s="8" t="n">
        <v>0.105928961748634</v>
      </c>
      <c r="F4295" s="4" t="n">
        <f aca="false">D4295*E4295</f>
        <v>38.77</v>
      </c>
      <c r="G4295" s="7" t="n">
        <v>90</v>
      </c>
      <c r="H4295" s="9" t="n">
        <f aca="false">IF(G4295&gt;0,D4295/G4295,"")</f>
        <v>4.06666666666667</v>
      </c>
      <c r="I4295" s="10" t="n">
        <v>46281</v>
      </c>
      <c r="J4295" s="3" t="s">
        <v>2777</v>
      </c>
      <c r="K4295" s="10" t="n">
        <v>45763</v>
      </c>
      <c r="L4295" s="3" t="s">
        <v>16</v>
      </c>
      <c r="M4295" s="7" t="n">
        <v>347</v>
      </c>
      <c r="N4295" s="8" t="n">
        <v>0.05698</v>
      </c>
      <c r="O4295" s="4" t="n">
        <f aca="false">M4295*N4295</f>
        <v>19.77206</v>
      </c>
    </row>
    <row r="4296" customFormat="false" ht="15" hidden="false" customHeight="false" outlineLevel="0" collapsed="false">
      <c r="A4296" s="0" t="s">
        <v>5847</v>
      </c>
      <c r="C4296" s="0" t="s">
        <v>34</v>
      </c>
      <c r="D4296" s="7" t="n">
        <v>368</v>
      </c>
      <c r="E4296" s="8" t="n">
        <v>0.105353260869565</v>
      </c>
      <c r="F4296" s="4" t="n">
        <f aca="false">D4296*E4296</f>
        <v>38.77</v>
      </c>
      <c r="G4296" s="7" t="n">
        <v>132</v>
      </c>
      <c r="H4296" s="9" t="n">
        <f aca="false">IF(G4296&gt;0,D4296/G4296,"")</f>
        <v>2.78787878787879</v>
      </c>
      <c r="I4296" s="10" t="n">
        <v>46260</v>
      </c>
      <c r="J4296" s="3" t="s">
        <v>5848</v>
      </c>
      <c r="K4296" s="10" t="n">
        <v>45490</v>
      </c>
      <c r="L4296" s="3" t="s">
        <v>19</v>
      </c>
      <c r="M4296" s="7" t="n">
        <v>100</v>
      </c>
      <c r="N4296" s="8" t="n">
        <v>0</v>
      </c>
      <c r="O4296" s="4" t="n">
        <v>0</v>
      </c>
    </row>
    <row r="4297" customFormat="false" ht="15" hidden="false" customHeight="false" outlineLevel="0" collapsed="false">
      <c r="A4297" s="0" t="s">
        <v>5849</v>
      </c>
      <c r="C4297" s="0" t="s">
        <v>31</v>
      </c>
      <c r="D4297" s="7" t="n">
        <v>8899</v>
      </c>
      <c r="E4297" s="8" t="n">
        <v>0.00435554556691763</v>
      </c>
      <c r="F4297" s="4" t="n">
        <f aca="false">D4297*E4297</f>
        <v>38.76</v>
      </c>
      <c r="G4297" s="7" t="n">
        <v>480</v>
      </c>
      <c r="H4297" s="9" t="n">
        <f aca="false">IF(G4297&gt;0,D4297/G4297,"")</f>
        <v>18.5395833333333</v>
      </c>
      <c r="I4297" s="10" t="n">
        <v>46217</v>
      </c>
      <c r="J4297" s="3" t="s">
        <v>5850</v>
      </c>
      <c r="K4297" s="10" t="n">
        <v>45134</v>
      </c>
      <c r="L4297" s="3" t="s">
        <v>15</v>
      </c>
      <c r="M4297" s="7" t="n">
        <v>11347</v>
      </c>
      <c r="N4297" s="8" t="n">
        <v>0.00436</v>
      </c>
      <c r="O4297" s="4" t="n">
        <f aca="false">M4297*N4297</f>
        <v>49.47292</v>
      </c>
    </row>
    <row r="4298" customFormat="false" ht="15" hidden="false" customHeight="false" outlineLevel="0" collapsed="false">
      <c r="A4298" s="0" t="s">
        <v>5851</v>
      </c>
      <c r="C4298" s="0" t="s">
        <v>34</v>
      </c>
      <c r="D4298" s="7" t="n">
        <v>925</v>
      </c>
      <c r="E4298" s="8" t="n">
        <v>0.0418918918918919</v>
      </c>
      <c r="F4298" s="4" t="n">
        <f aca="false">D4298*E4298</f>
        <v>38.75</v>
      </c>
      <c r="G4298" s="7" t="n">
        <v>60</v>
      </c>
      <c r="H4298" s="9" t="n">
        <f aca="false">IF(G4298&gt;0,D4298/G4298,"")</f>
        <v>15.4166666666667</v>
      </c>
      <c r="I4298" s="10" t="n">
        <v>46258</v>
      </c>
      <c r="J4298" s="3" t="s">
        <v>5852</v>
      </c>
      <c r="K4298" s="10" t="n">
        <v>45487</v>
      </c>
      <c r="L4298" s="3" t="s">
        <v>15</v>
      </c>
      <c r="M4298" s="7" t="n">
        <v>1000</v>
      </c>
      <c r="N4298" s="8" t="n">
        <v>0.0419</v>
      </c>
      <c r="O4298" s="4" t="n">
        <f aca="false">M4298*N4298</f>
        <v>41.9</v>
      </c>
    </row>
    <row r="4299" customFormat="false" ht="15" hidden="false" customHeight="false" outlineLevel="0" collapsed="false">
      <c r="A4299" s="0" t="s">
        <v>5853</v>
      </c>
      <c r="C4299" s="0" t="s">
        <v>31</v>
      </c>
      <c r="D4299" s="7" t="n">
        <v>4768</v>
      </c>
      <c r="E4299" s="8" t="n">
        <v>0.008125</v>
      </c>
      <c r="F4299" s="4" t="n">
        <f aca="false">D4299*E4299</f>
        <v>38.74</v>
      </c>
      <c r="G4299" s="7" t="n">
        <v>75</v>
      </c>
      <c r="H4299" s="9" t="n">
        <f aca="false">IF(G4299&gt;0,D4299/G4299,"")</f>
        <v>63.5733333333333</v>
      </c>
      <c r="I4299" s="10" t="n">
        <v>46044</v>
      </c>
      <c r="J4299" s="3" t="s">
        <v>3385</v>
      </c>
      <c r="K4299" s="10" t="n">
        <v>45595</v>
      </c>
      <c r="L4299" s="3" t="s">
        <v>16</v>
      </c>
      <c r="M4299" s="7" t="n">
        <v>5000</v>
      </c>
      <c r="N4299" s="8" t="n">
        <v>0.0081</v>
      </c>
      <c r="O4299" s="4" t="n">
        <f aca="false">M4299*N4299</f>
        <v>40.5</v>
      </c>
    </row>
    <row r="4300" customFormat="false" ht="15" hidden="false" customHeight="false" outlineLevel="0" collapsed="false">
      <c r="A4300" s="0" t="s">
        <v>5854</v>
      </c>
      <c r="C4300" s="0" t="s">
        <v>979</v>
      </c>
      <c r="D4300" s="7" t="n">
        <v>90</v>
      </c>
      <c r="E4300" s="8" t="n">
        <v>0.43</v>
      </c>
      <c r="F4300" s="4" t="n">
        <f aca="false">D4300*E4300</f>
        <v>38.7</v>
      </c>
      <c r="G4300" s="7" t="n">
        <v>10</v>
      </c>
      <c r="H4300" s="9" t="n">
        <f aca="false">IF(G4300&gt;0,D4300/G4300,"")</f>
        <v>9</v>
      </c>
      <c r="I4300" s="10" t="n">
        <v>46265</v>
      </c>
      <c r="K4300" s="10"/>
      <c r="M4300" s="7"/>
      <c r="N4300" s="8"/>
      <c r="O4300" s="4"/>
    </row>
    <row r="4301" customFormat="false" ht="15" hidden="false" customHeight="false" outlineLevel="0" collapsed="false">
      <c r="A4301" s="0" t="s">
        <v>5855</v>
      </c>
      <c r="C4301" s="0" t="s">
        <v>34</v>
      </c>
      <c r="D4301" s="7" t="n">
        <v>304</v>
      </c>
      <c r="E4301" s="8" t="n">
        <v>0.127269736842105</v>
      </c>
      <c r="F4301" s="4" t="n">
        <f aca="false">D4301*E4301</f>
        <v>38.69</v>
      </c>
      <c r="G4301" s="7" t="n">
        <v>42</v>
      </c>
      <c r="H4301" s="9" t="n">
        <f aca="false">IF(G4301&gt;0,D4301/G4301,"")</f>
        <v>7.23809523809524</v>
      </c>
      <c r="I4301" s="10" t="n">
        <v>46314</v>
      </c>
      <c r="K4301" s="10"/>
      <c r="M4301" s="7"/>
      <c r="N4301" s="8"/>
      <c r="O4301" s="4"/>
    </row>
    <row r="4302" customFormat="false" ht="15" hidden="false" customHeight="false" outlineLevel="0" collapsed="false">
      <c r="A4302" s="0" t="s">
        <v>5856</v>
      </c>
      <c r="C4302" s="0" t="s">
        <v>285</v>
      </c>
      <c r="D4302" s="7" t="n">
        <v>203</v>
      </c>
      <c r="E4302" s="8" t="n">
        <v>0.190591133004926</v>
      </c>
      <c r="F4302" s="4" t="n">
        <f aca="false">D4302*E4302</f>
        <v>38.69</v>
      </c>
      <c r="G4302" s="7" t="n">
        <v>37</v>
      </c>
      <c r="H4302" s="9" t="n">
        <f aca="false">IF(G4302&gt;0,D4302/G4302,"")</f>
        <v>5.48648648648649</v>
      </c>
      <c r="I4302" s="10" t="n">
        <v>46317</v>
      </c>
      <c r="K4302" s="10"/>
      <c r="M4302" s="7"/>
      <c r="N4302" s="8"/>
      <c r="O4302" s="4"/>
    </row>
    <row r="4303" customFormat="false" ht="15" hidden="false" customHeight="false" outlineLevel="0" collapsed="false">
      <c r="A4303" s="0" t="s">
        <v>5857</v>
      </c>
      <c r="C4303" s="0" t="s">
        <v>166</v>
      </c>
      <c r="D4303" s="7" t="n">
        <v>24</v>
      </c>
      <c r="E4303" s="8" t="n">
        <v>1.61125</v>
      </c>
      <c r="F4303" s="4" t="n">
        <f aca="false">D4303*E4303</f>
        <v>38.67</v>
      </c>
      <c r="G4303" s="7" t="n">
        <v>1</v>
      </c>
      <c r="H4303" s="9" t="n">
        <f aca="false">IF(G4303&gt;0,D4303/G4303,"")</f>
        <v>24</v>
      </c>
      <c r="I4303" s="10" t="n">
        <v>46309</v>
      </c>
      <c r="K4303" s="10"/>
      <c r="M4303" s="7"/>
      <c r="N4303" s="8"/>
      <c r="O4303" s="4"/>
    </row>
    <row r="4304" customFormat="false" ht="15" hidden="false" customHeight="false" outlineLevel="0" collapsed="false">
      <c r="A4304" s="0" t="s">
        <v>5858</v>
      </c>
      <c r="C4304" s="0" t="s">
        <v>31</v>
      </c>
      <c r="D4304" s="7" t="n">
        <v>4247</v>
      </c>
      <c r="E4304" s="8" t="n">
        <v>0.00910054155874735</v>
      </c>
      <c r="F4304" s="4" t="n">
        <f aca="false">D4304*E4304</f>
        <v>38.65</v>
      </c>
      <c r="G4304" s="7" t="n">
        <v>24</v>
      </c>
      <c r="H4304" s="9" t="n">
        <f aca="false">IF(G4304&gt;0,D4304/G4304,"")</f>
        <v>176.958333333333</v>
      </c>
      <c r="I4304" s="10" t="n">
        <v>46258</v>
      </c>
      <c r="J4304" s="3" t="s">
        <v>4260</v>
      </c>
      <c r="K4304" s="10" t="n">
        <v>45659</v>
      </c>
      <c r="L4304" s="3" t="s">
        <v>16</v>
      </c>
      <c r="M4304" s="7" t="n">
        <v>5000</v>
      </c>
      <c r="N4304" s="8" t="n">
        <v>0.0091</v>
      </c>
      <c r="O4304" s="4" t="n">
        <f aca="false">M4304*N4304</f>
        <v>45.5</v>
      </c>
    </row>
    <row r="4305" customFormat="false" ht="15" hidden="false" customHeight="false" outlineLevel="0" collapsed="false">
      <c r="A4305" s="0" t="s">
        <v>5859</v>
      </c>
      <c r="C4305" s="0" t="s">
        <v>438</v>
      </c>
      <c r="D4305" s="7" t="n">
        <v>92</v>
      </c>
      <c r="E4305" s="8" t="n">
        <v>0.42</v>
      </c>
      <c r="F4305" s="4" t="n">
        <f aca="false">D4305*E4305</f>
        <v>38.64</v>
      </c>
      <c r="G4305" s="7" t="n">
        <v>71</v>
      </c>
      <c r="H4305" s="9" t="n">
        <f aca="false">IF(G4305&gt;0,D4305/G4305,"")</f>
        <v>1.29577464788732</v>
      </c>
      <c r="I4305" s="10" t="n">
        <v>46308</v>
      </c>
      <c r="J4305" s="3" t="s">
        <v>1877</v>
      </c>
      <c r="K4305" s="10" t="n">
        <v>45896</v>
      </c>
      <c r="L4305" s="3" t="s">
        <v>1878</v>
      </c>
      <c r="M4305" s="7" t="n">
        <v>100</v>
      </c>
      <c r="N4305" s="8" t="n">
        <v>0.42</v>
      </c>
      <c r="O4305" s="4" t="n">
        <f aca="false">M4305*N4305</f>
        <v>42</v>
      </c>
    </row>
    <row r="4306" customFormat="false" ht="15" hidden="false" customHeight="false" outlineLevel="0" collapsed="false">
      <c r="A4306" s="0" t="s">
        <v>5860</v>
      </c>
      <c r="C4306" s="0" t="s">
        <v>360</v>
      </c>
      <c r="D4306" s="7" t="n">
        <v>1106</v>
      </c>
      <c r="E4306" s="8" t="n">
        <v>0.0349186256781194</v>
      </c>
      <c r="F4306" s="4" t="n">
        <f aca="false">D4306*E4306</f>
        <v>38.62</v>
      </c>
      <c r="G4306" s="7" t="n">
        <v>1000</v>
      </c>
      <c r="H4306" s="9" t="n">
        <f aca="false">IF(G4306&gt;0,D4306/G4306,"")</f>
        <v>1.106</v>
      </c>
      <c r="I4306" s="10" t="n">
        <v>46042</v>
      </c>
      <c r="J4306" s="3" t="s">
        <v>3590</v>
      </c>
      <c r="K4306" s="10" t="n">
        <v>45967</v>
      </c>
      <c r="L4306" s="3" t="s">
        <v>16</v>
      </c>
      <c r="M4306" s="7" t="n">
        <v>1100</v>
      </c>
      <c r="N4306" s="8" t="n">
        <v>0.3167</v>
      </c>
      <c r="O4306" s="4" t="n">
        <f aca="false">M4306*N4306</f>
        <v>348.37</v>
      </c>
    </row>
    <row r="4307" customFormat="false" ht="15" hidden="false" customHeight="false" outlineLevel="0" collapsed="false">
      <c r="A4307" s="0" t="s">
        <v>5861</v>
      </c>
      <c r="C4307" s="0" t="s">
        <v>31</v>
      </c>
      <c r="D4307" s="7" t="n">
        <v>835</v>
      </c>
      <c r="E4307" s="8" t="n">
        <v>0.0462155688622755</v>
      </c>
      <c r="F4307" s="4" t="n">
        <f aca="false">D4307*E4307</f>
        <v>38.59</v>
      </c>
      <c r="G4307" s="7" t="n">
        <v>60</v>
      </c>
      <c r="H4307" s="9" t="n">
        <f aca="false">IF(G4307&gt;0,D4307/G4307,"")</f>
        <v>13.9166666666667</v>
      </c>
      <c r="I4307" s="10" t="n">
        <v>46035</v>
      </c>
      <c r="J4307" s="3" t="s">
        <v>2001</v>
      </c>
      <c r="K4307" s="10" t="n">
        <v>45553</v>
      </c>
      <c r="L4307" s="3" t="s">
        <v>15</v>
      </c>
      <c r="M4307" s="7" t="n">
        <v>1015</v>
      </c>
      <c r="N4307" s="8" t="n">
        <v>0.04622</v>
      </c>
      <c r="O4307" s="4" t="n">
        <f aca="false">M4307*N4307</f>
        <v>46.9133</v>
      </c>
    </row>
    <row r="4308" customFormat="false" ht="15" hidden="false" customHeight="false" outlineLevel="0" collapsed="false">
      <c r="A4308" s="0" t="s">
        <v>5862</v>
      </c>
      <c r="C4308" s="0" t="s">
        <v>34</v>
      </c>
      <c r="D4308" s="7" t="n">
        <v>1649</v>
      </c>
      <c r="E4308" s="8" t="n">
        <v>0.0234020618556701</v>
      </c>
      <c r="F4308" s="4" t="n">
        <f aca="false">D4308*E4308</f>
        <v>38.59</v>
      </c>
      <c r="G4308" s="7" t="n">
        <v>1210</v>
      </c>
      <c r="H4308" s="9" t="n">
        <f aca="false">IF(G4308&gt;0,D4308/G4308,"")</f>
        <v>1.36280991735537</v>
      </c>
      <c r="I4308" s="10" t="n">
        <v>46252</v>
      </c>
      <c r="J4308" s="3" t="s">
        <v>1743</v>
      </c>
      <c r="K4308" s="10" t="n">
        <v>45852</v>
      </c>
      <c r="L4308" s="3" t="s">
        <v>16</v>
      </c>
      <c r="M4308" s="7" t="n">
        <v>3000</v>
      </c>
      <c r="N4308" s="8" t="n">
        <v>0.0234</v>
      </c>
      <c r="O4308" s="4" t="n">
        <f aca="false">M4308*N4308</f>
        <v>70.2</v>
      </c>
    </row>
    <row r="4309" customFormat="false" ht="15" hidden="false" customHeight="false" outlineLevel="0" collapsed="false">
      <c r="A4309" s="0" t="s">
        <v>5863</v>
      </c>
      <c r="C4309" s="0" t="s">
        <v>31</v>
      </c>
      <c r="D4309" s="7" t="n">
        <v>2073</v>
      </c>
      <c r="E4309" s="8" t="n">
        <v>0.0186010612638688</v>
      </c>
      <c r="F4309" s="4" t="n">
        <f aca="false">D4309*E4309</f>
        <v>38.56</v>
      </c>
      <c r="G4309" s="7" t="n">
        <v>295</v>
      </c>
      <c r="H4309" s="9" t="n">
        <f aca="false">IF(G4309&gt;0,D4309/G4309,"")</f>
        <v>7.0271186440678</v>
      </c>
      <c r="I4309" s="10" t="n">
        <v>46254</v>
      </c>
      <c r="J4309" s="3" t="s">
        <v>1211</v>
      </c>
      <c r="K4309" s="10" t="n">
        <v>45750</v>
      </c>
      <c r="L4309" s="3" t="s">
        <v>26</v>
      </c>
      <c r="M4309" s="7" t="n">
        <v>1000</v>
      </c>
      <c r="N4309" s="8" t="n">
        <v>0.0537</v>
      </c>
      <c r="O4309" s="4" t="n">
        <f aca="false">M4309*N4309</f>
        <v>53.7</v>
      </c>
    </row>
    <row r="4310" customFormat="false" ht="15" hidden="false" customHeight="false" outlineLevel="0" collapsed="false">
      <c r="A4310" s="0" t="s">
        <v>5864</v>
      </c>
      <c r="C4310" s="0" t="s">
        <v>340</v>
      </c>
      <c r="D4310" s="7" t="n">
        <v>2770</v>
      </c>
      <c r="E4310" s="8" t="n">
        <v>0.0139061371841155</v>
      </c>
      <c r="F4310" s="4" t="n">
        <f aca="false">D4310*E4310</f>
        <v>38.52</v>
      </c>
      <c r="G4310" s="7" t="n">
        <v>40</v>
      </c>
      <c r="H4310" s="9" t="n">
        <f aca="false">IF(G4310&gt;0,D4310/G4310,"")</f>
        <v>69.25</v>
      </c>
      <c r="I4310" s="10" t="n">
        <v>46185</v>
      </c>
      <c r="J4310" s="3" t="s">
        <v>341</v>
      </c>
      <c r="K4310" s="10" t="n">
        <v>46078</v>
      </c>
      <c r="L4310" s="3" t="s">
        <v>15</v>
      </c>
      <c r="M4310" s="7" t="n">
        <v>1680</v>
      </c>
      <c r="N4310" s="8" t="n">
        <v>0.01203</v>
      </c>
      <c r="O4310" s="4" t="n">
        <f aca="false">M4310*N4310</f>
        <v>20.2104</v>
      </c>
    </row>
    <row r="4311" customFormat="false" ht="15" hidden="false" customHeight="false" outlineLevel="0" collapsed="false">
      <c r="A4311" s="0" t="s">
        <v>5865</v>
      </c>
      <c r="C4311" s="0" t="s">
        <v>31</v>
      </c>
      <c r="D4311" s="7" t="n">
        <v>2150</v>
      </c>
      <c r="E4311" s="8" t="n">
        <v>0.0179023255813954</v>
      </c>
      <c r="F4311" s="4" t="n">
        <f aca="false">D4311*E4311</f>
        <v>38.49</v>
      </c>
      <c r="G4311" s="7" t="n">
        <v>870</v>
      </c>
      <c r="H4311" s="9" t="n">
        <f aca="false">IF(G4311&gt;0,D4311/G4311,"")</f>
        <v>2.47126436781609</v>
      </c>
      <c r="I4311" s="10" t="n">
        <v>46308</v>
      </c>
      <c r="J4311" s="3" t="s">
        <v>4970</v>
      </c>
      <c r="K4311" s="10" t="n">
        <v>44292</v>
      </c>
      <c r="L4311" s="3" t="s">
        <v>15</v>
      </c>
      <c r="M4311" s="7" t="n">
        <v>17900</v>
      </c>
      <c r="N4311" s="8" t="n">
        <v>0.0179</v>
      </c>
      <c r="O4311" s="4" t="n">
        <f aca="false">M4311*N4311</f>
        <v>320.41</v>
      </c>
    </row>
    <row r="4312" customFormat="false" ht="15" hidden="false" customHeight="false" outlineLevel="0" collapsed="false">
      <c r="A4312" s="0" t="s">
        <v>5866</v>
      </c>
      <c r="C4312" s="0" t="s">
        <v>31</v>
      </c>
      <c r="D4312" s="7" t="n">
        <v>5132</v>
      </c>
      <c r="E4312" s="8" t="n">
        <v>0.0075</v>
      </c>
      <c r="F4312" s="4" t="n">
        <f aca="false">D4312*E4312</f>
        <v>38.49</v>
      </c>
      <c r="G4312" s="7" t="n">
        <v>174</v>
      </c>
      <c r="H4312" s="9" t="n">
        <f aca="false">IF(G4312&gt;0,D4312/G4312,"")</f>
        <v>29.4942528735632</v>
      </c>
      <c r="I4312" s="10" t="n">
        <v>46304</v>
      </c>
      <c r="J4312" s="3" t="s">
        <v>587</v>
      </c>
      <c r="K4312" s="10" t="n">
        <v>45539</v>
      </c>
      <c r="L4312" s="3" t="s">
        <v>16</v>
      </c>
      <c r="M4312" s="7" t="n">
        <v>5716</v>
      </c>
      <c r="N4312" s="8" t="n">
        <v>0.0075</v>
      </c>
      <c r="O4312" s="4" t="n">
        <f aca="false">M4312*N4312</f>
        <v>42.87</v>
      </c>
    </row>
    <row r="4313" customFormat="false" ht="15" hidden="false" customHeight="false" outlineLevel="0" collapsed="false">
      <c r="A4313" s="0" t="s">
        <v>5867</v>
      </c>
      <c r="C4313" s="0" t="s">
        <v>340</v>
      </c>
      <c r="D4313" s="7" t="n">
        <v>1508</v>
      </c>
      <c r="E4313" s="8" t="n">
        <v>0.0254774535809019</v>
      </c>
      <c r="F4313" s="4" t="n">
        <f aca="false">D4313*E4313</f>
        <v>38.42</v>
      </c>
      <c r="G4313" s="7" t="n">
        <v>686</v>
      </c>
      <c r="H4313" s="9" t="n">
        <f aca="false">IF(G4313&gt;0,D4313/G4313,"")</f>
        <v>2.19825072886297</v>
      </c>
      <c r="I4313" s="10" t="n">
        <v>46259</v>
      </c>
      <c r="J4313" s="3" t="s">
        <v>2672</v>
      </c>
      <c r="K4313" s="10" t="n">
        <v>44670</v>
      </c>
      <c r="L4313" s="3" t="s">
        <v>15</v>
      </c>
      <c r="M4313" s="7" t="n">
        <v>2450</v>
      </c>
      <c r="N4313" s="8" t="n">
        <v>0.02547</v>
      </c>
      <c r="O4313" s="4" t="n">
        <f aca="false">M4313*N4313</f>
        <v>62.4015</v>
      </c>
    </row>
    <row r="4314" customFormat="false" ht="15" hidden="false" customHeight="false" outlineLevel="0" collapsed="false">
      <c r="A4314" s="0" t="s">
        <v>5868</v>
      </c>
      <c r="C4314" s="0" t="s">
        <v>32</v>
      </c>
      <c r="D4314" s="7" t="n">
        <v>346</v>
      </c>
      <c r="E4314" s="8" t="n">
        <v>0.111011560693642</v>
      </c>
      <c r="F4314" s="4" t="n">
        <f aca="false">D4314*E4314</f>
        <v>38.41</v>
      </c>
      <c r="G4314" s="7" t="n">
        <v>206</v>
      </c>
      <c r="H4314" s="9" t="n">
        <f aca="false">IF(G4314&gt;0,D4314/G4314,"")</f>
        <v>1.67961165048544</v>
      </c>
      <c r="I4314" s="10" t="n">
        <v>46246</v>
      </c>
      <c r="J4314" s="3" t="s">
        <v>4788</v>
      </c>
      <c r="K4314" s="10" t="n">
        <v>45847</v>
      </c>
      <c r="L4314" s="3" t="s">
        <v>18</v>
      </c>
      <c r="M4314" s="7" t="n">
        <v>810</v>
      </c>
      <c r="N4314" s="8" t="n">
        <v>0.111</v>
      </c>
      <c r="O4314" s="4" t="n">
        <f aca="false">M4314*N4314</f>
        <v>89.91</v>
      </c>
    </row>
    <row r="4315" customFormat="false" ht="15" hidden="false" customHeight="false" outlineLevel="0" collapsed="false">
      <c r="A4315" s="0" t="s">
        <v>5869</v>
      </c>
      <c r="C4315" s="0" t="s">
        <v>95</v>
      </c>
      <c r="D4315" s="7" t="n">
        <v>331</v>
      </c>
      <c r="E4315" s="8" t="n">
        <v>0.115619335347432</v>
      </c>
      <c r="F4315" s="4" t="n">
        <f aca="false">D4315*E4315</f>
        <v>38.27</v>
      </c>
      <c r="G4315" s="7" t="n">
        <v>144</v>
      </c>
      <c r="H4315" s="9" t="n">
        <f aca="false">IF(G4315&gt;0,D4315/G4315,"")</f>
        <v>2.29861111111111</v>
      </c>
      <c r="I4315" s="10" t="n">
        <v>46317</v>
      </c>
      <c r="J4315" s="3" t="s">
        <v>1576</v>
      </c>
      <c r="K4315" s="10" t="n">
        <v>46196</v>
      </c>
      <c r="L4315" s="3" t="s">
        <v>16</v>
      </c>
      <c r="M4315" s="7" t="n">
        <v>475</v>
      </c>
      <c r="N4315" s="8" t="n">
        <v>0.1156</v>
      </c>
      <c r="O4315" s="4" t="n">
        <f aca="false">M4315*N4315</f>
        <v>54.91</v>
      </c>
    </row>
    <row r="4316" customFormat="false" ht="15" hidden="false" customHeight="false" outlineLevel="0" collapsed="false">
      <c r="A4316" s="0" t="s">
        <v>5870</v>
      </c>
      <c r="C4316" s="0" t="s">
        <v>5871</v>
      </c>
      <c r="D4316" s="7" t="n">
        <v>93</v>
      </c>
      <c r="E4316" s="8" t="n">
        <v>0.411397849462366</v>
      </c>
      <c r="F4316" s="4" t="n">
        <f aca="false">D4316*E4316</f>
        <v>38.26</v>
      </c>
      <c r="G4316" s="7" t="n">
        <v>2</v>
      </c>
      <c r="H4316" s="9" t="n">
        <f aca="false">IF(G4316&gt;0,D4316/G4316,"")</f>
        <v>46.5</v>
      </c>
      <c r="I4316" s="10" t="n">
        <v>46234</v>
      </c>
      <c r="K4316" s="10"/>
      <c r="M4316" s="7"/>
      <c r="N4316" s="8"/>
      <c r="O4316" s="4"/>
    </row>
    <row r="4317" customFormat="false" ht="15" hidden="false" customHeight="false" outlineLevel="0" collapsed="false">
      <c r="A4317" s="0" t="s">
        <v>5872</v>
      </c>
      <c r="C4317" s="0" t="s">
        <v>32</v>
      </c>
      <c r="D4317" s="7" t="n">
        <v>191</v>
      </c>
      <c r="E4317" s="8" t="n">
        <v>0.2</v>
      </c>
      <c r="F4317" s="4" t="n">
        <f aca="false">D4317*E4317</f>
        <v>38.2</v>
      </c>
      <c r="G4317" s="7" t="n">
        <v>139</v>
      </c>
      <c r="H4317" s="9" t="n">
        <f aca="false">IF(G4317&gt;0,D4317/G4317,"")</f>
        <v>1.37410071942446</v>
      </c>
      <c r="I4317" s="10" t="n">
        <v>46310</v>
      </c>
      <c r="J4317" s="3" t="s">
        <v>4788</v>
      </c>
      <c r="K4317" s="10" t="n">
        <v>45847</v>
      </c>
      <c r="L4317" s="3" t="s">
        <v>18</v>
      </c>
      <c r="M4317" s="7" t="n">
        <v>200</v>
      </c>
      <c r="N4317" s="8" t="n">
        <v>0.2011</v>
      </c>
      <c r="O4317" s="4" t="n">
        <f aca="false">M4317*N4317</f>
        <v>40.22</v>
      </c>
    </row>
    <row r="4318" customFormat="false" ht="15" hidden="false" customHeight="false" outlineLevel="0" collapsed="false">
      <c r="A4318" s="0" t="s">
        <v>5873</v>
      </c>
      <c r="C4318" s="0" t="s">
        <v>41</v>
      </c>
      <c r="D4318" s="7" t="n">
        <v>543</v>
      </c>
      <c r="E4318" s="8" t="n">
        <v>0.0703130755064457</v>
      </c>
      <c r="F4318" s="4" t="n">
        <f aca="false">D4318*E4318</f>
        <v>38.18</v>
      </c>
      <c r="G4318" s="7" t="n">
        <v>10</v>
      </c>
      <c r="H4318" s="9" t="n">
        <f aca="false">IF(G4318&gt;0,D4318/G4318,"")</f>
        <v>54.3</v>
      </c>
      <c r="I4318" s="10" t="n">
        <v>46224</v>
      </c>
      <c r="J4318" s="3" t="s">
        <v>5874</v>
      </c>
      <c r="K4318" s="10" t="n">
        <v>45187</v>
      </c>
      <c r="L4318" s="3" t="s">
        <v>16</v>
      </c>
      <c r="M4318" s="7" t="n">
        <v>719</v>
      </c>
      <c r="N4318" s="8" t="n">
        <v>0.07029</v>
      </c>
      <c r="O4318" s="4" t="n">
        <f aca="false">M4318*N4318</f>
        <v>50.53851</v>
      </c>
    </row>
    <row r="4319" customFormat="false" ht="15" hidden="false" customHeight="false" outlineLevel="0" collapsed="false">
      <c r="A4319" s="0" t="s">
        <v>5875</v>
      </c>
      <c r="C4319" s="0" t="s">
        <v>31</v>
      </c>
      <c r="D4319" s="7" t="n">
        <v>109</v>
      </c>
      <c r="E4319" s="8" t="n">
        <v>0.35</v>
      </c>
      <c r="F4319" s="4" t="n">
        <f aca="false">D4319*E4319</f>
        <v>38.15</v>
      </c>
      <c r="G4319" s="7" t="n">
        <v>69</v>
      </c>
      <c r="H4319" s="9" t="n">
        <f aca="false">IF(G4319&gt;0,D4319/G4319,"")</f>
        <v>1.57971014492754</v>
      </c>
      <c r="I4319" s="10" t="n">
        <v>46177</v>
      </c>
      <c r="J4319" s="3" t="s">
        <v>4427</v>
      </c>
      <c r="K4319" s="10" t="n">
        <v>46169</v>
      </c>
      <c r="L4319" s="3" t="s">
        <v>19</v>
      </c>
      <c r="M4319" s="7" t="n">
        <v>159</v>
      </c>
      <c r="N4319" s="8" t="n">
        <v>0.3486</v>
      </c>
      <c r="O4319" s="4" t="n">
        <f aca="false">M4319*N4319</f>
        <v>55.4274</v>
      </c>
    </row>
    <row r="4320" customFormat="false" ht="15" hidden="false" customHeight="false" outlineLevel="0" collapsed="false">
      <c r="A4320" s="0" t="s">
        <v>5876</v>
      </c>
      <c r="C4320" s="0" t="s">
        <v>4779</v>
      </c>
      <c r="D4320" s="7" t="n">
        <v>15</v>
      </c>
      <c r="E4320" s="8" t="n">
        <v>2.54</v>
      </c>
      <c r="F4320" s="4" t="n">
        <f aca="false">D4320*E4320</f>
        <v>38.1</v>
      </c>
      <c r="G4320" s="7" t="n">
        <v>1</v>
      </c>
      <c r="H4320" s="9" t="n">
        <f aca="false">IF(G4320&gt;0,D4320/G4320,"")</f>
        <v>15</v>
      </c>
      <c r="I4320" s="10" t="n">
        <v>46006</v>
      </c>
      <c r="K4320" s="10"/>
      <c r="M4320" s="7"/>
      <c r="N4320" s="8"/>
      <c r="O4320" s="4"/>
    </row>
    <row r="4321" customFormat="false" ht="15" hidden="false" customHeight="false" outlineLevel="0" collapsed="false">
      <c r="A4321" s="0" t="s">
        <v>5877</v>
      </c>
      <c r="C4321" s="0" t="s">
        <v>340</v>
      </c>
      <c r="D4321" s="7" t="n">
        <v>799</v>
      </c>
      <c r="E4321" s="8" t="n">
        <v>0.0476846057571965</v>
      </c>
      <c r="F4321" s="4" t="n">
        <f aca="false">D4321*E4321</f>
        <v>38.1</v>
      </c>
      <c r="G4321" s="7" t="n">
        <v>339</v>
      </c>
      <c r="H4321" s="9" t="n">
        <f aca="false">IF(G4321&gt;0,D4321/G4321,"")</f>
        <v>2.35693215339233</v>
      </c>
      <c r="I4321" s="10" t="n">
        <v>46237</v>
      </c>
      <c r="J4321" s="3" t="s">
        <v>5878</v>
      </c>
      <c r="K4321" s="10" t="n">
        <v>45070</v>
      </c>
      <c r="L4321" s="3" t="s">
        <v>19</v>
      </c>
      <c r="M4321" s="7" t="n">
        <v>1300</v>
      </c>
      <c r="N4321" s="8" t="n">
        <v>0.0477</v>
      </c>
      <c r="O4321" s="4" t="n">
        <f aca="false">M4321*N4321</f>
        <v>62.01</v>
      </c>
    </row>
    <row r="4322" customFormat="false" ht="15" hidden="false" customHeight="false" outlineLevel="0" collapsed="false">
      <c r="A4322" s="0" t="s">
        <v>5879</v>
      </c>
      <c r="C4322" s="0" t="s">
        <v>741</v>
      </c>
      <c r="D4322" s="7" t="n">
        <v>242</v>
      </c>
      <c r="E4322" s="8" t="n">
        <v>0.157190082644628</v>
      </c>
      <c r="F4322" s="4" t="n">
        <f aca="false">D4322*E4322</f>
        <v>38.04</v>
      </c>
      <c r="G4322" s="7" t="n">
        <v>4</v>
      </c>
      <c r="H4322" s="9" t="n">
        <f aca="false">IF(G4322&gt;0,D4322/G4322,"")</f>
        <v>60.5</v>
      </c>
      <c r="I4322" s="10" t="n">
        <v>46150</v>
      </c>
      <c r="K4322" s="10"/>
      <c r="M4322" s="7"/>
      <c r="N4322" s="8"/>
      <c r="O4322" s="4"/>
    </row>
    <row r="4323" customFormat="false" ht="15" hidden="false" customHeight="false" outlineLevel="0" collapsed="false">
      <c r="A4323" s="0" t="s">
        <v>5880</v>
      </c>
      <c r="C4323" s="0" t="s">
        <v>34</v>
      </c>
      <c r="D4323" s="7" t="n">
        <v>66</v>
      </c>
      <c r="E4323" s="8" t="n">
        <v>0.576060606060606</v>
      </c>
      <c r="F4323" s="4" t="n">
        <f aca="false">D4323*E4323</f>
        <v>38.02</v>
      </c>
      <c r="G4323" s="7" t="n">
        <v>50</v>
      </c>
      <c r="H4323" s="9" t="n">
        <f aca="false">IF(G4323&gt;0,D4323/G4323,"")</f>
        <v>1.32</v>
      </c>
      <c r="I4323" s="10" t="n">
        <v>46160</v>
      </c>
      <c r="J4323" s="3" t="s">
        <v>2739</v>
      </c>
      <c r="K4323" s="10" t="n">
        <v>46142</v>
      </c>
      <c r="L4323" s="3" t="s">
        <v>16</v>
      </c>
      <c r="M4323" s="7" t="n">
        <v>100</v>
      </c>
      <c r="N4323" s="8" t="n">
        <v>0.3352</v>
      </c>
      <c r="O4323" s="4" t="n">
        <f aca="false">M4323*N4323</f>
        <v>33.52</v>
      </c>
    </row>
    <row r="4324" customFormat="false" ht="15" hidden="false" customHeight="false" outlineLevel="0" collapsed="false">
      <c r="A4324" s="0" t="s">
        <v>5881</v>
      </c>
      <c r="C4324" s="0" t="s">
        <v>31</v>
      </c>
      <c r="D4324" s="7" t="n">
        <v>882</v>
      </c>
      <c r="E4324" s="8" t="n">
        <v>0.0430952380952381</v>
      </c>
      <c r="F4324" s="4" t="n">
        <f aca="false">D4324*E4324</f>
        <v>38.01</v>
      </c>
      <c r="G4324" s="7" t="n">
        <v>351</v>
      </c>
      <c r="H4324" s="9" t="n">
        <f aca="false">IF(G4324&gt;0,D4324/G4324,"")</f>
        <v>2.51282051282051</v>
      </c>
      <c r="I4324" s="10" t="n">
        <v>46308</v>
      </c>
      <c r="J4324" s="3" t="s">
        <v>2716</v>
      </c>
      <c r="K4324" s="10" t="n">
        <v>46160</v>
      </c>
      <c r="L4324" s="3" t="s">
        <v>16</v>
      </c>
      <c r="M4324" s="7" t="n">
        <v>1100</v>
      </c>
      <c r="N4324" s="8" t="n">
        <v>0.0431</v>
      </c>
      <c r="O4324" s="4" t="n">
        <f aca="false">M4324*N4324</f>
        <v>47.41</v>
      </c>
    </row>
    <row r="4325" customFormat="false" ht="15" hidden="false" customHeight="false" outlineLevel="0" collapsed="false">
      <c r="A4325" s="0" t="s">
        <v>5882</v>
      </c>
      <c r="C4325" s="0" t="s">
        <v>34</v>
      </c>
      <c r="D4325" s="7" t="n">
        <v>502</v>
      </c>
      <c r="E4325" s="8" t="n">
        <v>0.0757171314741036</v>
      </c>
      <c r="F4325" s="4" t="n">
        <f aca="false">D4325*E4325</f>
        <v>38.01</v>
      </c>
      <c r="G4325" s="7" t="n">
        <v>470</v>
      </c>
      <c r="H4325" s="9" t="n">
        <f aca="false">IF(G4325&gt;0,D4325/G4325,"")</f>
        <v>1.06808510638298</v>
      </c>
      <c r="I4325" s="10" t="n">
        <v>46288</v>
      </c>
      <c r="J4325" s="3" t="s">
        <v>4260</v>
      </c>
      <c r="K4325" s="10" t="n">
        <v>45659</v>
      </c>
      <c r="L4325" s="3" t="s">
        <v>16</v>
      </c>
      <c r="M4325" s="7" t="n">
        <v>1000</v>
      </c>
      <c r="N4325" s="8" t="n">
        <v>0.0721</v>
      </c>
      <c r="O4325" s="4" t="n">
        <f aca="false">M4325*N4325</f>
        <v>72.1</v>
      </c>
    </row>
    <row r="4326" customFormat="false" ht="15" hidden="false" customHeight="false" outlineLevel="0" collapsed="false">
      <c r="A4326" s="0" t="s">
        <v>5883</v>
      </c>
      <c r="C4326" s="0" t="s">
        <v>34</v>
      </c>
      <c r="D4326" s="7" t="n">
        <v>357</v>
      </c>
      <c r="E4326" s="8" t="n">
        <v>0.106302521008403</v>
      </c>
      <c r="F4326" s="4" t="n">
        <f aca="false">D4326*E4326</f>
        <v>37.95</v>
      </c>
      <c r="G4326" s="7" t="n">
        <v>345</v>
      </c>
      <c r="H4326" s="9" t="n">
        <f aca="false">IF(G4326&gt;0,D4326/G4326,"")</f>
        <v>1.03478260869565</v>
      </c>
      <c r="I4326" s="10" t="n">
        <v>46177</v>
      </c>
      <c r="K4326" s="10"/>
      <c r="M4326" s="7"/>
      <c r="N4326" s="8"/>
      <c r="O4326" s="4"/>
    </row>
    <row r="4327" customFormat="false" ht="15" hidden="false" customHeight="false" outlineLevel="0" collapsed="false">
      <c r="A4327" s="0" t="s">
        <v>5884</v>
      </c>
      <c r="C4327" s="0" t="s">
        <v>31</v>
      </c>
      <c r="D4327" s="7" t="n">
        <v>9731</v>
      </c>
      <c r="E4327" s="8" t="n">
        <v>0.00389887986846162</v>
      </c>
      <c r="F4327" s="4" t="n">
        <f aca="false">D4327*E4327</f>
        <v>37.94</v>
      </c>
      <c r="G4327" s="7" t="n">
        <v>700</v>
      </c>
      <c r="H4327" s="9" t="n">
        <f aca="false">IF(G4327&gt;0,D4327/G4327,"")</f>
        <v>13.9014285714286</v>
      </c>
      <c r="I4327" s="10" t="n">
        <v>46281</v>
      </c>
      <c r="K4327" s="10"/>
      <c r="M4327" s="7"/>
      <c r="N4327" s="8"/>
      <c r="O4327" s="4"/>
    </row>
    <row r="4328" customFormat="false" ht="15" hidden="false" customHeight="false" outlineLevel="0" collapsed="false">
      <c r="A4328" s="0" t="s">
        <v>5885</v>
      </c>
      <c r="C4328" s="0" t="s">
        <v>31</v>
      </c>
      <c r="D4328" s="7" t="n">
        <v>941</v>
      </c>
      <c r="E4328" s="8" t="n">
        <v>0.040297555791711</v>
      </c>
      <c r="F4328" s="4" t="n">
        <f aca="false">D4328*E4328</f>
        <v>37.92</v>
      </c>
      <c r="G4328" s="7" t="n">
        <v>40</v>
      </c>
      <c r="H4328" s="9" t="n">
        <f aca="false">IF(G4328&gt;0,D4328/G4328,"")</f>
        <v>23.525</v>
      </c>
      <c r="I4328" s="10" t="n">
        <v>46048</v>
      </c>
      <c r="J4328" s="3" t="s">
        <v>5886</v>
      </c>
      <c r="K4328" s="10" t="n">
        <v>44552</v>
      </c>
      <c r="L4328" s="3" t="s">
        <v>19</v>
      </c>
      <c r="M4328" s="7" t="n">
        <v>1051</v>
      </c>
      <c r="N4328" s="8" t="n">
        <v>0</v>
      </c>
      <c r="O4328" s="4" t="n">
        <v>42.6</v>
      </c>
    </row>
    <row r="4329" customFormat="false" ht="15" hidden="false" customHeight="false" outlineLevel="0" collapsed="false">
      <c r="A4329" s="0" t="s">
        <v>5887</v>
      </c>
      <c r="C4329" s="0" t="s">
        <v>32</v>
      </c>
      <c r="D4329" s="7" t="n">
        <v>3946</v>
      </c>
      <c r="E4329" s="8" t="n">
        <v>0.00960212873796249</v>
      </c>
      <c r="F4329" s="4" t="n">
        <f aca="false">D4329*E4329</f>
        <v>37.89</v>
      </c>
      <c r="G4329" s="7" t="n">
        <v>1726</v>
      </c>
      <c r="H4329" s="9" t="n">
        <f aca="false">IF(G4329&gt;0,D4329/G4329,"")</f>
        <v>2.28621089223639</v>
      </c>
      <c r="I4329" s="10" t="n">
        <v>46309</v>
      </c>
      <c r="J4329" s="3" t="s">
        <v>2506</v>
      </c>
      <c r="K4329" s="10" t="n">
        <v>45911</v>
      </c>
      <c r="L4329" s="3" t="s">
        <v>18</v>
      </c>
      <c r="M4329" s="7" t="n">
        <v>9000</v>
      </c>
      <c r="N4329" s="8" t="n">
        <v>0.0096</v>
      </c>
      <c r="O4329" s="4" t="n">
        <f aca="false">M4329*N4329</f>
        <v>86.4</v>
      </c>
    </row>
    <row r="4330" customFormat="false" ht="15" hidden="false" customHeight="false" outlineLevel="0" collapsed="false">
      <c r="A4330" s="0" t="s">
        <v>5888</v>
      </c>
      <c r="C4330" s="0" t="s">
        <v>34</v>
      </c>
      <c r="D4330" s="7" t="n">
        <v>271</v>
      </c>
      <c r="E4330" s="8" t="n">
        <v>0.139667896678967</v>
      </c>
      <c r="F4330" s="4" t="n">
        <f aca="false">D4330*E4330</f>
        <v>37.85</v>
      </c>
      <c r="G4330" s="7" t="n">
        <v>7</v>
      </c>
      <c r="H4330" s="9" t="n">
        <f aca="false">IF(G4330&gt;0,D4330/G4330,"")</f>
        <v>38.7142857142857</v>
      </c>
      <c r="I4330" s="10" t="n">
        <v>46119</v>
      </c>
      <c r="J4330" s="3" t="s">
        <v>3860</v>
      </c>
      <c r="K4330" s="10" t="n">
        <v>44692</v>
      </c>
      <c r="L4330" s="3" t="s">
        <v>15</v>
      </c>
      <c r="M4330" s="7" t="n">
        <v>405</v>
      </c>
      <c r="N4330" s="8" t="n">
        <v>0.13968</v>
      </c>
      <c r="O4330" s="4" t="n">
        <f aca="false">M4330*N4330</f>
        <v>56.5704</v>
      </c>
    </row>
    <row r="4331" customFormat="false" ht="15" hidden="false" customHeight="false" outlineLevel="0" collapsed="false">
      <c r="A4331" s="0" t="s">
        <v>5889</v>
      </c>
      <c r="C4331" s="0" t="s">
        <v>715</v>
      </c>
      <c r="D4331" s="7" t="n">
        <v>3031</v>
      </c>
      <c r="E4331" s="8" t="n">
        <v>0.0124645331573738</v>
      </c>
      <c r="F4331" s="4" t="n">
        <f aca="false">D4331*E4331</f>
        <v>37.78</v>
      </c>
      <c r="G4331" s="7" t="n">
        <v>240</v>
      </c>
      <c r="H4331" s="9" t="n">
        <f aca="false">IF(G4331&gt;0,D4331/G4331,"")</f>
        <v>12.6291666666667</v>
      </c>
      <c r="I4331" s="10" t="n">
        <v>46171</v>
      </c>
      <c r="J4331" s="3" t="s">
        <v>3379</v>
      </c>
      <c r="K4331" s="10" t="n">
        <v>44645</v>
      </c>
      <c r="L4331" s="3" t="s">
        <v>15</v>
      </c>
      <c r="M4331" s="7" t="n">
        <v>7585</v>
      </c>
      <c r="N4331" s="8" t="n">
        <v>0</v>
      </c>
      <c r="O4331" s="4" t="n">
        <v>96.6416</v>
      </c>
    </row>
    <row r="4332" customFormat="false" ht="15" hidden="false" customHeight="false" outlineLevel="0" collapsed="false">
      <c r="A4332" s="0" t="s">
        <v>5890</v>
      </c>
      <c r="C4332" s="0" t="s">
        <v>438</v>
      </c>
      <c r="D4332" s="7" t="n">
        <v>19</v>
      </c>
      <c r="E4332" s="8" t="n">
        <v>1.98736842105263</v>
      </c>
      <c r="F4332" s="4" t="n">
        <f aca="false">D4332*E4332</f>
        <v>37.76</v>
      </c>
      <c r="G4332" s="7" t="n">
        <v>2</v>
      </c>
      <c r="H4332" s="9" t="n">
        <f aca="false">IF(G4332&gt;0,D4332/G4332,"")</f>
        <v>9.5</v>
      </c>
      <c r="I4332" s="10" t="n">
        <v>46104</v>
      </c>
      <c r="K4332" s="10"/>
      <c r="M4332" s="7"/>
      <c r="N4332" s="8"/>
      <c r="O4332" s="4"/>
    </row>
    <row r="4333" customFormat="false" ht="15" hidden="false" customHeight="false" outlineLevel="0" collapsed="false">
      <c r="A4333" s="0" t="s">
        <v>5891</v>
      </c>
      <c r="C4333" s="0" t="s">
        <v>118</v>
      </c>
      <c r="D4333" s="7" t="n">
        <v>1933</v>
      </c>
      <c r="E4333" s="8" t="n">
        <v>0.0195188825659597</v>
      </c>
      <c r="F4333" s="4" t="n">
        <f aca="false">D4333*E4333</f>
        <v>37.73</v>
      </c>
      <c r="G4333" s="7" t="n">
        <v>6</v>
      </c>
      <c r="H4333" s="9" t="n">
        <f aca="false">IF(G4333&gt;0,D4333/G4333,"")</f>
        <v>322.166666666667</v>
      </c>
      <c r="I4333" s="10" t="n">
        <v>46078</v>
      </c>
      <c r="J4333" s="3" t="s">
        <v>2561</v>
      </c>
      <c r="K4333" s="10" t="n">
        <v>44680</v>
      </c>
      <c r="L4333" s="3" t="s">
        <v>15</v>
      </c>
      <c r="M4333" s="7" t="n">
        <v>2242</v>
      </c>
      <c r="N4333" s="8" t="n">
        <v>0</v>
      </c>
      <c r="O4333" s="4" t="n">
        <v>43.8672</v>
      </c>
    </row>
    <row r="4334" customFormat="false" ht="15" hidden="false" customHeight="false" outlineLevel="0" collapsed="false">
      <c r="A4334" s="0" t="s">
        <v>5892</v>
      </c>
      <c r="C4334" s="0" t="s">
        <v>41</v>
      </c>
      <c r="D4334" s="7" t="n">
        <v>789</v>
      </c>
      <c r="E4334" s="8" t="n">
        <v>0.0477946768060837</v>
      </c>
      <c r="F4334" s="4" t="n">
        <f aca="false">D4334*E4334</f>
        <v>37.71</v>
      </c>
      <c r="G4334" s="7" t="n">
        <v>46</v>
      </c>
      <c r="H4334" s="9" t="n">
        <f aca="false">IF(G4334&gt;0,D4334/G4334,"")</f>
        <v>17.1521739130435</v>
      </c>
      <c r="I4334" s="10" t="n">
        <v>46244</v>
      </c>
      <c r="J4334" s="3" t="s">
        <v>5893</v>
      </c>
      <c r="K4334" s="10" t="n">
        <v>45355</v>
      </c>
      <c r="L4334" s="3" t="s">
        <v>19</v>
      </c>
      <c r="M4334" s="7" t="n">
        <v>1000</v>
      </c>
      <c r="N4334" s="8" t="n">
        <v>0.0478</v>
      </c>
      <c r="O4334" s="4" t="n">
        <f aca="false">M4334*N4334</f>
        <v>47.8</v>
      </c>
    </row>
    <row r="4335" customFormat="false" ht="15" hidden="false" customHeight="false" outlineLevel="0" collapsed="false">
      <c r="A4335" s="0" t="s">
        <v>5894</v>
      </c>
      <c r="C4335" s="0" t="s">
        <v>34</v>
      </c>
      <c r="D4335" s="7" t="n">
        <v>44</v>
      </c>
      <c r="E4335" s="8" t="n">
        <v>0.855909090909091</v>
      </c>
      <c r="F4335" s="4" t="n">
        <f aca="false">D4335*E4335</f>
        <v>37.66</v>
      </c>
      <c r="G4335" s="7" t="n">
        <v>20</v>
      </c>
      <c r="H4335" s="9" t="n">
        <f aca="false">IF(G4335&gt;0,D4335/G4335,"")</f>
        <v>2.2</v>
      </c>
      <c r="I4335" s="10" t="n">
        <v>46066</v>
      </c>
      <c r="J4335" s="3" t="s">
        <v>5895</v>
      </c>
      <c r="K4335" s="10" t="n">
        <v>46059</v>
      </c>
      <c r="L4335" s="3" t="s">
        <v>19</v>
      </c>
      <c r="M4335" s="7" t="n">
        <v>50</v>
      </c>
      <c r="N4335" s="8" t="n">
        <v>0.4993</v>
      </c>
      <c r="O4335" s="4" t="n">
        <f aca="false">M4335*N4335</f>
        <v>24.965</v>
      </c>
    </row>
    <row r="4336" customFormat="false" ht="15" hidden="false" customHeight="false" outlineLevel="0" collapsed="false">
      <c r="A4336" s="0" t="s">
        <v>5896</v>
      </c>
      <c r="C4336" s="0" t="s">
        <v>40</v>
      </c>
      <c r="D4336" s="7" t="n">
        <v>22</v>
      </c>
      <c r="E4336" s="8" t="n">
        <v>1.71136363636364</v>
      </c>
      <c r="F4336" s="4" t="n">
        <f aca="false">D4336*E4336</f>
        <v>37.65</v>
      </c>
      <c r="G4336" s="7" t="n">
        <v>4</v>
      </c>
      <c r="H4336" s="9" t="n">
        <f aca="false">IF(G4336&gt;0,D4336/G4336,"")</f>
        <v>5.5</v>
      </c>
      <c r="I4336" s="10" t="n">
        <v>46253</v>
      </c>
      <c r="J4336" s="3" t="s">
        <v>2162</v>
      </c>
      <c r="K4336" s="10" t="n">
        <v>44222</v>
      </c>
      <c r="L4336" s="3" t="s">
        <v>15</v>
      </c>
      <c r="M4336" s="7" t="n">
        <v>25</v>
      </c>
      <c r="N4336" s="8" t="n">
        <v>1.64318</v>
      </c>
      <c r="O4336" s="4" t="n">
        <f aca="false">M4336*N4336</f>
        <v>41.0795</v>
      </c>
    </row>
    <row r="4337" customFormat="false" ht="15" hidden="false" customHeight="false" outlineLevel="0" collapsed="false">
      <c r="A4337" s="0" t="s">
        <v>5897</v>
      </c>
      <c r="C4337" s="0" t="s">
        <v>40</v>
      </c>
      <c r="D4337" s="7" t="n">
        <v>1614</v>
      </c>
      <c r="E4337" s="8" t="n">
        <v>0.0233023543990087</v>
      </c>
      <c r="F4337" s="4" t="n">
        <f aca="false">D4337*E4337</f>
        <v>37.61</v>
      </c>
      <c r="G4337" s="7" t="n">
        <v>413</v>
      </c>
      <c r="H4337" s="9" t="n">
        <f aca="false">IF(G4337&gt;0,D4337/G4337,"")</f>
        <v>3.90799031476998</v>
      </c>
      <c r="I4337" s="10" t="n">
        <v>46169</v>
      </c>
      <c r="J4337" s="3" t="s">
        <v>5898</v>
      </c>
      <c r="K4337" s="10" t="n">
        <v>44579</v>
      </c>
      <c r="L4337" s="3" t="s">
        <v>15</v>
      </c>
      <c r="M4337" s="7" t="n">
        <v>3482</v>
      </c>
      <c r="N4337" s="8" t="n">
        <v>0</v>
      </c>
      <c r="O4337" s="4" t="n">
        <v>81.1884</v>
      </c>
    </row>
    <row r="4338" customFormat="false" ht="15" hidden="false" customHeight="false" outlineLevel="0" collapsed="false">
      <c r="A4338" s="0" t="s">
        <v>5899</v>
      </c>
      <c r="C4338" s="0" t="s">
        <v>118</v>
      </c>
      <c r="D4338" s="7" t="n">
        <v>255</v>
      </c>
      <c r="E4338" s="8" t="n">
        <v>0.147490196078431</v>
      </c>
      <c r="F4338" s="4" t="n">
        <f aca="false">D4338*E4338</f>
        <v>37.61</v>
      </c>
      <c r="G4338" s="7" t="n">
        <v>20</v>
      </c>
      <c r="H4338" s="9" t="n">
        <f aca="false">IF(G4338&gt;0,D4338/G4338,"")</f>
        <v>12.75</v>
      </c>
      <c r="I4338" s="10" t="n">
        <v>46218</v>
      </c>
      <c r="K4338" s="10"/>
      <c r="M4338" s="7"/>
      <c r="N4338" s="8"/>
      <c r="O4338" s="4"/>
    </row>
    <row r="4339" customFormat="false" ht="15" hidden="false" customHeight="false" outlineLevel="0" collapsed="false">
      <c r="A4339" s="0" t="s">
        <v>5900</v>
      </c>
      <c r="C4339" s="0" t="s">
        <v>34</v>
      </c>
      <c r="D4339" s="7" t="n">
        <v>45</v>
      </c>
      <c r="E4339" s="8" t="n">
        <v>0.835555555555556</v>
      </c>
      <c r="F4339" s="4" t="n">
        <f aca="false">D4339*E4339</f>
        <v>37.6</v>
      </c>
      <c r="G4339" s="7" t="n">
        <v>5</v>
      </c>
      <c r="H4339" s="9" t="n">
        <f aca="false">IF(G4339&gt;0,D4339/G4339,"")</f>
        <v>9</v>
      </c>
      <c r="I4339" s="10" t="n">
        <v>46247</v>
      </c>
      <c r="J4339" s="3" t="s">
        <v>4783</v>
      </c>
      <c r="K4339" s="10" t="n">
        <v>45992</v>
      </c>
      <c r="L4339" s="3" t="s">
        <v>19</v>
      </c>
      <c r="M4339" s="7" t="n">
        <v>50</v>
      </c>
      <c r="N4339" s="8" t="n">
        <v>0.8356</v>
      </c>
      <c r="O4339" s="4" t="n">
        <f aca="false">M4339*N4339</f>
        <v>41.78</v>
      </c>
    </row>
    <row r="4340" customFormat="false" ht="15" hidden="false" customHeight="false" outlineLevel="0" collapsed="false">
      <c r="A4340" s="0" t="s">
        <v>5901</v>
      </c>
      <c r="C4340" s="0" t="s">
        <v>34</v>
      </c>
      <c r="D4340" s="7" t="n">
        <v>1857</v>
      </c>
      <c r="E4340" s="8" t="n">
        <v>0.0202423263327948</v>
      </c>
      <c r="F4340" s="4" t="n">
        <f aca="false">D4340*E4340</f>
        <v>37.59</v>
      </c>
      <c r="G4340" s="7" t="n">
        <v>1484</v>
      </c>
      <c r="H4340" s="9" t="n">
        <f aca="false">IF(G4340&gt;0,D4340/G4340,"")</f>
        <v>1.25134770889488</v>
      </c>
      <c r="I4340" s="10" t="n">
        <v>46291</v>
      </c>
      <c r="J4340" s="3" t="s">
        <v>2202</v>
      </c>
      <c r="K4340" s="10" t="n">
        <v>46083</v>
      </c>
      <c r="L4340" s="3" t="s">
        <v>2203</v>
      </c>
      <c r="M4340" s="7" t="n">
        <v>1000</v>
      </c>
      <c r="N4340" s="8" t="n">
        <v>0.1576</v>
      </c>
      <c r="O4340" s="4" t="n">
        <f aca="false">M4340*N4340</f>
        <v>157.6</v>
      </c>
    </row>
    <row r="4341" customFormat="false" ht="15" hidden="false" customHeight="false" outlineLevel="0" collapsed="false">
      <c r="A4341" s="0" t="s">
        <v>5902</v>
      </c>
      <c r="C4341" s="0" t="s">
        <v>34</v>
      </c>
      <c r="D4341" s="7" t="n">
        <v>236</v>
      </c>
      <c r="E4341" s="8" t="n">
        <v>0.159237288135593</v>
      </c>
      <c r="F4341" s="4" t="n">
        <f aca="false">D4341*E4341</f>
        <v>37.58</v>
      </c>
      <c r="G4341" s="7" t="n">
        <v>5</v>
      </c>
      <c r="H4341" s="9" t="n">
        <f aca="false">IF(G4341&gt;0,D4341/G4341,"")</f>
        <v>47.2</v>
      </c>
      <c r="I4341" s="10" t="n">
        <v>46006</v>
      </c>
      <c r="K4341" s="10"/>
      <c r="M4341" s="7"/>
      <c r="N4341" s="8"/>
      <c r="O4341" s="4"/>
    </row>
    <row r="4342" customFormat="false" ht="15" hidden="false" customHeight="false" outlineLevel="0" collapsed="false">
      <c r="A4342" s="0" t="s">
        <v>5903</v>
      </c>
      <c r="C4342" s="0" t="s">
        <v>34</v>
      </c>
      <c r="D4342" s="7" t="n">
        <v>747</v>
      </c>
      <c r="E4342" s="8" t="n">
        <v>0.0502275769745649</v>
      </c>
      <c r="F4342" s="4" t="n">
        <f aca="false">D4342*E4342</f>
        <v>37.52</v>
      </c>
      <c r="G4342" s="7" t="n">
        <v>137</v>
      </c>
      <c r="H4342" s="9" t="n">
        <f aca="false">IF(G4342&gt;0,D4342/G4342,"")</f>
        <v>5.45255474452555</v>
      </c>
      <c r="I4342" s="10" t="n">
        <v>46287</v>
      </c>
      <c r="J4342" s="3" t="s">
        <v>5886</v>
      </c>
      <c r="K4342" s="10" t="n">
        <v>44552</v>
      </c>
      <c r="L4342" s="3" t="s">
        <v>19</v>
      </c>
      <c r="M4342" s="7" t="n">
        <v>1475</v>
      </c>
      <c r="N4342" s="8" t="n">
        <v>0.0502</v>
      </c>
      <c r="O4342" s="4" t="n">
        <f aca="false">M4342*N4342</f>
        <v>74.045</v>
      </c>
    </row>
    <row r="4343" customFormat="false" ht="15" hidden="false" customHeight="false" outlineLevel="0" collapsed="false">
      <c r="A4343" s="0" t="s">
        <v>5904</v>
      </c>
      <c r="C4343" s="0" t="s">
        <v>855</v>
      </c>
      <c r="D4343" s="7" t="n">
        <v>2947</v>
      </c>
      <c r="E4343" s="8" t="n">
        <v>0.0127248048863251</v>
      </c>
      <c r="F4343" s="4" t="n">
        <f aca="false">D4343*E4343</f>
        <v>37.5</v>
      </c>
      <c r="G4343" s="7" t="n">
        <v>531</v>
      </c>
      <c r="H4343" s="9" t="n">
        <f aca="false">IF(G4343&gt;0,D4343/G4343,"")</f>
        <v>5.54990583804143</v>
      </c>
      <c r="I4343" s="10" t="n">
        <v>46191</v>
      </c>
      <c r="J4343" s="3" t="s">
        <v>5905</v>
      </c>
      <c r="K4343" s="10" t="n">
        <v>45223</v>
      </c>
      <c r="L4343" s="3" t="s">
        <v>19</v>
      </c>
      <c r="M4343" s="7" t="n">
        <v>2500</v>
      </c>
      <c r="N4343" s="8" t="n">
        <v>0.014</v>
      </c>
      <c r="O4343" s="4" t="n">
        <f aca="false">M4343*N4343</f>
        <v>35</v>
      </c>
    </row>
    <row r="4344" customFormat="false" ht="15" hidden="false" customHeight="false" outlineLevel="0" collapsed="false">
      <c r="A4344" s="0" t="s">
        <v>5906</v>
      </c>
      <c r="C4344" s="0" t="s">
        <v>34</v>
      </c>
      <c r="D4344" s="7" t="n">
        <v>2827</v>
      </c>
      <c r="E4344" s="8" t="n">
        <v>0.0132543332154227</v>
      </c>
      <c r="F4344" s="4" t="n">
        <f aca="false">D4344*E4344</f>
        <v>37.47</v>
      </c>
      <c r="G4344" s="7" t="n">
        <v>415</v>
      </c>
      <c r="H4344" s="9" t="n">
        <f aca="false">IF(G4344&gt;0,D4344/G4344,"")</f>
        <v>6.81204819277108</v>
      </c>
      <c r="I4344" s="10" t="n">
        <v>46238</v>
      </c>
      <c r="J4344" s="3" t="s">
        <v>3979</v>
      </c>
      <c r="K4344" s="10" t="n">
        <v>44286</v>
      </c>
      <c r="L4344" s="3" t="s">
        <v>19</v>
      </c>
      <c r="M4344" s="7" t="n">
        <v>5000</v>
      </c>
      <c r="N4344" s="8" t="n">
        <v>0.0133</v>
      </c>
      <c r="O4344" s="4" t="n">
        <f aca="false">M4344*N4344</f>
        <v>66.5</v>
      </c>
    </row>
    <row r="4345" customFormat="false" ht="15" hidden="false" customHeight="false" outlineLevel="0" collapsed="false">
      <c r="A4345" s="0" t="s">
        <v>5907</v>
      </c>
      <c r="C4345" s="0" t="s">
        <v>32</v>
      </c>
      <c r="D4345" s="7" t="n">
        <v>15600</v>
      </c>
      <c r="E4345" s="8" t="n">
        <v>0.00240128205128205</v>
      </c>
      <c r="F4345" s="4" t="n">
        <f aca="false">D4345*E4345</f>
        <v>37.46</v>
      </c>
      <c r="G4345" s="7" t="n">
        <v>7550</v>
      </c>
      <c r="H4345" s="9" t="n">
        <f aca="false">IF(G4345&gt;0,D4345/G4345,"")</f>
        <v>2.06622516556291</v>
      </c>
      <c r="I4345" s="10" t="n">
        <v>46281</v>
      </c>
      <c r="J4345" s="3" t="s">
        <v>5908</v>
      </c>
      <c r="K4345" s="10" t="n">
        <v>45275</v>
      </c>
      <c r="L4345" s="3" t="s">
        <v>18</v>
      </c>
      <c r="M4345" s="7" t="n">
        <v>37000</v>
      </c>
      <c r="N4345" s="8" t="n">
        <v>0.0024</v>
      </c>
      <c r="O4345" s="4" t="n">
        <f aca="false">M4345*N4345</f>
        <v>88.8</v>
      </c>
    </row>
    <row r="4346" customFormat="false" ht="15" hidden="false" customHeight="false" outlineLevel="0" collapsed="false">
      <c r="A4346" s="0" t="s">
        <v>5909</v>
      </c>
      <c r="C4346" s="0" t="s">
        <v>285</v>
      </c>
      <c r="D4346" s="7" t="n">
        <v>12136</v>
      </c>
      <c r="E4346" s="8" t="n">
        <v>0.00307926829268293</v>
      </c>
      <c r="F4346" s="4" t="n">
        <f aca="false">D4346*E4346</f>
        <v>37.37</v>
      </c>
      <c r="G4346" s="7" t="n">
        <v>1472</v>
      </c>
      <c r="H4346" s="9" t="n">
        <f aca="false">IF(G4346&gt;0,D4346/G4346,"")</f>
        <v>8.24456521739131</v>
      </c>
      <c r="I4346" s="10" t="n">
        <v>46314</v>
      </c>
      <c r="K4346" s="10"/>
      <c r="M4346" s="7"/>
      <c r="N4346" s="8"/>
      <c r="O4346" s="4"/>
    </row>
    <row r="4347" customFormat="false" ht="15" hidden="false" customHeight="false" outlineLevel="0" collapsed="false">
      <c r="A4347" s="0" t="s">
        <v>5910</v>
      </c>
      <c r="C4347" s="0" t="s">
        <v>298</v>
      </c>
      <c r="D4347" s="7" t="n">
        <v>1425</v>
      </c>
      <c r="E4347" s="8" t="n">
        <v>0.0262245614035088</v>
      </c>
      <c r="F4347" s="4" t="n">
        <f aca="false">D4347*E4347</f>
        <v>37.37</v>
      </c>
      <c r="G4347" s="7" t="n">
        <v>120</v>
      </c>
      <c r="H4347" s="9" t="n">
        <f aca="false">IF(G4347&gt;0,D4347/G4347,"")</f>
        <v>11.875</v>
      </c>
      <c r="I4347" s="10" t="n">
        <v>46177</v>
      </c>
      <c r="J4347" s="3" t="s">
        <v>2228</v>
      </c>
      <c r="K4347" s="10" t="n">
        <v>44328</v>
      </c>
      <c r="L4347" s="3" t="s">
        <v>15</v>
      </c>
      <c r="M4347" s="7" t="n">
        <v>2300</v>
      </c>
      <c r="N4347" s="8" t="n">
        <v>0.0262</v>
      </c>
      <c r="O4347" s="4" t="n">
        <f aca="false">M4347*N4347</f>
        <v>60.26</v>
      </c>
    </row>
    <row r="4348" customFormat="false" ht="15" hidden="false" customHeight="false" outlineLevel="0" collapsed="false">
      <c r="A4348" s="0" t="s">
        <v>5911</v>
      </c>
      <c r="C4348" s="0" t="s">
        <v>31</v>
      </c>
      <c r="D4348" s="7" t="n">
        <v>375</v>
      </c>
      <c r="E4348" s="8" t="n">
        <v>0.0995466666666667</v>
      </c>
      <c r="F4348" s="4" t="n">
        <f aca="false">D4348*E4348</f>
        <v>37.33</v>
      </c>
      <c r="G4348" s="7" t="n">
        <v>6</v>
      </c>
      <c r="H4348" s="9" t="n">
        <f aca="false">IF(G4348&gt;0,D4348/G4348,"")</f>
        <v>62.5</v>
      </c>
      <c r="I4348" s="10" t="n">
        <v>46027</v>
      </c>
      <c r="J4348" s="3" t="s">
        <v>5265</v>
      </c>
      <c r="K4348" s="10" t="n">
        <v>44301</v>
      </c>
      <c r="L4348" s="3" t="s">
        <v>19</v>
      </c>
      <c r="M4348" s="7" t="n">
        <v>500</v>
      </c>
      <c r="N4348" s="8" t="n">
        <v>0.0996</v>
      </c>
      <c r="O4348" s="4" t="n">
        <f aca="false">M4348*N4348</f>
        <v>49.8</v>
      </c>
    </row>
    <row r="4349" customFormat="false" ht="15" hidden="false" customHeight="false" outlineLevel="0" collapsed="false">
      <c r="A4349" s="0" t="s">
        <v>5912</v>
      </c>
      <c r="C4349" s="0" t="s">
        <v>39</v>
      </c>
      <c r="D4349" s="7" t="n">
        <v>6327</v>
      </c>
      <c r="E4349" s="8" t="n">
        <v>0.00590011063695274</v>
      </c>
      <c r="F4349" s="4" t="n">
        <f aca="false">D4349*E4349</f>
        <v>37.33</v>
      </c>
      <c r="G4349" s="7" t="n">
        <v>5930</v>
      </c>
      <c r="H4349" s="9" t="n">
        <f aca="false">IF(G4349&gt;0,D4349/G4349,"")</f>
        <v>1.06694772344014</v>
      </c>
      <c r="I4349" s="10" t="n">
        <v>46315</v>
      </c>
      <c r="J4349" s="3" t="s">
        <v>3346</v>
      </c>
      <c r="K4349" s="10" t="n">
        <v>45383</v>
      </c>
      <c r="L4349" s="3" t="s">
        <v>18</v>
      </c>
      <c r="M4349" s="7" t="n">
        <v>12273</v>
      </c>
      <c r="N4349" s="8" t="n">
        <v>0.0059</v>
      </c>
      <c r="O4349" s="4" t="n">
        <f aca="false">M4349*N4349</f>
        <v>72.4107</v>
      </c>
    </row>
    <row r="4350" customFormat="false" ht="15" hidden="false" customHeight="false" outlineLevel="0" collapsed="false">
      <c r="A4350" s="0" t="s">
        <v>5913</v>
      </c>
      <c r="C4350" s="0" t="s">
        <v>889</v>
      </c>
      <c r="D4350" s="7" t="n">
        <v>979</v>
      </c>
      <c r="E4350" s="8" t="n">
        <v>0.038100102145046</v>
      </c>
      <c r="F4350" s="4" t="n">
        <f aca="false">D4350*E4350</f>
        <v>37.3</v>
      </c>
      <c r="G4350" s="7" t="n">
        <v>60</v>
      </c>
      <c r="H4350" s="9" t="n">
        <f aca="false">IF(G4350&gt;0,D4350/G4350,"")</f>
        <v>16.3166666666667</v>
      </c>
      <c r="I4350" s="10" t="n">
        <v>46265</v>
      </c>
      <c r="K4350" s="10"/>
      <c r="M4350" s="7"/>
      <c r="N4350" s="8"/>
      <c r="O4350" s="4"/>
    </row>
    <row r="4351" customFormat="false" ht="15" hidden="false" customHeight="false" outlineLevel="0" collapsed="false">
      <c r="A4351" s="0" t="s">
        <v>5914</v>
      </c>
      <c r="C4351" s="0" t="s">
        <v>285</v>
      </c>
      <c r="D4351" s="7" t="n">
        <v>2569</v>
      </c>
      <c r="E4351" s="8" t="n">
        <v>0.0144959128065395</v>
      </c>
      <c r="F4351" s="4" t="n">
        <f aca="false">D4351*E4351</f>
        <v>37.24</v>
      </c>
      <c r="G4351" s="7" t="n">
        <v>340</v>
      </c>
      <c r="H4351" s="9" t="n">
        <f aca="false">IF(G4351&gt;0,D4351/G4351,"")</f>
        <v>7.55588235294118</v>
      </c>
      <c r="I4351" s="10" t="n">
        <v>46192</v>
      </c>
      <c r="K4351" s="10"/>
      <c r="M4351" s="7"/>
      <c r="N4351" s="8"/>
      <c r="O4351" s="4"/>
    </row>
    <row r="4352" customFormat="false" ht="15" hidden="false" customHeight="false" outlineLevel="0" collapsed="false">
      <c r="A4352" s="0" t="s">
        <v>5915</v>
      </c>
      <c r="C4352" s="0" t="s">
        <v>41</v>
      </c>
      <c r="D4352" s="7" t="n">
        <v>3877</v>
      </c>
      <c r="E4352" s="8" t="n">
        <v>0.0096027856590147</v>
      </c>
      <c r="F4352" s="4" t="n">
        <f aca="false">D4352*E4352</f>
        <v>37.23</v>
      </c>
      <c r="G4352" s="7" t="n">
        <v>1057</v>
      </c>
      <c r="H4352" s="9" t="n">
        <f aca="false">IF(G4352&gt;0,D4352/G4352,"")</f>
        <v>3.66792809839167</v>
      </c>
      <c r="I4352" s="10" t="n">
        <v>46168</v>
      </c>
      <c r="J4352" s="3" t="s">
        <v>2888</v>
      </c>
      <c r="K4352" s="10" t="n">
        <v>45984</v>
      </c>
      <c r="L4352" s="3" t="s">
        <v>16</v>
      </c>
      <c r="M4352" s="7" t="n">
        <v>4934</v>
      </c>
      <c r="N4352" s="8" t="n">
        <v>0.0096</v>
      </c>
      <c r="O4352" s="4" t="n">
        <f aca="false">M4352*N4352</f>
        <v>47.3664</v>
      </c>
    </row>
    <row r="4353" customFormat="false" ht="15" hidden="false" customHeight="false" outlineLevel="0" collapsed="false">
      <c r="A4353" s="0" t="s">
        <v>5916</v>
      </c>
      <c r="C4353" s="0" t="s">
        <v>31</v>
      </c>
      <c r="D4353" s="7" t="n">
        <v>1667</v>
      </c>
      <c r="E4353" s="8" t="n">
        <v>0.0223275344931014</v>
      </c>
      <c r="F4353" s="4" t="n">
        <f aca="false">D4353*E4353</f>
        <v>37.22</v>
      </c>
      <c r="G4353" s="7" t="n">
        <v>922</v>
      </c>
      <c r="H4353" s="9" t="n">
        <f aca="false">IF(G4353&gt;0,D4353/G4353,"")</f>
        <v>1.80802603036876</v>
      </c>
      <c r="I4353" s="10" t="n">
        <v>46311</v>
      </c>
      <c r="J4353" s="3" t="s">
        <v>4652</v>
      </c>
      <c r="K4353" s="10" t="n">
        <v>44707</v>
      </c>
      <c r="L4353" s="3" t="s">
        <v>19</v>
      </c>
      <c r="M4353" s="7" t="n">
        <v>5027</v>
      </c>
      <c r="N4353" s="8" t="n">
        <v>0</v>
      </c>
      <c r="O4353" s="4" t="n">
        <v>113.5</v>
      </c>
    </row>
    <row r="4354" customFormat="false" ht="15" hidden="false" customHeight="false" outlineLevel="0" collapsed="false">
      <c r="A4354" s="0" t="s">
        <v>5917</v>
      </c>
      <c r="C4354" s="0" t="s">
        <v>31</v>
      </c>
      <c r="D4354" s="7" t="n">
        <v>1397</v>
      </c>
      <c r="E4354" s="8" t="n">
        <v>0.026621331424481</v>
      </c>
      <c r="F4354" s="4" t="n">
        <f aca="false">D4354*E4354</f>
        <v>37.19</v>
      </c>
      <c r="G4354" s="7" t="n">
        <v>135</v>
      </c>
      <c r="H4354" s="9" t="n">
        <f aca="false">IF(G4354&gt;0,D4354/G4354,"")</f>
        <v>10.3481481481481</v>
      </c>
      <c r="I4354" s="10" t="n">
        <v>46224</v>
      </c>
      <c r="J4354" s="3" t="s">
        <v>2716</v>
      </c>
      <c r="K4354" s="10" t="n">
        <v>46160</v>
      </c>
      <c r="L4354" s="3" t="s">
        <v>16</v>
      </c>
      <c r="M4354" s="7" t="n">
        <v>1100</v>
      </c>
      <c r="N4354" s="8" t="n">
        <v>0.0188</v>
      </c>
      <c r="O4354" s="4" t="n">
        <f aca="false">M4354*N4354</f>
        <v>20.68</v>
      </c>
    </row>
    <row r="4355" customFormat="false" ht="15" hidden="false" customHeight="false" outlineLevel="0" collapsed="false">
      <c r="A4355" s="0" t="s">
        <v>5918</v>
      </c>
      <c r="C4355" s="0" t="s">
        <v>34</v>
      </c>
      <c r="D4355" s="7" t="n">
        <v>351</v>
      </c>
      <c r="E4355" s="8" t="n">
        <v>0.105811965811966</v>
      </c>
      <c r="F4355" s="4" t="n">
        <f aca="false">D4355*E4355</f>
        <v>37.14</v>
      </c>
      <c r="G4355" s="7" t="n">
        <v>149</v>
      </c>
      <c r="H4355" s="9" t="n">
        <f aca="false">IF(G4355&gt;0,D4355/G4355,"")</f>
        <v>2.35570469798658</v>
      </c>
      <c r="I4355" s="10" t="n">
        <v>46190</v>
      </c>
      <c r="J4355" s="3" t="s">
        <v>2716</v>
      </c>
      <c r="K4355" s="10" t="n">
        <v>46160</v>
      </c>
      <c r="L4355" s="3" t="s">
        <v>16</v>
      </c>
      <c r="M4355" s="7" t="n">
        <v>500</v>
      </c>
      <c r="N4355" s="8" t="n">
        <v>0.1058</v>
      </c>
      <c r="O4355" s="4" t="n">
        <f aca="false">M4355*N4355</f>
        <v>52.9</v>
      </c>
    </row>
    <row r="4356" customFormat="false" ht="15" hidden="false" customHeight="false" outlineLevel="0" collapsed="false">
      <c r="A4356" s="0" t="s">
        <v>5919</v>
      </c>
      <c r="C4356" s="0" t="s">
        <v>855</v>
      </c>
      <c r="D4356" s="7" t="n">
        <v>3956</v>
      </c>
      <c r="E4356" s="8" t="n">
        <v>0.00936552072800809</v>
      </c>
      <c r="F4356" s="4" t="n">
        <f aca="false">D4356*E4356</f>
        <v>37.05</v>
      </c>
      <c r="G4356" s="7" t="n">
        <v>72</v>
      </c>
      <c r="H4356" s="9" t="n">
        <f aca="false">IF(G4356&gt;0,D4356/G4356,"")</f>
        <v>54.9444444444444</v>
      </c>
      <c r="I4356" s="10" t="n">
        <v>46188</v>
      </c>
      <c r="K4356" s="10"/>
      <c r="M4356" s="7"/>
      <c r="N4356" s="8"/>
      <c r="O4356" s="4"/>
    </row>
    <row r="4357" customFormat="false" ht="15" hidden="false" customHeight="false" outlineLevel="0" collapsed="false">
      <c r="A4357" s="0" t="s">
        <v>5920</v>
      </c>
      <c r="C4357" s="0" t="s">
        <v>979</v>
      </c>
      <c r="D4357" s="7" t="n">
        <v>66</v>
      </c>
      <c r="E4357" s="8" t="n">
        <v>0.560757575757576</v>
      </c>
      <c r="F4357" s="4" t="n">
        <f aca="false">D4357*E4357</f>
        <v>37.01</v>
      </c>
      <c r="G4357" s="7" t="n">
        <v>60</v>
      </c>
      <c r="H4357" s="9" t="n">
        <f aca="false">IF(G4357&gt;0,D4357/G4357,"")</f>
        <v>1.1</v>
      </c>
      <c r="I4357" s="10" t="n">
        <v>46106</v>
      </c>
      <c r="J4357" s="3" t="s">
        <v>373</v>
      </c>
      <c r="K4357" s="10" t="n">
        <v>46275</v>
      </c>
      <c r="L4357" s="3" t="s">
        <v>18</v>
      </c>
      <c r="M4357" s="7" t="n">
        <v>149</v>
      </c>
      <c r="N4357" s="8" t="n">
        <v>0.5608</v>
      </c>
      <c r="O4357" s="4" t="n">
        <f aca="false">M4357*N4357</f>
        <v>83.5592</v>
      </c>
    </row>
    <row r="4358" customFormat="false" ht="15" hidden="false" customHeight="false" outlineLevel="0" collapsed="false">
      <c r="A4358" s="0" t="s">
        <v>5921</v>
      </c>
      <c r="C4358" s="0" t="s">
        <v>715</v>
      </c>
      <c r="D4358" s="7" t="n">
        <v>1475</v>
      </c>
      <c r="E4358" s="8" t="n">
        <v>0.0250847457627119</v>
      </c>
      <c r="F4358" s="4" t="n">
        <f aca="false">D4358*E4358</f>
        <v>37</v>
      </c>
      <c r="G4358" s="7" t="n">
        <v>42</v>
      </c>
      <c r="H4358" s="9" t="n">
        <f aca="false">IF(G4358&gt;0,D4358/G4358,"")</f>
        <v>35.1190476190476</v>
      </c>
      <c r="I4358" s="10" t="n">
        <v>46147</v>
      </c>
      <c r="J4358" s="3" t="s">
        <v>5922</v>
      </c>
      <c r="K4358" s="10" t="n">
        <v>44613</v>
      </c>
      <c r="L4358" s="3" t="s">
        <v>16</v>
      </c>
      <c r="M4358" s="7" t="n">
        <v>4104</v>
      </c>
      <c r="N4358" s="8" t="n">
        <v>0.025</v>
      </c>
      <c r="O4358" s="4" t="n">
        <v>105.9564</v>
      </c>
    </row>
    <row r="4359" customFormat="false" ht="15" hidden="false" customHeight="false" outlineLevel="0" collapsed="false">
      <c r="A4359" s="0" t="s">
        <v>5923</v>
      </c>
      <c r="C4359" s="0" t="s">
        <v>31</v>
      </c>
      <c r="D4359" s="7" t="n">
        <v>297</v>
      </c>
      <c r="E4359" s="8" t="n">
        <v>0.124511784511785</v>
      </c>
      <c r="F4359" s="4" t="n">
        <f aca="false">D4359*E4359</f>
        <v>36.98</v>
      </c>
      <c r="G4359" s="7" t="n">
        <v>41</v>
      </c>
      <c r="H4359" s="9" t="n">
        <f aca="false">IF(G4359&gt;0,D4359/G4359,"")</f>
        <v>7.24390243902439</v>
      </c>
      <c r="I4359" s="10" t="n">
        <v>46314</v>
      </c>
      <c r="J4359" s="3" t="s">
        <v>5924</v>
      </c>
      <c r="K4359" s="10" t="n">
        <v>45064</v>
      </c>
      <c r="L4359" s="3" t="s">
        <v>19</v>
      </c>
      <c r="M4359" s="7" t="n">
        <v>500</v>
      </c>
      <c r="N4359" s="8" t="n">
        <v>0.1245</v>
      </c>
      <c r="O4359" s="4" t="n">
        <f aca="false">M4359*N4359</f>
        <v>62.25</v>
      </c>
    </row>
    <row r="4360" customFormat="false" ht="15" hidden="false" customHeight="false" outlineLevel="0" collapsed="false">
      <c r="A4360" s="0" t="s">
        <v>5925</v>
      </c>
      <c r="C4360" s="0" t="s">
        <v>31</v>
      </c>
      <c r="D4360" s="7" t="n">
        <v>639</v>
      </c>
      <c r="E4360" s="8" t="n">
        <v>0.0578090766823161</v>
      </c>
      <c r="F4360" s="4" t="n">
        <f aca="false">D4360*E4360</f>
        <v>36.94</v>
      </c>
      <c r="G4360" s="7" t="n">
        <v>24</v>
      </c>
      <c r="H4360" s="9" t="n">
        <f aca="false">IF(G4360&gt;0,D4360/G4360,"")</f>
        <v>26.625</v>
      </c>
      <c r="I4360" s="10" t="n">
        <v>46112</v>
      </c>
      <c r="J4360" s="3" t="s">
        <v>1211</v>
      </c>
      <c r="K4360" s="10" t="n">
        <v>45750</v>
      </c>
      <c r="L4360" s="3" t="s">
        <v>26</v>
      </c>
      <c r="M4360" s="7" t="n">
        <v>10</v>
      </c>
      <c r="N4360" s="8" t="n">
        <v>0.5</v>
      </c>
      <c r="O4360" s="4" t="n">
        <f aca="false">M4360*N4360</f>
        <v>5</v>
      </c>
    </row>
    <row r="4361" customFormat="false" ht="15" hidden="false" customHeight="false" outlineLevel="0" collapsed="false">
      <c r="A4361" s="0" t="s">
        <v>5926</v>
      </c>
      <c r="C4361" s="0" t="s">
        <v>340</v>
      </c>
      <c r="D4361" s="7" t="n">
        <v>3202</v>
      </c>
      <c r="E4361" s="8" t="n">
        <v>0.0115334166146159</v>
      </c>
      <c r="F4361" s="4" t="n">
        <f aca="false">D4361*E4361</f>
        <v>36.93</v>
      </c>
      <c r="G4361" s="7" t="n">
        <v>650</v>
      </c>
      <c r="H4361" s="9" t="n">
        <f aca="false">IF(G4361&gt;0,D4361/G4361,"")</f>
        <v>4.92615384615385</v>
      </c>
      <c r="I4361" s="10" t="n">
        <v>46283</v>
      </c>
      <c r="J4361" s="3" t="s">
        <v>5927</v>
      </c>
      <c r="K4361" s="10" t="n">
        <v>46129</v>
      </c>
      <c r="L4361" s="3" t="s">
        <v>19</v>
      </c>
      <c r="M4361" s="7" t="n">
        <v>1832</v>
      </c>
      <c r="N4361" s="8" t="n">
        <v>0.0174</v>
      </c>
      <c r="O4361" s="4" t="n">
        <f aca="false">M4361*N4361</f>
        <v>31.8768</v>
      </c>
    </row>
    <row r="4362" customFormat="false" ht="15" hidden="false" customHeight="false" outlineLevel="0" collapsed="false">
      <c r="A4362" s="0" t="s">
        <v>5928</v>
      </c>
      <c r="C4362" s="0" t="s">
        <v>765</v>
      </c>
      <c r="D4362" s="7" t="n">
        <v>1926</v>
      </c>
      <c r="E4362" s="8" t="n">
        <v>0.0191640706126687</v>
      </c>
      <c r="F4362" s="4" t="n">
        <f aca="false">D4362*E4362</f>
        <v>36.91</v>
      </c>
      <c r="G4362" s="7" t="n">
        <v>330</v>
      </c>
      <c r="H4362" s="9" t="n">
        <f aca="false">IF(G4362&gt;0,D4362/G4362,"")</f>
        <v>5.83636363636364</v>
      </c>
      <c r="I4362" s="10" t="n">
        <v>46122</v>
      </c>
      <c r="K4362" s="10"/>
      <c r="M4362" s="7"/>
      <c r="N4362" s="8"/>
      <c r="O4362" s="4"/>
    </row>
    <row r="4363" customFormat="false" ht="15" hidden="false" customHeight="false" outlineLevel="0" collapsed="false">
      <c r="A4363" s="0" t="s">
        <v>5929</v>
      </c>
      <c r="C4363" s="0" t="s">
        <v>31</v>
      </c>
      <c r="D4363" s="7" t="n">
        <v>1048</v>
      </c>
      <c r="E4363" s="8" t="n">
        <v>0.0352099236641221</v>
      </c>
      <c r="F4363" s="4" t="n">
        <f aca="false">D4363*E4363</f>
        <v>36.9</v>
      </c>
      <c r="G4363" s="7" t="n">
        <v>520</v>
      </c>
      <c r="H4363" s="9" t="n">
        <f aca="false">IF(G4363&gt;0,D4363/G4363,"")</f>
        <v>2.01538461538462</v>
      </c>
      <c r="I4363" s="10" t="n">
        <v>46317</v>
      </c>
      <c r="J4363" s="3" t="s">
        <v>3336</v>
      </c>
      <c r="K4363" s="10" t="n">
        <v>44692</v>
      </c>
      <c r="L4363" s="3" t="s">
        <v>25</v>
      </c>
      <c r="M4363" s="7" t="n">
        <v>17000</v>
      </c>
      <c r="N4363" s="8" t="n">
        <v>0.0352</v>
      </c>
      <c r="O4363" s="4" t="n">
        <f aca="false">M4363*N4363</f>
        <v>598.4</v>
      </c>
    </row>
    <row r="4364" customFormat="false" ht="15" hidden="false" customHeight="false" outlineLevel="0" collapsed="false">
      <c r="A4364" s="0" t="s">
        <v>5930</v>
      </c>
      <c r="C4364" s="0" t="s">
        <v>3634</v>
      </c>
      <c r="D4364" s="7" t="n">
        <v>97</v>
      </c>
      <c r="E4364" s="8" t="n">
        <v>0.38</v>
      </c>
      <c r="F4364" s="4" t="n">
        <f aca="false">D4364*E4364</f>
        <v>36.86</v>
      </c>
      <c r="G4364" s="7" t="n">
        <v>1</v>
      </c>
      <c r="H4364" s="9" t="n">
        <f aca="false">IF(G4364&gt;0,D4364/G4364,"")</f>
        <v>97</v>
      </c>
      <c r="I4364" s="10" t="n">
        <v>46140</v>
      </c>
      <c r="J4364" s="3" t="s">
        <v>110</v>
      </c>
      <c r="K4364" s="10" t="n">
        <v>46134</v>
      </c>
      <c r="L4364" s="3" t="s">
        <v>14</v>
      </c>
      <c r="M4364" s="7" t="n">
        <v>98</v>
      </c>
      <c r="N4364" s="8" t="n">
        <v>0.38</v>
      </c>
      <c r="O4364" s="4" t="n">
        <f aca="false">M4364*N4364</f>
        <v>37.24</v>
      </c>
    </row>
    <row r="4365" customFormat="false" ht="15" hidden="false" customHeight="false" outlineLevel="0" collapsed="false">
      <c r="A4365" s="0" t="s">
        <v>5931</v>
      </c>
      <c r="C4365" s="0" t="s">
        <v>855</v>
      </c>
      <c r="D4365" s="7" t="n">
        <v>3787</v>
      </c>
      <c r="E4365" s="8" t="n">
        <v>0.00973065751254291</v>
      </c>
      <c r="F4365" s="4" t="n">
        <f aca="false">D4365*E4365</f>
        <v>36.85</v>
      </c>
      <c r="G4365" s="7" t="n">
        <v>250</v>
      </c>
      <c r="H4365" s="9" t="n">
        <f aca="false">IF(G4365&gt;0,D4365/G4365,"")</f>
        <v>15.148</v>
      </c>
      <c r="I4365" s="10" t="n">
        <v>45985</v>
      </c>
      <c r="J4365" s="3" t="s">
        <v>3590</v>
      </c>
      <c r="K4365" s="10" t="n">
        <v>45967</v>
      </c>
      <c r="L4365" s="3" t="s">
        <v>16</v>
      </c>
      <c r="M4365" s="7" t="n">
        <v>4037</v>
      </c>
      <c r="N4365" s="8" t="n">
        <v>0.00973</v>
      </c>
      <c r="O4365" s="4" t="n">
        <f aca="false">M4365*N4365</f>
        <v>39.28001</v>
      </c>
    </row>
    <row r="4366" customFormat="false" ht="15" hidden="false" customHeight="false" outlineLevel="0" collapsed="false">
      <c r="A4366" s="0" t="s">
        <v>5932</v>
      </c>
      <c r="C4366" s="0" t="s">
        <v>61</v>
      </c>
      <c r="D4366" s="7" t="n">
        <v>17</v>
      </c>
      <c r="E4366" s="8" t="n">
        <v>2.16588235294118</v>
      </c>
      <c r="F4366" s="4" t="n">
        <f aca="false">D4366*E4366</f>
        <v>36.82</v>
      </c>
      <c r="G4366" s="7" t="n">
        <v>4</v>
      </c>
      <c r="H4366" s="9" t="n">
        <f aca="false">IF(G4366&gt;0,D4366/G4366,"")</f>
        <v>4.25</v>
      </c>
      <c r="I4366" s="10" t="n">
        <v>46078</v>
      </c>
      <c r="K4366" s="10"/>
      <c r="M4366" s="7"/>
      <c r="N4366" s="8"/>
      <c r="O4366" s="4"/>
    </row>
    <row r="4367" customFormat="false" ht="15" hidden="false" customHeight="false" outlineLevel="0" collapsed="false">
      <c r="A4367" s="0" t="s">
        <v>5933</v>
      </c>
      <c r="C4367" s="0" t="s">
        <v>31</v>
      </c>
      <c r="D4367" s="7" t="n">
        <v>469</v>
      </c>
      <c r="E4367" s="8" t="n">
        <v>0.0784861407249467</v>
      </c>
      <c r="F4367" s="4" t="n">
        <f aca="false">D4367*E4367</f>
        <v>36.81</v>
      </c>
      <c r="G4367" s="7" t="n">
        <v>120</v>
      </c>
      <c r="H4367" s="9" t="n">
        <f aca="false">IF(G4367&gt;0,D4367/G4367,"")</f>
        <v>3.90833333333333</v>
      </c>
      <c r="I4367" s="10" t="n">
        <v>46309</v>
      </c>
      <c r="J4367" s="3" t="s">
        <v>1955</v>
      </c>
      <c r="K4367" s="10" t="n">
        <v>46268</v>
      </c>
      <c r="L4367" s="3" t="s">
        <v>16</v>
      </c>
      <c r="M4367" s="7" t="n">
        <v>525</v>
      </c>
      <c r="N4367" s="8" t="n">
        <v>0.0785</v>
      </c>
      <c r="O4367" s="4" t="n">
        <f aca="false">M4367*N4367</f>
        <v>41.2125</v>
      </c>
    </row>
    <row r="4368" customFormat="false" ht="15" hidden="false" customHeight="false" outlineLevel="0" collapsed="false">
      <c r="A4368" s="0" t="s">
        <v>5934</v>
      </c>
      <c r="C4368" s="0" t="s">
        <v>34</v>
      </c>
      <c r="D4368" s="7" t="n">
        <v>304</v>
      </c>
      <c r="E4368" s="8" t="n">
        <v>0.12108552631579</v>
      </c>
      <c r="F4368" s="4" t="n">
        <f aca="false">D4368*E4368</f>
        <v>36.81</v>
      </c>
      <c r="G4368" s="7" t="n">
        <v>200</v>
      </c>
      <c r="H4368" s="9" t="n">
        <f aca="false">IF(G4368&gt;0,D4368/G4368,"")</f>
        <v>1.52</v>
      </c>
      <c r="I4368" s="10" t="n">
        <v>46175</v>
      </c>
      <c r="J4368" s="3" t="s">
        <v>2296</v>
      </c>
      <c r="K4368" s="10" t="n">
        <v>45923</v>
      </c>
      <c r="L4368" s="3" t="s">
        <v>154</v>
      </c>
      <c r="M4368" s="7" t="n">
        <v>10</v>
      </c>
      <c r="N4368" s="8" t="n">
        <v>0.37</v>
      </c>
      <c r="O4368" s="4" t="n">
        <f aca="false">M4368*N4368</f>
        <v>3.7</v>
      </c>
    </row>
    <row r="4369" customFormat="false" ht="15" hidden="false" customHeight="false" outlineLevel="0" collapsed="false">
      <c r="A4369" s="0" t="s">
        <v>5935</v>
      </c>
      <c r="C4369" s="0" t="s">
        <v>855</v>
      </c>
      <c r="D4369" s="7" t="n">
        <v>313</v>
      </c>
      <c r="E4369" s="8" t="n">
        <v>0.117603833865815</v>
      </c>
      <c r="F4369" s="4" t="n">
        <f aca="false">D4369*E4369</f>
        <v>36.81</v>
      </c>
      <c r="G4369" s="7" t="n">
        <v>6</v>
      </c>
      <c r="H4369" s="9" t="n">
        <f aca="false">IF(G4369&gt;0,D4369/G4369,"")</f>
        <v>52.1666666666667</v>
      </c>
      <c r="I4369" s="10" t="n">
        <v>46022</v>
      </c>
      <c r="J4369" s="3" t="s">
        <v>195</v>
      </c>
      <c r="K4369" s="10" t="n">
        <v>44348</v>
      </c>
      <c r="L4369" s="3" t="s">
        <v>15</v>
      </c>
      <c r="M4369" s="7" t="n">
        <v>340</v>
      </c>
      <c r="N4369" s="8" t="n">
        <v>0.11758</v>
      </c>
      <c r="O4369" s="4" t="n">
        <f aca="false">M4369*N4369</f>
        <v>39.9772</v>
      </c>
    </row>
    <row r="4370" customFormat="false" ht="15" hidden="false" customHeight="false" outlineLevel="0" collapsed="false">
      <c r="A4370" s="0" t="s">
        <v>5936</v>
      </c>
      <c r="C4370" s="0" t="s">
        <v>31</v>
      </c>
      <c r="D4370" s="7" t="n">
        <v>11270</v>
      </c>
      <c r="E4370" s="8" t="n">
        <v>0.00326264418811003</v>
      </c>
      <c r="F4370" s="4" t="n">
        <f aca="false">D4370*E4370</f>
        <v>36.77</v>
      </c>
      <c r="G4370" s="7" t="n">
        <v>4163</v>
      </c>
      <c r="H4370" s="9" t="n">
        <f aca="false">IF(G4370&gt;0,D4370/G4370,"")</f>
        <v>2.70718232044199</v>
      </c>
      <c r="I4370" s="10" t="n">
        <v>46301</v>
      </c>
      <c r="J4370" s="3" t="s">
        <v>1565</v>
      </c>
      <c r="K4370" s="10" t="n">
        <v>45516</v>
      </c>
      <c r="L4370" s="3" t="s">
        <v>16</v>
      </c>
      <c r="M4370" s="7" t="n">
        <v>12399</v>
      </c>
      <c r="N4370" s="8" t="n">
        <v>0.0031</v>
      </c>
      <c r="O4370" s="4" t="n">
        <f aca="false">M4370*N4370</f>
        <v>38.4369</v>
      </c>
    </row>
    <row r="4371" customFormat="false" ht="15" hidden="false" customHeight="false" outlineLevel="0" collapsed="false">
      <c r="A4371" s="0" t="s">
        <v>5937</v>
      </c>
      <c r="C4371" s="0" t="s">
        <v>34</v>
      </c>
      <c r="D4371" s="7" t="n">
        <v>167</v>
      </c>
      <c r="E4371" s="8" t="n">
        <v>0.22</v>
      </c>
      <c r="F4371" s="4" t="n">
        <f aca="false">D4371*E4371</f>
        <v>36.74</v>
      </c>
      <c r="G4371" s="7" t="n">
        <v>35</v>
      </c>
      <c r="H4371" s="9" t="n">
        <f aca="false">IF(G4371&gt;0,D4371/G4371,"")</f>
        <v>4.77142857142857</v>
      </c>
      <c r="I4371" s="10" t="n">
        <v>46090</v>
      </c>
      <c r="J4371" s="3" t="s">
        <v>4645</v>
      </c>
      <c r="K4371" s="10" t="n">
        <v>46310</v>
      </c>
      <c r="L4371" s="3" t="s">
        <v>16</v>
      </c>
      <c r="M4371" s="7" t="n">
        <v>1785</v>
      </c>
      <c r="N4371" s="8" t="n">
        <v>0.0842</v>
      </c>
      <c r="O4371" s="4" t="n">
        <f aca="false">M4371*N4371</f>
        <v>150.297</v>
      </c>
    </row>
    <row r="4372" customFormat="false" ht="15" hidden="false" customHeight="false" outlineLevel="0" collapsed="false">
      <c r="A4372" s="0" t="s">
        <v>5938</v>
      </c>
      <c r="C4372" s="0" t="s">
        <v>31</v>
      </c>
      <c r="D4372" s="7" t="n">
        <v>1782</v>
      </c>
      <c r="E4372" s="8" t="n">
        <v>0.020611672278339</v>
      </c>
      <c r="F4372" s="4" t="n">
        <f aca="false">D4372*E4372</f>
        <v>36.73</v>
      </c>
      <c r="G4372" s="7" t="n">
        <v>451</v>
      </c>
      <c r="H4372" s="9" t="n">
        <f aca="false">IF(G4372&gt;0,D4372/G4372,"")</f>
        <v>3.95121951219512</v>
      </c>
      <c r="I4372" s="10" t="n">
        <v>46309</v>
      </c>
      <c r="J4372" s="3" t="s">
        <v>2719</v>
      </c>
      <c r="K4372" s="10" t="n">
        <v>46049</v>
      </c>
      <c r="L4372" s="3" t="s">
        <v>16</v>
      </c>
      <c r="M4372" s="7" t="n">
        <v>2245</v>
      </c>
      <c r="N4372" s="8" t="n">
        <v>0.0205</v>
      </c>
      <c r="O4372" s="4" t="n">
        <f aca="false">M4372*N4372</f>
        <v>46.0225</v>
      </c>
    </row>
    <row r="4373" customFormat="false" ht="15" hidden="false" customHeight="false" outlineLevel="0" collapsed="false">
      <c r="A4373" s="0" t="s">
        <v>5939</v>
      </c>
      <c r="C4373" s="0" t="s">
        <v>1039</v>
      </c>
      <c r="D4373" s="7" t="n">
        <v>13112</v>
      </c>
      <c r="E4373" s="8" t="n">
        <v>0.00279972544234289</v>
      </c>
      <c r="F4373" s="4" t="n">
        <f aca="false">D4373*E4373</f>
        <v>36.71</v>
      </c>
      <c r="G4373" s="7" t="n">
        <v>1900</v>
      </c>
      <c r="H4373" s="9" t="n">
        <f aca="false">IF(G4373&gt;0,D4373/G4373,"")</f>
        <v>6.90105263157895</v>
      </c>
      <c r="I4373" s="10" t="n">
        <v>46308</v>
      </c>
      <c r="J4373" s="3" t="s">
        <v>2211</v>
      </c>
      <c r="K4373" s="10" t="n">
        <v>45706</v>
      </c>
      <c r="L4373" s="3" t="s">
        <v>16</v>
      </c>
      <c r="M4373" s="7" t="n">
        <v>30000</v>
      </c>
      <c r="N4373" s="8" t="n">
        <v>0.0028</v>
      </c>
      <c r="O4373" s="4" t="n">
        <f aca="false">M4373*N4373</f>
        <v>84</v>
      </c>
    </row>
    <row r="4374" customFormat="false" ht="15" hidden="false" customHeight="false" outlineLevel="0" collapsed="false">
      <c r="A4374" s="0" t="s">
        <v>5940</v>
      </c>
      <c r="C4374" s="0" t="s">
        <v>34</v>
      </c>
      <c r="D4374" s="7" t="n">
        <v>4628</v>
      </c>
      <c r="E4374" s="8" t="n">
        <v>0.0079019014693172</v>
      </c>
      <c r="F4374" s="4" t="n">
        <f aca="false">D4374*E4374</f>
        <v>36.57</v>
      </c>
      <c r="G4374" s="7" t="n">
        <v>1623</v>
      </c>
      <c r="H4374" s="9" t="n">
        <f aca="false">IF(G4374&gt;0,D4374/G4374,"")</f>
        <v>2.85150955021565</v>
      </c>
      <c r="I4374" s="10" t="n">
        <v>46315</v>
      </c>
      <c r="J4374" s="3" t="s">
        <v>2303</v>
      </c>
      <c r="K4374" s="10" t="n">
        <v>46098</v>
      </c>
      <c r="L4374" s="3" t="s">
        <v>16</v>
      </c>
      <c r="M4374" s="7" t="n">
        <v>5000</v>
      </c>
      <c r="N4374" s="8" t="n">
        <v>0.0079</v>
      </c>
      <c r="O4374" s="4" t="n">
        <f aca="false">M4374*N4374</f>
        <v>39.5</v>
      </c>
    </row>
    <row r="4375" customFormat="false" ht="15" hidden="false" customHeight="false" outlineLevel="0" collapsed="false">
      <c r="A4375" s="0" t="s">
        <v>5941</v>
      </c>
      <c r="C4375" s="0" t="s">
        <v>34</v>
      </c>
      <c r="D4375" s="7" t="n">
        <v>983</v>
      </c>
      <c r="E4375" s="8" t="n">
        <v>0.0372024415055951</v>
      </c>
      <c r="F4375" s="4" t="n">
        <f aca="false">D4375*E4375</f>
        <v>36.57</v>
      </c>
      <c r="G4375" s="7" t="n">
        <v>164</v>
      </c>
      <c r="H4375" s="9" t="n">
        <f aca="false">IF(G4375&gt;0,D4375/G4375,"")</f>
        <v>5.99390243902439</v>
      </c>
      <c r="I4375" s="10" t="n">
        <v>46217</v>
      </c>
      <c r="J4375" s="3" t="s">
        <v>2662</v>
      </c>
      <c r="K4375" s="10" t="n">
        <v>46190</v>
      </c>
      <c r="L4375" s="3" t="s">
        <v>16</v>
      </c>
      <c r="M4375" s="7" t="n">
        <v>1000</v>
      </c>
      <c r="N4375" s="8" t="n">
        <v>0.0372</v>
      </c>
      <c r="O4375" s="4" t="n">
        <f aca="false">M4375*N4375</f>
        <v>37.2</v>
      </c>
    </row>
    <row r="4376" customFormat="false" ht="15" hidden="false" customHeight="false" outlineLevel="0" collapsed="false">
      <c r="A4376" s="0" t="s">
        <v>5942</v>
      </c>
      <c r="C4376" s="0" t="s">
        <v>34</v>
      </c>
      <c r="D4376" s="7" t="n">
        <v>6525</v>
      </c>
      <c r="E4376" s="8" t="n">
        <v>0.0056</v>
      </c>
      <c r="F4376" s="4" t="n">
        <f aca="false">D4376*E4376</f>
        <v>36.54</v>
      </c>
      <c r="G4376" s="7" t="n">
        <v>601</v>
      </c>
      <c r="H4376" s="9" t="n">
        <f aca="false">IF(G4376&gt;0,D4376/G4376,"")</f>
        <v>10.8569051580699</v>
      </c>
      <c r="I4376" s="10" t="n">
        <v>46295</v>
      </c>
      <c r="J4376" s="3" t="s">
        <v>2719</v>
      </c>
      <c r="K4376" s="10" t="n">
        <v>46049</v>
      </c>
      <c r="L4376" s="3" t="s">
        <v>16</v>
      </c>
      <c r="M4376" s="7" t="n">
        <v>7000</v>
      </c>
      <c r="N4376" s="8" t="n">
        <v>0.0056</v>
      </c>
      <c r="O4376" s="4" t="n">
        <f aca="false">M4376*N4376</f>
        <v>39.2</v>
      </c>
    </row>
    <row r="4377" customFormat="false" ht="15" hidden="false" customHeight="false" outlineLevel="0" collapsed="false">
      <c r="A4377" s="0" t="s">
        <v>5943</v>
      </c>
      <c r="C4377" s="0" t="s">
        <v>33</v>
      </c>
      <c r="D4377" s="7" t="n">
        <v>26</v>
      </c>
      <c r="E4377" s="8" t="n">
        <v>1.40461538461539</v>
      </c>
      <c r="F4377" s="4" t="n">
        <f aca="false">D4377*E4377</f>
        <v>36.52</v>
      </c>
      <c r="G4377" s="7" t="n">
        <v>6</v>
      </c>
      <c r="H4377" s="9" t="n">
        <f aca="false">IF(G4377&gt;0,D4377/G4377,"")</f>
        <v>4.33333333333333</v>
      </c>
      <c r="I4377" s="10" t="n">
        <v>45968</v>
      </c>
      <c r="J4377" s="3" t="s">
        <v>3933</v>
      </c>
      <c r="K4377" s="10" t="n">
        <v>45580</v>
      </c>
      <c r="L4377" s="3" t="s">
        <v>18</v>
      </c>
      <c r="M4377" s="7" t="n">
        <v>68</v>
      </c>
      <c r="N4377" s="8" t="n">
        <v>1.4046</v>
      </c>
      <c r="O4377" s="4" t="n">
        <f aca="false">M4377*N4377</f>
        <v>95.5128</v>
      </c>
    </row>
    <row r="4378" customFormat="false" ht="15" hidden="false" customHeight="false" outlineLevel="0" collapsed="false">
      <c r="A4378" s="0" t="s">
        <v>5944</v>
      </c>
      <c r="C4378" s="0" t="s">
        <v>34</v>
      </c>
      <c r="D4378" s="7" t="n">
        <v>891</v>
      </c>
      <c r="E4378" s="8" t="n">
        <v>0.040976430976431</v>
      </c>
      <c r="F4378" s="4" t="n">
        <f aca="false">D4378*E4378</f>
        <v>36.51</v>
      </c>
      <c r="G4378" s="7" t="n">
        <v>319</v>
      </c>
      <c r="H4378" s="9" t="n">
        <f aca="false">IF(G4378&gt;0,D4378/G4378,"")</f>
        <v>2.79310344827586</v>
      </c>
      <c r="I4378" s="10" t="n">
        <v>46300</v>
      </c>
      <c r="J4378" s="3" t="s">
        <v>1576</v>
      </c>
      <c r="K4378" s="10" t="n">
        <v>46196</v>
      </c>
      <c r="L4378" s="3" t="s">
        <v>16</v>
      </c>
      <c r="M4378" s="7" t="n">
        <v>980</v>
      </c>
      <c r="N4378" s="8" t="n">
        <v>0.041</v>
      </c>
      <c r="O4378" s="4" t="n">
        <f aca="false">M4378*N4378</f>
        <v>40.18</v>
      </c>
    </row>
    <row r="4379" customFormat="false" ht="15" hidden="false" customHeight="false" outlineLevel="0" collapsed="false">
      <c r="A4379" s="0" t="s">
        <v>5945</v>
      </c>
      <c r="C4379" s="0" t="s">
        <v>340</v>
      </c>
      <c r="D4379" s="7" t="n">
        <v>1285</v>
      </c>
      <c r="E4379" s="8" t="n">
        <v>0.0283968871595331</v>
      </c>
      <c r="F4379" s="4" t="n">
        <f aca="false">D4379*E4379</f>
        <v>36.49</v>
      </c>
      <c r="G4379" s="7" t="n">
        <v>35</v>
      </c>
      <c r="H4379" s="9" t="n">
        <f aca="false">IF(G4379&gt;0,D4379/G4379,"")</f>
        <v>36.7142857142857</v>
      </c>
      <c r="I4379" s="10" t="n">
        <v>46283</v>
      </c>
      <c r="K4379" s="10"/>
      <c r="M4379" s="7"/>
      <c r="N4379" s="8"/>
      <c r="O4379" s="4"/>
    </row>
    <row r="4380" customFormat="false" ht="15" hidden="false" customHeight="false" outlineLevel="0" collapsed="false">
      <c r="A4380" s="0" t="s">
        <v>5946</v>
      </c>
      <c r="C4380" s="0" t="s">
        <v>889</v>
      </c>
      <c r="D4380" s="7" t="n">
        <v>521</v>
      </c>
      <c r="E4380" s="8" t="n">
        <v>0.07</v>
      </c>
      <c r="F4380" s="4" t="n">
        <f aca="false">D4380*E4380</f>
        <v>36.47</v>
      </c>
      <c r="G4380" s="7" t="n">
        <v>404</v>
      </c>
      <c r="H4380" s="9" t="n">
        <f aca="false">IF(G4380&gt;0,D4380/G4380,"")</f>
        <v>1.28960396039604</v>
      </c>
      <c r="I4380" s="10" t="n">
        <v>46133</v>
      </c>
      <c r="K4380" s="10"/>
      <c r="M4380" s="7"/>
      <c r="N4380" s="8"/>
      <c r="O4380" s="4"/>
    </row>
    <row r="4381" customFormat="false" ht="15" hidden="false" customHeight="false" outlineLevel="0" collapsed="false">
      <c r="A4381" s="0" t="s">
        <v>5947</v>
      </c>
      <c r="C4381" s="0" t="s">
        <v>340</v>
      </c>
      <c r="D4381" s="7" t="n">
        <v>3593</v>
      </c>
      <c r="E4381" s="8" t="n">
        <v>0.0101502922349012</v>
      </c>
      <c r="F4381" s="4" t="n">
        <f aca="false">D4381*E4381</f>
        <v>36.47</v>
      </c>
      <c r="G4381" s="7" t="n">
        <v>2319</v>
      </c>
      <c r="H4381" s="9" t="n">
        <f aca="false">IF(G4381&gt;0,D4381/G4381,"")</f>
        <v>1.54937473048728</v>
      </c>
      <c r="I4381" s="10" t="n">
        <v>46268</v>
      </c>
      <c r="J4381" s="3" t="s">
        <v>341</v>
      </c>
      <c r="K4381" s="10" t="n">
        <v>46078</v>
      </c>
      <c r="L4381" s="3" t="s">
        <v>15</v>
      </c>
      <c r="M4381" s="7" t="n">
        <v>300</v>
      </c>
      <c r="N4381" s="8" t="n">
        <v>0.00961</v>
      </c>
      <c r="O4381" s="4" t="n">
        <f aca="false">M4381*N4381</f>
        <v>2.883</v>
      </c>
    </row>
    <row r="4382" customFormat="false" ht="15" hidden="false" customHeight="false" outlineLevel="0" collapsed="false">
      <c r="A4382" s="0" t="s">
        <v>5948</v>
      </c>
      <c r="C4382" s="0" t="s">
        <v>855</v>
      </c>
      <c r="D4382" s="7" t="n">
        <v>3580</v>
      </c>
      <c r="E4382" s="8" t="n">
        <v>0.0101703910614525</v>
      </c>
      <c r="F4382" s="4" t="n">
        <f aca="false">D4382*E4382</f>
        <v>36.41</v>
      </c>
      <c r="G4382" s="7" t="n">
        <v>10</v>
      </c>
      <c r="H4382" s="9" t="n">
        <f aca="false">IF(G4382&gt;0,D4382/G4382,"")</f>
        <v>358</v>
      </c>
      <c r="I4382" s="10" t="n">
        <v>46038</v>
      </c>
      <c r="J4382" s="3" t="s">
        <v>5949</v>
      </c>
      <c r="K4382" s="10" t="n">
        <v>45659</v>
      </c>
      <c r="L4382" s="3" t="s">
        <v>15</v>
      </c>
      <c r="M4382" s="7" t="n">
        <v>3590</v>
      </c>
      <c r="N4382" s="8" t="n">
        <v>0.01017</v>
      </c>
      <c r="O4382" s="4" t="n">
        <f aca="false">M4382*N4382</f>
        <v>36.5103</v>
      </c>
    </row>
    <row r="4383" customFormat="false" ht="15" hidden="false" customHeight="false" outlineLevel="0" collapsed="false">
      <c r="A4383" s="0" t="s">
        <v>5950</v>
      </c>
      <c r="C4383" s="0" t="s">
        <v>32</v>
      </c>
      <c r="D4383" s="7" t="n">
        <v>143</v>
      </c>
      <c r="E4383" s="8" t="n">
        <v>0.254335664335664</v>
      </c>
      <c r="F4383" s="4" t="n">
        <f aca="false">D4383*E4383</f>
        <v>36.37</v>
      </c>
      <c r="G4383" s="7" t="n">
        <v>58</v>
      </c>
      <c r="H4383" s="9" t="n">
        <f aca="false">IF(G4383&gt;0,D4383/G4383,"")</f>
        <v>2.46551724137931</v>
      </c>
      <c r="I4383" s="10" t="n">
        <v>46246</v>
      </c>
      <c r="J4383" s="3" t="s">
        <v>5951</v>
      </c>
      <c r="K4383" s="10" t="n">
        <v>45392</v>
      </c>
      <c r="L4383" s="3" t="s">
        <v>18</v>
      </c>
      <c r="M4383" s="7" t="n">
        <v>350</v>
      </c>
      <c r="N4383" s="8" t="n">
        <v>0.2543</v>
      </c>
      <c r="O4383" s="4" t="n">
        <f aca="false">M4383*N4383</f>
        <v>89.005</v>
      </c>
    </row>
    <row r="4384" customFormat="false" ht="15" hidden="false" customHeight="false" outlineLevel="0" collapsed="false">
      <c r="A4384" s="0" t="s">
        <v>5952</v>
      </c>
      <c r="C4384" s="0" t="s">
        <v>35</v>
      </c>
      <c r="D4384" s="7" t="n">
        <v>65</v>
      </c>
      <c r="E4384" s="8" t="n">
        <v>0.559384615384615</v>
      </c>
      <c r="F4384" s="4" t="n">
        <f aca="false">D4384*E4384</f>
        <v>36.36</v>
      </c>
      <c r="G4384" s="7" t="n">
        <v>10</v>
      </c>
      <c r="H4384" s="9" t="n">
        <f aca="false">IF(G4384&gt;0,D4384/G4384,"")</f>
        <v>6.5</v>
      </c>
      <c r="I4384" s="10" t="n">
        <v>46091</v>
      </c>
      <c r="J4384" s="3" t="s">
        <v>2600</v>
      </c>
      <c r="K4384" s="10" t="n">
        <v>45799</v>
      </c>
      <c r="L4384" s="3" t="s">
        <v>14</v>
      </c>
      <c r="M4384" s="7" t="n">
        <v>100</v>
      </c>
      <c r="N4384" s="8" t="n">
        <v>0.5593</v>
      </c>
      <c r="O4384" s="4" t="n">
        <f aca="false">M4384*N4384</f>
        <v>55.93</v>
      </c>
    </row>
    <row r="4385" customFormat="false" ht="15" hidden="false" customHeight="false" outlineLevel="0" collapsed="false">
      <c r="A4385" s="0" t="s">
        <v>5953</v>
      </c>
      <c r="C4385" s="0" t="s">
        <v>34</v>
      </c>
      <c r="D4385" s="7" t="n">
        <v>889</v>
      </c>
      <c r="E4385" s="8" t="n">
        <v>0.0408323959505062</v>
      </c>
      <c r="F4385" s="4" t="n">
        <f aca="false">D4385*E4385</f>
        <v>36.3</v>
      </c>
      <c r="G4385" s="7" t="n">
        <v>408</v>
      </c>
      <c r="H4385" s="9" t="n">
        <f aca="false">IF(G4385&gt;0,D4385/G4385,"")</f>
        <v>2.17892156862745</v>
      </c>
      <c r="I4385" s="10" t="n">
        <v>46247</v>
      </c>
      <c r="J4385" s="3" t="s">
        <v>302</v>
      </c>
      <c r="K4385" s="10" t="n">
        <v>45520</v>
      </c>
      <c r="L4385" s="3" t="s">
        <v>15</v>
      </c>
      <c r="M4385" s="7" t="n">
        <v>2280</v>
      </c>
      <c r="N4385" s="8" t="n">
        <v>0.04082</v>
      </c>
      <c r="O4385" s="4" t="n">
        <f aca="false">M4385*N4385</f>
        <v>93.0696</v>
      </c>
    </row>
    <row r="4386" customFormat="false" ht="15" hidden="false" customHeight="false" outlineLevel="0" collapsed="false">
      <c r="A4386" s="0" t="s">
        <v>5954</v>
      </c>
      <c r="C4386" s="0" t="s">
        <v>398</v>
      </c>
      <c r="D4386" s="7" t="n">
        <v>203</v>
      </c>
      <c r="E4386" s="8" t="n">
        <v>0.178669950738916</v>
      </c>
      <c r="F4386" s="4" t="n">
        <f aca="false">D4386*E4386</f>
        <v>36.27</v>
      </c>
      <c r="G4386" s="7" t="n">
        <v>2</v>
      </c>
      <c r="H4386" s="9" t="n">
        <f aca="false">IF(G4386&gt;0,D4386/G4386,"")</f>
        <v>101.5</v>
      </c>
      <c r="I4386" s="10" t="n">
        <v>46066</v>
      </c>
      <c r="K4386" s="10"/>
      <c r="M4386" s="7"/>
      <c r="N4386" s="8"/>
      <c r="O4386" s="4"/>
    </row>
    <row r="4387" customFormat="false" ht="15" hidden="false" customHeight="false" outlineLevel="0" collapsed="false">
      <c r="A4387" s="0" t="s">
        <v>5955</v>
      </c>
      <c r="C4387" s="0" t="s">
        <v>31</v>
      </c>
      <c r="D4387" s="7" t="n">
        <v>453</v>
      </c>
      <c r="E4387" s="8" t="n">
        <v>0.08</v>
      </c>
      <c r="F4387" s="4" t="n">
        <f aca="false">D4387*E4387</f>
        <v>36.24</v>
      </c>
      <c r="G4387" s="7" t="n">
        <v>172</v>
      </c>
      <c r="H4387" s="9" t="n">
        <f aca="false">IF(G4387&gt;0,D4387/G4387,"")</f>
        <v>2.63372093023256</v>
      </c>
      <c r="I4387" s="10" t="n">
        <v>46287</v>
      </c>
      <c r="J4387" s="3" t="s">
        <v>1616</v>
      </c>
      <c r="K4387" s="10" t="n">
        <v>46266</v>
      </c>
      <c r="L4387" s="3" t="s">
        <v>16</v>
      </c>
      <c r="M4387" s="7" t="n">
        <v>625</v>
      </c>
      <c r="N4387" s="8" t="n">
        <v>0.08</v>
      </c>
      <c r="O4387" s="4" t="n">
        <f aca="false">M4387*N4387</f>
        <v>50</v>
      </c>
    </row>
    <row r="4388" customFormat="false" ht="15" hidden="false" customHeight="false" outlineLevel="0" collapsed="false">
      <c r="A4388" s="0" t="s">
        <v>5956</v>
      </c>
      <c r="C4388" s="0" t="s">
        <v>39</v>
      </c>
      <c r="D4388" s="7" t="n">
        <v>143</v>
      </c>
      <c r="E4388" s="8" t="n">
        <v>0.253146853146853</v>
      </c>
      <c r="F4388" s="4" t="n">
        <f aca="false">D4388*E4388</f>
        <v>36.2</v>
      </c>
      <c r="G4388" s="7" t="n">
        <v>30</v>
      </c>
      <c r="H4388" s="9" t="n">
        <f aca="false">IF(G4388&gt;0,D4388/G4388,"")</f>
        <v>4.76666666666667</v>
      </c>
      <c r="I4388" s="10" t="n">
        <v>46308</v>
      </c>
      <c r="J4388" s="3" t="s">
        <v>3460</v>
      </c>
      <c r="K4388" s="10" t="n">
        <v>44788</v>
      </c>
      <c r="L4388" s="3" t="s">
        <v>14</v>
      </c>
      <c r="M4388" s="7" t="n">
        <v>248</v>
      </c>
      <c r="N4388" s="8" t="n">
        <v>0.2531</v>
      </c>
      <c r="O4388" s="4" t="n">
        <f aca="false">M4388*N4388</f>
        <v>62.7688</v>
      </c>
    </row>
    <row r="4389" customFormat="false" ht="15" hidden="false" customHeight="false" outlineLevel="0" collapsed="false">
      <c r="A4389" s="0" t="s">
        <v>5957</v>
      </c>
      <c r="C4389" s="0" t="s">
        <v>34</v>
      </c>
      <c r="D4389" s="7" t="n">
        <v>407</v>
      </c>
      <c r="E4389" s="8" t="n">
        <v>0.0889189189189189</v>
      </c>
      <c r="F4389" s="4" t="n">
        <f aca="false">D4389*E4389</f>
        <v>36.19</v>
      </c>
      <c r="G4389" s="7" t="n">
        <v>43</v>
      </c>
      <c r="H4389" s="9" t="n">
        <f aca="false">IF(G4389&gt;0,D4389/G4389,"")</f>
        <v>9.46511627906977</v>
      </c>
      <c r="I4389" s="10" t="n">
        <v>46168</v>
      </c>
      <c r="J4389" s="3" t="s">
        <v>4260</v>
      </c>
      <c r="K4389" s="10" t="n">
        <v>45659</v>
      </c>
      <c r="L4389" s="3" t="s">
        <v>16</v>
      </c>
      <c r="M4389" s="7" t="n">
        <v>500</v>
      </c>
      <c r="N4389" s="8" t="n">
        <v>0.0867</v>
      </c>
      <c r="O4389" s="4" t="n">
        <f aca="false">M4389*N4389</f>
        <v>43.35</v>
      </c>
    </row>
    <row r="4390" customFormat="false" ht="15" hidden="false" customHeight="false" outlineLevel="0" collapsed="false">
      <c r="A4390" s="0" t="s">
        <v>5958</v>
      </c>
      <c r="C4390" s="0" t="s">
        <v>744</v>
      </c>
      <c r="D4390" s="7" t="n">
        <v>15</v>
      </c>
      <c r="E4390" s="8" t="n">
        <v>2.41</v>
      </c>
      <c r="F4390" s="4" t="n">
        <f aca="false">D4390*E4390</f>
        <v>36.15</v>
      </c>
      <c r="G4390" s="7" t="n">
        <v>4</v>
      </c>
      <c r="H4390" s="9" t="n">
        <f aca="false">IF(G4390&gt;0,D4390/G4390,"")</f>
        <v>3.75</v>
      </c>
      <c r="I4390" s="10" t="n">
        <v>46265</v>
      </c>
      <c r="J4390" s="3" t="s">
        <v>5959</v>
      </c>
      <c r="K4390" s="10" t="n">
        <v>44302</v>
      </c>
      <c r="L4390" s="3" t="s">
        <v>1878</v>
      </c>
      <c r="M4390" s="7" t="n">
        <v>50</v>
      </c>
      <c r="N4390" s="8" t="n">
        <v>2.41</v>
      </c>
      <c r="O4390" s="4" t="n">
        <f aca="false">M4390*N4390</f>
        <v>120.5</v>
      </c>
    </row>
    <row r="4391" customFormat="false" ht="15" hidden="false" customHeight="false" outlineLevel="0" collapsed="false">
      <c r="A4391" s="0" t="s">
        <v>5960</v>
      </c>
      <c r="D4391" s="7" t="n">
        <v>22</v>
      </c>
      <c r="E4391" s="8" t="n">
        <v>1.64136363636364</v>
      </c>
      <c r="F4391" s="4" t="n">
        <f aca="false">D4391*E4391</f>
        <v>36.11</v>
      </c>
      <c r="G4391" s="7" t="n">
        <v>3</v>
      </c>
      <c r="H4391" s="9" t="n">
        <f aca="false">IF(G4391&gt;0,D4391/G4391,"")</f>
        <v>7.33333333333333</v>
      </c>
      <c r="I4391" s="10" t="n">
        <v>46119</v>
      </c>
      <c r="J4391" s="3" t="s">
        <v>5961</v>
      </c>
      <c r="K4391" s="10" t="n">
        <v>45757</v>
      </c>
      <c r="L4391" s="3" t="s">
        <v>313</v>
      </c>
      <c r="M4391" s="7" t="n">
        <v>25</v>
      </c>
      <c r="N4391" s="8" t="n">
        <v>1.641</v>
      </c>
      <c r="O4391" s="4" t="n">
        <f aca="false">M4391*N4391</f>
        <v>41.025</v>
      </c>
    </row>
    <row r="4392" customFormat="false" ht="15" hidden="false" customHeight="false" outlineLevel="0" collapsed="false">
      <c r="A4392" s="0" t="s">
        <v>5962</v>
      </c>
      <c r="C4392" s="0" t="s">
        <v>34</v>
      </c>
      <c r="D4392" s="7" t="n">
        <v>499</v>
      </c>
      <c r="E4392" s="8" t="n">
        <v>0.0723046092184369</v>
      </c>
      <c r="F4392" s="4" t="n">
        <f aca="false">D4392*E4392</f>
        <v>36.08</v>
      </c>
      <c r="G4392" s="7" t="n">
        <v>10</v>
      </c>
      <c r="H4392" s="9" t="n">
        <f aca="false">IF(G4392&gt;0,D4392/G4392,"")</f>
        <v>49.9</v>
      </c>
      <c r="I4392" s="10" t="n">
        <v>46062</v>
      </c>
      <c r="J4392" s="3" t="s">
        <v>1192</v>
      </c>
      <c r="K4392" s="10" t="n">
        <v>45736</v>
      </c>
      <c r="L4392" s="3" t="s">
        <v>26</v>
      </c>
      <c r="M4392" s="7" t="n">
        <v>200</v>
      </c>
      <c r="N4392" s="8" t="n">
        <v>0.1149</v>
      </c>
      <c r="O4392" s="4" t="n">
        <f aca="false">M4392*N4392</f>
        <v>22.98</v>
      </c>
    </row>
    <row r="4393" customFormat="false" ht="15" hidden="false" customHeight="false" outlineLevel="0" collapsed="false">
      <c r="A4393" s="0" t="s">
        <v>5963</v>
      </c>
      <c r="C4393" s="0" t="s">
        <v>31</v>
      </c>
      <c r="D4393" s="7" t="n">
        <v>30</v>
      </c>
      <c r="E4393" s="8" t="n">
        <v>1.20233333333333</v>
      </c>
      <c r="F4393" s="4" t="n">
        <f aca="false">D4393*E4393</f>
        <v>36.07</v>
      </c>
      <c r="G4393" s="7" t="n">
        <v>20</v>
      </c>
      <c r="H4393" s="9" t="n">
        <f aca="false">IF(G4393&gt;0,D4393/G4393,"")</f>
        <v>1.5</v>
      </c>
      <c r="I4393" s="10" t="n">
        <v>46108</v>
      </c>
      <c r="J4393" s="3" t="s">
        <v>3165</v>
      </c>
      <c r="K4393" s="10" t="n">
        <v>46094</v>
      </c>
      <c r="L4393" s="3" t="s">
        <v>14</v>
      </c>
      <c r="M4393" s="7" t="n">
        <v>50</v>
      </c>
      <c r="N4393" s="8" t="n">
        <v>1.2024</v>
      </c>
      <c r="O4393" s="4" t="n">
        <f aca="false">M4393*N4393</f>
        <v>60.12</v>
      </c>
    </row>
    <row r="4394" customFormat="false" ht="15" hidden="false" customHeight="false" outlineLevel="0" collapsed="false">
      <c r="A4394" s="0" t="s">
        <v>5964</v>
      </c>
      <c r="C4394" s="0" t="s">
        <v>31</v>
      </c>
      <c r="D4394" s="7" t="n">
        <v>2920</v>
      </c>
      <c r="E4394" s="8" t="n">
        <v>0.0123493150684932</v>
      </c>
      <c r="F4394" s="4" t="n">
        <f aca="false">D4394*E4394</f>
        <v>36.06</v>
      </c>
      <c r="G4394" s="7" t="n">
        <v>526</v>
      </c>
      <c r="H4394" s="9" t="n">
        <f aca="false">IF(G4394&gt;0,D4394/G4394,"")</f>
        <v>5.55133079847909</v>
      </c>
      <c r="I4394" s="10" t="n">
        <v>46273</v>
      </c>
      <c r="K4394" s="10"/>
      <c r="M4394" s="7"/>
      <c r="N4394" s="8"/>
      <c r="O4394" s="4"/>
    </row>
    <row r="4395" customFormat="false" ht="15" hidden="false" customHeight="false" outlineLevel="0" collapsed="false">
      <c r="A4395" s="0" t="s">
        <v>5965</v>
      </c>
      <c r="C4395" s="0" t="s">
        <v>715</v>
      </c>
      <c r="D4395" s="7" t="n">
        <v>3003</v>
      </c>
      <c r="E4395" s="8" t="n">
        <v>0.012001332001332</v>
      </c>
      <c r="F4395" s="4" t="n">
        <f aca="false">D4395*E4395</f>
        <v>36.04</v>
      </c>
      <c r="G4395" s="7" t="n">
        <v>160</v>
      </c>
      <c r="H4395" s="9" t="n">
        <f aca="false">IF(G4395&gt;0,D4395/G4395,"")</f>
        <v>18.76875</v>
      </c>
      <c r="I4395" s="10" t="n">
        <v>46147</v>
      </c>
      <c r="J4395" s="3" t="s">
        <v>5565</v>
      </c>
      <c r="K4395" s="10" t="n">
        <v>45730</v>
      </c>
      <c r="L4395" s="3" t="s">
        <v>14</v>
      </c>
      <c r="M4395" s="7" t="n">
        <v>5000</v>
      </c>
      <c r="N4395" s="8" t="n">
        <v>0.012</v>
      </c>
      <c r="O4395" s="4" t="n">
        <f aca="false">M4395*N4395</f>
        <v>60</v>
      </c>
    </row>
    <row r="4396" customFormat="false" ht="15" hidden="false" customHeight="false" outlineLevel="0" collapsed="false">
      <c r="A4396" s="0" t="s">
        <v>5966</v>
      </c>
      <c r="C4396" s="0" t="s">
        <v>34</v>
      </c>
      <c r="D4396" s="7" t="n">
        <v>1583</v>
      </c>
      <c r="E4396" s="8" t="n">
        <v>0.0227605811749842</v>
      </c>
      <c r="F4396" s="4" t="n">
        <f aca="false">D4396*E4396</f>
        <v>36.03</v>
      </c>
      <c r="G4396" s="7" t="n">
        <v>528</v>
      </c>
      <c r="H4396" s="9" t="n">
        <f aca="false">IF(G4396&gt;0,D4396/G4396,"")</f>
        <v>2.99810606060606</v>
      </c>
      <c r="I4396" s="10" t="n">
        <v>46281</v>
      </c>
      <c r="J4396" s="3" t="s">
        <v>5295</v>
      </c>
      <c r="K4396" s="10" t="n">
        <v>44356</v>
      </c>
      <c r="L4396" s="3" t="s">
        <v>15</v>
      </c>
      <c r="M4396" s="7" t="n">
        <v>3840</v>
      </c>
      <c r="N4396" s="8" t="n">
        <v>0.02277</v>
      </c>
      <c r="O4396" s="4" t="n">
        <f aca="false">M4396*N4396</f>
        <v>87.4368</v>
      </c>
    </row>
    <row r="4397" customFormat="false" ht="15" hidden="false" customHeight="false" outlineLevel="0" collapsed="false">
      <c r="A4397" s="0" t="s">
        <v>5967</v>
      </c>
      <c r="C4397" s="0" t="s">
        <v>34</v>
      </c>
      <c r="D4397" s="7" t="n">
        <v>46</v>
      </c>
      <c r="E4397" s="8" t="n">
        <v>0.78304347826087</v>
      </c>
      <c r="F4397" s="4" t="n">
        <f aca="false">D4397*E4397</f>
        <v>36.02</v>
      </c>
      <c r="G4397" s="7" t="n">
        <v>4</v>
      </c>
      <c r="H4397" s="9" t="n">
        <f aca="false">IF(G4397&gt;0,D4397/G4397,"")</f>
        <v>11.5</v>
      </c>
      <c r="I4397" s="10" t="n">
        <v>46010</v>
      </c>
      <c r="J4397" s="3" t="s">
        <v>2710</v>
      </c>
      <c r="K4397" s="10" t="n">
        <v>46006</v>
      </c>
      <c r="L4397" s="3" t="s">
        <v>2203</v>
      </c>
      <c r="M4397" s="7" t="n">
        <v>50</v>
      </c>
      <c r="N4397" s="8" t="n">
        <v>0.783</v>
      </c>
      <c r="O4397" s="4" t="n">
        <f aca="false">M4397*N4397</f>
        <v>39.15</v>
      </c>
    </row>
    <row r="4398" customFormat="false" ht="15" hidden="false" customHeight="false" outlineLevel="0" collapsed="false">
      <c r="A4398" s="0" t="s">
        <v>5968</v>
      </c>
      <c r="C4398" s="0" t="s">
        <v>2569</v>
      </c>
      <c r="D4398" s="7" t="n">
        <v>105</v>
      </c>
      <c r="E4398" s="8" t="n">
        <v>0.342952380952381</v>
      </c>
      <c r="F4398" s="4" t="n">
        <f aca="false">D4398*E4398</f>
        <v>36.01</v>
      </c>
      <c r="G4398" s="7" t="n">
        <v>1</v>
      </c>
      <c r="H4398" s="9" t="n">
        <f aca="false">IF(G4398&gt;0,D4398/G4398,"")</f>
        <v>105</v>
      </c>
      <c r="I4398" s="10" t="n">
        <v>46027</v>
      </c>
      <c r="J4398" s="3" t="s">
        <v>5733</v>
      </c>
      <c r="K4398" s="10" t="n">
        <v>45167</v>
      </c>
      <c r="L4398" s="3" t="s">
        <v>2571</v>
      </c>
      <c r="M4398" s="7" t="n">
        <v>200</v>
      </c>
      <c r="N4398" s="8" t="n">
        <v>0.343</v>
      </c>
      <c r="O4398" s="4" t="n">
        <f aca="false">M4398*N4398</f>
        <v>68.6</v>
      </c>
    </row>
    <row r="4399" customFormat="false" ht="15" hidden="false" customHeight="false" outlineLevel="0" collapsed="false">
      <c r="A4399" s="0" t="s">
        <v>5969</v>
      </c>
      <c r="C4399" s="0" t="s">
        <v>799</v>
      </c>
      <c r="D4399" s="7" t="n">
        <v>12</v>
      </c>
      <c r="E4399" s="8" t="n">
        <v>2.99916666666667</v>
      </c>
      <c r="F4399" s="4" t="n">
        <f aca="false">D4399*E4399</f>
        <v>35.99</v>
      </c>
      <c r="G4399" s="7" t="n">
        <v>10</v>
      </c>
      <c r="H4399" s="9" t="n">
        <f aca="false">IF(G4399&gt;0,D4399/G4399,"")</f>
        <v>1.2</v>
      </c>
      <c r="I4399" s="10" t="n">
        <v>45958</v>
      </c>
      <c r="J4399" s="3" t="s">
        <v>1877</v>
      </c>
      <c r="K4399" s="10" t="n">
        <v>45896</v>
      </c>
      <c r="L4399" s="3" t="s">
        <v>1878</v>
      </c>
      <c r="M4399" s="7" t="n">
        <v>20</v>
      </c>
      <c r="N4399" s="8" t="n">
        <v>3.04</v>
      </c>
      <c r="O4399" s="4" t="n">
        <f aca="false">M4399*N4399</f>
        <v>60.8</v>
      </c>
    </row>
    <row r="4400" customFormat="false" ht="15" hidden="false" customHeight="false" outlineLevel="0" collapsed="false">
      <c r="A4400" s="0" t="s">
        <v>5970</v>
      </c>
      <c r="C4400" s="0" t="s">
        <v>31</v>
      </c>
      <c r="D4400" s="7" t="n">
        <v>285</v>
      </c>
      <c r="E4400" s="8" t="n">
        <v>0.126175438596491</v>
      </c>
      <c r="F4400" s="4" t="n">
        <f aca="false">D4400*E4400</f>
        <v>35.96</v>
      </c>
      <c r="G4400" s="7" t="n">
        <v>15</v>
      </c>
      <c r="H4400" s="9" t="n">
        <f aca="false">IF(G4400&gt;0,D4400/G4400,"")</f>
        <v>19</v>
      </c>
      <c r="I4400" s="10" t="n">
        <v>46301</v>
      </c>
      <c r="J4400" s="3" t="s">
        <v>2631</v>
      </c>
      <c r="K4400" s="10" t="n">
        <v>46265</v>
      </c>
      <c r="L4400" s="3" t="s">
        <v>15</v>
      </c>
      <c r="M4400" s="7" t="n">
        <v>300</v>
      </c>
      <c r="N4400" s="8" t="n">
        <v>0.12618</v>
      </c>
      <c r="O4400" s="4" t="n">
        <f aca="false">M4400*N4400</f>
        <v>37.854</v>
      </c>
    </row>
    <row r="4401" customFormat="false" ht="15" hidden="false" customHeight="false" outlineLevel="0" collapsed="false">
      <c r="A4401" s="0" t="s">
        <v>5971</v>
      </c>
      <c r="C4401" s="0" t="s">
        <v>398</v>
      </c>
      <c r="D4401" s="7" t="n">
        <v>312</v>
      </c>
      <c r="E4401" s="8" t="n">
        <v>0.115</v>
      </c>
      <c r="F4401" s="4" t="n">
        <f aca="false">D4401*E4401</f>
        <v>35.88</v>
      </c>
      <c r="G4401" s="7" t="n">
        <v>3</v>
      </c>
      <c r="H4401" s="9" t="n">
        <f aca="false">IF(G4401&gt;0,D4401/G4401,"")</f>
        <v>104</v>
      </c>
      <c r="I4401" s="10" t="n">
        <v>46066</v>
      </c>
      <c r="K4401" s="10"/>
      <c r="M4401" s="7"/>
      <c r="N4401" s="8"/>
      <c r="O4401" s="4"/>
    </row>
    <row r="4402" customFormat="false" ht="15" hidden="false" customHeight="false" outlineLevel="0" collapsed="false">
      <c r="A4402" s="0" t="s">
        <v>5972</v>
      </c>
      <c r="C4402" s="0" t="s">
        <v>34</v>
      </c>
      <c r="D4402" s="7" t="n">
        <v>138</v>
      </c>
      <c r="E4402" s="8" t="n">
        <v>0.259927536231884</v>
      </c>
      <c r="F4402" s="4" t="n">
        <f aca="false">D4402*E4402</f>
        <v>35.87</v>
      </c>
      <c r="G4402" s="7" t="n">
        <v>19</v>
      </c>
      <c r="H4402" s="9" t="n">
        <f aca="false">IF(G4402&gt;0,D4402/G4402,"")</f>
        <v>7.26315789473684</v>
      </c>
      <c r="I4402" s="10" t="n">
        <v>46141</v>
      </c>
      <c r="J4402" s="3" t="s">
        <v>2335</v>
      </c>
      <c r="K4402" s="10" t="n">
        <v>44705</v>
      </c>
      <c r="L4402" s="3" t="s">
        <v>15</v>
      </c>
      <c r="M4402" s="7" t="n">
        <v>333</v>
      </c>
      <c r="N4402" s="8" t="n">
        <v>0.2658</v>
      </c>
      <c r="O4402" s="4" t="n">
        <v>87.714</v>
      </c>
    </row>
    <row r="4403" customFormat="false" ht="15" hidden="false" customHeight="false" outlineLevel="0" collapsed="false">
      <c r="A4403" s="0" t="s">
        <v>5973</v>
      </c>
      <c r="C4403" s="0" t="s">
        <v>31</v>
      </c>
      <c r="D4403" s="7" t="n">
        <v>4103</v>
      </c>
      <c r="E4403" s="8" t="n">
        <v>0.00873507189861077</v>
      </c>
      <c r="F4403" s="4" t="n">
        <f aca="false">D4403*E4403</f>
        <v>35.84</v>
      </c>
      <c r="G4403" s="7" t="n">
        <v>835</v>
      </c>
      <c r="H4403" s="9" t="n">
        <f aca="false">IF(G4403&gt;0,D4403/G4403,"")</f>
        <v>4.91377245508982</v>
      </c>
      <c r="I4403" s="10" t="n">
        <v>46287</v>
      </c>
      <c r="J4403" s="3" t="s">
        <v>2719</v>
      </c>
      <c r="K4403" s="10" t="n">
        <v>46049</v>
      </c>
      <c r="L4403" s="3" t="s">
        <v>16</v>
      </c>
      <c r="M4403" s="7" t="n">
        <v>4727</v>
      </c>
      <c r="N4403" s="8" t="n">
        <v>0.0086</v>
      </c>
      <c r="O4403" s="4" t="n">
        <f aca="false">M4403*N4403</f>
        <v>40.6522</v>
      </c>
    </row>
    <row r="4404" customFormat="false" ht="15" hidden="false" customHeight="false" outlineLevel="0" collapsed="false">
      <c r="A4404" s="0" t="s">
        <v>5974</v>
      </c>
      <c r="C4404" s="0" t="s">
        <v>765</v>
      </c>
      <c r="D4404" s="7" t="n">
        <v>2454</v>
      </c>
      <c r="E4404" s="8" t="n">
        <v>0.0146047269763651</v>
      </c>
      <c r="F4404" s="4" t="n">
        <f aca="false">D4404*E4404</f>
        <v>35.84</v>
      </c>
      <c r="G4404" s="7" t="n">
        <v>125</v>
      </c>
      <c r="H4404" s="9" t="n">
        <f aca="false">IF(G4404&gt;0,D4404/G4404,"")</f>
        <v>19.632</v>
      </c>
      <c r="I4404" s="10" t="n">
        <v>46177</v>
      </c>
      <c r="K4404" s="10"/>
      <c r="M4404" s="7"/>
      <c r="N4404" s="8"/>
      <c r="O4404" s="4"/>
    </row>
    <row r="4405" customFormat="false" ht="15" hidden="false" customHeight="false" outlineLevel="0" collapsed="false">
      <c r="A4405" s="0" t="s">
        <v>5975</v>
      </c>
      <c r="C4405" s="0" t="s">
        <v>33</v>
      </c>
      <c r="D4405" s="7" t="n">
        <v>16</v>
      </c>
      <c r="E4405" s="8" t="n">
        <v>2.239375</v>
      </c>
      <c r="F4405" s="4" t="n">
        <f aca="false">D4405*E4405</f>
        <v>35.83</v>
      </c>
      <c r="G4405" s="7" t="n">
        <v>16</v>
      </c>
      <c r="H4405" s="9" t="n">
        <f aca="false">IF(G4405&gt;0,D4405/G4405,"")</f>
        <v>1</v>
      </c>
      <c r="I4405" s="10" t="n">
        <v>46253</v>
      </c>
      <c r="J4405" s="3" t="s">
        <v>4160</v>
      </c>
      <c r="K4405" s="10" t="n">
        <v>45469</v>
      </c>
      <c r="L4405" s="3" t="s">
        <v>18</v>
      </c>
      <c r="M4405" s="7" t="n">
        <v>42</v>
      </c>
      <c r="N4405" s="8" t="n">
        <v>2.2397</v>
      </c>
      <c r="O4405" s="4" t="n">
        <f aca="false">M4405*N4405</f>
        <v>94.0674</v>
      </c>
    </row>
    <row r="4406" customFormat="false" ht="15" hidden="false" customHeight="false" outlineLevel="0" collapsed="false">
      <c r="A4406" s="0" t="s">
        <v>5976</v>
      </c>
      <c r="C4406" s="0" t="s">
        <v>34</v>
      </c>
      <c r="D4406" s="7" t="n">
        <v>1210</v>
      </c>
      <c r="E4406" s="8" t="n">
        <v>0.029603305785124</v>
      </c>
      <c r="F4406" s="4" t="n">
        <f aca="false">D4406*E4406</f>
        <v>35.82</v>
      </c>
      <c r="G4406" s="7" t="n">
        <v>242</v>
      </c>
      <c r="H4406" s="9" t="n">
        <f aca="false">IF(G4406&gt;0,D4406/G4406,"")</f>
        <v>5</v>
      </c>
      <c r="I4406" s="10" t="n">
        <v>46185</v>
      </c>
      <c r="K4406" s="10"/>
      <c r="M4406" s="7"/>
      <c r="N4406" s="8"/>
      <c r="O4406" s="4"/>
    </row>
    <row r="4407" customFormat="false" ht="15" hidden="false" customHeight="false" outlineLevel="0" collapsed="false">
      <c r="A4407" s="0" t="s">
        <v>5977</v>
      </c>
      <c r="C4407" s="0" t="s">
        <v>583</v>
      </c>
      <c r="D4407" s="7" t="n">
        <v>5968</v>
      </c>
      <c r="E4407" s="8" t="n">
        <v>0.00600033512064343</v>
      </c>
      <c r="F4407" s="4" t="n">
        <f aca="false">D4407*E4407</f>
        <v>35.81</v>
      </c>
      <c r="G4407" s="7" t="n">
        <v>1725</v>
      </c>
      <c r="H4407" s="9" t="n">
        <f aca="false">IF(G4407&gt;0,D4407/G4407,"")</f>
        <v>3.45971014492754</v>
      </c>
      <c r="I4407" s="10" t="n">
        <v>46231</v>
      </c>
      <c r="J4407" s="3" t="s">
        <v>536</v>
      </c>
      <c r="K4407" s="10" t="n">
        <v>45531</v>
      </c>
      <c r="L4407" s="3" t="s">
        <v>16</v>
      </c>
      <c r="M4407" s="7" t="n">
        <v>10000</v>
      </c>
      <c r="N4407" s="8" t="n">
        <v>0.006</v>
      </c>
      <c r="O4407" s="4" t="n">
        <f aca="false">M4407*N4407</f>
        <v>60</v>
      </c>
    </row>
    <row r="4408" customFormat="false" ht="15" hidden="false" customHeight="false" outlineLevel="0" collapsed="false">
      <c r="A4408" s="0" t="s">
        <v>5978</v>
      </c>
      <c r="C4408" s="0" t="s">
        <v>31</v>
      </c>
      <c r="D4408" s="7" t="n">
        <v>1816</v>
      </c>
      <c r="E4408" s="8" t="n">
        <v>0.0197191629955947</v>
      </c>
      <c r="F4408" s="4" t="n">
        <f aca="false">D4408*E4408</f>
        <v>35.81</v>
      </c>
      <c r="G4408" s="7" t="n">
        <v>1714</v>
      </c>
      <c r="H4408" s="9" t="n">
        <f aca="false">IF(G4408&gt;0,D4408/G4408,"")</f>
        <v>1.05950991831972</v>
      </c>
      <c r="I4408" s="10" t="n">
        <v>46253</v>
      </c>
      <c r="J4408" s="3" t="s">
        <v>4801</v>
      </c>
      <c r="K4408" s="10" t="n">
        <v>46290</v>
      </c>
      <c r="L4408" s="3" t="s">
        <v>16</v>
      </c>
      <c r="M4408" s="7" t="n">
        <v>11200</v>
      </c>
      <c r="N4408" s="8" t="n">
        <v>0.0134</v>
      </c>
      <c r="O4408" s="4" t="n">
        <f aca="false">M4408*N4408</f>
        <v>150.08</v>
      </c>
    </row>
    <row r="4409" customFormat="false" ht="15" hidden="false" customHeight="false" outlineLevel="0" collapsed="false">
      <c r="A4409" s="0" t="s">
        <v>5979</v>
      </c>
      <c r="C4409" s="0" t="s">
        <v>61</v>
      </c>
      <c r="D4409" s="7" t="n">
        <v>230</v>
      </c>
      <c r="E4409" s="8" t="n">
        <v>0.155391304347826</v>
      </c>
      <c r="F4409" s="4" t="n">
        <f aca="false">D4409*E4409</f>
        <v>35.74</v>
      </c>
      <c r="G4409" s="7" t="n">
        <v>70</v>
      </c>
      <c r="H4409" s="9" t="n">
        <f aca="false">IF(G4409&gt;0,D4409/G4409,"")</f>
        <v>3.28571428571429</v>
      </c>
      <c r="I4409" s="10" t="n">
        <v>46210</v>
      </c>
      <c r="K4409" s="10"/>
      <c r="M4409" s="7"/>
      <c r="N4409" s="8"/>
      <c r="O4409" s="4"/>
    </row>
    <row r="4410" customFormat="false" ht="15" hidden="false" customHeight="false" outlineLevel="0" collapsed="false">
      <c r="A4410" s="0" t="s">
        <v>5980</v>
      </c>
      <c r="C4410" s="0" t="s">
        <v>34</v>
      </c>
      <c r="D4410" s="7" t="n">
        <v>1588</v>
      </c>
      <c r="E4410" s="8" t="n">
        <v>0.0225</v>
      </c>
      <c r="F4410" s="4" t="n">
        <f aca="false">D4410*E4410</f>
        <v>35.73</v>
      </c>
      <c r="G4410" s="7" t="n">
        <v>45</v>
      </c>
      <c r="H4410" s="9" t="n">
        <f aca="false">IF(G4410&gt;0,D4410/G4410,"")</f>
        <v>35.2888888888889</v>
      </c>
      <c r="I4410" s="10" t="n">
        <v>46251</v>
      </c>
      <c r="J4410" s="3" t="s">
        <v>5981</v>
      </c>
      <c r="K4410" s="10" t="n">
        <v>45261</v>
      </c>
      <c r="L4410" s="3" t="s">
        <v>16</v>
      </c>
      <c r="M4410" s="7" t="n">
        <v>2917</v>
      </c>
      <c r="N4410" s="8" t="n">
        <v>0.0225</v>
      </c>
      <c r="O4410" s="4" t="n">
        <f aca="false">M4410*N4410</f>
        <v>65.6325</v>
      </c>
    </row>
    <row r="4411" customFormat="false" ht="15" hidden="false" customHeight="false" outlineLevel="0" collapsed="false">
      <c r="A4411" s="0" t="s">
        <v>5982</v>
      </c>
      <c r="C4411" s="0" t="s">
        <v>438</v>
      </c>
      <c r="D4411" s="7" t="n">
        <v>22</v>
      </c>
      <c r="E4411" s="8" t="n">
        <v>1.62363636363636</v>
      </c>
      <c r="F4411" s="4" t="n">
        <f aca="false">D4411*E4411</f>
        <v>35.72</v>
      </c>
      <c r="G4411" s="7" t="n">
        <v>5</v>
      </c>
      <c r="H4411" s="9" t="n">
        <f aca="false">IF(G4411&gt;0,D4411/G4411,"")</f>
        <v>4.4</v>
      </c>
      <c r="I4411" s="10" t="n">
        <v>46211</v>
      </c>
      <c r="J4411" s="3" t="s">
        <v>5983</v>
      </c>
      <c r="K4411" s="10" t="n">
        <v>45358</v>
      </c>
      <c r="L4411" s="3" t="s">
        <v>1878</v>
      </c>
      <c r="M4411" s="7" t="n">
        <v>50</v>
      </c>
      <c r="N4411" s="8" t="n">
        <v>1.64</v>
      </c>
      <c r="O4411" s="4" t="n">
        <f aca="false">M4411*N4411</f>
        <v>82</v>
      </c>
    </row>
    <row r="4412" customFormat="false" ht="15" hidden="false" customHeight="false" outlineLevel="0" collapsed="false">
      <c r="A4412" s="0" t="s">
        <v>5984</v>
      </c>
      <c r="C4412" s="0" t="s">
        <v>31</v>
      </c>
      <c r="D4412" s="7" t="n">
        <v>1054</v>
      </c>
      <c r="E4412" s="8" t="n">
        <v>0.0338899430740038</v>
      </c>
      <c r="F4412" s="4" t="n">
        <f aca="false">D4412*E4412</f>
        <v>35.72</v>
      </c>
      <c r="G4412" s="7" t="n">
        <v>55</v>
      </c>
      <c r="H4412" s="9" t="n">
        <f aca="false">IF(G4412&gt;0,D4412/G4412,"")</f>
        <v>19.1636363636364</v>
      </c>
      <c r="I4412" s="10" t="n">
        <v>46230</v>
      </c>
      <c r="J4412" s="3" t="s">
        <v>2777</v>
      </c>
      <c r="K4412" s="10" t="n">
        <v>45763</v>
      </c>
      <c r="L4412" s="3" t="s">
        <v>16</v>
      </c>
      <c r="M4412" s="7" t="n">
        <v>1144</v>
      </c>
      <c r="N4412" s="8" t="n">
        <v>0.0339</v>
      </c>
      <c r="O4412" s="4" t="n">
        <f aca="false">M4412*N4412</f>
        <v>38.7816</v>
      </c>
    </row>
    <row r="4413" customFormat="false" ht="15" hidden="false" customHeight="false" outlineLevel="0" collapsed="false">
      <c r="A4413" s="0" t="s">
        <v>5985</v>
      </c>
      <c r="C4413" s="0" t="s">
        <v>1101</v>
      </c>
      <c r="D4413" s="7" t="n">
        <v>6</v>
      </c>
      <c r="E4413" s="8" t="n">
        <v>5.95</v>
      </c>
      <c r="F4413" s="4" t="n">
        <f aca="false">D4413*E4413</f>
        <v>35.7</v>
      </c>
      <c r="G4413" s="7" t="n">
        <v>4</v>
      </c>
      <c r="H4413" s="9" t="n">
        <f aca="false">IF(G4413&gt;0,D4413/G4413,"")</f>
        <v>1.5</v>
      </c>
      <c r="I4413" s="10" t="n">
        <v>46224</v>
      </c>
      <c r="J4413" s="3" t="s">
        <v>5986</v>
      </c>
      <c r="K4413" s="10" t="n">
        <v>46199</v>
      </c>
      <c r="L4413" s="3" t="s">
        <v>834</v>
      </c>
      <c r="M4413" s="7" t="n">
        <v>10</v>
      </c>
      <c r="N4413" s="8" t="n">
        <v>5.95</v>
      </c>
      <c r="O4413" s="4" t="n">
        <f aca="false">M4413*N4413</f>
        <v>59.5</v>
      </c>
    </row>
    <row r="4414" customFormat="false" ht="15" hidden="false" customHeight="false" outlineLevel="0" collapsed="false">
      <c r="A4414" s="0" t="s">
        <v>5987</v>
      </c>
      <c r="C4414" s="0" t="s">
        <v>765</v>
      </c>
      <c r="D4414" s="7" t="n">
        <v>150</v>
      </c>
      <c r="E4414" s="8" t="n">
        <v>0.238</v>
      </c>
      <c r="F4414" s="4" t="n">
        <f aca="false">D4414*E4414</f>
        <v>35.7</v>
      </c>
      <c r="G4414" s="7" t="n">
        <v>5</v>
      </c>
      <c r="H4414" s="9" t="n">
        <f aca="false">IF(G4414&gt;0,D4414/G4414,"")</f>
        <v>30</v>
      </c>
      <c r="I4414" s="10" t="n">
        <v>45967</v>
      </c>
      <c r="K4414" s="10"/>
      <c r="M4414" s="7"/>
      <c r="N4414" s="8"/>
      <c r="O4414" s="4"/>
    </row>
    <row r="4415" customFormat="false" ht="15" hidden="false" customHeight="false" outlineLevel="0" collapsed="false">
      <c r="A4415" s="0" t="s">
        <v>5988</v>
      </c>
      <c r="C4415" s="0" t="s">
        <v>855</v>
      </c>
      <c r="D4415" s="7" t="n">
        <v>8544</v>
      </c>
      <c r="E4415" s="8" t="n">
        <v>0.00417602996254682</v>
      </c>
      <c r="F4415" s="4" t="n">
        <f aca="false">D4415*E4415</f>
        <v>35.68</v>
      </c>
      <c r="G4415" s="7" t="n">
        <v>2448</v>
      </c>
      <c r="H4415" s="9" t="n">
        <f aca="false">IF(G4415&gt;0,D4415/G4415,"")</f>
        <v>3.49019607843137</v>
      </c>
      <c r="I4415" s="10" t="n">
        <v>46238</v>
      </c>
      <c r="J4415" s="3" t="s">
        <v>2335</v>
      </c>
      <c r="K4415" s="10" t="n">
        <v>44705</v>
      </c>
      <c r="L4415" s="3" t="s">
        <v>15</v>
      </c>
      <c r="M4415" s="7" t="n">
        <v>15700</v>
      </c>
      <c r="N4415" s="8" t="n">
        <v>0.0042</v>
      </c>
      <c r="O4415" s="4" t="n">
        <f aca="false">M4415*N4415</f>
        <v>65.94</v>
      </c>
    </row>
    <row r="4416" customFormat="false" ht="15" hidden="false" customHeight="false" outlineLevel="0" collapsed="false">
      <c r="A4416" s="0" t="s">
        <v>5989</v>
      </c>
      <c r="C4416" s="0" t="s">
        <v>39</v>
      </c>
      <c r="D4416" s="7" t="n">
        <v>845</v>
      </c>
      <c r="E4416" s="8" t="n">
        <v>0.0422011834319527</v>
      </c>
      <c r="F4416" s="4" t="n">
        <f aca="false">D4416*E4416</f>
        <v>35.66</v>
      </c>
      <c r="G4416" s="7" t="n">
        <v>175</v>
      </c>
      <c r="H4416" s="9" t="n">
        <f aca="false">IF(G4416&gt;0,D4416/G4416,"")</f>
        <v>4.82857142857143</v>
      </c>
      <c r="I4416" s="10" t="n">
        <v>46182</v>
      </c>
      <c r="J4416" s="3" t="s">
        <v>1934</v>
      </c>
      <c r="K4416" s="10" t="n">
        <v>44337</v>
      </c>
      <c r="L4416" s="3" t="s">
        <v>19</v>
      </c>
      <c r="M4416" s="7" t="n">
        <v>4500</v>
      </c>
      <c r="N4416" s="8" t="n">
        <v>0.0422</v>
      </c>
      <c r="O4416" s="4" t="n">
        <f aca="false">M4416*N4416</f>
        <v>189.9</v>
      </c>
    </row>
    <row r="4417" customFormat="false" ht="15" hidden="false" customHeight="false" outlineLevel="0" collapsed="false">
      <c r="A4417" s="0" t="s">
        <v>5990</v>
      </c>
      <c r="C4417" s="0" t="s">
        <v>889</v>
      </c>
      <c r="D4417" s="7" t="n">
        <v>307</v>
      </c>
      <c r="E4417" s="8" t="n">
        <v>0.116123778501629</v>
      </c>
      <c r="F4417" s="4" t="n">
        <f aca="false">D4417*E4417</f>
        <v>35.65</v>
      </c>
      <c r="G4417" s="7" t="n">
        <v>188</v>
      </c>
      <c r="H4417" s="9" t="n">
        <f aca="false">IF(G4417&gt;0,D4417/G4417,"")</f>
        <v>1.63297872340426</v>
      </c>
      <c r="I4417" s="10" t="n">
        <v>46268</v>
      </c>
      <c r="K4417" s="10"/>
      <c r="M4417" s="7"/>
      <c r="N4417" s="8"/>
      <c r="O4417" s="4"/>
    </row>
    <row r="4418" customFormat="false" ht="15" hidden="false" customHeight="false" outlineLevel="0" collapsed="false">
      <c r="A4418" s="0" t="s">
        <v>5991</v>
      </c>
      <c r="C4418" s="0" t="s">
        <v>38</v>
      </c>
      <c r="D4418" s="7" t="n">
        <v>178</v>
      </c>
      <c r="E4418" s="8" t="n">
        <v>0.200168539325843</v>
      </c>
      <c r="F4418" s="4" t="n">
        <f aca="false">D4418*E4418</f>
        <v>35.63</v>
      </c>
      <c r="G4418" s="7" t="n">
        <v>4</v>
      </c>
      <c r="H4418" s="9" t="n">
        <f aca="false">IF(G4418&gt;0,D4418/G4418,"")</f>
        <v>44.5</v>
      </c>
      <c r="I4418" s="10" t="n">
        <v>46269</v>
      </c>
      <c r="J4418" s="3" t="s">
        <v>2945</v>
      </c>
      <c r="K4418" s="10" t="n">
        <v>44267</v>
      </c>
      <c r="L4418" s="3" t="s">
        <v>465</v>
      </c>
      <c r="M4418" s="7" t="n">
        <v>250</v>
      </c>
      <c r="N4418" s="8" t="n">
        <v>0.2001</v>
      </c>
      <c r="O4418" s="4" t="n">
        <f aca="false">M4418*N4418</f>
        <v>50.025</v>
      </c>
    </row>
    <row r="4419" customFormat="false" ht="15" hidden="false" customHeight="false" outlineLevel="0" collapsed="false">
      <c r="A4419" s="0" t="s">
        <v>5992</v>
      </c>
      <c r="C4419" s="0" t="s">
        <v>715</v>
      </c>
      <c r="D4419" s="7" t="n">
        <v>3020</v>
      </c>
      <c r="E4419" s="8" t="n">
        <v>0.0117980132450331</v>
      </c>
      <c r="F4419" s="4" t="n">
        <f aca="false">D4419*E4419</f>
        <v>35.63</v>
      </c>
      <c r="G4419" s="7" t="n">
        <v>1110</v>
      </c>
      <c r="H4419" s="9" t="n">
        <f aca="false">IF(G4419&gt;0,D4419/G4419,"")</f>
        <v>2.72072072072072</v>
      </c>
      <c r="I4419" s="10" t="n">
        <v>46247</v>
      </c>
      <c r="J4419" s="3" t="s">
        <v>5993</v>
      </c>
      <c r="K4419" s="10" t="n">
        <v>44327</v>
      </c>
      <c r="L4419" s="3" t="s">
        <v>19</v>
      </c>
      <c r="M4419" s="7" t="n">
        <v>4300</v>
      </c>
      <c r="N4419" s="8" t="n">
        <v>0.0118</v>
      </c>
      <c r="O4419" s="4" t="n">
        <f aca="false">M4419*N4419</f>
        <v>50.74</v>
      </c>
    </row>
    <row r="4420" customFormat="false" ht="15" hidden="false" customHeight="false" outlineLevel="0" collapsed="false">
      <c r="A4420" s="0" t="s">
        <v>5994</v>
      </c>
      <c r="C4420" s="0" t="s">
        <v>40</v>
      </c>
      <c r="D4420" s="7" t="n">
        <v>419</v>
      </c>
      <c r="E4420" s="8" t="n">
        <v>0.0850119331742243</v>
      </c>
      <c r="F4420" s="4" t="n">
        <f aca="false">D4420*E4420</f>
        <v>35.62</v>
      </c>
      <c r="G4420" s="7" t="n">
        <v>35</v>
      </c>
      <c r="H4420" s="9" t="n">
        <f aca="false">IF(G4420&gt;0,D4420/G4420,"")</f>
        <v>11.9714285714286</v>
      </c>
      <c r="I4420" s="10" t="n">
        <v>46265</v>
      </c>
      <c r="K4420" s="10"/>
      <c r="M4420" s="7"/>
      <c r="N4420" s="8"/>
      <c r="O4420" s="4"/>
    </row>
    <row r="4421" customFormat="false" ht="15" hidden="false" customHeight="false" outlineLevel="0" collapsed="false">
      <c r="A4421" s="0" t="s">
        <v>5995</v>
      </c>
      <c r="C4421" s="0" t="s">
        <v>37</v>
      </c>
      <c r="D4421" s="7" t="n">
        <v>1228</v>
      </c>
      <c r="E4421" s="8" t="n">
        <v>0.0289983713355049</v>
      </c>
      <c r="F4421" s="4" t="n">
        <f aca="false">D4421*E4421</f>
        <v>35.61</v>
      </c>
      <c r="G4421" s="7" t="n">
        <v>65</v>
      </c>
      <c r="H4421" s="9" t="n">
        <f aca="false">IF(G4421&gt;0,D4421/G4421,"")</f>
        <v>18.8923076923077</v>
      </c>
      <c r="I4421" s="10" t="n">
        <v>46205</v>
      </c>
      <c r="J4421" s="3" t="s">
        <v>5996</v>
      </c>
      <c r="K4421" s="10" t="n">
        <v>44816</v>
      </c>
      <c r="L4421" s="3" t="s">
        <v>3404</v>
      </c>
      <c r="M4421" s="7" t="n">
        <v>8446</v>
      </c>
      <c r="N4421" s="8" t="n">
        <v>0.029</v>
      </c>
      <c r="O4421" s="4" t="n">
        <f aca="false">M4421*N4421</f>
        <v>244.934</v>
      </c>
    </row>
    <row r="4422" customFormat="false" ht="15" hidden="false" customHeight="false" outlineLevel="0" collapsed="false">
      <c r="A4422" s="0" t="s">
        <v>5997</v>
      </c>
      <c r="C4422" s="0" t="s">
        <v>35</v>
      </c>
      <c r="D4422" s="7" t="n">
        <v>5</v>
      </c>
      <c r="E4422" s="8" t="n">
        <v>7.104</v>
      </c>
      <c r="F4422" s="4" t="n">
        <f aca="false">D4422*E4422</f>
        <v>35.52</v>
      </c>
      <c r="G4422" s="7" t="n">
        <v>4</v>
      </c>
      <c r="H4422" s="9" t="n">
        <f aca="false">IF(G4422&gt;0,D4422/G4422,"")</f>
        <v>1.25</v>
      </c>
      <c r="I4422" s="10" t="n">
        <v>46057</v>
      </c>
      <c r="J4422" s="3" t="s">
        <v>426</v>
      </c>
      <c r="K4422" s="10" t="n">
        <v>46038</v>
      </c>
      <c r="L4422" s="3" t="s">
        <v>14</v>
      </c>
      <c r="M4422" s="7" t="n">
        <v>6</v>
      </c>
      <c r="N4422" s="8" t="n">
        <v>7.105</v>
      </c>
      <c r="O4422" s="4" t="n">
        <f aca="false">M4422*N4422</f>
        <v>42.63</v>
      </c>
    </row>
    <row r="4423" customFormat="false" ht="15" hidden="false" customHeight="false" outlineLevel="0" collapsed="false">
      <c r="A4423" s="0" t="s">
        <v>5998</v>
      </c>
      <c r="C4423" s="0" t="s">
        <v>295</v>
      </c>
      <c r="D4423" s="7" t="n">
        <v>913</v>
      </c>
      <c r="E4423" s="8" t="n">
        <v>0.0389047097480832</v>
      </c>
      <c r="F4423" s="4" t="n">
        <f aca="false">D4423*E4423</f>
        <v>35.52</v>
      </c>
      <c r="G4423" s="7" t="n">
        <v>274</v>
      </c>
      <c r="H4423" s="9" t="n">
        <f aca="false">IF(G4423&gt;0,D4423/G4423,"")</f>
        <v>3.33211678832117</v>
      </c>
      <c r="I4423" s="10" t="n">
        <v>46252</v>
      </c>
      <c r="J4423" s="3" t="s">
        <v>5999</v>
      </c>
      <c r="K4423" s="10" t="n">
        <v>45614</v>
      </c>
      <c r="L4423" s="3" t="s">
        <v>19</v>
      </c>
      <c r="M4423" s="7" t="n">
        <v>1287</v>
      </c>
      <c r="N4423" s="8" t="n">
        <v>0.0389</v>
      </c>
      <c r="O4423" s="4" t="n">
        <f aca="false">M4423*N4423</f>
        <v>50.0643</v>
      </c>
    </row>
    <row r="4424" customFormat="false" ht="15" hidden="false" customHeight="false" outlineLevel="0" collapsed="false">
      <c r="A4424" s="0" t="s">
        <v>6000</v>
      </c>
      <c r="C4424" s="0" t="s">
        <v>31</v>
      </c>
      <c r="D4424" s="7" t="n">
        <v>2254</v>
      </c>
      <c r="E4424" s="8" t="n">
        <v>0.0157586512866016</v>
      </c>
      <c r="F4424" s="4" t="n">
        <f aca="false">D4424*E4424</f>
        <v>35.52</v>
      </c>
      <c r="G4424" s="7" t="n">
        <v>114</v>
      </c>
      <c r="H4424" s="9" t="n">
        <f aca="false">IF(G4424&gt;0,D4424/G4424,"")</f>
        <v>19.7719298245614</v>
      </c>
      <c r="I4424" s="10" t="n">
        <v>46147</v>
      </c>
      <c r="J4424" s="3" t="s">
        <v>3385</v>
      </c>
      <c r="K4424" s="10" t="n">
        <v>45595</v>
      </c>
      <c r="L4424" s="3" t="s">
        <v>16</v>
      </c>
      <c r="M4424" s="7" t="n">
        <v>3500</v>
      </c>
      <c r="N4424" s="8" t="n">
        <v>0.0109</v>
      </c>
      <c r="O4424" s="4" t="n">
        <f aca="false">M4424*N4424</f>
        <v>38.15</v>
      </c>
    </row>
    <row r="4425" customFormat="false" ht="15" hidden="false" customHeight="false" outlineLevel="0" collapsed="false">
      <c r="A4425" s="0" t="s">
        <v>6001</v>
      </c>
      <c r="C4425" s="0" t="s">
        <v>855</v>
      </c>
      <c r="D4425" s="7" t="n">
        <v>1752</v>
      </c>
      <c r="E4425" s="8" t="n">
        <v>0.0202682648401827</v>
      </c>
      <c r="F4425" s="4" t="n">
        <f aca="false">D4425*E4425</f>
        <v>35.51</v>
      </c>
      <c r="G4425" s="7" t="n">
        <v>32</v>
      </c>
      <c r="H4425" s="9" t="n">
        <f aca="false">IF(G4425&gt;0,D4425/G4425,"")</f>
        <v>54.75</v>
      </c>
      <c r="I4425" s="10" t="n">
        <v>46195</v>
      </c>
      <c r="J4425" s="3" t="s">
        <v>5700</v>
      </c>
      <c r="K4425" s="10" t="n">
        <v>44364</v>
      </c>
      <c r="L4425" s="3" t="s">
        <v>15</v>
      </c>
      <c r="M4425" s="7" t="n">
        <v>1850</v>
      </c>
      <c r="N4425" s="8" t="n">
        <v>0.02027</v>
      </c>
      <c r="O4425" s="4" t="n">
        <f aca="false">M4425*N4425</f>
        <v>37.4995</v>
      </c>
    </row>
    <row r="4426" customFormat="false" ht="15" hidden="false" customHeight="false" outlineLevel="0" collapsed="false">
      <c r="A4426" s="0" t="s">
        <v>6002</v>
      </c>
      <c r="C4426" s="0" t="s">
        <v>118</v>
      </c>
      <c r="D4426" s="7" t="n">
        <v>107</v>
      </c>
      <c r="E4426" s="8" t="n">
        <v>0.331588785046729</v>
      </c>
      <c r="F4426" s="4" t="n">
        <f aca="false">D4426*E4426</f>
        <v>35.48</v>
      </c>
      <c r="G4426" s="7" t="n">
        <v>4</v>
      </c>
      <c r="H4426" s="9" t="n">
        <f aca="false">IF(G4426&gt;0,D4426/G4426,"")</f>
        <v>26.75</v>
      </c>
      <c r="I4426" s="10" t="n">
        <v>46112</v>
      </c>
      <c r="J4426" s="3" t="s">
        <v>6003</v>
      </c>
      <c r="K4426" s="10" t="n">
        <v>45581</v>
      </c>
      <c r="L4426" s="3" t="s">
        <v>14</v>
      </c>
      <c r="M4426" s="7" t="n">
        <v>250</v>
      </c>
      <c r="N4426" s="8" t="n">
        <v>0.3316</v>
      </c>
      <c r="O4426" s="4" t="n">
        <f aca="false">M4426*N4426</f>
        <v>82.9</v>
      </c>
    </row>
    <row r="4427" customFormat="false" ht="15" hidden="false" customHeight="false" outlineLevel="0" collapsed="false">
      <c r="A4427" s="0" t="s">
        <v>6004</v>
      </c>
      <c r="C4427" s="0" t="s">
        <v>31</v>
      </c>
      <c r="D4427" s="7" t="n">
        <v>1897</v>
      </c>
      <c r="E4427" s="8" t="n">
        <v>0.0186979441222984</v>
      </c>
      <c r="F4427" s="4" t="n">
        <f aca="false">D4427*E4427</f>
        <v>35.47</v>
      </c>
      <c r="G4427" s="7" t="n">
        <v>1098</v>
      </c>
      <c r="H4427" s="9" t="n">
        <f aca="false">IF(G4427&gt;0,D4427/G4427,"")</f>
        <v>1.72768670309654</v>
      </c>
      <c r="I4427" s="10" t="n">
        <v>46280</v>
      </c>
      <c r="J4427" s="3" t="s">
        <v>628</v>
      </c>
      <c r="K4427" s="10" t="n">
        <v>46128</v>
      </c>
      <c r="L4427" s="3" t="s">
        <v>16</v>
      </c>
      <c r="M4427" s="7" t="n">
        <v>2500</v>
      </c>
      <c r="N4427" s="8" t="n">
        <v>0.0187</v>
      </c>
      <c r="O4427" s="4" t="n">
        <f aca="false">M4427*N4427</f>
        <v>46.75</v>
      </c>
    </row>
    <row r="4428" customFormat="false" ht="15" hidden="false" customHeight="false" outlineLevel="0" collapsed="false">
      <c r="A4428" s="0" t="s">
        <v>6005</v>
      </c>
      <c r="C4428" s="0" t="s">
        <v>118</v>
      </c>
      <c r="D4428" s="7" t="n">
        <v>47</v>
      </c>
      <c r="E4428" s="8" t="n">
        <v>0.754468085106383</v>
      </c>
      <c r="F4428" s="4" t="n">
        <f aca="false">D4428*E4428</f>
        <v>35.46</v>
      </c>
      <c r="G4428" s="7" t="n">
        <v>10</v>
      </c>
      <c r="H4428" s="9" t="n">
        <f aca="false">IF(G4428&gt;0,D4428/G4428,"")</f>
        <v>4.7</v>
      </c>
      <c r="I4428" s="10" t="n">
        <v>46097</v>
      </c>
      <c r="J4428" s="3" t="s">
        <v>6006</v>
      </c>
      <c r="K4428" s="10" t="n">
        <v>45187</v>
      </c>
      <c r="L4428" s="3" t="s">
        <v>14</v>
      </c>
      <c r="M4428" s="7" t="n">
        <v>100</v>
      </c>
      <c r="N4428" s="8" t="n">
        <v>0.7545</v>
      </c>
      <c r="O4428" s="4" t="n">
        <f aca="false">M4428*N4428</f>
        <v>75.45</v>
      </c>
    </row>
    <row r="4429" customFormat="false" ht="15" hidden="false" customHeight="false" outlineLevel="0" collapsed="false">
      <c r="A4429" s="0" t="s">
        <v>6007</v>
      </c>
      <c r="C4429" s="0" t="s">
        <v>31</v>
      </c>
      <c r="D4429" s="7" t="n">
        <v>346</v>
      </c>
      <c r="E4429" s="8" t="n">
        <v>0.102485549132948</v>
      </c>
      <c r="F4429" s="4" t="n">
        <f aca="false">D4429*E4429</f>
        <v>35.46</v>
      </c>
      <c r="G4429" s="7" t="n">
        <v>30</v>
      </c>
      <c r="H4429" s="9" t="n">
        <f aca="false">IF(G4429&gt;0,D4429/G4429,"")</f>
        <v>11.5333333333333</v>
      </c>
      <c r="I4429" s="10" t="n">
        <v>46230</v>
      </c>
      <c r="J4429" s="3" t="s">
        <v>1466</v>
      </c>
      <c r="K4429" s="10" t="n">
        <v>44456</v>
      </c>
      <c r="L4429" s="3" t="s">
        <v>16</v>
      </c>
      <c r="M4429" s="7" t="n">
        <v>502</v>
      </c>
      <c r="N4429" s="8" t="n">
        <v>0</v>
      </c>
      <c r="O4429" s="4" t="n">
        <v>51.55</v>
      </c>
    </row>
    <row r="4430" customFormat="false" ht="15" hidden="false" customHeight="false" outlineLevel="0" collapsed="false">
      <c r="A4430" s="0" t="s">
        <v>6008</v>
      </c>
      <c r="C4430" s="0" t="s">
        <v>41</v>
      </c>
      <c r="D4430" s="7" t="n">
        <v>2786</v>
      </c>
      <c r="E4430" s="8" t="n">
        <v>0.0127279253409907</v>
      </c>
      <c r="F4430" s="4" t="n">
        <f aca="false">D4430*E4430</f>
        <v>35.46</v>
      </c>
      <c r="G4430" s="7" t="n">
        <v>500</v>
      </c>
      <c r="H4430" s="9" t="n">
        <f aca="false">IF(G4430&gt;0,D4430/G4430,"")</f>
        <v>5.572</v>
      </c>
      <c r="I4430" s="10" t="n">
        <v>46044</v>
      </c>
      <c r="K4430" s="10"/>
      <c r="M4430" s="7"/>
      <c r="N4430" s="8"/>
      <c r="O4430" s="4"/>
    </row>
    <row r="4431" customFormat="false" ht="15" hidden="false" customHeight="false" outlineLevel="0" collapsed="false">
      <c r="A4431" s="0" t="s">
        <v>6009</v>
      </c>
      <c r="C4431" s="0" t="s">
        <v>38</v>
      </c>
      <c r="D4431" s="7" t="n">
        <v>117</v>
      </c>
      <c r="E4431" s="8" t="n">
        <v>0.302478632478633</v>
      </c>
      <c r="F4431" s="4" t="n">
        <f aca="false">D4431*E4431</f>
        <v>35.39</v>
      </c>
      <c r="G4431" s="7" t="n">
        <v>4</v>
      </c>
      <c r="H4431" s="9" t="n">
        <f aca="false">IF(G4431&gt;0,D4431/G4431,"")</f>
        <v>29.25</v>
      </c>
      <c r="I4431" s="10" t="n">
        <v>46294</v>
      </c>
      <c r="K4431" s="10"/>
      <c r="M4431" s="7"/>
      <c r="N4431" s="8"/>
      <c r="O4431" s="4"/>
    </row>
    <row r="4432" customFormat="false" ht="15" hidden="false" customHeight="false" outlineLevel="0" collapsed="false">
      <c r="A4432" s="0" t="s">
        <v>6010</v>
      </c>
      <c r="C4432" s="0" t="s">
        <v>1039</v>
      </c>
      <c r="D4432" s="7" t="n">
        <v>827</v>
      </c>
      <c r="E4432" s="8" t="n">
        <v>0.0427811366384522</v>
      </c>
      <c r="F4432" s="4" t="n">
        <f aca="false">D4432*E4432</f>
        <v>35.38</v>
      </c>
      <c r="G4432" s="7" t="n">
        <v>49</v>
      </c>
      <c r="H4432" s="9" t="n">
        <f aca="false">IF(G4432&gt;0,D4432/G4432,"")</f>
        <v>16.8775510204082</v>
      </c>
      <c r="I4432" s="10" t="n">
        <v>46216</v>
      </c>
      <c r="K4432" s="10"/>
      <c r="M4432" s="7"/>
      <c r="N4432" s="8"/>
      <c r="O4432" s="4"/>
    </row>
    <row r="4433" customFormat="false" ht="15" hidden="false" customHeight="false" outlineLevel="0" collapsed="false">
      <c r="A4433" s="0" t="s">
        <v>6011</v>
      </c>
      <c r="C4433" s="0" t="s">
        <v>741</v>
      </c>
      <c r="D4433" s="7" t="n">
        <v>335</v>
      </c>
      <c r="E4433" s="8" t="n">
        <v>0.105611940298508</v>
      </c>
      <c r="F4433" s="4" t="n">
        <f aca="false">D4433*E4433</f>
        <v>35.38</v>
      </c>
      <c r="G4433" s="7" t="n">
        <v>4</v>
      </c>
      <c r="H4433" s="9" t="n">
        <f aca="false">IF(G4433&gt;0,D4433/G4433,"")</f>
        <v>83.75</v>
      </c>
      <c r="I4433" s="10" t="n">
        <v>46202</v>
      </c>
      <c r="K4433" s="10"/>
      <c r="M4433" s="7"/>
      <c r="N4433" s="8"/>
      <c r="O4433" s="4"/>
    </row>
    <row r="4434" customFormat="false" ht="15" hidden="false" customHeight="false" outlineLevel="0" collapsed="false">
      <c r="A4434" s="0" t="s">
        <v>6012</v>
      </c>
      <c r="C4434" s="0" t="s">
        <v>40</v>
      </c>
      <c r="D4434" s="7" t="n">
        <v>205</v>
      </c>
      <c r="E4434" s="8" t="n">
        <v>0.172487804878049</v>
      </c>
      <c r="F4434" s="4" t="n">
        <f aca="false">D4434*E4434</f>
        <v>35.36</v>
      </c>
      <c r="G4434" s="7" t="n">
        <v>70</v>
      </c>
      <c r="H4434" s="9" t="n">
        <f aca="false">IF(G4434&gt;0,D4434/G4434,"")</f>
        <v>2.92857142857143</v>
      </c>
      <c r="I4434" s="10" t="n">
        <v>46316</v>
      </c>
      <c r="J4434" s="3" t="s">
        <v>6013</v>
      </c>
      <c r="K4434" s="10" t="n">
        <v>45607</v>
      </c>
      <c r="L4434" s="3" t="s">
        <v>18</v>
      </c>
      <c r="M4434" s="7" t="n">
        <v>580</v>
      </c>
      <c r="N4434" s="8" t="n">
        <v>0.1725</v>
      </c>
      <c r="O4434" s="4" t="n">
        <f aca="false">M4434*N4434</f>
        <v>100.05</v>
      </c>
    </row>
    <row r="4435" customFormat="false" ht="15" hidden="false" customHeight="false" outlineLevel="0" collapsed="false">
      <c r="A4435" s="0" t="s">
        <v>6014</v>
      </c>
      <c r="C4435" s="0" t="s">
        <v>298</v>
      </c>
      <c r="D4435" s="7" t="n">
        <v>893</v>
      </c>
      <c r="E4435" s="8" t="n">
        <v>0.0395632698768197</v>
      </c>
      <c r="F4435" s="4" t="n">
        <f aca="false">D4435*E4435</f>
        <v>35.33</v>
      </c>
      <c r="G4435" s="7" t="n">
        <v>90</v>
      </c>
      <c r="H4435" s="9" t="n">
        <f aca="false">IF(G4435&gt;0,D4435/G4435,"")</f>
        <v>9.92222222222222</v>
      </c>
      <c r="I4435" s="10" t="n">
        <v>46022</v>
      </c>
      <c r="J4435" s="3" t="s">
        <v>6015</v>
      </c>
      <c r="K4435" s="10" t="n">
        <v>44662</v>
      </c>
      <c r="L4435" s="3" t="s">
        <v>14</v>
      </c>
      <c r="M4435" s="7" t="n">
        <v>1003</v>
      </c>
      <c r="N4435" s="8" t="n">
        <v>0</v>
      </c>
      <c r="O4435" s="4" t="n">
        <v>39.7</v>
      </c>
    </row>
    <row r="4436" customFormat="false" ht="15" hidden="false" customHeight="false" outlineLevel="0" collapsed="false">
      <c r="A4436" s="0" t="s">
        <v>6016</v>
      </c>
      <c r="C4436" s="0" t="s">
        <v>79</v>
      </c>
      <c r="D4436" s="7" t="n">
        <v>219</v>
      </c>
      <c r="E4436" s="8" t="n">
        <v>0.161278538812785</v>
      </c>
      <c r="F4436" s="4" t="n">
        <f aca="false">D4436*E4436</f>
        <v>35.32</v>
      </c>
      <c r="G4436" s="7" t="n">
        <v>150</v>
      </c>
      <c r="H4436" s="9" t="n">
        <f aca="false">IF(G4436&gt;0,D4436/G4436,"")</f>
        <v>1.46</v>
      </c>
      <c r="I4436" s="10" t="n">
        <v>46195</v>
      </c>
      <c r="K4436" s="10"/>
      <c r="M4436" s="7"/>
      <c r="N4436" s="8"/>
      <c r="O4436" s="4"/>
    </row>
    <row r="4437" customFormat="false" ht="15" hidden="false" customHeight="false" outlineLevel="0" collapsed="false">
      <c r="A4437" s="0" t="s">
        <v>6017</v>
      </c>
      <c r="C4437" s="0" t="s">
        <v>31</v>
      </c>
      <c r="D4437" s="7" t="n">
        <v>540</v>
      </c>
      <c r="E4437" s="8" t="n">
        <v>0.0653703703703704</v>
      </c>
      <c r="F4437" s="4" t="n">
        <f aca="false">D4437*E4437</f>
        <v>35.3</v>
      </c>
      <c r="G4437" s="7" t="n">
        <v>43</v>
      </c>
      <c r="H4437" s="9" t="n">
        <f aca="false">IF(G4437&gt;0,D4437/G4437,"")</f>
        <v>12.5581395348837</v>
      </c>
      <c r="I4437" s="10" t="n">
        <v>46184</v>
      </c>
      <c r="J4437" s="3" t="s">
        <v>2694</v>
      </c>
      <c r="K4437" s="10" t="n">
        <v>46218</v>
      </c>
      <c r="L4437" s="3" t="s">
        <v>16</v>
      </c>
      <c r="M4437" s="7" t="n">
        <v>532</v>
      </c>
      <c r="N4437" s="8" t="n">
        <v>0.0634</v>
      </c>
      <c r="O4437" s="4" t="n">
        <f aca="false">M4437*N4437</f>
        <v>33.7288</v>
      </c>
    </row>
    <row r="4438" customFormat="false" ht="15" hidden="false" customHeight="false" outlineLevel="0" collapsed="false">
      <c r="A4438" s="0" t="s">
        <v>6018</v>
      </c>
      <c r="C4438" s="0" t="s">
        <v>715</v>
      </c>
      <c r="D4438" s="7" t="n">
        <v>4528</v>
      </c>
      <c r="E4438" s="8" t="n">
        <v>0.00778489399293286</v>
      </c>
      <c r="F4438" s="4" t="n">
        <f aca="false">D4438*E4438</f>
        <v>35.25</v>
      </c>
      <c r="G4438" s="7" t="n">
        <v>360</v>
      </c>
      <c r="H4438" s="9" t="n">
        <f aca="false">IF(G4438&gt;0,D4438/G4438,"")</f>
        <v>12.5777777777778</v>
      </c>
      <c r="I4438" s="10" t="n">
        <v>46147</v>
      </c>
      <c r="J4438" s="3" t="s">
        <v>4805</v>
      </c>
      <c r="K4438" s="10" t="n">
        <v>44608</v>
      </c>
      <c r="L4438" s="3" t="s">
        <v>15</v>
      </c>
      <c r="M4438" s="7" t="n">
        <v>15227</v>
      </c>
      <c r="N4438" s="8" t="n">
        <v>0.00762</v>
      </c>
      <c r="O4438" s="4" t="n">
        <f aca="false">M4438*N4438</f>
        <v>116.02974</v>
      </c>
    </row>
    <row r="4439" customFormat="false" ht="15" hidden="false" customHeight="false" outlineLevel="0" collapsed="false">
      <c r="A4439" s="0" t="s">
        <v>6019</v>
      </c>
      <c r="C4439" s="0" t="s">
        <v>340</v>
      </c>
      <c r="D4439" s="7" t="n">
        <v>1375</v>
      </c>
      <c r="E4439" s="8" t="n">
        <v>0.0256</v>
      </c>
      <c r="F4439" s="4" t="n">
        <f aca="false">D4439*E4439</f>
        <v>35.2</v>
      </c>
      <c r="G4439" s="7" t="n">
        <v>200</v>
      </c>
      <c r="H4439" s="9" t="n">
        <f aca="false">IF(G4439&gt;0,D4439/G4439,"")</f>
        <v>6.875</v>
      </c>
      <c r="I4439" s="10" t="n">
        <v>46203</v>
      </c>
      <c r="J4439" s="3" t="s">
        <v>3311</v>
      </c>
      <c r="K4439" s="10" t="n">
        <v>45912</v>
      </c>
      <c r="L4439" s="3" t="s">
        <v>16</v>
      </c>
      <c r="M4439" s="7" t="n">
        <v>1775</v>
      </c>
      <c r="N4439" s="8" t="n">
        <v>0.0256</v>
      </c>
      <c r="O4439" s="4" t="n">
        <f aca="false">M4439*N4439</f>
        <v>45.44</v>
      </c>
    </row>
    <row r="4440" customFormat="false" ht="15" hidden="false" customHeight="false" outlineLevel="0" collapsed="false">
      <c r="A4440" s="0" t="s">
        <v>6020</v>
      </c>
      <c r="C4440" s="0" t="s">
        <v>441</v>
      </c>
      <c r="D4440" s="7" t="n">
        <v>1</v>
      </c>
      <c r="E4440" s="8" t="n">
        <v>35.18</v>
      </c>
      <c r="F4440" s="4" t="n">
        <f aca="false">D4440*E4440</f>
        <v>35.18</v>
      </c>
      <c r="G4440" s="7" t="n">
        <v>1</v>
      </c>
      <c r="H4440" s="9" t="n">
        <f aca="false">IF(G4440&gt;0,D4440/G4440,"")</f>
        <v>1</v>
      </c>
      <c r="I4440" s="10" t="n">
        <v>45986</v>
      </c>
      <c r="J4440" s="3" t="s">
        <v>6021</v>
      </c>
      <c r="K4440" s="10" t="n">
        <v>45734</v>
      </c>
      <c r="L4440" s="3" t="s">
        <v>313</v>
      </c>
      <c r="M4440" s="7" t="n">
        <v>5</v>
      </c>
      <c r="N4440" s="8" t="n">
        <v>35.1845</v>
      </c>
      <c r="O4440" s="4" t="n">
        <f aca="false">M4440*N4440</f>
        <v>175.9225</v>
      </c>
    </row>
    <row r="4441" customFormat="false" ht="15" hidden="false" customHeight="false" outlineLevel="0" collapsed="false">
      <c r="A4441" s="0" t="s">
        <v>6022</v>
      </c>
      <c r="C4441" s="0" t="s">
        <v>583</v>
      </c>
      <c r="D4441" s="7" t="n">
        <v>434</v>
      </c>
      <c r="E4441" s="8" t="n">
        <v>0.0809907834101383</v>
      </c>
      <c r="F4441" s="4" t="n">
        <f aca="false">D4441*E4441</f>
        <v>35.15</v>
      </c>
      <c r="G4441" s="7" t="n">
        <v>130</v>
      </c>
      <c r="H4441" s="9" t="n">
        <f aca="false">IF(G4441&gt;0,D4441/G4441,"")</f>
        <v>3.33846153846154</v>
      </c>
      <c r="I4441" s="10" t="n">
        <v>46251</v>
      </c>
      <c r="J4441" s="3" t="s">
        <v>3821</v>
      </c>
      <c r="K4441" s="10" t="n">
        <v>45980</v>
      </c>
      <c r="L4441" s="3" t="s">
        <v>19</v>
      </c>
      <c r="M4441" s="7" t="n">
        <v>100</v>
      </c>
      <c r="N4441" s="8" t="n">
        <v>0.236</v>
      </c>
      <c r="O4441" s="4" t="n">
        <f aca="false">M4441*N4441</f>
        <v>23.6</v>
      </c>
    </row>
    <row r="4442" customFormat="false" ht="15" hidden="false" customHeight="false" outlineLevel="0" collapsed="false">
      <c r="A4442" s="0" t="s">
        <v>6023</v>
      </c>
      <c r="C4442" s="0" t="s">
        <v>855</v>
      </c>
      <c r="D4442" s="7" t="n">
        <v>3109</v>
      </c>
      <c r="E4442" s="8" t="n">
        <v>0.011299453200386</v>
      </c>
      <c r="F4442" s="4" t="n">
        <f aca="false">D4442*E4442</f>
        <v>35.13</v>
      </c>
      <c r="G4442" s="7" t="n">
        <v>370</v>
      </c>
      <c r="H4442" s="9" t="n">
        <f aca="false">IF(G4442&gt;0,D4442/G4442,"")</f>
        <v>8.4027027027027</v>
      </c>
      <c r="I4442" s="10" t="n">
        <v>46246</v>
      </c>
      <c r="J4442" s="3" t="s">
        <v>6024</v>
      </c>
      <c r="K4442" s="10" t="n">
        <v>44438</v>
      </c>
      <c r="L4442" s="3" t="s">
        <v>19</v>
      </c>
      <c r="M4442" s="7" t="n">
        <v>5000</v>
      </c>
      <c r="N4442" s="8" t="n">
        <v>0.0113</v>
      </c>
      <c r="O4442" s="4" t="n">
        <f aca="false">M4442*N4442</f>
        <v>56.5</v>
      </c>
    </row>
    <row r="4443" customFormat="false" ht="15" hidden="false" customHeight="false" outlineLevel="0" collapsed="false">
      <c r="A4443" s="0" t="s">
        <v>6025</v>
      </c>
      <c r="C4443" s="0" t="s">
        <v>340</v>
      </c>
      <c r="D4443" s="7" t="n">
        <v>638</v>
      </c>
      <c r="E4443" s="8" t="n">
        <v>0.0550626959247649</v>
      </c>
      <c r="F4443" s="4" t="n">
        <f aca="false">D4443*E4443</f>
        <v>35.13</v>
      </c>
      <c r="G4443" s="7" t="n">
        <v>380</v>
      </c>
      <c r="H4443" s="9" t="n">
        <f aca="false">IF(G4443&gt;0,D4443/G4443,"")</f>
        <v>1.67894736842105</v>
      </c>
      <c r="I4443" s="10" t="n">
        <v>46212</v>
      </c>
      <c r="J4443" s="3" t="s">
        <v>341</v>
      </c>
      <c r="K4443" s="10" t="n">
        <v>46078</v>
      </c>
      <c r="L4443" s="3" t="s">
        <v>15</v>
      </c>
      <c r="M4443" s="7" t="n">
        <v>110</v>
      </c>
      <c r="N4443" s="8" t="n">
        <v>0.0492</v>
      </c>
      <c r="O4443" s="4" t="n">
        <f aca="false">M4443*N4443</f>
        <v>5.412</v>
      </c>
    </row>
    <row r="4444" customFormat="false" ht="15" hidden="false" customHeight="false" outlineLevel="0" collapsed="false">
      <c r="A4444" s="0" t="s">
        <v>6026</v>
      </c>
      <c r="C4444" s="0" t="s">
        <v>34</v>
      </c>
      <c r="D4444" s="7" t="n">
        <v>1919</v>
      </c>
      <c r="E4444" s="8" t="n">
        <v>0.0183011985409067</v>
      </c>
      <c r="F4444" s="4" t="n">
        <f aca="false">D4444*E4444</f>
        <v>35.12</v>
      </c>
      <c r="G4444" s="7" t="n">
        <v>1875</v>
      </c>
      <c r="H4444" s="9" t="n">
        <f aca="false">IF(G4444&gt;0,D4444/G4444,"")</f>
        <v>1.02346666666667</v>
      </c>
      <c r="I4444" s="10" t="n">
        <v>46314</v>
      </c>
      <c r="J4444" s="3" t="s">
        <v>1576</v>
      </c>
      <c r="K4444" s="10" t="n">
        <v>46196</v>
      </c>
      <c r="L4444" s="3" t="s">
        <v>16</v>
      </c>
      <c r="M4444" s="7" t="n">
        <v>3000</v>
      </c>
      <c r="N4444" s="8" t="n">
        <v>0.0183</v>
      </c>
      <c r="O4444" s="4" t="n">
        <f aca="false">M4444*N4444</f>
        <v>54.9</v>
      </c>
    </row>
    <row r="4445" customFormat="false" ht="15" hidden="false" customHeight="false" outlineLevel="0" collapsed="false">
      <c r="A4445" s="0" t="s">
        <v>6027</v>
      </c>
      <c r="C4445" s="0" t="s">
        <v>37</v>
      </c>
      <c r="D4445" s="7" t="n">
        <v>176</v>
      </c>
      <c r="E4445" s="8" t="n">
        <v>0.199545454545455</v>
      </c>
      <c r="F4445" s="4" t="n">
        <f aca="false">D4445*E4445</f>
        <v>35.12</v>
      </c>
      <c r="G4445" s="7" t="n">
        <v>20</v>
      </c>
      <c r="H4445" s="9" t="n">
        <f aca="false">IF(G4445&gt;0,D4445/G4445,"")</f>
        <v>8.8</v>
      </c>
      <c r="I4445" s="10" t="n">
        <v>46044</v>
      </c>
      <c r="J4445" s="3" t="s">
        <v>341</v>
      </c>
      <c r="K4445" s="10" t="n">
        <v>46078</v>
      </c>
      <c r="L4445" s="3" t="s">
        <v>15</v>
      </c>
      <c r="M4445" s="7" t="n">
        <v>115</v>
      </c>
      <c r="N4445" s="8" t="n">
        <v>0.20127</v>
      </c>
      <c r="O4445" s="4" t="n">
        <f aca="false">M4445*N4445</f>
        <v>23.14605</v>
      </c>
    </row>
    <row r="4446" customFormat="false" ht="15" hidden="false" customHeight="false" outlineLevel="0" collapsed="false">
      <c r="A4446" s="0" t="s">
        <v>6028</v>
      </c>
      <c r="C4446" s="0" t="s">
        <v>34</v>
      </c>
      <c r="D4446" s="7" t="n">
        <v>3027</v>
      </c>
      <c r="E4446" s="8" t="n">
        <v>0.011595639246779</v>
      </c>
      <c r="F4446" s="4" t="n">
        <f aca="false">D4446*E4446</f>
        <v>35.1</v>
      </c>
      <c r="G4446" s="7" t="n">
        <v>1145</v>
      </c>
      <c r="H4446" s="9" t="n">
        <f aca="false">IF(G4446&gt;0,D4446/G4446,"")</f>
        <v>2.64366812227074</v>
      </c>
      <c r="I4446" s="10" t="n">
        <v>46308</v>
      </c>
      <c r="K4446" s="10"/>
      <c r="M4446" s="7"/>
      <c r="N4446" s="8"/>
      <c r="O4446" s="4"/>
    </row>
    <row r="4447" customFormat="false" ht="15" hidden="false" customHeight="false" outlineLevel="0" collapsed="false">
      <c r="A4447" s="0" t="s">
        <v>6029</v>
      </c>
      <c r="C4447" s="0" t="s">
        <v>32</v>
      </c>
      <c r="D4447" s="7" t="n">
        <v>316</v>
      </c>
      <c r="E4447" s="8" t="n">
        <v>0.110949367088608</v>
      </c>
      <c r="F4447" s="4" t="n">
        <f aca="false">D4447*E4447</f>
        <v>35.06</v>
      </c>
      <c r="G4447" s="7" t="n">
        <v>23</v>
      </c>
      <c r="H4447" s="9" t="n">
        <f aca="false">IF(G4447&gt;0,D4447/G4447,"")</f>
        <v>13.7391304347826</v>
      </c>
      <c r="I4447" s="10" t="n">
        <v>46304</v>
      </c>
      <c r="J4447" s="3" t="s">
        <v>6030</v>
      </c>
      <c r="K4447" s="10" t="n">
        <v>44378</v>
      </c>
      <c r="L4447" s="3" t="s">
        <v>19</v>
      </c>
      <c r="M4447" s="7" t="n">
        <v>500</v>
      </c>
      <c r="N4447" s="8" t="n">
        <v>0.1109</v>
      </c>
      <c r="O4447" s="4" t="n">
        <f aca="false">M4447*N4447</f>
        <v>55.45</v>
      </c>
    </row>
    <row r="4448" customFormat="false" ht="15" hidden="false" customHeight="false" outlineLevel="0" collapsed="false">
      <c r="A4448" s="0" t="s">
        <v>6031</v>
      </c>
      <c r="C4448" s="0" t="s">
        <v>875</v>
      </c>
      <c r="D4448" s="7" t="n">
        <v>11</v>
      </c>
      <c r="E4448" s="8" t="n">
        <v>3.18272727272727</v>
      </c>
      <c r="F4448" s="4" t="n">
        <f aca="false">D4448*E4448</f>
        <v>35.01</v>
      </c>
      <c r="G4448" s="7" t="n">
        <v>2</v>
      </c>
      <c r="H4448" s="9" t="n">
        <f aca="false">IF(G4448&gt;0,D4448/G4448,"")</f>
        <v>5.5</v>
      </c>
      <c r="I4448" s="10" t="n">
        <v>46038</v>
      </c>
      <c r="J4448" s="3" t="s">
        <v>6032</v>
      </c>
      <c r="K4448" s="10" t="n">
        <v>45659</v>
      </c>
      <c r="L4448" s="3" t="s">
        <v>14</v>
      </c>
      <c r="M4448" s="7" t="n">
        <v>20</v>
      </c>
      <c r="N4448" s="8" t="n">
        <v>3.1825</v>
      </c>
      <c r="O4448" s="4" t="n">
        <f aca="false">M4448*N4448</f>
        <v>63.65</v>
      </c>
    </row>
    <row r="4449" customFormat="false" ht="15" hidden="false" customHeight="false" outlineLevel="0" collapsed="false">
      <c r="A4449" s="0" t="s">
        <v>6033</v>
      </c>
      <c r="C4449" s="0" t="s">
        <v>40</v>
      </c>
      <c r="D4449" s="7" t="n">
        <v>6719</v>
      </c>
      <c r="E4449" s="8" t="n">
        <v>0.00519422533115047</v>
      </c>
      <c r="F4449" s="4" t="n">
        <f aca="false">D4449*E4449</f>
        <v>34.9</v>
      </c>
      <c r="G4449" s="7" t="n">
        <v>5124</v>
      </c>
      <c r="H4449" s="9" t="n">
        <f aca="false">IF(G4449&gt;0,D4449/G4449,"")</f>
        <v>1.31128024980484</v>
      </c>
      <c r="I4449" s="10" t="n">
        <v>46302</v>
      </c>
      <c r="K4449" s="10"/>
      <c r="M4449" s="7"/>
      <c r="N4449" s="8"/>
      <c r="O4449" s="4"/>
    </row>
    <row r="4450" customFormat="false" ht="15" hidden="false" customHeight="false" outlineLevel="0" collapsed="false">
      <c r="A4450" s="0" t="s">
        <v>6034</v>
      </c>
      <c r="C4450" s="0" t="s">
        <v>1039</v>
      </c>
      <c r="D4450" s="7" t="n">
        <v>5882</v>
      </c>
      <c r="E4450" s="8" t="n">
        <v>0.00589935396123767</v>
      </c>
      <c r="F4450" s="4" t="n">
        <f aca="false">D4450*E4450</f>
        <v>34.7</v>
      </c>
      <c r="G4450" s="7" t="n">
        <v>118</v>
      </c>
      <c r="H4450" s="9" t="n">
        <f aca="false">IF(G4450&gt;0,D4450/G4450,"")</f>
        <v>49.8474576271186</v>
      </c>
      <c r="I4450" s="10" t="n">
        <v>46317</v>
      </c>
      <c r="J4450" s="3" t="s">
        <v>495</v>
      </c>
      <c r="K4450" s="10" t="n">
        <v>45925</v>
      </c>
      <c r="L4450" s="3" t="s">
        <v>16</v>
      </c>
      <c r="M4450" s="7" t="n">
        <v>6000</v>
      </c>
      <c r="N4450" s="8" t="n">
        <v>0.0059</v>
      </c>
      <c r="O4450" s="4" t="n">
        <f aca="false">M4450*N4450</f>
        <v>35.4</v>
      </c>
    </row>
    <row r="4451" customFormat="false" ht="15" hidden="false" customHeight="false" outlineLevel="0" collapsed="false">
      <c r="A4451" s="0" t="s">
        <v>6035</v>
      </c>
      <c r="C4451" s="0" t="s">
        <v>370</v>
      </c>
      <c r="D4451" s="7" t="n">
        <v>22</v>
      </c>
      <c r="E4451" s="8" t="n">
        <v>1.57681818181818</v>
      </c>
      <c r="F4451" s="4" t="n">
        <f aca="false">D4451*E4451</f>
        <v>34.69</v>
      </c>
      <c r="G4451" s="7" t="n">
        <v>1</v>
      </c>
      <c r="H4451" s="9" t="n">
        <f aca="false">IF(G4451&gt;0,D4451/G4451,"")</f>
        <v>22</v>
      </c>
      <c r="I4451" s="10" t="n">
        <v>46106</v>
      </c>
      <c r="J4451" s="3" t="s">
        <v>1574</v>
      </c>
      <c r="K4451" s="10" t="n">
        <v>46062</v>
      </c>
      <c r="L4451" s="3" t="s">
        <v>19</v>
      </c>
      <c r="M4451" s="7" t="n">
        <v>23</v>
      </c>
      <c r="N4451" s="8" t="n">
        <v>1.5771</v>
      </c>
      <c r="O4451" s="4" t="n">
        <f aca="false">M4451*N4451</f>
        <v>36.2733</v>
      </c>
    </row>
    <row r="4452" customFormat="false" ht="15" hidden="false" customHeight="false" outlineLevel="0" collapsed="false">
      <c r="A4452" s="0" t="s">
        <v>6036</v>
      </c>
      <c r="C4452" s="0" t="s">
        <v>855</v>
      </c>
      <c r="D4452" s="7" t="n">
        <v>8450</v>
      </c>
      <c r="E4452" s="8" t="n">
        <v>0.00410059171597633</v>
      </c>
      <c r="F4452" s="4" t="n">
        <f aca="false">D4452*E4452</f>
        <v>34.65</v>
      </c>
      <c r="G4452" s="7" t="n">
        <v>272</v>
      </c>
      <c r="H4452" s="9" t="n">
        <f aca="false">IF(G4452&gt;0,D4452/G4452,"")</f>
        <v>31.0661764705882</v>
      </c>
      <c r="I4452" s="10" t="n">
        <v>46083</v>
      </c>
      <c r="J4452" s="3" t="s">
        <v>2787</v>
      </c>
      <c r="K4452" s="10" t="n">
        <v>45972</v>
      </c>
      <c r="L4452" s="3" t="s">
        <v>16</v>
      </c>
      <c r="M4452" s="7" t="n">
        <v>8550</v>
      </c>
      <c r="N4452" s="8" t="n">
        <v>0.0041</v>
      </c>
      <c r="O4452" s="4" t="n">
        <f aca="false">M4452*N4452</f>
        <v>35.055</v>
      </c>
    </row>
    <row r="4453" customFormat="false" ht="15" hidden="false" customHeight="false" outlineLevel="0" collapsed="false">
      <c r="A4453" s="0" t="s">
        <v>6037</v>
      </c>
      <c r="C4453" s="0" t="s">
        <v>38</v>
      </c>
      <c r="D4453" s="7" t="n">
        <v>415</v>
      </c>
      <c r="E4453" s="8" t="n">
        <v>0.083421686746988</v>
      </c>
      <c r="F4453" s="4" t="n">
        <f aca="false">D4453*E4453</f>
        <v>34.62</v>
      </c>
      <c r="G4453" s="7" t="n">
        <v>143</v>
      </c>
      <c r="H4453" s="9" t="n">
        <f aca="false">IF(G4453&gt;0,D4453/G4453,"")</f>
        <v>2.9020979020979</v>
      </c>
      <c r="I4453" s="10" t="n">
        <v>46244</v>
      </c>
      <c r="J4453" s="3" t="s">
        <v>3444</v>
      </c>
      <c r="K4453" s="10" t="n">
        <v>45925</v>
      </c>
      <c r="L4453" s="3" t="s">
        <v>18</v>
      </c>
      <c r="M4453" s="7" t="n">
        <v>444</v>
      </c>
      <c r="N4453" s="8" t="n">
        <v>0.0861</v>
      </c>
      <c r="O4453" s="4" t="n">
        <f aca="false">M4453*N4453</f>
        <v>38.2284</v>
      </c>
    </row>
    <row r="4454" customFormat="false" ht="15" hidden="false" customHeight="false" outlineLevel="0" collapsed="false">
      <c r="A4454" s="0" t="s">
        <v>6038</v>
      </c>
      <c r="C4454" s="0" t="s">
        <v>889</v>
      </c>
      <c r="D4454" s="7" t="n">
        <v>490</v>
      </c>
      <c r="E4454" s="8" t="n">
        <v>0.0706326530612245</v>
      </c>
      <c r="F4454" s="4" t="n">
        <f aca="false">D4454*E4454</f>
        <v>34.61</v>
      </c>
      <c r="G4454" s="7" t="n">
        <v>230</v>
      </c>
      <c r="H4454" s="9" t="n">
        <f aca="false">IF(G4454&gt;0,D4454/G4454,"")</f>
        <v>2.1304347826087</v>
      </c>
      <c r="I4454" s="10" t="n">
        <v>46119</v>
      </c>
      <c r="K4454" s="10"/>
      <c r="M4454" s="7"/>
      <c r="N4454" s="8"/>
      <c r="O4454" s="4"/>
    </row>
    <row r="4455" customFormat="false" ht="15" hidden="false" customHeight="false" outlineLevel="0" collapsed="false">
      <c r="A4455" s="0" t="s">
        <v>6039</v>
      </c>
      <c r="C4455" s="0" t="s">
        <v>340</v>
      </c>
      <c r="D4455" s="7" t="n">
        <v>3677</v>
      </c>
      <c r="E4455" s="8" t="n">
        <v>0.00941256459069894</v>
      </c>
      <c r="F4455" s="4" t="n">
        <f aca="false">D4455*E4455</f>
        <v>34.61</v>
      </c>
      <c r="G4455" s="7" t="n">
        <v>793</v>
      </c>
      <c r="H4455" s="9" t="n">
        <f aca="false">IF(G4455&gt;0,D4455/G4455,"")</f>
        <v>4.63682219419924</v>
      </c>
      <c r="I4455" s="10" t="n">
        <v>46223</v>
      </c>
      <c r="J4455" s="3" t="s">
        <v>341</v>
      </c>
      <c r="K4455" s="10" t="n">
        <v>46078</v>
      </c>
      <c r="L4455" s="3" t="s">
        <v>15</v>
      </c>
      <c r="M4455" s="7" t="n">
        <v>3320</v>
      </c>
      <c r="N4455" s="8" t="n">
        <v>0.00876</v>
      </c>
      <c r="O4455" s="4" t="n">
        <f aca="false">M4455*N4455</f>
        <v>29.0832</v>
      </c>
    </row>
    <row r="4456" customFormat="false" ht="15" hidden="false" customHeight="false" outlineLevel="0" collapsed="false">
      <c r="A4456" s="0" t="s">
        <v>6040</v>
      </c>
      <c r="C4456" s="0" t="s">
        <v>340</v>
      </c>
      <c r="D4456" s="7" t="n">
        <v>525</v>
      </c>
      <c r="E4456" s="8" t="n">
        <v>0.0658857142857143</v>
      </c>
      <c r="F4456" s="4" t="n">
        <f aca="false">D4456*E4456</f>
        <v>34.59</v>
      </c>
      <c r="G4456" s="7" t="n">
        <v>50</v>
      </c>
      <c r="H4456" s="9" t="n">
        <f aca="false">IF(G4456&gt;0,D4456/G4456,"")</f>
        <v>10.5</v>
      </c>
      <c r="I4456" s="10" t="n">
        <v>46127</v>
      </c>
      <c r="J4456" s="3" t="s">
        <v>6041</v>
      </c>
      <c r="K4456" s="10" t="n">
        <v>45896</v>
      </c>
      <c r="L4456" s="3" t="s">
        <v>19</v>
      </c>
      <c r="M4456" s="7" t="n">
        <v>1700</v>
      </c>
      <c r="N4456" s="8" t="n">
        <v>0.0659</v>
      </c>
      <c r="O4456" s="4" t="n">
        <f aca="false">M4456*N4456</f>
        <v>112.03</v>
      </c>
    </row>
    <row r="4457" customFormat="false" ht="15" hidden="false" customHeight="false" outlineLevel="0" collapsed="false">
      <c r="A4457" s="0" t="s">
        <v>6042</v>
      </c>
      <c r="C4457" s="0" t="s">
        <v>31</v>
      </c>
      <c r="D4457" s="7" t="n">
        <v>180</v>
      </c>
      <c r="E4457" s="8" t="n">
        <v>0.192</v>
      </c>
      <c r="F4457" s="4" t="n">
        <f aca="false">D4457*E4457</f>
        <v>34.56</v>
      </c>
      <c r="G4457" s="7" t="n">
        <v>14</v>
      </c>
      <c r="H4457" s="9" t="n">
        <f aca="false">IF(G4457&gt;0,D4457/G4457,"")</f>
        <v>12.8571428571429</v>
      </c>
      <c r="I4457" s="10" t="n">
        <v>46189</v>
      </c>
      <c r="J4457" s="3" t="s">
        <v>80</v>
      </c>
      <c r="K4457" s="10" t="n">
        <v>44887</v>
      </c>
      <c r="L4457" s="3" t="s">
        <v>19</v>
      </c>
      <c r="M4457" s="7" t="n">
        <v>200</v>
      </c>
      <c r="N4457" s="8" t="n">
        <v>0.192</v>
      </c>
      <c r="O4457" s="4" t="n">
        <f aca="false">M4457*N4457</f>
        <v>38.4</v>
      </c>
    </row>
    <row r="4458" customFormat="false" ht="15" hidden="false" customHeight="false" outlineLevel="0" collapsed="false">
      <c r="A4458" s="0" t="s">
        <v>6043</v>
      </c>
      <c r="C4458" s="0" t="s">
        <v>31</v>
      </c>
      <c r="D4458" s="7" t="n">
        <v>940</v>
      </c>
      <c r="E4458" s="8" t="n">
        <v>0.0367021276595745</v>
      </c>
      <c r="F4458" s="4" t="n">
        <f aca="false">D4458*E4458</f>
        <v>34.5</v>
      </c>
      <c r="G4458" s="7" t="n">
        <v>450</v>
      </c>
      <c r="H4458" s="9" t="n">
        <f aca="false">IF(G4458&gt;0,D4458/G4458,"")</f>
        <v>2.08888888888889</v>
      </c>
      <c r="I4458" s="10" t="n">
        <v>46037</v>
      </c>
      <c r="K4458" s="10"/>
      <c r="M4458" s="7"/>
      <c r="N4458" s="8"/>
      <c r="O4458" s="4"/>
    </row>
    <row r="4459" customFormat="false" ht="15" hidden="false" customHeight="false" outlineLevel="0" collapsed="false">
      <c r="A4459" s="0" t="s">
        <v>6044</v>
      </c>
      <c r="C4459" s="0" t="s">
        <v>34</v>
      </c>
      <c r="D4459" s="7" t="n">
        <v>5144</v>
      </c>
      <c r="E4459" s="8" t="n">
        <v>0.00670101088646967</v>
      </c>
      <c r="F4459" s="4" t="n">
        <f aca="false">D4459*E4459</f>
        <v>34.47</v>
      </c>
      <c r="G4459" s="7" t="n">
        <v>4188</v>
      </c>
      <c r="H4459" s="9" t="n">
        <f aca="false">IF(G4459&gt;0,D4459/G4459,"")</f>
        <v>1.22827125119389</v>
      </c>
      <c r="I4459" s="10" t="n">
        <v>46286</v>
      </c>
      <c r="J4459" s="3" t="s">
        <v>2417</v>
      </c>
      <c r="K4459" s="10" t="n">
        <v>46049</v>
      </c>
      <c r="L4459" s="3" t="s">
        <v>19</v>
      </c>
      <c r="M4459" s="7" t="n">
        <v>500</v>
      </c>
      <c r="N4459" s="8" t="n">
        <v>0.0321</v>
      </c>
      <c r="O4459" s="4" t="n">
        <f aca="false">M4459*N4459</f>
        <v>16.05</v>
      </c>
    </row>
    <row r="4460" customFormat="false" ht="15" hidden="false" customHeight="false" outlineLevel="0" collapsed="false">
      <c r="A4460" s="0" t="s">
        <v>6045</v>
      </c>
      <c r="C4460" s="0" t="s">
        <v>1010</v>
      </c>
      <c r="D4460" s="7" t="n">
        <v>384</v>
      </c>
      <c r="E4460" s="8" t="n">
        <v>0.089765625</v>
      </c>
      <c r="F4460" s="4" t="n">
        <f aca="false">D4460*E4460</f>
        <v>34.47</v>
      </c>
      <c r="G4460" s="7" t="n">
        <v>47</v>
      </c>
      <c r="H4460" s="9" t="n">
        <f aca="false">IF(G4460&gt;0,D4460/G4460,"")</f>
        <v>8.17021276595745</v>
      </c>
      <c r="I4460" s="10" t="n">
        <v>46237</v>
      </c>
      <c r="J4460" s="3" t="s">
        <v>628</v>
      </c>
      <c r="K4460" s="10" t="n">
        <v>46128</v>
      </c>
      <c r="L4460" s="3" t="s">
        <v>16</v>
      </c>
      <c r="M4460" s="7" t="n">
        <v>300</v>
      </c>
      <c r="N4460" s="8" t="n">
        <v>0.0673</v>
      </c>
      <c r="O4460" s="4" t="n">
        <f aca="false">M4460*N4460</f>
        <v>20.19</v>
      </c>
    </row>
    <row r="4461" customFormat="false" ht="15" hidden="false" customHeight="false" outlineLevel="0" collapsed="false">
      <c r="A4461" s="0" t="s">
        <v>6046</v>
      </c>
      <c r="C4461" s="0" t="s">
        <v>45</v>
      </c>
      <c r="D4461" s="7" t="n">
        <v>83</v>
      </c>
      <c r="E4461" s="8" t="n">
        <v>0.415180722891566</v>
      </c>
      <c r="F4461" s="4" t="n">
        <f aca="false">D4461*E4461</f>
        <v>34.46</v>
      </c>
      <c r="G4461" s="7" t="n">
        <v>4</v>
      </c>
      <c r="H4461" s="9" t="n">
        <f aca="false">IF(G4461&gt;0,D4461/G4461,"")</f>
        <v>20.75</v>
      </c>
      <c r="I4461" s="10" t="n">
        <v>46091</v>
      </c>
      <c r="J4461" s="3" t="s">
        <v>6047</v>
      </c>
      <c r="K4461" s="10" t="n">
        <v>44267</v>
      </c>
      <c r="L4461" s="3" t="s">
        <v>14</v>
      </c>
      <c r="M4461" s="7" t="n">
        <v>178</v>
      </c>
      <c r="N4461" s="8" t="n">
        <v>0.4152</v>
      </c>
      <c r="O4461" s="4" t="n">
        <f aca="false">M4461*N4461</f>
        <v>73.9056</v>
      </c>
    </row>
    <row r="4462" customFormat="false" ht="15" hidden="false" customHeight="false" outlineLevel="0" collapsed="false">
      <c r="A4462" s="0" t="s">
        <v>6048</v>
      </c>
      <c r="C4462" s="0" t="s">
        <v>31</v>
      </c>
      <c r="D4462" s="7" t="n">
        <v>77</v>
      </c>
      <c r="E4462" s="8" t="n">
        <v>0.447402597402597</v>
      </c>
      <c r="F4462" s="4" t="n">
        <f aca="false">D4462*E4462</f>
        <v>34.45</v>
      </c>
      <c r="G4462" s="7" t="n">
        <v>5</v>
      </c>
      <c r="H4462" s="9" t="n">
        <f aca="false">IF(G4462&gt;0,D4462/G4462,"")</f>
        <v>15.4</v>
      </c>
      <c r="I4462" s="10" t="n">
        <v>46311</v>
      </c>
      <c r="J4462" s="3" t="s">
        <v>2683</v>
      </c>
      <c r="K4462" s="10" t="n">
        <v>45306</v>
      </c>
      <c r="L4462" s="3" t="s">
        <v>2203</v>
      </c>
      <c r="M4462" s="7" t="n">
        <v>100</v>
      </c>
      <c r="N4462" s="8" t="n">
        <v>0.4474</v>
      </c>
      <c r="O4462" s="4" t="n">
        <f aca="false">M4462*N4462</f>
        <v>44.74</v>
      </c>
    </row>
    <row r="4463" customFormat="false" ht="15" hidden="false" customHeight="false" outlineLevel="0" collapsed="false">
      <c r="A4463" s="0" t="s">
        <v>6049</v>
      </c>
      <c r="C4463" s="0" t="s">
        <v>855</v>
      </c>
      <c r="D4463" s="7" t="n">
        <v>1661</v>
      </c>
      <c r="E4463" s="8" t="n">
        <v>0.0207104154124022</v>
      </c>
      <c r="F4463" s="4" t="n">
        <f aca="false">D4463*E4463</f>
        <v>34.4</v>
      </c>
      <c r="G4463" s="7" t="n">
        <v>217</v>
      </c>
      <c r="H4463" s="9" t="n">
        <f aca="false">IF(G4463&gt;0,D4463/G4463,"")</f>
        <v>7.65437788018433</v>
      </c>
      <c r="I4463" s="10" t="n">
        <v>46273</v>
      </c>
      <c r="J4463" s="3" t="s">
        <v>6050</v>
      </c>
      <c r="K4463" s="10" t="n">
        <v>44307</v>
      </c>
      <c r="L4463" s="3" t="s">
        <v>19</v>
      </c>
      <c r="M4463" s="7" t="n">
        <v>1000</v>
      </c>
      <c r="N4463" s="8" t="n">
        <v>0.0207</v>
      </c>
      <c r="O4463" s="4" t="n">
        <f aca="false">M4463*N4463</f>
        <v>20.7</v>
      </c>
    </row>
    <row r="4464" customFormat="false" ht="15" hidden="false" customHeight="false" outlineLevel="0" collapsed="false">
      <c r="A4464" s="0" t="s">
        <v>6051</v>
      </c>
      <c r="C4464" s="0" t="s">
        <v>34</v>
      </c>
      <c r="D4464" s="7" t="n">
        <v>45</v>
      </c>
      <c r="E4464" s="8" t="n">
        <v>0.762666666666667</v>
      </c>
      <c r="F4464" s="4" t="n">
        <f aca="false">D4464*E4464</f>
        <v>34.32</v>
      </c>
      <c r="G4464" s="7" t="n">
        <v>5</v>
      </c>
      <c r="H4464" s="9" t="n">
        <f aca="false">IF(G4464&gt;0,D4464/G4464,"")</f>
        <v>9</v>
      </c>
      <c r="I4464" s="10" t="n">
        <v>46287</v>
      </c>
      <c r="J4464" s="3" t="s">
        <v>6052</v>
      </c>
      <c r="K4464" s="10" t="n">
        <v>46281</v>
      </c>
      <c r="L4464" s="3" t="s">
        <v>19</v>
      </c>
      <c r="M4464" s="7" t="n">
        <v>50</v>
      </c>
      <c r="N4464" s="8" t="n">
        <v>0.7626</v>
      </c>
      <c r="O4464" s="4" t="n">
        <f aca="false">M4464*N4464</f>
        <v>38.13</v>
      </c>
    </row>
    <row r="4465" customFormat="false" ht="15" hidden="false" customHeight="false" outlineLevel="0" collapsed="false">
      <c r="A4465" s="0" t="s">
        <v>6053</v>
      </c>
      <c r="C4465" s="0" t="s">
        <v>34</v>
      </c>
      <c r="D4465" s="7" t="n">
        <v>698</v>
      </c>
      <c r="E4465" s="8" t="n">
        <v>0.0491547277936963</v>
      </c>
      <c r="F4465" s="4" t="n">
        <f aca="false">D4465*E4465</f>
        <v>34.31</v>
      </c>
      <c r="G4465" s="7" t="n">
        <v>85</v>
      </c>
      <c r="H4465" s="9" t="n">
        <f aca="false">IF(G4465&gt;0,D4465/G4465,"")</f>
        <v>8.21176470588235</v>
      </c>
      <c r="I4465" s="10" t="n">
        <v>46202</v>
      </c>
      <c r="J4465" s="3" t="s">
        <v>2789</v>
      </c>
      <c r="K4465" s="10" t="n">
        <v>44256</v>
      </c>
      <c r="L4465" s="3" t="s">
        <v>15</v>
      </c>
      <c r="M4465" s="7" t="n">
        <v>1480</v>
      </c>
      <c r="N4465" s="8" t="n">
        <v>0.04917</v>
      </c>
      <c r="O4465" s="4" t="n">
        <f aca="false">M4465*N4465</f>
        <v>72.7716</v>
      </c>
    </row>
    <row r="4466" customFormat="false" ht="15" hidden="false" customHeight="false" outlineLevel="0" collapsed="false">
      <c r="A4466" s="0" t="s">
        <v>6054</v>
      </c>
      <c r="C4466" s="0" t="s">
        <v>715</v>
      </c>
      <c r="D4466" s="7" t="n">
        <v>23</v>
      </c>
      <c r="E4466" s="8" t="n">
        <v>1.49130434782609</v>
      </c>
      <c r="F4466" s="4" t="n">
        <f aca="false">D4466*E4466</f>
        <v>34.3</v>
      </c>
      <c r="G4466" s="7" t="n">
        <v>10</v>
      </c>
      <c r="H4466" s="9" t="n">
        <f aca="false">IF(G4466&gt;0,D4466/G4466,"")</f>
        <v>2.3</v>
      </c>
      <c r="I4466" s="10" t="n">
        <v>46097</v>
      </c>
      <c r="K4466" s="10"/>
      <c r="M4466" s="7"/>
      <c r="N4466" s="8"/>
      <c r="O4466" s="4"/>
    </row>
    <row r="4467" customFormat="false" ht="15" hidden="false" customHeight="false" outlineLevel="0" collapsed="false">
      <c r="A4467" s="0" t="s">
        <v>6055</v>
      </c>
      <c r="C4467" s="0" t="s">
        <v>715</v>
      </c>
      <c r="D4467" s="7" t="n">
        <v>1696</v>
      </c>
      <c r="E4467" s="8" t="n">
        <v>0.0202240566037736</v>
      </c>
      <c r="F4467" s="4" t="n">
        <f aca="false">D4467*E4467</f>
        <v>34.3</v>
      </c>
      <c r="G4467" s="7" t="n">
        <v>1231</v>
      </c>
      <c r="H4467" s="9" t="n">
        <f aca="false">IF(G4467&gt;0,D4467/G4467,"")</f>
        <v>1.37774167343623</v>
      </c>
      <c r="I4467" s="10" t="n">
        <v>46196</v>
      </c>
      <c r="J4467" s="3" t="s">
        <v>376</v>
      </c>
      <c r="K4467" s="10" t="n">
        <v>44321</v>
      </c>
      <c r="L4467" s="3" t="s">
        <v>15</v>
      </c>
      <c r="M4467" s="7" t="n">
        <v>7200</v>
      </c>
      <c r="N4467" s="8" t="n">
        <v>0.02022</v>
      </c>
      <c r="O4467" s="4" t="n">
        <f aca="false">M4467*N4467</f>
        <v>145.584</v>
      </c>
    </row>
    <row r="4468" customFormat="false" ht="15" hidden="false" customHeight="false" outlineLevel="0" collapsed="false">
      <c r="A4468" s="0" t="s">
        <v>6056</v>
      </c>
      <c r="C4468" s="0" t="s">
        <v>979</v>
      </c>
      <c r="D4468" s="7" t="n">
        <v>33</v>
      </c>
      <c r="E4468" s="8" t="n">
        <v>1.03909090909091</v>
      </c>
      <c r="F4468" s="4" t="n">
        <f aca="false">D4468*E4468</f>
        <v>34.29</v>
      </c>
      <c r="G4468" s="7" t="n">
        <v>8</v>
      </c>
      <c r="H4468" s="9" t="n">
        <f aca="false">IF(G4468&gt;0,D4468/G4468,"")</f>
        <v>4.125</v>
      </c>
      <c r="I4468" s="10" t="n">
        <v>46108</v>
      </c>
      <c r="J4468" s="3" t="s">
        <v>6057</v>
      </c>
      <c r="K4468" s="10" t="n">
        <v>45496</v>
      </c>
      <c r="L4468" s="3" t="s">
        <v>18</v>
      </c>
      <c r="M4468" s="7" t="n">
        <v>102</v>
      </c>
      <c r="N4468" s="8" t="n">
        <v>1.0393</v>
      </c>
      <c r="O4468" s="4" t="n">
        <f aca="false">M4468*N4468</f>
        <v>106.0086</v>
      </c>
    </row>
    <row r="4469" customFormat="false" ht="15" hidden="false" customHeight="false" outlineLevel="0" collapsed="false">
      <c r="A4469" s="0" t="s">
        <v>6058</v>
      </c>
      <c r="C4469" s="0" t="s">
        <v>609</v>
      </c>
      <c r="D4469" s="7" t="n">
        <v>19</v>
      </c>
      <c r="E4469" s="8" t="n">
        <v>1.8021052631579</v>
      </c>
      <c r="F4469" s="4" t="n">
        <f aca="false">D4469*E4469</f>
        <v>34.24</v>
      </c>
      <c r="G4469" s="7" t="n">
        <v>6</v>
      </c>
      <c r="H4469" s="9" t="n">
        <f aca="false">IF(G4469&gt;0,D4469/G4469,"")</f>
        <v>3.16666666666667</v>
      </c>
      <c r="I4469" s="10" t="n">
        <v>46174</v>
      </c>
      <c r="J4469" s="3" t="s">
        <v>1288</v>
      </c>
      <c r="K4469" s="10" t="n">
        <v>46122</v>
      </c>
      <c r="L4469" s="3" t="s">
        <v>313</v>
      </c>
      <c r="M4469" s="7" t="n">
        <v>25</v>
      </c>
      <c r="N4469" s="8" t="n">
        <v>1.802</v>
      </c>
      <c r="O4469" s="4" t="n">
        <f aca="false">M4469*N4469</f>
        <v>45.05</v>
      </c>
    </row>
    <row r="4470" customFormat="false" ht="15" hidden="false" customHeight="false" outlineLevel="0" collapsed="false">
      <c r="A4470" s="0" t="s">
        <v>6059</v>
      </c>
      <c r="C4470" s="0" t="s">
        <v>765</v>
      </c>
      <c r="D4470" s="7" t="n">
        <v>630</v>
      </c>
      <c r="E4470" s="8" t="n">
        <v>0.0543015873015873</v>
      </c>
      <c r="F4470" s="4" t="n">
        <f aca="false">D4470*E4470</f>
        <v>34.21</v>
      </c>
      <c r="G4470" s="7" t="n">
        <v>28</v>
      </c>
      <c r="H4470" s="9" t="n">
        <f aca="false">IF(G4470&gt;0,D4470/G4470,"")</f>
        <v>22.5</v>
      </c>
      <c r="I4470" s="10" t="n">
        <v>46044</v>
      </c>
      <c r="K4470" s="10"/>
      <c r="M4470" s="7"/>
      <c r="N4470" s="8"/>
      <c r="O4470" s="4"/>
    </row>
    <row r="4471" customFormat="false" ht="15" hidden="false" customHeight="false" outlineLevel="0" collapsed="false">
      <c r="A4471" s="0" t="s">
        <v>6060</v>
      </c>
      <c r="C4471" s="0" t="s">
        <v>38</v>
      </c>
      <c r="D4471" s="7" t="n">
        <v>1024</v>
      </c>
      <c r="E4471" s="8" t="n">
        <v>0.0333984375</v>
      </c>
      <c r="F4471" s="4" t="n">
        <f aca="false">D4471*E4471</f>
        <v>34.2</v>
      </c>
      <c r="G4471" s="7" t="n">
        <v>173</v>
      </c>
      <c r="H4471" s="9" t="n">
        <f aca="false">IF(G4471&gt;0,D4471/G4471,"")</f>
        <v>5.91907514450867</v>
      </c>
      <c r="I4471" s="10" t="n">
        <v>46154</v>
      </c>
      <c r="J4471" s="3" t="s">
        <v>6061</v>
      </c>
      <c r="K4471" s="10" t="n">
        <v>45357</v>
      </c>
      <c r="L4471" s="3" t="s">
        <v>18</v>
      </c>
      <c r="M4471" s="7" t="n">
        <v>2000</v>
      </c>
      <c r="N4471" s="8" t="n">
        <v>0.0334</v>
      </c>
      <c r="O4471" s="4" t="n">
        <f aca="false">M4471*N4471</f>
        <v>66.8</v>
      </c>
    </row>
    <row r="4472" customFormat="false" ht="15" hidden="false" customHeight="false" outlineLevel="0" collapsed="false">
      <c r="A4472" s="0" t="s">
        <v>6062</v>
      </c>
      <c r="C4472" s="0" t="s">
        <v>41</v>
      </c>
      <c r="D4472" s="7" t="n">
        <v>10</v>
      </c>
      <c r="E4472" s="8" t="n">
        <v>3.42</v>
      </c>
      <c r="F4472" s="4" t="n">
        <f aca="false">D4472*E4472</f>
        <v>34.2</v>
      </c>
      <c r="G4472" s="7" t="n">
        <v>1</v>
      </c>
      <c r="H4472" s="9" t="n">
        <f aca="false">IF(G4472&gt;0,D4472/G4472,"")</f>
        <v>10</v>
      </c>
      <c r="I4472" s="10" t="n">
        <v>46185</v>
      </c>
      <c r="K4472" s="10"/>
      <c r="M4472" s="7"/>
      <c r="N4472" s="8"/>
      <c r="O4472" s="4"/>
    </row>
    <row r="4473" customFormat="false" ht="15" hidden="false" customHeight="false" outlineLevel="0" collapsed="false">
      <c r="A4473" s="0" t="s">
        <v>6063</v>
      </c>
      <c r="C4473" s="0" t="s">
        <v>1161</v>
      </c>
      <c r="D4473" s="7" t="n">
        <v>169</v>
      </c>
      <c r="E4473" s="8" t="n">
        <v>0.202307692307692</v>
      </c>
      <c r="F4473" s="4" t="n">
        <f aca="false">D4473*E4473</f>
        <v>34.19</v>
      </c>
      <c r="G4473" s="7" t="n">
        <v>165</v>
      </c>
      <c r="H4473" s="9" t="n">
        <f aca="false">IF(G4473&gt;0,D4473/G4473,"")</f>
        <v>1.02424242424242</v>
      </c>
      <c r="I4473" s="10" t="n">
        <v>46304</v>
      </c>
      <c r="J4473" s="3" t="s">
        <v>6064</v>
      </c>
      <c r="K4473" s="10" t="n">
        <v>44798</v>
      </c>
      <c r="L4473" s="3" t="s">
        <v>936</v>
      </c>
      <c r="M4473" s="7" t="n">
        <v>740</v>
      </c>
      <c r="N4473" s="8" t="n">
        <v>0.2023</v>
      </c>
      <c r="O4473" s="4" t="n">
        <f aca="false">M4473*N4473</f>
        <v>149.702</v>
      </c>
    </row>
    <row r="4474" customFormat="false" ht="15" hidden="false" customHeight="false" outlineLevel="0" collapsed="false">
      <c r="A4474" s="0" t="s">
        <v>6065</v>
      </c>
      <c r="C4474" s="0" t="s">
        <v>298</v>
      </c>
      <c r="D4474" s="7" t="n">
        <v>47</v>
      </c>
      <c r="E4474" s="8" t="n">
        <v>0.727446808510638</v>
      </c>
      <c r="F4474" s="4" t="n">
        <f aca="false">D4474*E4474</f>
        <v>34.19</v>
      </c>
      <c r="G4474" s="7" t="n">
        <v>30</v>
      </c>
      <c r="H4474" s="9" t="n">
        <f aca="false">IF(G4474&gt;0,D4474/G4474,"")</f>
        <v>1.56666666666667</v>
      </c>
      <c r="I4474" s="10" t="n">
        <v>46287</v>
      </c>
      <c r="J4474" s="3" t="s">
        <v>680</v>
      </c>
      <c r="K4474" s="10" t="n">
        <v>46240</v>
      </c>
      <c r="L4474" s="3" t="s">
        <v>14</v>
      </c>
      <c r="M4474" s="7" t="n">
        <v>77</v>
      </c>
      <c r="N4474" s="8" t="n">
        <v>0.7274</v>
      </c>
      <c r="O4474" s="4" t="n">
        <f aca="false">M4474*N4474</f>
        <v>56.0098</v>
      </c>
    </row>
    <row r="4475" customFormat="false" ht="15" hidden="false" customHeight="false" outlineLevel="0" collapsed="false">
      <c r="A4475" s="0" t="s">
        <v>6066</v>
      </c>
      <c r="C4475" s="0" t="s">
        <v>340</v>
      </c>
      <c r="D4475" s="7" t="n">
        <v>443</v>
      </c>
      <c r="E4475" s="8" t="n">
        <v>0.0771106094808126</v>
      </c>
      <c r="F4475" s="4" t="n">
        <f aca="false">D4475*E4475</f>
        <v>34.16</v>
      </c>
      <c r="G4475" s="7" t="n">
        <v>270</v>
      </c>
      <c r="H4475" s="9" t="n">
        <f aca="false">IF(G4475&gt;0,D4475/G4475,"")</f>
        <v>1.64074074074074</v>
      </c>
      <c r="I4475" s="10" t="n">
        <v>46230</v>
      </c>
      <c r="J4475" s="3" t="s">
        <v>6041</v>
      </c>
      <c r="K4475" s="10" t="n">
        <v>45896</v>
      </c>
      <c r="L4475" s="3" t="s">
        <v>19</v>
      </c>
      <c r="M4475" s="7" t="n">
        <v>1500</v>
      </c>
      <c r="N4475" s="8" t="n">
        <v>0.0771</v>
      </c>
      <c r="O4475" s="4" t="n">
        <f aca="false">M4475*N4475</f>
        <v>115.65</v>
      </c>
    </row>
    <row r="4476" customFormat="false" ht="15" hidden="false" customHeight="false" outlineLevel="0" collapsed="false">
      <c r="A4476" s="0" t="s">
        <v>6067</v>
      </c>
      <c r="C4476" s="0" t="s">
        <v>1039</v>
      </c>
      <c r="D4476" s="7" t="n">
        <v>927</v>
      </c>
      <c r="E4476" s="8" t="n">
        <v>0.03680690399137</v>
      </c>
      <c r="F4476" s="4" t="n">
        <f aca="false">D4476*E4476</f>
        <v>34.12</v>
      </c>
      <c r="G4476" s="7" t="n">
        <v>73</v>
      </c>
      <c r="H4476" s="9" t="n">
        <f aca="false">IF(G4476&gt;0,D4476/G4476,"")</f>
        <v>12.6986301369863</v>
      </c>
      <c r="I4476" s="10" t="n">
        <v>46317</v>
      </c>
      <c r="J4476" s="3" t="s">
        <v>495</v>
      </c>
      <c r="K4476" s="10" t="n">
        <v>45925</v>
      </c>
      <c r="L4476" s="3" t="s">
        <v>16</v>
      </c>
      <c r="M4476" s="7" t="n">
        <v>1000</v>
      </c>
      <c r="N4476" s="8" t="n">
        <v>0.0368</v>
      </c>
      <c r="O4476" s="4" t="n">
        <f aca="false">M4476*N4476</f>
        <v>36.8</v>
      </c>
    </row>
    <row r="4477" customFormat="false" ht="15" hidden="false" customHeight="false" outlineLevel="0" collapsed="false">
      <c r="A4477" s="0" t="s">
        <v>6068</v>
      </c>
      <c r="C4477" s="0" t="s">
        <v>33</v>
      </c>
      <c r="D4477" s="7" t="n">
        <v>21</v>
      </c>
      <c r="E4477" s="8" t="n">
        <v>1.62428571428571</v>
      </c>
      <c r="F4477" s="4" t="n">
        <f aca="false">D4477*E4477</f>
        <v>34.11</v>
      </c>
      <c r="G4477" s="7" t="n">
        <v>7</v>
      </c>
      <c r="H4477" s="9" t="n">
        <f aca="false">IF(G4477&gt;0,D4477/G4477,"")</f>
        <v>3</v>
      </c>
      <c r="I4477" s="10" t="n">
        <v>46192</v>
      </c>
      <c r="J4477" s="3" t="s">
        <v>4160</v>
      </c>
      <c r="K4477" s="10" t="n">
        <v>45469</v>
      </c>
      <c r="L4477" s="3" t="s">
        <v>18</v>
      </c>
      <c r="M4477" s="7" t="n">
        <v>28</v>
      </c>
      <c r="N4477" s="8" t="n">
        <v>1.6244</v>
      </c>
      <c r="O4477" s="4" t="n">
        <f aca="false">M4477*N4477</f>
        <v>45.4832</v>
      </c>
    </row>
    <row r="4478" customFormat="false" ht="15" hidden="false" customHeight="false" outlineLevel="0" collapsed="false">
      <c r="A4478" s="0" t="s">
        <v>6069</v>
      </c>
      <c r="C4478" s="0" t="s">
        <v>35</v>
      </c>
      <c r="D4478" s="7" t="n">
        <v>70</v>
      </c>
      <c r="E4478" s="8" t="n">
        <v>0.486428571428571</v>
      </c>
      <c r="F4478" s="4" t="n">
        <f aca="false">D4478*E4478</f>
        <v>34.05</v>
      </c>
      <c r="G4478" s="7" t="n">
        <v>27</v>
      </c>
      <c r="H4478" s="9" t="n">
        <f aca="false">IF(G4478&gt;0,D4478/G4478,"")</f>
        <v>2.59259259259259</v>
      </c>
      <c r="I4478" s="10" t="n">
        <v>46252</v>
      </c>
      <c r="J4478" s="3" t="s">
        <v>4580</v>
      </c>
      <c r="K4478" s="10" t="n">
        <v>45215</v>
      </c>
      <c r="L4478" s="3" t="s">
        <v>14</v>
      </c>
      <c r="M4478" s="7" t="n">
        <v>100</v>
      </c>
      <c r="N4478" s="8" t="n">
        <v>0.4864</v>
      </c>
      <c r="O4478" s="4" t="n">
        <f aca="false">M4478*N4478</f>
        <v>48.64</v>
      </c>
    </row>
    <row r="4479" customFormat="false" ht="15" hidden="false" customHeight="false" outlineLevel="0" collapsed="false">
      <c r="A4479" s="0" t="s">
        <v>6070</v>
      </c>
      <c r="C4479" s="0" t="s">
        <v>844</v>
      </c>
      <c r="D4479" s="7" t="n">
        <v>18</v>
      </c>
      <c r="E4479" s="8" t="n">
        <v>1.89</v>
      </c>
      <c r="F4479" s="4" t="n">
        <f aca="false">D4479*E4479</f>
        <v>34.02</v>
      </c>
      <c r="G4479" s="7" t="n">
        <v>11</v>
      </c>
      <c r="H4479" s="9" t="n">
        <f aca="false">IF(G4479&gt;0,D4479/G4479,"")</f>
        <v>1.63636363636364</v>
      </c>
      <c r="I4479" s="10" t="n">
        <v>46314</v>
      </c>
      <c r="J4479" s="3" t="s">
        <v>1877</v>
      </c>
      <c r="K4479" s="10" t="n">
        <v>45896</v>
      </c>
      <c r="L4479" s="3" t="s">
        <v>1878</v>
      </c>
      <c r="M4479" s="7" t="n">
        <v>25</v>
      </c>
      <c r="N4479" s="8" t="n">
        <v>1.89</v>
      </c>
      <c r="O4479" s="4" t="n">
        <f aca="false">M4479*N4479</f>
        <v>47.25</v>
      </c>
    </row>
    <row r="4480" customFormat="false" ht="15" hidden="false" customHeight="false" outlineLevel="0" collapsed="false">
      <c r="A4480" s="0" t="s">
        <v>6071</v>
      </c>
      <c r="C4480" s="0" t="s">
        <v>765</v>
      </c>
      <c r="D4480" s="7" t="n">
        <v>190</v>
      </c>
      <c r="E4480" s="8" t="n">
        <v>0.179</v>
      </c>
      <c r="F4480" s="4" t="n">
        <f aca="false">D4480*E4480</f>
        <v>34.01</v>
      </c>
      <c r="G4480" s="7" t="n">
        <v>90</v>
      </c>
      <c r="H4480" s="9" t="n">
        <f aca="false">IF(G4480&gt;0,D4480/G4480,"")</f>
        <v>2.11111111111111</v>
      </c>
      <c r="I4480" s="10" t="n">
        <v>46209</v>
      </c>
      <c r="J4480" s="3" t="s">
        <v>2716</v>
      </c>
      <c r="K4480" s="10" t="n">
        <v>46160</v>
      </c>
      <c r="L4480" s="3" t="s">
        <v>16</v>
      </c>
      <c r="M4480" s="7" t="n">
        <v>280</v>
      </c>
      <c r="N4480" s="8" t="n">
        <v>0.179</v>
      </c>
      <c r="O4480" s="4" t="n">
        <f aca="false">M4480*N4480</f>
        <v>50.12</v>
      </c>
    </row>
    <row r="4481" customFormat="false" ht="15" hidden="false" customHeight="false" outlineLevel="0" collapsed="false">
      <c r="A4481" s="0" t="s">
        <v>6072</v>
      </c>
      <c r="C4481" s="0" t="s">
        <v>3463</v>
      </c>
      <c r="D4481" s="7" t="n">
        <v>45</v>
      </c>
      <c r="E4481" s="8" t="n">
        <v>0.754888888888889</v>
      </c>
      <c r="F4481" s="4" t="n">
        <f aca="false">D4481*E4481</f>
        <v>33.97</v>
      </c>
      <c r="G4481" s="7" t="n">
        <v>5</v>
      </c>
      <c r="H4481" s="9" t="n">
        <f aca="false">IF(G4481&gt;0,D4481/G4481,"")</f>
        <v>9</v>
      </c>
      <c r="I4481" s="10" t="n">
        <v>46129</v>
      </c>
      <c r="J4481" s="3" t="s">
        <v>6073</v>
      </c>
      <c r="K4481" s="10" t="n">
        <v>46126</v>
      </c>
      <c r="L4481" s="3" t="s">
        <v>19</v>
      </c>
      <c r="M4481" s="7" t="n">
        <v>50</v>
      </c>
      <c r="N4481" s="8" t="n">
        <v>0.7548</v>
      </c>
      <c r="O4481" s="4" t="n">
        <f aca="false">M4481*N4481</f>
        <v>37.74</v>
      </c>
    </row>
    <row r="4482" customFormat="false" ht="15" hidden="false" customHeight="false" outlineLevel="0" collapsed="false">
      <c r="A4482" s="0" t="s">
        <v>6074</v>
      </c>
      <c r="C4482" s="0" t="s">
        <v>1039</v>
      </c>
      <c r="D4482" s="7" t="n">
        <v>4465</v>
      </c>
      <c r="E4482" s="8" t="n">
        <v>0.00759910414333707</v>
      </c>
      <c r="F4482" s="4" t="n">
        <f aca="false">D4482*E4482</f>
        <v>33.93</v>
      </c>
      <c r="G4482" s="7" t="n">
        <v>2017</v>
      </c>
      <c r="H4482" s="9" t="n">
        <f aca="false">IF(G4482&gt;0,D4482/G4482,"")</f>
        <v>2.2136836886465</v>
      </c>
      <c r="I4482" s="10" t="n">
        <v>46288</v>
      </c>
      <c r="K4482" s="10"/>
      <c r="M4482" s="7"/>
      <c r="N4482" s="8"/>
      <c r="O4482" s="4"/>
    </row>
    <row r="4483" customFormat="false" ht="15" hidden="false" customHeight="false" outlineLevel="0" collapsed="false">
      <c r="A4483" s="0" t="s">
        <v>6075</v>
      </c>
      <c r="C4483" s="0" t="s">
        <v>31</v>
      </c>
      <c r="D4483" s="7" t="n">
        <v>1946</v>
      </c>
      <c r="E4483" s="8" t="n">
        <v>0.0173997944501542</v>
      </c>
      <c r="F4483" s="4" t="n">
        <f aca="false">D4483*E4483</f>
        <v>33.86</v>
      </c>
      <c r="G4483" s="7" t="n">
        <v>915</v>
      </c>
      <c r="H4483" s="9" t="n">
        <f aca="false">IF(G4483&gt;0,D4483/G4483,"")</f>
        <v>2.12677595628415</v>
      </c>
      <c r="I4483" s="10" t="n">
        <v>46308</v>
      </c>
      <c r="J4483" s="3" t="s">
        <v>478</v>
      </c>
      <c r="K4483" s="10" t="n">
        <v>46185</v>
      </c>
      <c r="L4483" s="3" t="s">
        <v>16</v>
      </c>
      <c r="M4483" s="7" t="n">
        <v>2000</v>
      </c>
      <c r="N4483" s="8" t="n">
        <v>0.0174</v>
      </c>
      <c r="O4483" s="4" t="n">
        <f aca="false">M4483*N4483</f>
        <v>34.8</v>
      </c>
    </row>
    <row r="4484" customFormat="false" ht="15" hidden="false" customHeight="false" outlineLevel="0" collapsed="false">
      <c r="A4484" s="0" t="s">
        <v>6076</v>
      </c>
      <c r="C4484" s="0" t="s">
        <v>34</v>
      </c>
      <c r="D4484" s="7" t="n">
        <v>563</v>
      </c>
      <c r="E4484" s="8" t="n">
        <v>0.0601065719360568</v>
      </c>
      <c r="F4484" s="4" t="n">
        <f aca="false">D4484*E4484</f>
        <v>33.84</v>
      </c>
      <c r="G4484" s="7" t="n">
        <v>12</v>
      </c>
      <c r="H4484" s="9" t="n">
        <f aca="false">IF(G4484&gt;0,D4484/G4484,"")</f>
        <v>46.9166666666667</v>
      </c>
      <c r="I4484" s="10" t="n">
        <v>45960</v>
      </c>
      <c r="J4484" s="3" t="s">
        <v>1743</v>
      </c>
      <c r="K4484" s="10" t="n">
        <v>45852</v>
      </c>
      <c r="L4484" s="3" t="s">
        <v>16</v>
      </c>
      <c r="M4484" s="7" t="n">
        <v>600</v>
      </c>
      <c r="N4484" s="8" t="n">
        <v>0.0601</v>
      </c>
      <c r="O4484" s="4" t="n">
        <f aca="false">M4484*N4484</f>
        <v>36.06</v>
      </c>
    </row>
    <row r="4485" customFormat="false" ht="15" hidden="false" customHeight="false" outlineLevel="0" collapsed="false">
      <c r="A4485" s="0" t="s">
        <v>6077</v>
      </c>
      <c r="C4485" s="0" t="s">
        <v>360</v>
      </c>
      <c r="D4485" s="7" t="n">
        <v>77</v>
      </c>
      <c r="E4485" s="8" t="n">
        <v>0.43948051948052</v>
      </c>
      <c r="F4485" s="4" t="n">
        <f aca="false">D4485*E4485</f>
        <v>33.84</v>
      </c>
      <c r="G4485" s="7" t="n">
        <v>4</v>
      </c>
      <c r="H4485" s="9" t="n">
        <f aca="false">IF(G4485&gt;0,D4485/G4485,"")</f>
        <v>19.25</v>
      </c>
      <c r="I4485" s="10" t="n">
        <v>46296</v>
      </c>
      <c r="K4485" s="10"/>
      <c r="M4485" s="7"/>
      <c r="N4485" s="8"/>
      <c r="O4485" s="4"/>
    </row>
    <row r="4486" customFormat="false" ht="15" hidden="false" customHeight="false" outlineLevel="0" collapsed="false">
      <c r="A4486" s="0" t="s">
        <v>6078</v>
      </c>
      <c r="C4486" s="0" t="s">
        <v>609</v>
      </c>
      <c r="D4486" s="7" t="n">
        <v>21</v>
      </c>
      <c r="E4486" s="8" t="n">
        <v>1.61095238095238</v>
      </c>
      <c r="F4486" s="4" t="n">
        <f aca="false">D4486*E4486</f>
        <v>33.83</v>
      </c>
      <c r="G4486" s="7" t="n">
        <v>2</v>
      </c>
      <c r="H4486" s="9" t="n">
        <f aca="false">IF(G4486&gt;0,D4486/G4486,"")</f>
        <v>10.5</v>
      </c>
      <c r="I4486" s="10" t="n">
        <v>46094</v>
      </c>
      <c r="J4486" s="3" t="s">
        <v>5441</v>
      </c>
      <c r="K4486" s="10" t="n">
        <v>45201</v>
      </c>
      <c r="L4486" s="3" t="s">
        <v>14</v>
      </c>
      <c r="M4486" s="7" t="n">
        <v>25</v>
      </c>
      <c r="N4486" s="8" t="n">
        <v>1.6108</v>
      </c>
      <c r="O4486" s="4" t="n">
        <f aca="false">M4486*N4486</f>
        <v>40.27</v>
      </c>
    </row>
    <row r="4487" customFormat="false" ht="15" hidden="false" customHeight="false" outlineLevel="0" collapsed="false">
      <c r="A4487" s="0" t="s">
        <v>6079</v>
      </c>
      <c r="C4487" s="0" t="s">
        <v>39</v>
      </c>
      <c r="D4487" s="7" t="n">
        <v>342</v>
      </c>
      <c r="E4487" s="8" t="n">
        <v>0.0987719298245614</v>
      </c>
      <c r="F4487" s="4" t="n">
        <f aca="false">D4487*E4487</f>
        <v>33.78</v>
      </c>
      <c r="G4487" s="7" t="n">
        <v>304</v>
      </c>
      <c r="H4487" s="9" t="n">
        <f aca="false">IF(G4487&gt;0,D4487/G4487,"")</f>
        <v>1.125</v>
      </c>
      <c r="I4487" s="10" t="n">
        <v>46238</v>
      </c>
      <c r="J4487" s="3" t="s">
        <v>6080</v>
      </c>
      <c r="K4487" s="10" t="n">
        <v>45397</v>
      </c>
      <c r="L4487" s="3" t="s">
        <v>18</v>
      </c>
      <c r="M4487" s="7" t="n">
        <v>1346</v>
      </c>
      <c r="N4487" s="8" t="n">
        <v>0.0988</v>
      </c>
      <c r="O4487" s="4" t="n">
        <f aca="false">M4487*N4487</f>
        <v>132.9848</v>
      </c>
    </row>
    <row r="4488" customFormat="false" ht="15" hidden="false" customHeight="false" outlineLevel="0" collapsed="false">
      <c r="A4488" s="0" t="s">
        <v>6081</v>
      </c>
      <c r="C4488" s="0" t="s">
        <v>39</v>
      </c>
      <c r="D4488" s="7" t="n">
        <v>70</v>
      </c>
      <c r="E4488" s="8" t="n">
        <v>0.482428571428571</v>
      </c>
      <c r="F4488" s="4" t="n">
        <f aca="false">D4488*E4488</f>
        <v>33.77</v>
      </c>
      <c r="G4488" s="7" t="n">
        <v>30</v>
      </c>
      <c r="H4488" s="9" t="n">
        <f aca="false">IF(G4488&gt;0,D4488/G4488,"")</f>
        <v>2.33333333333333</v>
      </c>
      <c r="I4488" s="10" t="n">
        <v>46091</v>
      </c>
      <c r="J4488" s="3" t="s">
        <v>5340</v>
      </c>
      <c r="K4488" s="10" t="n">
        <v>44285</v>
      </c>
      <c r="L4488" s="3" t="s">
        <v>19</v>
      </c>
      <c r="M4488" s="7" t="n">
        <v>108</v>
      </c>
      <c r="N4488" s="8" t="n">
        <v>0.4824</v>
      </c>
      <c r="O4488" s="4" t="n">
        <f aca="false">M4488*N4488</f>
        <v>52.0992</v>
      </c>
    </row>
    <row r="4489" customFormat="false" ht="15" hidden="false" customHeight="false" outlineLevel="0" collapsed="false">
      <c r="A4489" s="0" t="s">
        <v>6082</v>
      </c>
      <c r="C4489" s="0" t="s">
        <v>31</v>
      </c>
      <c r="D4489" s="7" t="n">
        <v>3377</v>
      </c>
      <c r="E4489" s="8" t="n">
        <v>0.01</v>
      </c>
      <c r="F4489" s="4" t="n">
        <f aca="false">D4489*E4489</f>
        <v>33.77</v>
      </c>
      <c r="G4489" s="7" t="n">
        <v>480</v>
      </c>
      <c r="H4489" s="9" t="n">
        <f aca="false">IF(G4489&gt;0,D4489/G4489,"")</f>
        <v>7.03541666666667</v>
      </c>
      <c r="I4489" s="10" t="n">
        <v>46118</v>
      </c>
      <c r="K4489" s="10"/>
      <c r="M4489" s="7"/>
      <c r="N4489" s="8"/>
      <c r="O4489" s="4"/>
    </row>
    <row r="4490" customFormat="false" ht="15" hidden="false" customHeight="false" outlineLevel="0" collapsed="false">
      <c r="A4490" s="0" t="s">
        <v>6083</v>
      </c>
      <c r="D4490" s="7" t="n">
        <v>11</v>
      </c>
      <c r="E4490" s="8" t="n">
        <v>3.07</v>
      </c>
      <c r="F4490" s="4" t="n">
        <f aca="false">D4490*E4490</f>
        <v>33.77</v>
      </c>
      <c r="G4490" s="7" t="n">
        <v>1</v>
      </c>
      <c r="H4490" s="9" t="n">
        <f aca="false">IF(G4490&gt;0,D4490/G4490,"")</f>
        <v>11</v>
      </c>
      <c r="I4490" s="10" t="n">
        <v>45961</v>
      </c>
      <c r="K4490" s="10"/>
      <c r="M4490" s="7"/>
      <c r="N4490" s="8"/>
      <c r="O4490" s="4"/>
    </row>
    <row r="4491" customFormat="false" ht="15" hidden="false" customHeight="false" outlineLevel="0" collapsed="false">
      <c r="A4491" s="0" t="s">
        <v>6084</v>
      </c>
      <c r="C4491" s="0" t="s">
        <v>33</v>
      </c>
      <c r="D4491" s="7" t="n">
        <v>27</v>
      </c>
      <c r="E4491" s="8" t="n">
        <v>1.25074074074074</v>
      </c>
      <c r="F4491" s="4" t="n">
        <f aca="false">D4491*E4491</f>
        <v>33.77</v>
      </c>
      <c r="G4491" s="7" t="n">
        <v>15</v>
      </c>
      <c r="H4491" s="9" t="n">
        <f aca="false">IF(G4491&gt;0,D4491/G4491,"")</f>
        <v>1.8</v>
      </c>
      <c r="I4491" s="10" t="n">
        <v>46283</v>
      </c>
      <c r="J4491" s="3" t="s">
        <v>3570</v>
      </c>
      <c r="K4491" s="10" t="n">
        <v>44608</v>
      </c>
      <c r="L4491" s="3" t="s">
        <v>18</v>
      </c>
      <c r="M4491" s="7" t="n">
        <v>150</v>
      </c>
      <c r="N4491" s="8" t="n">
        <v>1.2505</v>
      </c>
      <c r="O4491" s="4" t="n">
        <f aca="false">M4491*N4491</f>
        <v>187.575</v>
      </c>
    </row>
    <row r="4492" customFormat="false" ht="15" hidden="false" customHeight="false" outlineLevel="0" collapsed="false">
      <c r="A4492" s="0" t="s">
        <v>6085</v>
      </c>
      <c r="C4492" s="0" t="s">
        <v>34</v>
      </c>
      <c r="D4492" s="7" t="n">
        <v>123</v>
      </c>
      <c r="E4492" s="8" t="n">
        <v>0.274308943089431</v>
      </c>
      <c r="F4492" s="4" t="n">
        <f aca="false">D4492*E4492</f>
        <v>33.74</v>
      </c>
      <c r="G4492" s="7" t="n">
        <v>22</v>
      </c>
      <c r="H4492" s="9" t="n">
        <f aca="false">IF(G4492&gt;0,D4492/G4492,"")</f>
        <v>5.59090909090909</v>
      </c>
      <c r="I4492" s="10" t="n">
        <v>46169</v>
      </c>
      <c r="J4492" s="3" t="s">
        <v>1980</v>
      </c>
      <c r="K4492" s="10" t="n">
        <v>45272</v>
      </c>
      <c r="L4492" s="3" t="s">
        <v>15</v>
      </c>
      <c r="M4492" s="7" t="n">
        <v>10000</v>
      </c>
      <c r="N4492" s="8" t="n">
        <v>0.18311</v>
      </c>
      <c r="O4492" s="4" t="n">
        <f aca="false">M4492*N4492</f>
        <v>1831.1</v>
      </c>
    </row>
    <row r="4493" customFormat="false" ht="15" hidden="false" customHeight="false" outlineLevel="0" collapsed="false">
      <c r="A4493" s="0" t="s">
        <v>6086</v>
      </c>
      <c r="D4493" s="7" t="n">
        <v>12</v>
      </c>
      <c r="E4493" s="8" t="n">
        <v>2.81083333333333</v>
      </c>
      <c r="F4493" s="4" t="n">
        <f aca="false">D4493*E4493</f>
        <v>33.73</v>
      </c>
      <c r="G4493" s="7" t="n">
        <v>1</v>
      </c>
      <c r="H4493" s="9" t="n">
        <f aca="false">IF(G4493&gt;0,D4493/G4493,"")</f>
        <v>12</v>
      </c>
      <c r="I4493" s="10" t="n">
        <v>46101</v>
      </c>
      <c r="J4493" s="3" t="s">
        <v>4865</v>
      </c>
      <c r="K4493" s="10" t="n">
        <v>46094</v>
      </c>
      <c r="L4493" s="3" t="s">
        <v>313</v>
      </c>
      <c r="M4493" s="7" t="n">
        <v>13</v>
      </c>
      <c r="N4493" s="8" t="n">
        <v>2.8105</v>
      </c>
      <c r="O4493" s="4" t="n">
        <f aca="false">M4493*N4493</f>
        <v>36.5365</v>
      </c>
    </row>
    <row r="4494" customFormat="false" ht="15" hidden="false" customHeight="false" outlineLevel="0" collapsed="false">
      <c r="A4494" s="0" t="s">
        <v>6087</v>
      </c>
      <c r="C4494" s="0" t="s">
        <v>295</v>
      </c>
      <c r="D4494" s="7" t="n">
        <v>248</v>
      </c>
      <c r="E4494" s="8" t="n">
        <v>0.135887096774194</v>
      </c>
      <c r="F4494" s="4" t="n">
        <f aca="false">D4494*E4494</f>
        <v>33.7</v>
      </c>
      <c r="G4494" s="7" t="n">
        <v>46</v>
      </c>
      <c r="H4494" s="9" t="n">
        <f aca="false">IF(G4494&gt;0,D4494/G4494,"")</f>
        <v>5.39130434782609</v>
      </c>
      <c r="I4494" s="10" t="n">
        <v>46168</v>
      </c>
      <c r="J4494" s="3" t="s">
        <v>6088</v>
      </c>
      <c r="K4494" s="10" t="n">
        <v>45044</v>
      </c>
      <c r="L4494" s="3" t="s">
        <v>19</v>
      </c>
      <c r="M4494" s="7" t="n">
        <v>2000</v>
      </c>
      <c r="N4494" s="8" t="n">
        <v>0.1359</v>
      </c>
      <c r="O4494" s="4" t="n">
        <f aca="false">M4494*N4494</f>
        <v>271.8</v>
      </c>
    </row>
    <row r="4495" customFormat="false" ht="15" hidden="false" customHeight="false" outlineLevel="0" collapsed="false">
      <c r="A4495" s="0" t="s">
        <v>6089</v>
      </c>
      <c r="C4495" s="0" t="s">
        <v>36</v>
      </c>
      <c r="D4495" s="7" t="n">
        <v>117</v>
      </c>
      <c r="E4495" s="8" t="n">
        <v>0.288034188034188</v>
      </c>
      <c r="F4495" s="4" t="n">
        <f aca="false">D4495*E4495</f>
        <v>33.7</v>
      </c>
      <c r="G4495" s="7" t="n">
        <v>35</v>
      </c>
      <c r="H4495" s="9" t="n">
        <f aca="false">IF(G4495&gt;0,D4495/G4495,"")</f>
        <v>3.34285714285714</v>
      </c>
      <c r="I4495" s="10" t="n">
        <v>46147</v>
      </c>
      <c r="K4495" s="10"/>
      <c r="M4495" s="7"/>
      <c r="N4495" s="8"/>
      <c r="O4495" s="4"/>
    </row>
    <row r="4496" customFormat="false" ht="15" hidden="false" customHeight="false" outlineLevel="0" collapsed="false">
      <c r="A4496" s="0" t="s">
        <v>6090</v>
      </c>
      <c r="C4496" s="0" t="s">
        <v>285</v>
      </c>
      <c r="D4496" s="7" t="n">
        <v>5282</v>
      </c>
      <c r="E4496" s="8" t="n">
        <v>0.00637826580840591</v>
      </c>
      <c r="F4496" s="4" t="n">
        <f aca="false">D4496*E4496</f>
        <v>33.69</v>
      </c>
      <c r="G4496" s="7" t="n">
        <v>157</v>
      </c>
      <c r="H4496" s="9" t="n">
        <f aca="false">IF(G4496&gt;0,D4496/G4496,"")</f>
        <v>33.6433121019108</v>
      </c>
      <c r="I4496" s="10" t="n">
        <v>46163</v>
      </c>
      <c r="K4496" s="10"/>
      <c r="M4496" s="7"/>
      <c r="N4496" s="8"/>
      <c r="O4496" s="4"/>
    </row>
    <row r="4497" customFormat="false" ht="15" hidden="false" customHeight="false" outlineLevel="0" collapsed="false">
      <c r="A4497" s="0" t="s">
        <v>6091</v>
      </c>
      <c r="C4497" s="0" t="s">
        <v>61</v>
      </c>
      <c r="D4497" s="7" t="n">
        <v>73</v>
      </c>
      <c r="E4497" s="8" t="n">
        <v>0.461506849315069</v>
      </c>
      <c r="F4497" s="4" t="n">
        <f aca="false">D4497*E4497</f>
        <v>33.69</v>
      </c>
      <c r="G4497" s="7" t="n">
        <v>14</v>
      </c>
      <c r="H4497" s="9" t="n">
        <f aca="false">IF(G4497&gt;0,D4497/G4497,"")</f>
        <v>5.21428571428571</v>
      </c>
      <c r="I4497" s="10" t="n">
        <v>46049</v>
      </c>
      <c r="J4497" s="3" t="s">
        <v>6092</v>
      </c>
      <c r="K4497" s="10" t="n">
        <v>44411</v>
      </c>
      <c r="L4497" s="3" t="s">
        <v>16</v>
      </c>
      <c r="M4497" s="7" t="n">
        <v>200</v>
      </c>
      <c r="N4497" s="8" t="n">
        <v>0.4614</v>
      </c>
      <c r="O4497" s="4" t="n">
        <f aca="false">M4497*N4497</f>
        <v>92.28</v>
      </c>
    </row>
    <row r="4498" customFormat="false" ht="15" hidden="false" customHeight="false" outlineLevel="0" collapsed="false">
      <c r="A4498" s="0" t="s">
        <v>6093</v>
      </c>
      <c r="C4498" s="0" t="s">
        <v>33</v>
      </c>
      <c r="D4498" s="7" t="n">
        <v>12</v>
      </c>
      <c r="E4498" s="8" t="n">
        <v>2.8025</v>
      </c>
      <c r="F4498" s="4" t="n">
        <f aca="false">D4498*E4498</f>
        <v>33.63</v>
      </c>
      <c r="G4498" s="7" t="n">
        <v>11</v>
      </c>
      <c r="H4498" s="9" t="n">
        <f aca="false">IF(G4498&gt;0,D4498/G4498,"")</f>
        <v>1.09090909090909</v>
      </c>
      <c r="I4498" s="10" t="n">
        <v>46283</v>
      </c>
      <c r="J4498" s="3" t="s">
        <v>680</v>
      </c>
      <c r="K4498" s="10" t="n">
        <v>46240</v>
      </c>
      <c r="L4498" s="3" t="s">
        <v>14</v>
      </c>
      <c r="M4498" s="7" t="n">
        <v>20</v>
      </c>
      <c r="N4498" s="8" t="n">
        <v>2.815</v>
      </c>
      <c r="O4498" s="4" t="n">
        <f aca="false">M4498*N4498</f>
        <v>56.3</v>
      </c>
    </row>
    <row r="4499" customFormat="false" ht="15" hidden="false" customHeight="false" outlineLevel="0" collapsed="false">
      <c r="A4499" s="0" t="s">
        <v>6094</v>
      </c>
      <c r="C4499" s="0" t="s">
        <v>35</v>
      </c>
      <c r="D4499" s="7" t="n">
        <v>23</v>
      </c>
      <c r="E4499" s="8" t="n">
        <v>1.46</v>
      </c>
      <c r="F4499" s="4" t="n">
        <f aca="false">D4499*E4499</f>
        <v>33.58</v>
      </c>
      <c r="G4499" s="7" t="n">
        <v>6</v>
      </c>
      <c r="H4499" s="9" t="n">
        <f aca="false">IF(G4499&gt;0,D4499/G4499,"")</f>
        <v>3.83333333333333</v>
      </c>
      <c r="I4499" s="10" t="n">
        <v>46049</v>
      </c>
      <c r="J4499" s="3" t="s">
        <v>6095</v>
      </c>
      <c r="K4499" s="10" t="n">
        <v>44694</v>
      </c>
      <c r="L4499" s="3" t="s">
        <v>154</v>
      </c>
      <c r="M4499" s="7" t="n">
        <v>50</v>
      </c>
      <c r="N4499" s="8" t="n">
        <v>1.46</v>
      </c>
      <c r="O4499" s="4" t="n">
        <f aca="false">M4499*N4499</f>
        <v>73</v>
      </c>
    </row>
    <row r="4500" customFormat="false" ht="15" hidden="false" customHeight="false" outlineLevel="0" collapsed="false">
      <c r="A4500" s="0" t="s">
        <v>6096</v>
      </c>
      <c r="C4500" s="0" t="s">
        <v>31</v>
      </c>
      <c r="D4500" s="7" t="n">
        <v>1687</v>
      </c>
      <c r="E4500" s="8" t="n">
        <v>0.0198992294013041</v>
      </c>
      <c r="F4500" s="4" t="n">
        <f aca="false">D4500*E4500</f>
        <v>33.57</v>
      </c>
      <c r="G4500" s="7" t="n">
        <v>173</v>
      </c>
      <c r="H4500" s="9" t="n">
        <f aca="false">IF(G4500&gt;0,D4500/G4500,"")</f>
        <v>9.7514450867052</v>
      </c>
      <c r="I4500" s="10" t="n">
        <v>46232</v>
      </c>
      <c r="J4500" s="3" t="s">
        <v>2716</v>
      </c>
      <c r="K4500" s="10" t="n">
        <v>46160</v>
      </c>
      <c r="L4500" s="3" t="s">
        <v>16</v>
      </c>
      <c r="M4500" s="7" t="n">
        <v>1700</v>
      </c>
      <c r="N4500" s="8" t="n">
        <v>0.0196</v>
      </c>
      <c r="O4500" s="4" t="n">
        <f aca="false">M4500*N4500</f>
        <v>33.32</v>
      </c>
    </row>
    <row r="4501" customFormat="false" ht="15" hidden="false" customHeight="false" outlineLevel="0" collapsed="false">
      <c r="A4501" s="0" t="s">
        <v>6097</v>
      </c>
      <c r="C4501" s="0" t="s">
        <v>36</v>
      </c>
      <c r="D4501" s="7" t="n">
        <v>786</v>
      </c>
      <c r="E4501" s="8" t="n">
        <v>0.0427099236641221</v>
      </c>
      <c r="F4501" s="4" t="n">
        <f aca="false">D4501*E4501</f>
        <v>33.57</v>
      </c>
      <c r="G4501" s="7" t="n">
        <v>99</v>
      </c>
      <c r="H4501" s="9" t="n">
        <f aca="false">IF(G4501&gt;0,D4501/G4501,"")</f>
        <v>7.93939393939394</v>
      </c>
      <c r="I4501" s="10" t="n">
        <v>46276</v>
      </c>
      <c r="J4501" s="3" t="s">
        <v>6080</v>
      </c>
      <c r="K4501" s="10" t="n">
        <v>45397</v>
      </c>
      <c r="L4501" s="3" t="s">
        <v>18</v>
      </c>
      <c r="M4501" s="7" t="n">
        <v>2300</v>
      </c>
      <c r="N4501" s="8" t="n">
        <v>0.0427</v>
      </c>
      <c r="O4501" s="4" t="n">
        <f aca="false">M4501*N4501</f>
        <v>98.21</v>
      </c>
    </row>
    <row r="4502" customFormat="false" ht="15" hidden="false" customHeight="false" outlineLevel="0" collapsed="false">
      <c r="A4502" s="0" t="s">
        <v>6098</v>
      </c>
      <c r="C4502" s="0" t="s">
        <v>38</v>
      </c>
      <c r="D4502" s="7" t="n">
        <v>1468</v>
      </c>
      <c r="E4502" s="8" t="n">
        <v>0.0228610354223433</v>
      </c>
      <c r="F4502" s="4" t="n">
        <f aca="false">D4502*E4502</f>
        <v>33.56</v>
      </c>
      <c r="G4502" s="7" t="n">
        <v>105</v>
      </c>
      <c r="H4502" s="9" t="n">
        <f aca="false">IF(G4502&gt;0,D4502/G4502,"")</f>
        <v>13.9809523809524</v>
      </c>
      <c r="I4502" s="10" t="n">
        <v>46268</v>
      </c>
      <c r="K4502" s="10"/>
      <c r="M4502" s="7"/>
      <c r="N4502" s="8"/>
      <c r="O4502" s="4"/>
    </row>
    <row r="4503" customFormat="false" ht="15" hidden="false" customHeight="false" outlineLevel="0" collapsed="false">
      <c r="A4503" s="0" t="s">
        <v>6099</v>
      </c>
      <c r="C4503" s="0" t="s">
        <v>679</v>
      </c>
      <c r="D4503" s="7" t="n">
        <v>61</v>
      </c>
      <c r="E4503" s="8" t="n">
        <v>0.55</v>
      </c>
      <c r="F4503" s="4" t="n">
        <f aca="false">D4503*E4503</f>
        <v>33.55</v>
      </c>
      <c r="G4503" s="7" t="n">
        <v>1</v>
      </c>
      <c r="H4503" s="9" t="n">
        <f aca="false">IF(G4503&gt;0,D4503/G4503,"")</f>
        <v>61</v>
      </c>
      <c r="I4503" s="10" t="n">
        <v>46202</v>
      </c>
      <c r="K4503" s="10"/>
      <c r="M4503" s="7"/>
      <c r="N4503" s="8"/>
      <c r="O4503" s="4"/>
    </row>
    <row r="4504" customFormat="false" ht="15" hidden="false" customHeight="false" outlineLevel="0" collapsed="false">
      <c r="A4504" s="0" t="s">
        <v>6100</v>
      </c>
      <c r="C4504" s="0" t="s">
        <v>1169</v>
      </c>
      <c r="D4504" s="7" t="n">
        <v>184</v>
      </c>
      <c r="E4504" s="8" t="n">
        <v>0.182336956521739</v>
      </c>
      <c r="F4504" s="4" t="n">
        <f aca="false">D4504*E4504</f>
        <v>33.55</v>
      </c>
      <c r="G4504" s="7" t="n">
        <v>20</v>
      </c>
      <c r="H4504" s="9" t="n">
        <f aca="false">IF(G4504&gt;0,D4504/G4504,"")</f>
        <v>9.2</v>
      </c>
      <c r="I4504" s="10" t="n">
        <v>46111</v>
      </c>
      <c r="K4504" s="10"/>
      <c r="M4504" s="7"/>
      <c r="N4504" s="8"/>
      <c r="O4504" s="4"/>
    </row>
    <row r="4505" customFormat="false" ht="15" hidden="false" customHeight="false" outlineLevel="0" collapsed="false">
      <c r="A4505" s="0" t="s">
        <v>6101</v>
      </c>
      <c r="C4505" s="0" t="s">
        <v>765</v>
      </c>
      <c r="D4505" s="7" t="n">
        <v>211</v>
      </c>
      <c r="E4505" s="8" t="n">
        <v>0.158720379146919</v>
      </c>
      <c r="F4505" s="4" t="n">
        <f aca="false">D4505*E4505</f>
        <v>33.49</v>
      </c>
      <c r="G4505" s="7" t="n">
        <v>43</v>
      </c>
      <c r="H4505" s="9" t="n">
        <f aca="false">IF(G4505&gt;0,D4505/G4505,"")</f>
        <v>4.90697674418605</v>
      </c>
      <c r="I4505" s="10" t="n">
        <v>46209</v>
      </c>
      <c r="J4505" s="3" t="s">
        <v>3830</v>
      </c>
      <c r="K4505" s="10" t="n">
        <v>46192</v>
      </c>
      <c r="L4505" s="3" t="s">
        <v>14</v>
      </c>
      <c r="M4505" s="7" t="n">
        <v>50</v>
      </c>
      <c r="N4505" s="8" t="n">
        <v>0.5448</v>
      </c>
      <c r="O4505" s="4" t="n">
        <f aca="false">M4505*N4505</f>
        <v>27.24</v>
      </c>
    </row>
    <row r="4506" customFormat="false" ht="15" hidden="false" customHeight="false" outlineLevel="0" collapsed="false">
      <c r="A4506" s="0" t="s">
        <v>6102</v>
      </c>
      <c r="C4506" s="0" t="s">
        <v>765</v>
      </c>
      <c r="D4506" s="7" t="n">
        <v>161</v>
      </c>
      <c r="E4506" s="8" t="n">
        <v>0.207826086956522</v>
      </c>
      <c r="F4506" s="4" t="n">
        <f aca="false">D4506*E4506</f>
        <v>33.46</v>
      </c>
      <c r="G4506" s="7" t="n">
        <v>40</v>
      </c>
      <c r="H4506" s="9" t="n">
        <f aca="false">IF(G4506&gt;0,D4506/G4506,"")</f>
        <v>4.025</v>
      </c>
      <c r="I4506" s="10" t="n">
        <v>46209</v>
      </c>
      <c r="J4506" s="3" t="s">
        <v>2716</v>
      </c>
      <c r="K4506" s="10" t="n">
        <v>46160</v>
      </c>
      <c r="L4506" s="3" t="s">
        <v>16</v>
      </c>
      <c r="M4506" s="7" t="n">
        <v>201</v>
      </c>
      <c r="N4506" s="8" t="n">
        <v>0.2078</v>
      </c>
      <c r="O4506" s="4" t="n">
        <f aca="false">M4506*N4506</f>
        <v>41.7678</v>
      </c>
    </row>
    <row r="4507" customFormat="false" ht="15" hidden="false" customHeight="false" outlineLevel="0" collapsed="false">
      <c r="A4507" s="0" t="s">
        <v>6103</v>
      </c>
      <c r="C4507" s="0" t="s">
        <v>37</v>
      </c>
      <c r="D4507" s="7" t="n">
        <v>681</v>
      </c>
      <c r="E4507" s="8" t="n">
        <v>0.0491336270190896</v>
      </c>
      <c r="F4507" s="4" t="n">
        <f aca="false">D4507*E4507</f>
        <v>33.46</v>
      </c>
      <c r="G4507" s="7" t="n">
        <v>13</v>
      </c>
      <c r="H4507" s="9" t="n">
        <f aca="false">IF(G4507&gt;0,D4507/G4507,"")</f>
        <v>52.3846153846154</v>
      </c>
      <c r="I4507" s="10" t="n">
        <v>46111</v>
      </c>
      <c r="J4507" s="3" t="s">
        <v>907</v>
      </c>
      <c r="K4507" s="10" t="n">
        <v>45359</v>
      </c>
      <c r="L4507" s="3" t="s">
        <v>15</v>
      </c>
      <c r="M4507" s="7" t="n">
        <v>1220</v>
      </c>
      <c r="N4507" s="8" t="n">
        <v>0.04913</v>
      </c>
      <c r="O4507" s="4" t="n">
        <f aca="false">M4507*N4507</f>
        <v>59.9386</v>
      </c>
    </row>
    <row r="4508" customFormat="false" ht="15" hidden="false" customHeight="false" outlineLevel="0" collapsed="false">
      <c r="A4508" s="0" t="s">
        <v>6104</v>
      </c>
      <c r="C4508" s="0" t="s">
        <v>370</v>
      </c>
      <c r="D4508" s="7" t="n">
        <v>33</v>
      </c>
      <c r="E4508" s="8" t="n">
        <v>1.01363636363636</v>
      </c>
      <c r="F4508" s="4" t="n">
        <f aca="false">D4508*E4508</f>
        <v>33.45</v>
      </c>
      <c r="G4508" s="7" t="n">
        <v>2</v>
      </c>
      <c r="H4508" s="9" t="n">
        <f aca="false">IF(G4508&gt;0,D4508/G4508,"")</f>
        <v>16.5</v>
      </c>
      <c r="I4508" s="10" t="n">
        <v>46078</v>
      </c>
      <c r="J4508" s="3" t="s">
        <v>6105</v>
      </c>
      <c r="K4508" s="10" t="n">
        <v>46070</v>
      </c>
      <c r="L4508" s="3" t="s">
        <v>19</v>
      </c>
      <c r="M4508" s="7" t="n">
        <v>35</v>
      </c>
      <c r="N4508" s="8" t="n">
        <v>1.0138</v>
      </c>
      <c r="O4508" s="4" t="n">
        <f aca="false">M4508*N4508</f>
        <v>35.483</v>
      </c>
    </row>
    <row r="4509" customFormat="false" ht="15" hidden="false" customHeight="false" outlineLevel="0" collapsed="false">
      <c r="A4509" s="0" t="s">
        <v>6106</v>
      </c>
      <c r="C4509" s="0" t="s">
        <v>31</v>
      </c>
      <c r="D4509" s="7" t="n">
        <v>751</v>
      </c>
      <c r="E4509" s="8" t="n">
        <v>0.0445272969374168</v>
      </c>
      <c r="F4509" s="4" t="n">
        <f aca="false">D4509*E4509</f>
        <v>33.44</v>
      </c>
      <c r="G4509" s="7" t="n">
        <v>10</v>
      </c>
      <c r="H4509" s="9" t="n">
        <f aca="false">IF(G4509&gt;0,D4509/G4509,"")</f>
        <v>75.1</v>
      </c>
      <c r="I4509" s="10" t="n">
        <v>46034</v>
      </c>
      <c r="K4509" s="10"/>
      <c r="M4509" s="7"/>
      <c r="N4509" s="8"/>
      <c r="O4509" s="4"/>
    </row>
    <row r="4510" customFormat="false" ht="15" hidden="false" customHeight="false" outlineLevel="0" collapsed="false">
      <c r="A4510" s="0" t="s">
        <v>6107</v>
      </c>
      <c r="C4510" s="0" t="s">
        <v>1039</v>
      </c>
      <c r="D4510" s="7" t="n">
        <v>9550</v>
      </c>
      <c r="E4510" s="8" t="n">
        <v>0.00349947643979058</v>
      </c>
      <c r="F4510" s="4" t="n">
        <f aca="false">D4510*E4510</f>
        <v>33.42</v>
      </c>
      <c r="G4510" s="7" t="n">
        <v>450</v>
      </c>
      <c r="H4510" s="9" t="n">
        <f aca="false">IF(G4510&gt;0,D4510/G4510,"")</f>
        <v>21.2222222222222</v>
      </c>
      <c r="I4510" s="10" t="n">
        <v>46304</v>
      </c>
      <c r="J4510" s="3" t="s">
        <v>6108</v>
      </c>
      <c r="K4510" s="10" t="n">
        <v>46209</v>
      </c>
      <c r="L4510" s="3" t="s">
        <v>16</v>
      </c>
      <c r="M4510" s="7" t="n">
        <v>16500</v>
      </c>
      <c r="N4510" s="8" t="n">
        <v>0.0035</v>
      </c>
      <c r="O4510" s="4" t="n">
        <f aca="false">M4510*N4510</f>
        <v>57.75</v>
      </c>
    </row>
    <row r="4511" customFormat="false" ht="15" hidden="false" customHeight="false" outlineLevel="0" collapsed="false">
      <c r="A4511" s="0" t="s">
        <v>6109</v>
      </c>
      <c r="C4511" s="0" t="s">
        <v>855</v>
      </c>
      <c r="D4511" s="7" t="n">
        <v>1440</v>
      </c>
      <c r="E4511" s="8" t="n">
        <v>0.0232013888888889</v>
      </c>
      <c r="F4511" s="4" t="n">
        <f aca="false">D4511*E4511</f>
        <v>33.41</v>
      </c>
      <c r="G4511" s="7" t="n">
        <v>697</v>
      </c>
      <c r="H4511" s="9" t="n">
        <f aca="false">IF(G4511&gt;0,D4511/G4511,"")</f>
        <v>2.06599713055954</v>
      </c>
      <c r="I4511" s="10" t="n">
        <v>46157</v>
      </c>
      <c r="J4511" s="3" t="s">
        <v>6110</v>
      </c>
      <c r="K4511" s="10" t="n">
        <v>44999</v>
      </c>
      <c r="L4511" s="3" t="s">
        <v>19</v>
      </c>
      <c r="M4511" s="7" t="n">
        <v>2500</v>
      </c>
      <c r="N4511" s="8" t="n">
        <v>0.0232</v>
      </c>
      <c r="O4511" s="4" t="n">
        <f aca="false">M4511*N4511</f>
        <v>58</v>
      </c>
    </row>
    <row r="4512" customFormat="false" ht="15" hidden="false" customHeight="false" outlineLevel="0" collapsed="false">
      <c r="A4512" s="0" t="s">
        <v>6111</v>
      </c>
      <c r="C4512" s="0" t="s">
        <v>1169</v>
      </c>
      <c r="D4512" s="7" t="n">
        <v>135</v>
      </c>
      <c r="E4512" s="8" t="n">
        <v>0.247481481481482</v>
      </c>
      <c r="F4512" s="4" t="n">
        <f aca="false">D4512*E4512</f>
        <v>33.41</v>
      </c>
      <c r="G4512" s="7" t="n">
        <v>100</v>
      </c>
      <c r="H4512" s="9" t="n">
        <f aca="false">IF(G4512&gt;0,D4512/G4512,"")</f>
        <v>1.35</v>
      </c>
      <c r="I4512" s="10" t="n">
        <v>46192</v>
      </c>
      <c r="J4512" s="3" t="s">
        <v>345</v>
      </c>
      <c r="K4512" s="10" t="n">
        <v>46183</v>
      </c>
      <c r="L4512" s="3" t="s">
        <v>14</v>
      </c>
      <c r="M4512" s="7" t="n">
        <v>200</v>
      </c>
      <c r="N4512" s="8" t="n">
        <v>0.2283</v>
      </c>
      <c r="O4512" s="4" t="n">
        <f aca="false">M4512*N4512</f>
        <v>45.66</v>
      </c>
    </row>
    <row r="4513" customFormat="false" ht="15" hidden="false" customHeight="false" outlineLevel="0" collapsed="false">
      <c r="A4513" s="0" t="s">
        <v>6112</v>
      </c>
      <c r="C4513" s="0" t="s">
        <v>31</v>
      </c>
      <c r="D4513" s="7" t="n">
        <v>1347</v>
      </c>
      <c r="E4513" s="8" t="n">
        <v>0.0247958426132146</v>
      </c>
      <c r="F4513" s="4" t="n">
        <f aca="false">D4513*E4513</f>
        <v>33.4</v>
      </c>
      <c r="G4513" s="7" t="n">
        <v>1113</v>
      </c>
      <c r="H4513" s="9" t="n">
        <f aca="false">IF(G4513&gt;0,D4513/G4513,"")</f>
        <v>1.21024258760108</v>
      </c>
      <c r="I4513" s="10" t="n">
        <v>46177</v>
      </c>
      <c r="J4513" s="3" t="s">
        <v>478</v>
      </c>
      <c r="K4513" s="10" t="n">
        <v>46185</v>
      </c>
      <c r="L4513" s="3" t="s">
        <v>16</v>
      </c>
      <c r="M4513" s="7" t="n">
        <v>1300</v>
      </c>
      <c r="N4513" s="8" t="n">
        <v>0.0245</v>
      </c>
      <c r="O4513" s="4" t="n">
        <f aca="false">M4513*N4513</f>
        <v>31.85</v>
      </c>
    </row>
    <row r="4514" customFormat="false" ht="15" hidden="false" customHeight="false" outlineLevel="0" collapsed="false">
      <c r="A4514" s="0" t="s">
        <v>6113</v>
      </c>
      <c r="C4514" s="0" t="s">
        <v>31</v>
      </c>
      <c r="D4514" s="7" t="n">
        <v>749</v>
      </c>
      <c r="E4514" s="8" t="n">
        <v>0.0445794392523365</v>
      </c>
      <c r="F4514" s="4" t="n">
        <f aca="false">D4514*E4514</f>
        <v>33.39</v>
      </c>
      <c r="G4514" s="7" t="n">
        <v>25</v>
      </c>
      <c r="H4514" s="9" t="n">
        <f aca="false">IF(G4514&gt;0,D4514/G4514,"")</f>
        <v>29.96</v>
      </c>
      <c r="I4514" s="10" t="n">
        <v>46217</v>
      </c>
      <c r="K4514" s="10"/>
      <c r="M4514" s="7"/>
      <c r="N4514" s="8"/>
      <c r="O4514" s="4"/>
    </row>
    <row r="4515" customFormat="false" ht="15" hidden="false" customHeight="false" outlineLevel="0" collapsed="false">
      <c r="A4515" s="0" t="s">
        <v>6114</v>
      </c>
      <c r="C4515" s="0" t="s">
        <v>1169</v>
      </c>
      <c r="D4515" s="7" t="n">
        <v>98</v>
      </c>
      <c r="E4515" s="8" t="n">
        <v>0.340102040816327</v>
      </c>
      <c r="F4515" s="4" t="n">
        <f aca="false">D4515*E4515</f>
        <v>33.33</v>
      </c>
      <c r="G4515" s="7" t="n">
        <v>40</v>
      </c>
      <c r="H4515" s="9" t="n">
        <f aca="false">IF(G4515&gt;0,D4515/G4515,"")</f>
        <v>2.45</v>
      </c>
      <c r="I4515" s="10" t="n">
        <v>46239</v>
      </c>
      <c r="J4515" s="3" t="s">
        <v>2873</v>
      </c>
      <c r="K4515" s="10" t="n">
        <v>45013</v>
      </c>
      <c r="L4515" s="3" t="s">
        <v>2203</v>
      </c>
      <c r="M4515" s="7" t="n">
        <v>224</v>
      </c>
      <c r="N4515" s="8" t="n">
        <v>0.3402</v>
      </c>
      <c r="O4515" s="4" t="n">
        <f aca="false">M4515*N4515</f>
        <v>76.2048</v>
      </c>
    </row>
    <row r="4516" customFormat="false" ht="15" hidden="false" customHeight="false" outlineLevel="0" collapsed="false">
      <c r="A4516" s="0" t="s">
        <v>6115</v>
      </c>
      <c r="C4516" s="0" t="s">
        <v>41</v>
      </c>
      <c r="D4516" s="7" t="n">
        <v>3945</v>
      </c>
      <c r="E4516" s="8" t="n">
        <v>0.00844866920152091</v>
      </c>
      <c r="F4516" s="4" t="n">
        <f aca="false">D4516*E4516</f>
        <v>33.33</v>
      </c>
      <c r="G4516" s="7" t="n">
        <v>3090</v>
      </c>
      <c r="H4516" s="9" t="n">
        <f aca="false">IF(G4516&gt;0,D4516/G4516,"")</f>
        <v>1.27669902912621</v>
      </c>
      <c r="I4516" s="10" t="n">
        <v>46246</v>
      </c>
      <c r="J4516" s="3" t="s">
        <v>6116</v>
      </c>
      <c r="K4516" s="10" t="n">
        <v>44676</v>
      </c>
      <c r="L4516" s="3" t="s">
        <v>19</v>
      </c>
      <c r="M4516" s="7" t="n">
        <v>11646</v>
      </c>
      <c r="N4516" s="8" t="n">
        <v>0</v>
      </c>
      <c r="O4516" s="4" t="n">
        <v>145</v>
      </c>
    </row>
    <row r="4517" customFormat="false" ht="15" hidden="false" customHeight="false" outlineLevel="0" collapsed="false">
      <c r="A4517" s="0" t="s">
        <v>6117</v>
      </c>
      <c r="C4517" s="0" t="s">
        <v>36</v>
      </c>
      <c r="D4517" s="7" t="n">
        <v>1092</v>
      </c>
      <c r="E4517" s="8" t="n">
        <v>0.030503663003663</v>
      </c>
      <c r="F4517" s="4" t="n">
        <f aca="false">D4517*E4517</f>
        <v>33.31</v>
      </c>
      <c r="G4517" s="7" t="n">
        <v>751</v>
      </c>
      <c r="H4517" s="9" t="n">
        <f aca="false">IF(G4517&gt;0,D4517/G4517,"")</f>
        <v>1.45406125166445</v>
      </c>
      <c r="I4517" s="10" t="n">
        <v>46241</v>
      </c>
      <c r="J4517" s="3" t="s">
        <v>3815</v>
      </c>
      <c r="K4517" s="10" t="n">
        <v>45260</v>
      </c>
      <c r="L4517" s="3" t="s">
        <v>18</v>
      </c>
      <c r="M4517" s="7" t="n">
        <v>3300</v>
      </c>
      <c r="N4517" s="8" t="n">
        <v>0.0305</v>
      </c>
      <c r="O4517" s="4" t="n">
        <f aca="false">M4517*N4517</f>
        <v>100.65</v>
      </c>
    </row>
    <row r="4518" customFormat="false" ht="15" hidden="false" customHeight="false" outlineLevel="0" collapsed="false">
      <c r="A4518" s="0" t="s">
        <v>6118</v>
      </c>
      <c r="C4518" s="0" t="s">
        <v>32</v>
      </c>
      <c r="D4518" s="7" t="n">
        <v>102</v>
      </c>
      <c r="E4518" s="8" t="n">
        <v>0.326372549019608</v>
      </c>
      <c r="F4518" s="4" t="n">
        <f aca="false">D4518*E4518</f>
        <v>33.29</v>
      </c>
      <c r="G4518" s="7" t="n">
        <v>26</v>
      </c>
      <c r="H4518" s="9" t="n">
        <f aca="false">IF(G4518&gt;0,D4518/G4518,"")</f>
        <v>3.92307692307692</v>
      </c>
      <c r="I4518" s="10" t="n">
        <v>46141</v>
      </c>
      <c r="J4518" s="3" t="s">
        <v>6119</v>
      </c>
      <c r="K4518" s="10" t="n">
        <v>44999</v>
      </c>
      <c r="L4518" s="3" t="s">
        <v>18</v>
      </c>
      <c r="M4518" s="7" t="n">
        <v>270</v>
      </c>
      <c r="N4518" s="8" t="n">
        <v>0.3264</v>
      </c>
      <c r="O4518" s="4" t="n">
        <f aca="false">M4518*N4518</f>
        <v>88.128</v>
      </c>
    </row>
    <row r="4519" customFormat="false" ht="15" hidden="false" customHeight="false" outlineLevel="0" collapsed="false">
      <c r="A4519" s="0" t="s">
        <v>6120</v>
      </c>
      <c r="C4519" s="0" t="s">
        <v>934</v>
      </c>
      <c r="D4519" s="7" t="n">
        <v>70</v>
      </c>
      <c r="E4519" s="8" t="n">
        <v>0.475</v>
      </c>
      <c r="F4519" s="4" t="n">
        <f aca="false">D4519*E4519</f>
        <v>33.25</v>
      </c>
      <c r="G4519" s="7" t="n">
        <v>46</v>
      </c>
      <c r="H4519" s="9" t="n">
        <f aca="false">IF(G4519&gt;0,D4519/G4519,"")</f>
        <v>1.52173913043478</v>
      </c>
      <c r="I4519" s="10" t="n">
        <v>46232</v>
      </c>
      <c r="K4519" s="10"/>
      <c r="M4519" s="7"/>
      <c r="N4519" s="8"/>
      <c r="O4519" s="4"/>
    </row>
    <row r="4520" customFormat="false" ht="15" hidden="false" customHeight="false" outlineLevel="0" collapsed="false">
      <c r="A4520" s="0" t="s">
        <v>6121</v>
      </c>
      <c r="C4520" s="0" t="s">
        <v>609</v>
      </c>
      <c r="D4520" s="7" t="n">
        <v>22</v>
      </c>
      <c r="E4520" s="8" t="n">
        <v>1.51</v>
      </c>
      <c r="F4520" s="4" t="n">
        <f aca="false">D4520*E4520</f>
        <v>33.22</v>
      </c>
      <c r="G4520" s="7" t="n">
        <v>7</v>
      </c>
      <c r="H4520" s="9" t="n">
        <f aca="false">IF(G4520&gt;0,D4520/G4520,"")</f>
        <v>3.14285714285714</v>
      </c>
      <c r="I4520" s="10" t="n">
        <v>46293</v>
      </c>
      <c r="K4520" s="10"/>
      <c r="M4520" s="7"/>
      <c r="N4520" s="8"/>
      <c r="O4520" s="4"/>
    </row>
    <row r="4521" customFormat="false" ht="15" hidden="false" customHeight="false" outlineLevel="0" collapsed="false">
      <c r="A4521" s="0" t="s">
        <v>6122</v>
      </c>
      <c r="C4521" s="0" t="s">
        <v>765</v>
      </c>
      <c r="D4521" s="7" t="n">
        <v>338</v>
      </c>
      <c r="E4521" s="8" t="n">
        <v>0.0981656804733728</v>
      </c>
      <c r="F4521" s="4" t="n">
        <f aca="false">D4521*E4521</f>
        <v>33.18</v>
      </c>
      <c r="G4521" s="7" t="n">
        <v>64</v>
      </c>
      <c r="H4521" s="9" t="n">
        <f aca="false">IF(G4521&gt;0,D4521/G4521,"")</f>
        <v>5.28125</v>
      </c>
      <c r="I4521" s="10" t="n">
        <v>46251</v>
      </c>
      <c r="J4521" s="3" t="s">
        <v>6123</v>
      </c>
      <c r="K4521" s="10" t="n">
        <v>45065</v>
      </c>
      <c r="L4521" s="3" t="s">
        <v>14</v>
      </c>
      <c r="M4521" s="7" t="n">
        <v>2500</v>
      </c>
      <c r="N4521" s="8" t="n">
        <v>0.0981</v>
      </c>
      <c r="O4521" s="4" t="n">
        <f aca="false">M4521*N4521</f>
        <v>245.25</v>
      </c>
    </row>
    <row r="4522" customFormat="false" ht="15" hidden="false" customHeight="false" outlineLevel="0" collapsed="false">
      <c r="A4522" s="0" t="s">
        <v>6124</v>
      </c>
      <c r="C4522" s="0" t="s">
        <v>3463</v>
      </c>
      <c r="D4522" s="7" t="n">
        <v>46</v>
      </c>
      <c r="E4522" s="8" t="n">
        <v>0.721304347826087</v>
      </c>
      <c r="F4522" s="4" t="n">
        <f aca="false">D4522*E4522</f>
        <v>33.18</v>
      </c>
      <c r="G4522" s="7" t="n">
        <v>4</v>
      </c>
      <c r="H4522" s="9" t="n">
        <f aca="false">IF(G4522&gt;0,D4522/G4522,"")</f>
        <v>11.5</v>
      </c>
      <c r="I4522" s="10" t="n">
        <v>46036</v>
      </c>
      <c r="J4522" s="3" t="s">
        <v>6125</v>
      </c>
      <c r="K4522" s="10" t="n">
        <v>46028</v>
      </c>
      <c r="L4522" s="3" t="s">
        <v>19</v>
      </c>
      <c r="M4522" s="7" t="n">
        <v>50</v>
      </c>
      <c r="N4522" s="8" t="n">
        <v>0.7211</v>
      </c>
      <c r="O4522" s="4" t="n">
        <f aca="false">M4522*N4522</f>
        <v>36.055</v>
      </c>
    </row>
    <row r="4523" customFormat="false" ht="15" hidden="false" customHeight="false" outlineLevel="0" collapsed="false">
      <c r="A4523" s="0" t="s">
        <v>6126</v>
      </c>
      <c r="C4523" s="0" t="s">
        <v>35</v>
      </c>
      <c r="D4523" s="7" t="n">
        <v>10</v>
      </c>
      <c r="E4523" s="8" t="n">
        <v>3.317</v>
      </c>
      <c r="F4523" s="4" t="n">
        <f aca="false">D4523*E4523</f>
        <v>33.17</v>
      </c>
      <c r="G4523" s="7" t="n">
        <v>4</v>
      </c>
      <c r="H4523" s="9" t="n">
        <f aca="false">IF(G4523&gt;0,D4523/G4523,"")</f>
        <v>2.5</v>
      </c>
      <c r="I4523" s="10" t="n">
        <v>46104</v>
      </c>
      <c r="J4523" s="3" t="s">
        <v>4580</v>
      </c>
      <c r="K4523" s="10" t="n">
        <v>45215</v>
      </c>
      <c r="L4523" s="3" t="s">
        <v>14</v>
      </c>
      <c r="M4523" s="7" t="n">
        <v>25</v>
      </c>
      <c r="N4523" s="8" t="n">
        <v>3.3172</v>
      </c>
      <c r="O4523" s="4" t="n">
        <f aca="false">M4523*N4523</f>
        <v>82.93</v>
      </c>
    </row>
    <row r="4524" customFormat="false" ht="15" hidden="false" customHeight="false" outlineLevel="0" collapsed="false">
      <c r="A4524" s="0" t="s">
        <v>6127</v>
      </c>
      <c r="C4524" s="0" t="s">
        <v>583</v>
      </c>
      <c r="D4524" s="7" t="n">
        <v>816</v>
      </c>
      <c r="E4524" s="8" t="n">
        <v>0.040625</v>
      </c>
      <c r="F4524" s="4" t="n">
        <f aca="false">D4524*E4524</f>
        <v>33.15</v>
      </c>
      <c r="G4524" s="7" t="n">
        <v>244</v>
      </c>
      <c r="H4524" s="9" t="n">
        <f aca="false">IF(G4524&gt;0,D4524/G4524,"")</f>
        <v>3.34426229508197</v>
      </c>
      <c r="I4524" s="10" t="n">
        <v>46310</v>
      </c>
      <c r="J4524" s="3" t="s">
        <v>3821</v>
      </c>
      <c r="K4524" s="10" t="n">
        <v>45980</v>
      </c>
      <c r="L4524" s="3" t="s">
        <v>19</v>
      </c>
      <c r="M4524" s="7" t="n">
        <v>100</v>
      </c>
      <c r="N4524" s="8" t="n">
        <v>0.15</v>
      </c>
      <c r="O4524" s="4" t="n">
        <f aca="false">M4524*N4524</f>
        <v>15</v>
      </c>
    </row>
    <row r="4525" customFormat="false" ht="15" hidden="false" customHeight="false" outlineLevel="0" collapsed="false">
      <c r="A4525" s="0" t="s">
        <v>6128</v>
      </c>
      <c r="C4525" s="0" t="s">
        <v>715</v>
      </c>
      <c r="D4525" s="7" t="n">
        <v>600</v>
      </c>
      <c r="E4525" s="8" t="n">
        <v>0.0552</v>
      </c>
      <c r="F4525" s="4" t="n">
        <f aca="false">D4525*E4525</f>
        <v>33.12</v>
      </c>
      <c r="G4525" s="7" t="n">
        <v>400</v>
      </c>
      <c r="H4525" s="9" t="n">
        <f aca="false">IF(G4525&gt;0,D4525/G4525,"")</f>
        <v>1.5</v>
      </c>
      <c r="I4525" s="10" t="n">
        <v>46275</v>
      </c>
      <c r="J4525" s="3" t="s">
        <v>1035</v>
      </c>
      <c r="K4525" s="10" t="n">
        <v>46251</v>
      </c>
      <c r="L4525" s="3" t="s">
        <v>16</v>
      </c>
      <c r="M4525" s="7" t="n">
        <v>1000</v>
      </c>
      <c r="N4525" s="8" t="n">
        <v>0.0552</v>
      </c>
      <c r="O4525" s="4" t="n">
        <f aca="false">M4525*N4525</f>
        <v>55.2</v>
      </c>
    </row>
    <row r="4526" customFormat="false" ht="15" hidden="false" customHeight="false" outlineLevel="0" collapsed="false">
      <c r="A4526" s="0" t="s">
        <v>6129</v>
      </c>
      <c r="C4526" s="0" t="s">
        <v>31</v>
      </c>
      <c r="D4526" s="7" t="n">
        <v>333</v>
      </c>
      <c r="E4526" s="8" t="n">
        <v>0.0994594594594595</v>
      </c>
      <c r="F4526" s="4" t="n">
        <f aca="false">D4526*E4526</f>
        <v>33.12</v>
      </c>
      <c r="G4526" s="7" t="n">
        <v>12</v>
      </c>
      <c r="H4526" s="9" t="n">
        <f aca="false">IF(G4526&gt;0,D4526/G4526,"")</f>
        <v>27.75</v>
      </c>
      <c r="I4526" s="10" t="n">
        <v>46203</v>
      </c>
      <c r="J4526" s="3" t="s">
        <v>2712</v>
      </c>
      <c r="K4526" s="10" t="n">
        <v>45463</v>
      </c>
      <c r="L4526" s="3" t="s">
        <v>19</v>
      </c>
      <c r="M4526" s="7" t="n">
        <v>100</v>
      </c>
      <c r="N4526" s="8" t="n">
        <v>0.1826</v>
      </c>
      <c r="O4526" s="4" t="n">
        <f aca="false">M4526*N4526</f>
        <v>18.26</v>
      </c>
    </row>
    <row r="4527" customFormat="false" ht="15" hidden="false" customHeight="false" outlineLevel="0" collapsed="false">
      <c r="A4527" s="0" t="s">
        <v>6130</v>
      </c>
      <c r="C4527" s="0" t="s">
        <v>1039</v>
      </c>
      <c r="D4527" s="7" t="n">
        <v>5606</v>
      </c>
      <c r="E4527" s="8" t="n">
        <v>0.00590617195861577</v>
      </c>
      <c r="F4527" s="4" t="n">
        <f aca="false">D4527*E4527</f>
        <v>33.11</v>
      </c>
      <c r="G4527" s="7" t="n">
        <v>2241</v>
      </c>
      <c r="H4527" s="9" t="n">
        <f aca="false">IF(G4527&gt;0,D4527/G4527,"")</f>
        <v>2.50156180276662</v>
      </c>
      <c r="I4527" s="10" t="n">
        <v>46269</v>
      </c>
      <c r="K4527" s="10"/>
      <c r="M4527" s="7"/>
      <c r="N4527" s="8"/>
      <c r="O4527" s="4"/>
    </row>
    <row r="4528" customFormat="false" ht="15" hidden="false" customHeight="false" outlineLevel="0" collapsed="false">
      <c r="A4528" s="0" t="s">
        <v>6131</v>
      </c>
      <c r="C4528" s="0" t="s">
        <v>38</v>
      </c>
      <c r="D4528" s="7" t="n">
        <v>4754</v>
      </c>
      <c r="E4528" s="8" t="n">
        <v>0.0069625578460244</v>
      </c>
      <c r="F4528" s="4" t="n">
        <f aca="false">D4528*E4528</f>
        <v>33.1</v>
      </c>
      <c r="G4528" s="7" t="n">
        <v>3051</v>
      </c>
      <c r="H4528" s="9" t="n">
        <f aca="false">IF(G4528&gt;0,D4528/G4528,"")</f>
        <v>1.55817764667322</v>
      </c>
      <c r="I4528" s="10" t="n">
        <v>46255</v>
      </c>
      <c r="J4528" s="3" t="s">
        <v>2342</v>
      </c>
      <c r="K4528" s="10" t="n">
        <v>46290</v>
      </c>
      <c r="L4528" s="3" t="s">
        <v>15</v>
      </c>
      <c r="M4528" s="7" t="n">
        <v>26000</v>
      </c>
      <c r="N4528" s="8" t="n">
        <v>0.00769</v>
      </c>
      <c r="O4528" s="4" t="n">
        <f aca="false">M4528*N4528</f>
        <v>199.94</v>
      </c>
    </row>
    <row r="4529" customFormat="false" ht="15" hidden="false" customHeight="false" outlineLevel="0" collapsed="false">
      <c r="A4529" s="0" t="s">
        <v>6132</v>
      </c>
      <c r="C4529" s="0" t="s">
        <v>38</v>
      </c>
      <c r="D4529" s="7" t="n">
        <v>1723</v>
      </c>
      <c r="E4529" s="8" t="n">
        <v>0.0191990713871155</v>
      </c>
      <c r="F4529" s="4" t="n">
        <f aca="false">D4529*E4529</f>
        <v>33.08</v>
      </c>
      <c r="G4529" s="7" t="n">
        <v>19</v>
      </c>
      <c r="H4529" s="9" t="n">
        <f aca="false">IF(G4529&gt;0,D4529/G4529,"")</f>
        <v>90.6842105263158</v>
      </c>
      <c r="I4529" s="10" t="n">
        <v>46269</v>
      </c>
      <c r="J4529" s="3" t="s">
        <v>3621</v>
      </c>
      <c r="K4529" s="10" t="n">
        <v>45722</v>
      </c>
      <c r="L4529" s="3" t="s">
        <v>28</v>
      </c>
      <c r="M4529" s="7" t="n">
        <v>11535</v>
      </c>
      <c r="N4529" s="8" t="n">
        <v>0.0413</v>
      </c>
      <c r="O4529" s="4" t="n">
        <f aca="false">M4529*N4529</f>
        <v>476.3955</v>
      </c>
    </row>
    <row r="4530" customFormat="false" ht="15" hidden="false" customHeight="false" outlineLevel="0" collapsed="false">
      <c r="A4530" s="0" t="s">
        <v>6133</v>
      </c>
      <c r="C4530" s="0" t="s">
        <v>765</v>
      </c>
      <c r="D4530" s="7" t="n">
        <v>293</v>
      </c>
      <c r="E4530" s="8" t="n">
        <v>0.112832764505119</v>
      </c>
      <c r="F4530" s="4" t="n">
        <f aca="false">D4530*E4530</f>
        <v>33.06</v>
      </c>
      <c r="G4530" s="7" t="n">
        <v>121</v>
      </c>
      <c r="H4530" s="9" t="n">
        <f aca="false">IF(G4530&gt;0,D4530/G4530,"")</f>
        <v>2.42148760330579</v>
      </c>
      <c r="I4530" s="10" t="n">
        <v>46260</v>
      </c>
      <c r="J4530" s="3" t="s">
        <v>6134</v>
      </c>
      <c r="K4530" s="10" t="n">
        <v>44608</v>
      </c>
      <c r="L4530" s="3" t="s">
        <v>14</v>
      </c>
      <c r="M4530" s="7" t="n">
        <v>999</v>
      </c>
      <c r="N4530" s="8" t="n">
        <v>0.1128</v>
      </c>
      <c r="O4530" s="4" t="n">
        <f aca="false">M4530*N4530</f>
        <v>112.6872</v>
      </c>
    </row>
    <row r="4531" customFormat="false" ht="15" hidden="false" customHeight="false" outlineLevel="0" collapsed="false">
      <c r="A4531" s="0" t="s">
        <v>6135</v>
      </c>
      <c r="C4531" s="0" t="s">
        <v>1039</v>
      </c>
      <c r="D4531" s="7" t="n">
        <v>21</v>
      </c>
      <c r="E4531" s="8" t="n">
        <v>1.57380952380952</v>
      </c>
      <c r="F4531" s="4" t="n">
        <f aca="false">D4531*E4531</f>
        <v>33.05</v>
      </c>
      <c r="G4531" s="7" t="n">
        <v>4</v>
      </c>
      <c r="H4531" s="9" t="n">
        <f aca="false">IF(G4531&gt;0,D4531/G4531,"")</f>
        <v>5.25</v>
      </c>
      <c r="I4531" s="10" t="n">
        <v>46315</v>
      </c>
      <c r="J4531" s="3" t="s">
        <v>6136</v>
      </c>
      <c r="K4531" s="10" t="n">
        <v>46310</v>
      </c>
      <c r="L4531" s="3" t="s">
        <v>19</v>
      </c>
      <c r="M4531" s="7" t="n">
        <v>25</v>
      </c>
      <c r="N4531" s="8" t="n">
        <v>1.5738</v>
      </c>
      <c r="O4531" s="4" t="n">
        <f aca="false">M4531*N4531</f>
        <v>39.345</v>
      </c>
    </row>
    <row r="4532" customFormat="false" ht="15" hidden="false" customHeight="false" outlineLevel="0" collapsed="false">
      <c r="A4532" s="0" t="s">
        <v>6137</v>
      </c>
      <c r="C4532" s="0" t="s">
        <v>31</v>
      </c>
      <c r="D4532" s="7" t="n">
        <v>514</v>
      </c>
      <c r="E4532" s="8" t="n">
        <v>0.0642801556420233</v>
      </c>
      <c r="F4532" s="4" t="n">
        <f aca="false">D4532*E4532</f>
        <v>33.04</v>
      </c>
      <c r="G4532" s="7" t="n">
        <v>80</v>
      </c>
      <c r="H4532" s="9" t="n">
        <f aca="false">IF(G4532&gt;0,D4532/G4532,"")</f>
        <v>6.425</v>
      </c>
      <c r="I4532" s="10" t="n">
        <v>46279</v>
      </c>
      <c r="K4532" s="10"/>
      <c r="M4532" s="7"/>
      <c r="N4532" s="8"/>
      <c r="O4532" s="4"/>
    </row>
    <row r="4533" customFormat="false" ht="15" hidden="false" customHeight="false" outlineLevel="0" collapsed="false">
      <c r="A4533" s="0" t="s">
        <v>6138</v>
      </c>
      <c r="C4533" s="0" t="s">
        <v>1039</v>
      </c>
      <c r="D4533" s="7" t="n">
        <v>2373</v>
      </c>
      <c r="E4533" s="8" t="n">
        <v>0.0139022334597556</v>
      </c>
      <c r="F4533" s="4" t="n">
        <f aca="false">D4533*E4533</f>
        <v>32.99</v>
      </c>
      <c r="G4533" s="7" t="n">
        <v>1175</v>
      </c>
      <c r="H4533" s="9" t="n">
        <f aca="false">IF(G4533&gt;0,D4533/G4533,"")</f>
        <v>2.01957446808511</v>
      </c>
      <c r="I4533" s="10" t="n">
        <v>46309</v>
      </c>
      <c r="J4533" s="3" t="s">
        <v>6139</v>
      </c>
      <c r="K4533" s="10" t="n">
        <v>45058</v>
      </c>
      <c r="L4533" s="3" t="s">
        <v>19</v>
      </c>
      <c r="M4533" s="7" t="n">
        <v>11000</v>
      </c>
      <c r="N4533" s="8" t="n">
        <v>0.0139</v>
      </c>
      <c r="O4533" s="4" t="n">
        <f aca="false">M4533*N4533</f>
        <v>152.9</v>
      </c>
    </row>
    <row r="4534" customFormat="false" ht="15" hidden="false" customHeight="false" outlineLevel="0" collapsed="false">
      <c r="A4534" s="0" t="s">
        <v>6140</v>
      </c>
      <c r="C4534" s="0" t="s">
        <v>340</v>
      </c>
      <c r="D4534" s="7" t="n">
        <v>343</v>
      </c>
      <c r="E4534" s="8" t="n">
        <v>0.0961224489795918</v>
      </c>
      <c r="F4534" s="4" t="n">
        <f aca="false">D4534*E4534</f>
        <v>32.97</v>
      </c>
      <c r="G4534" s="7" t="n">
        <v>125</v>
      </c>
      <c r="H4534" s="9" t="n">
        <f aca="false">IF(G4534&gt;0,D4534/G4534,"")</f>
        <v>2.744</v>
      </c>
      <c r="I4534" s="10" t="n">
        <v>46308</v>
      </c>
      <c r="J4534" s="3" t="s">
        <v>341</v>
      </c>
      <c r="K4534" s="10" t="n">
        <v>46078</v>
      </c>
      <c r="L4534" s="3" t="s">
        <v>15</v>
      </c>
      <c r="M4534" s="7" t="n">
        <v>383</v>
      </c>
      <c r="N4534" s="8" t="n">
        <v>0.09611</v>
      </c>
      <c r="O4534" s="4" t="n">
        <f aca="false">M4534*N4534</f>
        <v>36.81013</v>
      </c>
    </row>
    <row r="4535" customFormat="false" ht="15" hidden="false" customHeight="false" outlineLevel="0" collapsed="false">
      <c r="A4535" s="0" t="s">
        <v>6141</v>
      </c>
      <c r="C4535" s="0" t="s">
        <v>40</v>
      </c>
      <c r="D4535" s="7" t="n">
        <v>475</v>
      </c>
      <c r="E4535" s="8" t="n">
        <v>0.0693684210526316</v>
      </c>
      <c r="F4535" s="4" t="n">
        <f aca="false">D4535*E4535</f>
        <v>32.95</v>
      </c>
      <c r="G4535" s="7" t="n">
        <v>35</v>
      </c>
      <c r="H4535" s="9" t="n">
        <f aca="false">IF(G4535&gt;0,D4535/G4535,"")</f>
        <v>13.5714285714286</v>
      </c>
      <c r="I4535" s="10" t="n">
        <v>46304</v>
      </c>
      <c r="K4535" s="10"/>
      <c r="M4535" s="7"/>
      <c r="N4535" s="8"/>
      <c r="O4535" s="4"/>
    </row>
    <row r="4536" customFormat="false" ht="15" hidden="false" customHeight="false" outlineLevel="0" collapsed="false">
      <c r="A4536" s="0" t="s">
        <v>6142</v>
      </c>
      <c r="C4536" s="0" t="s">
        <v>34</v>
      </c>
      <c r="D4536" s="7" t="n">
        <v>229</v>
      </c>
      <c r="E4536" s="8" t="n">
        <v>0.14353711790393</v>
      </c>
      <c r="F4536" s="4" t="n">
        <f aca="false">D4536*E4536</f>
        <v>32.87</v>
      </c>
      <c r="G4536" s="7" t="n">
        <v>57</v>
      </c>
      <c r="H4536" s="9" t="n">
        <f aca="false">IF(G4536&gt;0,D4536/G4536,"")</f>
        <v>4.01754385964912</v>
      </c>
      <c r="I4536" s="10" t="n">
        <v>46161</v>
      </c>
      <c r="J4536" s="3" t="s">
        <v>4415</v>
      </c>
      <c r="K4536" s="10" t="n">
        <v>45829</v>
      </c>
      <c r="L4536" s="3" t="s">
        <v>15</v>
      </c>
      <c r="M4536" s="7" t="n">
        <v>310</v>
      </c>
      <c r="N4536" s="8" t="n">
        <v>0.14351</v>
      </c>
      <c r="O4536" s="4" t="n">
        <f aca="false">M4536*N4536</f>
        <v>44.4881</v>
      </c>
    </row>
    <row r="4537" customFormat="false" ht="15" hidden="false" customHeight="false" outlineLevel="0" collapsed="false">
      <c r="A4537" s="0" t="s">
        <v>6143</v>
      </c>
      <c r="C4537" s="0" t="s">
        <v>934</v>
      </c>
      <c r="D4537" s="7" t="n">
        <v>57</v>
      </c>
      <c r="E4537" s="8" t="n">
        <v>0.576140350877193</v>
      </c>
      <c r="F4537" s="4" t="n">
        <f aca="false">D4537*E4537</f>
        <v>32.84</v>
      </c>
      <c r="G4537" s="7" t="n">
        <v>32</v>
      </c>
      <c r="H4537" s="9" t="n">
        <f aca="false">IF(G4537&gt;0,D4537/G4537,"")</f>
        <v>1.78125</v>
      </c>
      <c r="I4537" s="10" t="n">
        <v>46269</v>
      </c>
      <c r="K4537" s="10"/>
      <c r="M4537" s="7"/>
      <c r="N4537" s="8"/>
      <c r="O4537" s="4"/>
    </row>
    <row r="4538" customFormat="false" ht="15" hidden="false" customHeight="false" outlineLevel="0" collapsed="false">
      <c r="A4538" s="0" t="s">
        <v>6144</v>
      </c>
      <c r="C4538" s="0" t="s">
        <v>497</v>
      </c>
      <c r="D4538" s="7" t="n">
        <v>102</v>
      </c>
      <c r="E4538" s="8" t="n">
        <v>0.32156862745098</v>
      </c>
      <c r="F4538" s="4" t="n">
        <f aca="false">D4538*E4538</f>
        <v>32.8</v>
      </c>
      <c r="G4538" s="7" t="n">
        <v>23</v>
      </c>
      <c r="H4538" s="9" t="n">
        <f aca="false">IF(G4538&gt;0,D4538/G4538,"")</f>
        <v>4.43478260869565</v>
      </c>
      <c r="I4538" s="10" t="n">
        <v>46163</v>
      </c>
      <c r="K4538" s="10"/>
      <c r="M4538" s="7"/>
      <c r="N4538" s="8"/>
      <c r="O4538" s="4"/>
    </row>
    <row r="4539" customFormat="false" ht="15" hidden="false" customHeight="false" outlineLevel="0" collapsed="false">
      <c r="A4539" s="0" t="s">
        <v>6145</v>
      </c>
      <c r="C4539" s="0" t="s">
        <v>31</v>
      </c>
      <c r="D4539" s="7" t="n">
        <v>400</v>
      </c>
      <c r="E4539" s="8" t="n">
        <v>0.082</v>
      </c>
      <c r="F4539" s="4" t="n">
        <f aca="false">D4539*E4539</f>
        <v>32.8</v>
      </c>
      <c r="G4539" s="7" t="n">
        <v>350</v>
      </c>
      <c r="H4539" s="9" t="n">
        <f aca="false">IF(G4539&gt;0,D4539/G4539,"")</f>
        <v>1.14285714285714</v>
      </c>
      <c r="I4539" s="10" t="n">
        <v>46171</v>
      </c>
      <c r="J4539" s="3" t="s">
        <v>478</v>
      </c>
      <c r="K4539" s="10" t="n">
        <v>46185</v>
      </c>
      <c r="L4539" s="3" t="s">
        <v>16</v>
      </c>
      <c r="M4539" s="7" t="n">
        <v>400</v>
      </c>
      <c r="N4539" s="8" t="n">
        <v>0.082</v>
      </c>
      <c r="O4539" s="4" t="n">
        <f aca="false">M4539*N4539</f>
        <v>32.8</v>
      </c>
    </row>
    <row r="4540" customFormat="false" ht="15" hidden="false" customHeight="false" outlineLevel="0" collapsed="false">
      <c r="A4540" s="0" t="s">
        <v>6146</v>
      </c>
      <c r="C4540" s="0" t="s">
        <v>32</v>
      </c>
      <c r="D4540" s="7" t="n">
        <v>138</v>
      </c>
      <c r="E4540" s="8" t="n">
        <v>0.237608695652174</v>
      </c>
      <c r="F4540" s="4" t="n">
        <f aca="false">D4540*E4540</f>
        <v>32.79</v>
      </c>
      <c r="G4540" s="7" t="n">
        <v>86</v>
      </c>
      <c r="H4540" s="9" t="n">
        <f aca="false">IF(G4540&gt;0,D4540/G4540,"")</f>
        <v>1.6046511627907</v>
      </c>
      <c r="I4540" s="10" t="n">
        <v>46304</v>
      </c>
      <c r="J4540" s="3" t="s">
        <v>4194</v>
      </c>
      <c r="K4540" s="10" t="n">
        <v>45539</v>
      </c>
      <c r="L4540" s="3" t="s">
        <v>18</v>
      </c>
      <c r="M4540" s="7" t="n">
        <v>1500</v>
      </c>
      <c r="N4540" s="8" t="n">
        <v>0.2379</v>
      </c>
      <c r="O4540" s="4" t="n">
        <f aca="false">M4540*N4540</f>
        <v>356.85</v>
      </c>
    </row>
    <row r="4541" customFormat="false" ht="15" hidden="false" customHeight="false" outlineLevel="0" collapsed="false">
      <c r="A4541" s="0" t="s">
        <v>6147</v>
      </c>
      <c r="C4541" s="0" t="s">
        <v>4363</v>
      </c>
      <c r="D4541" s="7" t="n">
        <v>4</v>
      </c>
      <c r="E4541" s="8" t="n">
        <v>8.19</v>
      </c>
      <c r="F4541" s="4" t="n">
        <f aca="false">D4541*E4541</f>
        <v>32.76</v>
      </c>
      <c r="G4541" s="7" t="n">
        <v>2</v>
      </c>
      <c r="H4541" s="9" t="n">
        <f aca="false">IF(G4541&gt;0,D4541/G4541,"")</f>
        <v>2</v>
      </c>
      <c r="I4541" s="10" t="n">
        <v>46230</v>
      </c>
      <c r="J4541" s="3" t="s">
        <v>5171</v>
      </c>
      <c r="K4541" s="10" t="n">
        <v>45917</v>
      </c>
      <c r="L4541" s="3" t="s">
        <v>4365</v>
      </c>
      <c r="M4541" s="7" t="n">
        <v>5</v>
      </c>
      <c r="N4541" s="8" t="n">
        <v>8.19</v>
      </c>
      <c r="O4541" s="4" t="n">
        <f aca="false">M4541*N4541</f>
        <v>40.95</v>
      </c>
    </row>
    <row r="4542" customFormat="false" ht="15" hidden="false" customHeight="false" outlineLevel="0" collapsed="false">
      <c r="A4542" s="0" t="s">
        <v>6148</v>
      </c>
      <c r="C4542" s="0" t="s">
        <v>38</v>
      </c>
      <c r="D4542" s="7" t="n">
        <v>1893</v>
      </c>
      <c r="E4542" s="8" t="n">
        <v>0.0173005810882198</v>
      </c>
      <c r="F4542" s="4" t="n">
        <f aca="false">D4542*E4542</f>
        <v>32.75</v>
      </c>
      <c r="G4542" s="7" t="n">
        <v>1480</v>
      </c>
      <c r="H4542" s="9" t="n">
        <f aca="false">IF(G4542&gt;0,D4542/G4542,"")</f>
        <v>1.27905405405405</v>
      </c>
      <c r="I4542" s="10" t="n">
        <v>46274</v>
      </c>
      <c r="J4542" s="3" t="s">
        <v>3533</v>
      </c>
      <c r="K4542" s="10" t="n">
        <v>45903</v>
      </c>
      <c r="L4542" s="3" t="s">
        <v>18</v>
      </c>
      <c r="M4542" s="7" t="n">
        <v>3436</v>
      </c>
      <c r="N4542" s="8" t="n">
        <v>0.0171</v>
      </c>
      <c r="O4542" s="4" t="n">
        <f aca="false">M4542*N4542</f>
        <v>58.7556</v>
      </c>
    </row>
    <row r="4543" customFormat="false" ht="15" hidden="false" customHeight="false" outlineLevel="0" collapsed="false">
      <c r="A4543" s="0" t="s">
        <v>6149</v>
      </c>
      <c r="C4543" s="0" t="s">
        <v>37</v>
      </c>
      <c r="D4543" s="7" t="n">
        <v>1240</v>
      </c>
      <c r="E4543" s="8" t="n">
        <v>0.0264032258064516</v>
      </c>
      <c r="F4543" s="4" t="n">
        <f aca="false">D4543*E4543</f>
        <v>32.74</v>
      </c>
      <c r="G4543" s="7" t="n">
        <v>180</v>
      </c>
      <c r="H4543" s="9" t="n">
        <f aca="false">IF(G4543&gt;0,D4543/G4543,"")</f>
        <v>6.88888888888889</v>
      </c>
      <c r="I4543" s="10" t="n">
        <v>46304</v>
      </c>
      <c r="J4543" s="3" t="s">
        <v>4994</v>
      </c>
      <c r="K4543" s="10" t="n">
        <v>44811</v>
      </c>
      <c r="L4543" s="3" t="s">
        <v>19</v>
      </c>
      <c r="M4543" s="7" t="n">
        <v>2500</v>
      </c>
      <c r="N4543" s="8" t="n">
        <v>0</v>
      </c>
      <c r="O4543" s="4" t="n">
        <v>0</v>
      </c>
    </row>
    <row r="4544" customFormat="false" ht="15" hidden="false" customHeight="false" outlineLevel="0" collapsed="false">
      <c r="A4544" s="0" t="s">
        <v>6150</v>
      </c>
      <c r="C4544" s="0" t="s">
        <v>1039</v>
      </c>
      <c r="D4544" s="7" t="n">
        <v>4035</v>
      </c>
      <c r="E4544" s="8" t="n">
        <v>0.00810408921933086</v>
      </c>
      <c r="F4544" s="4" t="n">
        <f aca="false">D4544*E4544</f>
        <v>32.7</v>
      </c>
      <c r="G4544" s="7" t="n">
        <v>1390</v>
      </c>
      <c r="H4544" s="9" t="n">
        <f aca="false">IF(G4544&gt;0,D4544/G4544,"")</f>
        <v>2.90287769784173</v>
      </c>
      <c r="I4544" s="10" t="n">
        <v>46317</v>
      </c>
      <c r="K4544" s="10"/>
      <c r="M4544" s="7"/>
      <c r="N4544" s="8"/>
      <c r="O4544" s="4"/>
    </row>
    <row r="4545" customFormat="false" ht="15" hidden="false" customHeight="false" outlineLevel="0" collapsed="false">
      <c r="A4545" s="0" t="s">
        <v>6151</v>
      </c>
      <c r="C4545" s="0" t="s">
        <v>34</v>
      </c>
      <c r="D4545" s="7" t="n">
        <v>10</v>
      </c>
      <c r="E4545" s="8" t="n">
        <v>3.27</v>
      </c>
      <c r="F4545" s="4" t="n">
        <f aca="false">D4545*E4545</f>
        <v>32.7</v>
      </c>
      <c r="G4545" s="7" t="n">
        <v>5</v>
      </c>
      <c r="H4545" s="9" t="n">
        <f aca="false">IF(G4545&gt;0,D4545/G4545,"")</f>
        <v>2</v>
      </c>
      <c r="I4545" s="10" t="n">
        <v>46168</v>
      </c>
      <c r="K4545" s="10"/>
      <c r="M4545" s="7"/>
      <c r="N4545" s="8"/>
      <c r="O4545" s="4"/>
    </row>
    <row r="4546" customFormat="false" ht="15" hidden="false" customHeight="false" outlineLevel="0" collapsed="false">
      <c r="A4546" s="0" t="s">
        <v>6152</v>
      </c>
      <c r="C4546" s="0" t="s">
        <v>36</v>
      </c>
      <c r="D4546" s="7" t="n">
        <v>369</v>
      </c>
      <c r="E4546" s="8" t="n">
        <v>0.0885907859078591</v>
      </c>
      <c r="F4546" s="4" t="n">
        <f aca="false">D4546*E4546</f>
        <v>32.69</v>
      </c>
      <c r="G4546" s="7" t="n">
        <v>5</v>
      </c>
      <c r="H4546" s="9" t="n">
        <f aca="false">IF(G4546&gt;0,D4546/G4546,"")</f>
        <v>73.8</v>
      </c>
      <c r="I4546" s="10" t="n">
        <v>46308</v>
      </c>
      <c r="J4546" s="3" t="s">
        <v>6153</v>
      </c>
      <c r="K4546" s="10" t="n">
        <v>44323</v>
      </c>
      <c r="L4546" s="3" t="s">
        <v>19</v>
      </c>
      <c r="M4546" s="7" t="n">
        <v>590</v>
      </c>
      <c r="N4546" s="8" t="n">
        <v>0.0886</v>
      </c>
      <c r="O4546" s="4" t="n">
        <f aca="false">M4546*N4546</f>
        <v>52.274</v>
      </c>
    </row>
    <row r="4547" customFormat="false" ht="15" hidden="false" customHeight="false" outlineLevel="0" collapsed="false">
      <c r="A4547" s="0" t="s">
        <v>6154</v>
      </c>
      <c r="C4547" s="0" t="s">
        <v>31</v>
      </c>
      <c r="D4547" s="7" t="n">
        <v>14814</v>
      </c>
      <c r="E4547" s="8" t="n">
        <v>0.00220197110841096</v>
      </c>
      <c r="F4547" s="4" t="n">
        <f aca="false">D4547*E4547</f>
        <v>32.62</v>
      </c>
      <c r="G4547" s="7" t="n">
        <v>580</v>
      </c>
      <c r="H4547" s="9" t="n">
        <f aca="false">IF(G4547&gt;0,D4547/G4547,"")</f>
        <v>25.5413793103448</v>
      </c>
      <c r="I4547" s="10" t="n">
        <v>46255</v>
      </c>
      <c r="J4547" s="3" t="s">
        <v>2914</v>
      </c>
      <c r="K4547" s="10" t="n">
        <v>45562</v>
      </c>
      <c r="L4547" s="3" t="s">
        <v>16</v>
      </c>
      <c r="M4547" s="7" t="n">
        <v>20000</v>
      </c>
      <c r="N4547" s="8" t="n">
        <v>0.0022</v>
      </c>
      <c r="O4547" s="4" t="n">
        <f aca="false">M4547*N4547</f>
        <v>44</v>
      </c>
    </row>
    <row r="4548" customFormat="false" ht="15" hidden="false" customHeight="false" outlineLevel="0" collapsed="false">
      <c r="A4548" s="0" t="s">
        <v>6155</v>
      </c>
      <c r="C4548" s="0" t="s">
        <v>438</v>
      </c>
      <c r="D4548" s="7" t="n">
        <v>20</v>
      </c>
      <c r="E4548" s="8" t="n">
        <v>1.63</v>
      </c>
      <c r="F4548" s="4" t="n">
        <f aca="false">D4548*E4548</f>
        <v>32.6</v>
      </c>
      <c r="G4548" s="7" t="n">
        <v>12</v>
      </c>
      <c r="H4548" s="9" t="n">
        <f aca="false">IF(G4548&gt;0,D4548/G4548,"")</f>
        <v>1.66666666666667</v>
      </c>
      <c r="I4548" s="10" t="n">
        <v>46226</v>
      </c>
      <c r="J4548" s="3" t="s">
        <v>6156</v>
      </c>
      <c r="K4548" s="10" t="n">
        <v>46065</v>
      </c>
      <c r="L4548" s="3" t="s">
        <v>1878</v>
      </c>
      <c r="M4548" s="7" t="n">
        <v>32</v>
      </c>
      <c r="N4548" s="8" t="n">
        <v>1.63</v>
      </c>
      <c r="O4548" s="4" t="n">
        <f aca="false">M4548*N4548</f>
        <v>52.16</v>
      </c>
    </row>
    <row r="4549" customFormat="false" ht="15" hidden="false" customHeight="false" outlineLevel="0" collapsed="false">
      <c r="A4549" s="0" t="s">
        <v>6157</v>
      </c>
      <c r="C4549" s="0" t="s">
        <v>398</v>
      </c>
      <c r="D4549" s="7" t="n">
        <v>435</v>
      </c>
      <c r="E4549" s="8" t="n">
        <v>0.0747816091954023</v>
      </c>
      <c r="F4549" s="4" t="n">
        <f aca="false">D4549*E4549</f>
        <v>32.53</v>
      </c>
      <c r="G4549" s="7" t="n">
        <v>28</v>
      </c>
      <c r="H4549" s="9" t="n">
        <f aca="false">IF(G4549&gt;0,D4549/G4549,"")</f>
        <v>15.5357142857143</v>
      </c>
      <c r="I4549" s="10" t="n">
        <v>46181</v>
      </c>
      <c r="J4549" s="3" t="s">
        <v>2046</v>
      </c>
      <c r="K4549" s="10" t="n">
        <v>44770</v>
      </c>
      <c r="L4549" s="3" t="s">
        <v>15</v>
      </c>
      <c r="M4549" s="7" t="n">
        <v>2678</v>
      </c>
      <c r="N4549" s="8" t="n">
        <v>0</v>
      </c>
      <c r="O4549" s="4" t="n">
        <v>202.23918</v>
      </c>
    </row>
    <row r="4550" customFormat="false" ht="15" hidden="false" customHeight="false" outlineLevel="0" collapsed="false">
      <c r="A4550" s="0" t="s">
        <v>6158</v>
      </c>
      <c r="C4550" s="0" t="s">
        <v>31</v>
      </c>
      <c r="D4550" s="7" t="n">
        <v>3242</v>
      </c>
      <c r="E4550" s="8" t="n">
        <v>0.01</v>
      </c>
      <c r="F4550" s="4" t="n">
        <f aca="false">D4550*E4550</f>
        <v>32.42</v>
      </c>
      <c r="G4550" s="7" t="n">
        <v>435</v>
      </c>
      <c r="H4550" s="9" t="n">
        <f aca="false">IF(G4550&gt;0,D4550/G4550,"")</f>
        <v>7.45287356321839</v>
      </c>
      <c r="I4550" s="10" t="n">
        <v>46317</v>
      </c>
      <c r="J4550" s="3" t="s">
        <v>4893</v>
      </c>
      <c r="K4550" s="10" t="n">
        <v>45429</v>
      </c>
      <c r="L4550" s="3" t="s">
        <v>25</v>
      </c>
      <c r="M4550" s="7" t="n">
        <v>5000</v>
      </c>
      <c r="N4550" s="8" t="n">
        <v>0.01</v>
      </c>
      <c r="O4550" s="4" t="n">
        <f aca="false">M4550*N4550</f>
        <v>50</v>
      </c>
    </row>
    <row r="4551" customFormat="false" ht="15" hidden="false" customHeight="false" outlineLevel="0" collapsed="false">
      <c r="A4551" s="0" t="s">
        <v>6159</v>
      </c>
      <c r="C4551" s="0" t="s">
        <v>340</v>
      </c>
      <c r="D4551" s="7" t="n">
        <v>806</v>
      </c>
      <c r="E4551" s="8" t="n">
        <v>0.0402233250620347</v>
      </c>
      <c r="F4551" s="4" t="n">
        <f aca="false">D4551*E4551</f>
        <v>32.42</v>
      </c>
      <c r="G4551" s="7" t="n">
        <v>720</v>
      </c>
      <c r="H4551" s="9" t="n">
        <f aca="false">IF(G4551&gt;0,D4551/G4551,"")</f>
        <v>1.11944444444444</v>
      </c>
      <c r="I4551" s="10" t="n">
        <v>46160</v>
      </c>
      <c r="J4551" s="3" t="s">
        <v>341</v>
      </c>
      <c r="K4551" s="10" t="n">
        <v>46078</v>
      </c>
      <c r="L4551" s="3" t="s">
        <v>15</v>
      </c>
      <c r="M4551" s="7" t="n">
        <v>708</v>
      </c>
      <c r="N4551" s="8" t="n">
        <v>0.03924</v>
      </c>
      <c r="O4551" s="4" t="n">
        <f aca="false">M4551*N4551</f>
        <v>27.78192</v>
      </c>
    </row>
    <row r="4552" customFormat="false" ht="15" hidden="false" customHeight="false" outlineLevel="0" collapsed="false">
      <c r="A4552" s="0" t="s">
        <v>6160</v>
      </c>
      <c r="C4552" s="0" t="s">
        <v>37</v>
      </c>
      <c r="D4552" s="7" t="n">
        <v>5400</v>
      </c>
      <c r="E4552" s="8" t="n">
        <v>0.006</v>
      </c>
      <c r="F4552" s="4" t="n">
        <f aca="false">D4552*E4552</f>
        <v>32.4</v>
      </c>
      <c r="G4552" s="7" t="n">
        <v>630</v>
      </c>
      <c r="H4552" s="9" t="n">
        <f aca="false">IF(G4552&gt;0,D4552/G4552,"")</f>
        <v>8.57142857142857</v>
      </c>
      <c r="I4552" s="10" t="n">
        <v>46279</v>
      </c>
      <c r="J4552" s="3" t="s">
        <v>5814</v>
      </c>
      <c r="K4552" s="10" t="n">
        <v>44250</v>
      </c>
      <c r="L4552" s="3" t="s">
        <v>19</v>
      </c>
      <c r="M4552" s="7" t="n">
        <v>8350</v>
      </c>
      <c r="N4552" s="8" t="n">
        <v>0.006</v>
      </c>
      <c r="O4552" s="4" t="n">
        <f aca="false">M4552*N4552</f>
        <v>50.1</v>
      </c>
    </row>
    <row r="4553" customFormat="false" ht="15" hidden="false" customHeight="false" outlineLevel="0" collapsed="false">
      <c r="A4553" s="0" t="s">
        <v>6161</v>
      </c>
      <c r="C4553" s="0" t="s">
        <v>855</v>
      </c>
      <c r="D4553" s="7" t="n">
        <v>2016</v>
      </c>
      <c r="E4553" s="8" t="n">
        <v>0.0160615079365079</v>
      </c>
      <c r="F4553" s="4" t="n">
        <f aca="false">D4553*E4553</f>
        <v>32.38</v>
      </c>
      <c r="G4553" s="7" t="n">
        <v>3</v>
      </c>
      <c r="H4553" s="9" t="n">
        <f aca="false">IF(G4553&gt;0,D4553/G4553,"")</f>
        <v>672</v>
      </c>
      <c r="I4553" s="10" t="n">
        <v>46107</v>
      </c>
      <c r="J4553" s="3" t="s">
        <v>2789</v>
      </c>
      <c r="K4553" s="10" t="n">
        <v>44256</v>
      </c>
      <c r="L4553" s="3" t="s">
        <v>15</v>
      </c>
      <c r="M4553" s="7" t="n">
        <v>2230</v>
      </c>
      <c r="N4553" s="8" t="n">
        <v>0.01606</v>
      </c>
      <c r="O4553" s="4" t="n">
        <f aca="false">M4553*N4553</f>
        <v>35.8138</v>
      </c>
    </row>
    <row r="4554" customFormat="false" ht="15" hidden="false" customHeight="false" outlineLevel="0" collapsed="false">
      <c r="A4554" s="0" t="s">
        <v>6162</v>
      </c>
      <c r="C4554" s="0" t="s">
        <v>765</v>
      </c>
      <c r="D4554" s="7" t="n">
        <v>127</v>
      </c>
      <c r="E4554" s="8" t="n">
        <v>0.254645669291339</v>
      </c>
      <c r="F4554" s="4" t="n">
        <f aca="false">D4554*E4554</f>
        <v>32.34</v>
      </c>
      <c r="G4554" s="7" t="n">
        <v>5</v>
      </c>
      <c r="H4554" s="9" t="n">
        <f aca="false">IF(G4554&gt;0,D4554/G4554,"")</f>
        <v>25.4</v>
      </c>
      <c r="I4554" s="10" t="n">
        <v>45964</v>
      </c>
      <c r="J4554" s="3" t="s">
        <v>6163</v>
      </c>
      <c r="K4554" s="10" t="n">
        <v>44882</v>
      </c>
      <c r="L4554" s="3" t="s">
        <v>19</v>
      </c>
      <c r="M4554" s="7" t="n">
        <v>150</v>
      </c>
      <c r="N4554" s="8" t="n">
        <v>0.2546</v>
      </c>
      <c r="O4554" s="4" t="n">
        <f aca="false">M4554*N4554</f>
        <v>38.19</v>
      </c>
    </row>
    <row r="4555" customFormat="false" ht="15" hidden="false" customHeight="false" outlineLevel="0" collapsed="false">
      <c r="A4555" s="0" t="s">
        <v>6164</v>
      </c>
      <c r="C4555" s="0" t="s">
        <v>34</v>
      </c>
      <c r="D4555" s="7" t="n">
        <v>630</v>
      </c>
      <c r="E4555" s="8" t="n">
        <v>0.0512698412698413</v>
      </c>
      <c r="F4555" s="4" t="n">
        <f aca="false">D4555*E4555</f>
        <v>32.3</v>
      </c>
      <c r="G4555" s="7" t="n">
        <v>10</v>
      </c>
      <c r="H4555" s="9" t="n">
        <f aca="false">IF(G4555&gt;0,D4555/G4555,"")</f>
        <v>63</v>
      </c>
      <c r="I4555" s="10" t="n">
        <v>46128</v>
      </c>
      <c r="J4555" s="3" t="s">
        <v>2263</v>
      </c>
      <c r="K4555" s="10" t="n">
        <v>45630</v>
      </c>
      <c r="L4555" s="3" t="s">
        <v>15</v>
      </c>
      <c r="M4555" s="7" t="n">
        <v>640</v>
      </c>
      <c r="N4555" s="8" t="n">
        <v>0.05128</v>
      </c>
      <c r="O4555" s="4" t="n">
        <f aca="false">M4555*N4555</f>
        <v>32.8192</v>
      </c>
    </row>
    <row r="4556" customFormat="false" ht="15" hidden="false" customHeight="false" outlineLevel="0" collapsed="false">
      <c r="A4556" s="0" t="s">
        <v>6165</v>
      </c>
      <c r="C4556" s="0" t="s">
        <v>715</v>
      </c>
      <c r="D4556" s="7" t="n">
        <v>469</v>
      </c>
      <c r="E4556" s="8" t="n">
        <v>0.0688486140724947</v>
      </c>
      <c r="F4556" s="4" t="n">
        <f aca="false">D4556*E4556</f>
        <v>32.29</v>
      </c>
      <c r="G4556" s="7" t="n">
        <v>335</v>
      </c>
      <c r="H4556" s="9" t="n">
        <f aca="false">IF(G4556&gt;0,D4556/G4556,"")</f>
        <v>1.4</v>
      </c>
      <c r="I4556" s="10" t="n">
        <v>46232</v>
      </c>
      <c r="J4556" s="3" t="s">
        <v>922</v>
      </c>
      <c r="K4556" s="10" t="n">
        <v>44908</v>
      </c>
      <c r="L4556" s="3" t="s">
        <v>19</v>
      </c>
      <c r="M4556" s="7" t="n">
        <v>400</v>
      </c>
      <c r="N4556" s="8" t="n">
        <v>0.0734</v>
      </c>
      <c r="O4556" s="4" t="n">
        <f aca="false">M4556*N4556</f>
        <v>29.36</v>
      </c>
    </row>
    <row r="4557" customFormat="false" ht="15" hidden="false" customHeight="false" outlineLevel="0" collapsed="false">
      <c r="A4557" s="0" t="s">
        <v>6166</v>
      </c>
      <c r="C4557" s="0" t="s">
        <v>31</v>
      </c>
      <c r="D4557" s="7" t="n">
        <v>86</v>
      </c>
      <c r="E4557" s="8" t="n">
        <v>0.375</v>
      </c>
      <c r="F4557" s="4" t="n">
        <f aca="false">D4557*E4557</f>
        <v>32.25</v>
      </c>
      <c r="G4557" s="7" t="n">
        <v>79</v>
      </c>
      <c r="H4557" s="9" t="n">
        <f aca="false">IF(G4557&gt;0,D4557/G4557,"")</f>
        <v>1.08860759493671</v>
      </c>
      <c r="I4557" s="10" t="n">
        <v>46308</v>
      </c>
      <c r="K4557" s="10"/>
      <c r="M4557" s="7"/>
      <c r="N4557" s="8"/>
      <c r="O4557" s="4"/>
    </row>
    <row r="4558" customFormat="false" ht="15" hidden="false" customHeight="false" outlineLevel="0" collapsed="false">
      <c r="A4558" s="0" t="s">
        <v>6167</v>
      </c>
      <c r="C4558" s="0" t="s">
        <v>31</v>
      </c>
      <c r="D4558" s="7" t="n">
        <v>1138</v>
      </c>
      <c r="E4558" s="8" t="n">
        <v>0.0283391915641476</v>
      </c>
      <c r="F4558" s="4" t="n">
        <f aca="false">D4558*E4558</f>
        <v>32.25</v>
      </c>
      <c r="G4558" s="7" t="n">
        <v>338</v>
      </c>
      <c r="H4558" s="9" t="n">
        <f aca="false">IF(G4558&gt;0,D4558/G4558,"")</f>
        <v>3.36686390532544</v>
      </c>
      <c r="I4558" s="10" t="n">
        <v>46239</v>
      </c>
      <c r="J4558" s="3" t="s">
        <v>1435</v>
      </c>
      <c r="K4558" s="10" t="n">
        <v>45810</v>
      </c>
      <c r="L4558" s="3" t="s">
        <v>14</v>
      </c>
      <c r="M4558" s="7" t="n">
        <v>2500</v>
      </c>
      <c r="N4558" s="8" t="n">
        <v>0.0253</v>
      </c>
      <c r="O4558" s="4" t="n">
        <f aca="false">M4558*N4558</f>
        <v>63.25</v>
      </c>
    </row>
    <row r="4559" customFormat="false" ht="15" hidden="false" customHeight="false" outlineLevel="0" collapsed="false">
      <c r="A4559" s="0" t="s">
        <v>6168</v>
      </c>
      <c r="C4559" s="0" t="s">
        <v>31</v>
      </c>
      <c r="D4559" s="7" t="n">
        <v>1612</v>
      </c>
      <c r="E4559" s="8" t="n">
        <v>0.02</v>
      </c>
      <c r="F4559" s="4" t="n">
        <f aca="false">D4559*E4559</f>
        <v>32.24</v>
      </c>
      <c r="G4559" s="7" t="n">
        <v>445</v>
      </c>
      <c r="H4559" s="9" t="n">
        <f aca="false">IF(G4559&gt;0,D4559/G4559,"")</f>
        <v>3.62247191011236</v>
      </c>
      <c r="I4559" s="10" t="n">
        <v>46287</v>
      </c>
      <c r="J4559" s="3" t="s">
        <v>5128</v>
      </c>
      <c r="K4559" s="10" t="n">
        <v>45011</v>
      </c>
      <c r="L4559" s="3" t="s">
        <v>25</v>
      </c>
      <c r="M4559" s="7" t="n">
        <v>6000</v>
      </c>
      <c r="N4559" s="8" t="n">
        <v>0.02</v>
      </c>
      <c r="O4559" s="4" t="n">
        <f aca="false">M4559*N4559</f>
        <v>120</v>
      </c>
    </row>
    <row r="4560" customFormat="false" ht="15" hidden="false" customHeight="false" outlineLevel="0" collapsed="false">
      <c r="A4560" s="0" t="s">
        <v>6169</v>
      </c>
      <c r="C4560" s="0" t="s">
        <v>31</v>
      </c>
      <c r="D4560" s="7" t="n">
        <v>1465</v>
      </c>
      <c r="E4560" s="8" t="n">
        <v>0.022</v>
      </c>
      <c r="F4560" s="4" t="n">
        <f aca="false">D4560*E4560</f>
        <v>32.23</v>
      </c>
      <c r="G4560" s="7" t="n">
        <v>167</v>
      </c>
      <c r="H4560" s="9" t="n">
        <f aca="false">IF(G4560&gt;0,D4560/G4560,"")</f>
        <v>8.77245508982036</v>
      </c>
      <c r="I4560" s="10" t="n">
        <v>46224</v>
      </c>
      <c r="J4560" s="3" t="s">
        <v>628</v>
      </c>
      <c r="K4560" s="10" t="n">
        <v>46128</v>
      </c>
      <c r="L4560" s="3" t="s">
        <v>16</v>
      </c>
      <c r="M4560" s="7" t="n">
        <v>1500</v>
      </c>
      <c r="N4560" s="8" t="n">
        <v>0.022</v>
      </c>
      <c r="O4560" s="4" t="n">
        <f aca="false">M4560*N4560</f>
        <v>33</v>
      </c>
    </row>
    <row r="4561" customFormat="false" ht="15" hidden="false" customHeight="false" outlineLevel="0" collapsed="false">
      <c r="A4561" s="0" t="s">
        <v>6170</v>
      </c>
      <c r="C4561" s="0" t="s">
        <v>979</v>
      </c>
      <c r="D4561" s="7" t="n">
        <v>1952</v>
      </c>
      <c r="E4561" s="8" t="n">
        <v>0.0165010245901639</v>
      </c>
      <c r="F4561" s="4" t="n">
        <f aca="false">D4561*E4561</f>
        <v>32.21</v>
      </c>
      <c r="G4561" s="7" t="n">
        <v>42</v>
      </c>
      <c r="H4561" s="9" t="n">
        <f aca="false">IF(G4561&gt;0,D4561/G4561,"")</f>
        <v>46.4761904761905</v>
      </c>
      <c r="I4561" s="10" t="n">
        <v>46133</v>
      </c>
      <c r="K4561" s="10"/>
      <c r="M4561" s="7"/>
      <c r="N4561" s="8"/>
      <c r="O4561" s="4"/>
    </row>
    <row r="4562" customFormat="false" ht="15" hidden="false" customHeight="false" outlineLevel="0" collapsed="false">
      <c r="A4562" s="0" t="s">
        <v>6171</v>
      </c>
      <c r="C4562" s="0" t="s">
        <v>340</v>
      </c>
      <c r="D4562" s="7" t="n">
        <v>1496</v>
      </c>
      <c r="E4562" s="8" t="n">
        <v>0.0214973262032086</v>
      </c>
      <c r="F4562" s="4" t="n">
        <f aca="false">D4562*E4562</f>
        <v>32.16</v>
      </c>
      <c r="G4562" s="7" t="n">
        <v>211</v>
      </c>
      <c r="H4562" s="9" t="n">
        <f aca="false">IF(G4562&gt;0,D4562/G4562,"")</f>
        <v>7.09004739336493</v>
      </c>
      <c r="I4562" s="10" t="n">
        <v>46304</v>
      </c>
      <c r="J4562" s="3" t="s">
        <v>6172</v>
      </c>
      <c r="K4562" s="10" t="n">
        <v>45455</v>
      </c>
      <c r="L4562" s="3" t="s">
        <v>19</v>
      </c>
      <c r="M4562" s="7" t="n">
        <v>1700</v>
      </c>
      <c r="N4562" s="8" t="n">
        <v>0.0215</v>
      </c>
      <c r="O4562" s="4" t="n">
        <f aca="false">M4562*N4562</f>
        <v>36.55</v>
      </c>
    </row>
    <row r="4563" customFormat="false" ht="15" hidden="false" customHeight="false" outlineLevel="0" collapsed="false">
      <c r="A4563" s="0" t="s">
        <v>6173</v>
      </c>
      <c r="C4563" s="0" t="s">
        <v>118</v>
      </c>
      <c r="D4563" s="7" t="n">
        <v>166</v>
      </c>
      <c r="E4563" s="8" t="n">
        <v>0.193674698795181</v>
      </c>
      <c r="F4563" s="4" t="n">
        <f aca="false">D4563*E4563</f>
        <v>32.15</v>
      </c>
      <c r="G4563" s="7" t="n">
        <v>12</v>
      </c>
      <c r="H4563" s="9" t="n">
        <f aca="false">IF(G4563&gt;0,D4563/G4563,"")</f>
        <v>13.8333333333333</v>
      </c>
      <c r="I4563" s="10" t="n">
        <v>46218</v>
      </c>
      <c r="J4563" s="3" t="s">
        <v>6174</v>
      </c>
      <c r="K4563" s="10" t="n">
        <v>44783</v>
      </c>
      <c r="L4563" s="3" t="s">
        <v>19</v>
      </c>
      <c r="M4563" s="7" t="n">
        <v>265</v>
      </c>
      <c r="N4563" s="8" t="n">
        <v>0.1753</v>
      </c>
      <c r="O4563" s="4" t="n">
        <f aca="false">M4563*N4563</f>
        <v>46.4545</v>
      </c>
    </row>
    <row r="4564" customFormat="false" ht="15" hidden="false" customHeight="false" outlineLevel="0" collapsed="false">
      <c r="A4564" s="0" t="s">
        <v>6175</v>
      </c>
      <c r="C4564" s="0" t="s">
        <v>438</v>
      </c>
      <c r="D4564" s="7" t="n">
        <v>62</v>
      </c>
      <c r="E4564" s="8" t="n">
        <v>0.518387096774194</v>
      </c>
      <c r="F4564" s="4" t="n">
        <f aca="false">D4564*E4564</f>
        <v>32.14</v>
      </c>
      <c r="G4564" s="7" t="n">
        <v>2</v>
      </c>
      <c r="H4564" s="9" t="n">
        <f aca="false">IF(G4564&gt;0,D4564/G4564,"")</f>
        <v>31</v>
      </c>
      <c r="I4564" s="10" t="n">
        <v>46066</v>
      </c>
      <c r="K4564" s="10"/>
      <c r="M4564" s="7"/>
      <c r="N4564" s="8"/>
      <c r="O4564" s="4"/>
    </row>
    <row r="4565" customFormat="false" ht="15" hidden="false" customHeight="false" outlineLevel="0" collapsed="false">
      <c r="A4565" s="0" t="s">
        <v>6176</v>
      </c>
      <c r="C4565" s="0" t="s">
        <v>1010</v>
      </c>
      <c r="D4565" s="7" t="n">
        <v>450</v>
      </c>
      <c r="E4565" s="8" t="n">
        <v>0.0712888888888889</v>
      </c>
      <c r="F4565" s="4" t="n">
        <f aca="false">D4565*E4565</f>
        <v>32.08</v>
      </c>
      <c r="G4565" s="7" t="n">
        <v>20</v>
      </c>
      <c r="H4565" s="9" t="n">
        <f aca="false">IF(G4565&gt;0,D4565/G4565,"")</f>
        <v>22.5</v>
      </c>
      <c r="I4565" s="10" t="n">
        <v>46111</v>
      </c>
      <c r="J4565" s="3" t="s">
        <v>570</v>
      </c>
      <c r="K4565" s="10" t="n">
        <v>46106</v>
      </c>
      <c r="L4565" s="3" t="s">
        <v>16</v>
      </c>
      <c r="M4565" s="7" t="n">
        <v>500</v>
      </c>
      <c r="N4565" s="8" t="n">
        <v>0.0713</v>
      </c>
      <c r="O4565" s="4" t="n">
        <f aca="false">M4565*N4565</f>
        <v>35.65</v>
      </c>
    </row>
    <row r="4566" customFormat="false" ht="15" hidden="false" customHeight="false" outlineLevel="0" collapsed="false">
      <c r="A4566" s="0" t="s">
        <v>6177</v>
      </c>
      <c r="C4566" s="0" t="s">
        <v>35</v>
      </c>
      <c r="D4566" s="7" t="n">
        <v>799</v>
      </c>
      <c r="E4566" s="8" t="n">
        <v>0.0401126408010013</v>
      </c>
      <c r="F4566" s="4" t="n">
        <f aca="false">D4566*E4566</f>
        <v>32.05</v>
      </c>
      <c r="G4566" s="7" t="n">
        <v>6</v>
      </c>
      <c r="H4566" s="9" t="n">
        <f aca="false">IF(G4566&gt;0,D4566/G4566,"")</f>
        <v>133.166666666667</v>
      </c>
      <c r="I4566" s="10" t="n">
        <v>45957</v>
      </c>
      <c r="J4566" s="3" t="s">
        <v>4181</v>
      </c>
      <c r="K4566" s="10" t="n">
        <v>45198</v>
      </c>
      <c r="L4566" s="3" t="s">
        <v>16</v>
      </c>
      <c r="M4566" s="7" t="n">
        <v>1400</v>
      </c>
      <c r="N4566" s="8" t="n">
        <v>0.0401</v>
      </c>
      <c r="O4566" s="4" t="n">
        <f aca="false">M4566*N4566</f>
        <v>56.14</v>
      </c>
    </row>
    <row r="4567" customFormat="false" ht="15" hidden="false" customHeight="false" outlineLevel="0" collapsed="false">
      <c r="A4567" s="0" t="s">
        <v>6178</v>
      </c>
      <c r="C4567" s="0" t="s">
        <v>298</v>
      </c>
      <c r="D4567" s="7" t="n">
        <v>527</v>
      </c>
      <c r="E4567" s="8" t="n">
        <v>0.0607969639468691</v>
      </c>
      <c r="F4567" s="4" t="n">
        <f aca="false">D4567*E4567</f>
        <v>32.04</v>
      </c>
      <c r="G4567" s="7" t="n">
        <v>4</v>
      </c>
      <c r="H4567" s="9" t="n">
        <f aca="false">IF(G4567&gt;0,D4567/G4567,"")</f>
        <v>131.75</v>
      </c>
      <c r="I4567" s="10" t="n">
        <v>46028</v>
      </c>
      <c r="J4567" s="3" t="s">
        <v>1676</v>
      </c>
      <c r="K4567" s="10" t="n">
        <v>45721</v>
      </c>
      <c r="L4567" s="3" t="s">
        <v>15</v>
      </c>
      <c r="M4567" s="7" t="n">
        <v>620</v>
      </c>
      <c r="N4567" s="8" t="n">
        <v>0.0608</v>
      </c>
      <c r="O4567" s="4" t="n">
        <f aca="false">M4567*N4567</f>
        <v>37.696</v>
      </c>
    </row>
    <row r="4568" customFormat="false" ht="15" hidden="false" customHeight="false" outlineLevel="0" collapsed="false">
      <c r="A4568" s="0" t="s">
        <v>6179</v>
      </c>
      <c r="C4568" s="0" t="s">
        <v>765</v>
      </c>
      <c r="D4568" s="7" t="n">
        <v>161</v>
      </c>
      <c r="E4568" s="8" t="n">
        <v>0.198944099378882</v>
      </c>
      <c r="F4568" s="4" t="n">
        <f aca="false">D4568*E4568</f>
        <v>32.03</v>
      </c>
      <c r="G4568" s="7" t="n">
        <v>94</v>
      </c>
      <c r="H4568" s="9" t="n">
        <f aca="false">IF(G4568&gt;0,D4568/G4568,"")</f>
        <v>1.71276595744681</v>
      </c>
      <c r="I4568" s="10" t="n">
        <v>46261</v>
      </c>
      <c r="J4568" s="3" t="s">
        <v>478</v>
      </c>
      <c r="K4568" s="10" t="n">
        <v>46185</v>
      </c>
      <c r="L4568" s="3" t="s">
        <v>16</v>
      </c>
      <c r="M4568" s="7" t="n">
        <v>150</v>
      </c>
      <c r="N4568" s="8" t="n">
        <v>0.1529</v>
      </c>
      <c r="O4568" s="4" t="n">
        <f aca="false">M4568*N4568</f>
        <v>22.935</v>
      </c>
    </row>
    <row r="4569" customFormat="false" ht="15" hidden="false" customHeight="false" outlineLevel="0" collapsed="false">
      <c r="A4569" s="0" t="s">
        <v>6180</v>
      </c>
      <c r="C4569" s="0" t="s">
        <v>360</v>
      </c>
      <c r="D4569" s="7" t="n">
        <v>100</v>
      </c>
      <c r="E4569" s="8" t="n">
        <v>0.3203</v>
      </c>
      <c r="F4569" s="4" t="n">
        <f aca="false">D4569*E4569</f>
        <v>32.03</v>
      </c>
      <c r="G4569" s="7" t="n">
        <v>25</v>
      </c>
      <c r="H4569" s="9" t="n">
        <f aca="false">IF(G4569&gt;0,D4569/G4569,"")</f>
        <v>4</v>
      </c>
      <c r="I4569" s="10" t="n">
        <v>46161</v>
      </c>
      <c r="J4569" s="3" t="s">
        <v>620</v>
      </c>
      <c r="K4569" s="10" t="n">
        <v>46146</v>
      </c>
      <c r="L4569" s="3" t="s">
        <v>16</v>
      </c>
      <c r="M4569" s="7" t="n">
        <v>103</v>
      </c>
      <c r="N4569" s="8" t="n">
        <v>0.3203</v>
      </c>
      <c r="O4569" s="4" t="n">
        <f aca="false">M4569*N4569</f>
        <v>32.9909</v>
      </c>
    </row>
    <row r="4570" customFormat="false" ht="15" hidden="false" customHeight="false" outlineLevel="0" collapsed="false">
      <c r="A4570" s="0" t="s">
        <v>6181</v>
      </c>
      <c r="C4570" s="0" t="s">
        <v>298</v>
      </c>
      <c r="D4570" s="7" t="n">
        <v>365</v>
      </c>
      <c r="E4570" s="8" t="n">
        <v>0.0876986301369863</v>
      </c>
      <c r="F4570" s="4" t="n">
        <f aca="false">D4570*E4570</f>
        <v>32.01</v>
      </c>
      <c r="G4570" s="7" t="n">
        <v>20</v>
      </c>
      <c r="H4570" s="9" t="n">
        <f aca="false">IF(G4570&gt;0,D4570/G4570,"")</f>
        <v>18.25</v>
      </c>
      <c r="I4570" s="10" t="n">
        <v>46183</v>
      </c>
      <c r="J4570" s="3" t="s">
        <v>6182</v>
      </c>
      <c r="K4570" s="10" t="n">
        <v>45005</v>
      </c>
      <c r="L4570" s="3" t="s">
        <v>19</v>
      </c>
      <c r="M4570" s="7" t="n">
        <v>745</v>
      </c>
      <c r="N4570" s="8" t="n">
        <v>0.0877</v>
      </c>
      <c r="O4570" s="4" t="n">
        <f aca="false">M4570*N4570</f>
        <v>65.3365</v>
      </c>
    </row>
    <row r="4571" customFormat="false" ht="15" hidden="false" customHeight="false" outlineLevel="0" collapsed="false">
      <c r="A4571" s="0" t="s">
        <v>6183</v>
      </c>
      <c r="C4571" s="0" t="s">
        <v>1039</v>
      </c>
      <c r="D4571" s="7" t="n">
        <v>80</v>
      </c>
      <c r="E4571" s="8" t="n">
        <v>0.4</v>
      </c>
      <c r="F4571" s="4" t="n">
        <f aca="false">D4571*E4571</f>
        <v>32</v>
      </c>
      <c r="G4571" s="7" t="n">
        <v>4</v>
      </c>
      <c r="H4571" s="9" t="n">
        <f aca="false">IF(G4571&gt;0,D4571/G4571,"")</f>
        <v>20</v>
      </c>
      <c r="I4571" s="10" t="n">
        <v>46140</v>
      </c>
      <c r="K4571" s="10"/>
      <c r="M4571" s="7"/>
      <c r="N4571" s="8"/>
      <c r="O4571" s="4"/>
    </row>
    <row r="4572" customFormat="false" ht="15" hidden="false" customHeight="false" outlineLevel="0" collapsed="false">
      <c r="A4572" s="0" t="s">
        <v>6184</v>
      </c>
      <c r="C4572" s="0" t="s">
        <v>39</v>
      </c>
      <c r="D4572" s="7" t="n">
        <v>325</v>
      </c>
      <c r="E4572" s="8" t="n">
        <v>0.0984307692307692</v>
      </c>
      <c r="F4572" s="4" t="n">
        <f aca="false">D4572*E4572</f>
        <v>31.99</v>
      </c>
      <c r="G4572" s="7" t="n">
        <v>170</v>
      </c>
      <c r="H4572" s="9" t="n">
        <f aca="false">IF(G4572&gt;0,D4572/G4572,"")</f>
        <v>1.91176470588235</v>
      </c>
      <c r="I4572" s="10" t="n">
        <v>46275</v>
      </c>
      <c r="J4572" s="3" t="s">
        <v>2028</v>
      </c>
      <c r="K4572" s="10" t="n">
        <v>44343</v>
      </c>
      <c r="L4572" s="3" t="s">
        <v>15</v>
      </c>
      <c r="M4572" s="7" t="n">
        <v>770</v>
      </c>
      <c r="N4572" s="8" t="n">
        <v>0.15015</v>
      </c>
      <c r="O4572" s="4" t="n">
        <v>93.3759</v>
      </c>
    </row>
    <row r="4573" customFormat="false" ht="15" hidden="false" customHeight="false" outlineLevel="0" collapsed="false">
      <c r="A4573" s="0" t="s">
        <v>6185</v>
      </c>
      <c r="C4573" s="0" t="s">
        <v>41</v>
      </c>
      <c r="D4573" s="7" t="n">
        <v>1322</v>
      </c>
      <c r="E4573" s="8" t="n">
        <v>0.0241981845688351</v>
      </c>
      <c r="F4573" s="4" t="n">
        <f aca="false">D4573*E4573</f>
        <v>31.99</v>
      </c>
      <c r="G4573" s="7" t="n">
        <v>98</v>
      </c>
      <c r="H4573" s="9" t="n">
        <f aca="false">IF(G4573&gt;0,D4573/G4573,"")</f>
        <v>13.4897959183673</v>
      </c>
      <c r="I4573" s="10" t="n">
        <v>46280</v>
      </c>
      <c r="J4573" s="3" t="s">
        <v>6186</v>
      </c>
      <c r="K4573" s="10" t="n">
        <v>44991</v>
      </c>
      <c r="L4573" s="3" t="s">
        <v>19</v>
      </c>
      <c r="M4573" s="7" t="n">
        <v>2500</v>
      </c>
      <c r="N4573" s="8" t="n">
        <v>0.0242</v>
      </c>
      <c r="O4573" s="4" t="n">
        <f aca="false">M4573*N4573</f>
        <v>60.5</v>
      </c>
    </row>
    <row r="4574" customFormat="false" ht="15" hidden="false" customHeight="false" outlineLevel="0" collapsed="false">
      <c r="A4574" s="0" t="s">
        <v>6187</v>
      </c>
      <c r="C4574" s="0" t="s">
        <v>438</v>
      </c>
      <c r="D4574" s="7" t="n">
        <v>13</v>
      </c>
      <c r="E4574" s="8" t="n">
        <v>2.46</v>
      </c>
      <c r="F4574" s="4" t="n">
        <f aca="false">D4574*E4574</f>
        <v>31.98</v>
      </c>
      <c r="G4574" s="7" t="n">
        <v>11</v>
      </c>
      <c r="H4574" s="9" t="n">
        <f aca="false">IF(G4574&gt;0,D4574/G4574,"")</f>
        <v>1.18181818181818</v>
      </c>
      <c r="I4574" s="10" t="n">
        <v>46183</v>
      </c>
      <c r="J4574" s="3" t="s">
        <v>6188</v>
      </c>
      <c r="K4574" s="10" t="n">
        <v>45793</v>
      </c>
      <c r="L4574" s="3" t="s">
        <v>1878</v>
      </c>
      <c r="M4574" s="7" t="n">
        <v>25</v>
      </c>
      <c r="N4574" s="8" t="n">
        <v>2.13</v>
      </c>
      <c r="O4574" s="4" t="n">
        <f aca="false">M4574*N4574</f>
        <v>53.25</v>
      </c>
    </row>
    <row r="4575" customFormat="false" ht="15" hidden="false" customHeight="false" outlineLevel="0" collapsed="false">
      <c r="A4575" s="0" t="s">
        <v>6189</v>
      </c>
      <c r="C4575" s="0" t="s">
        <v>118</v>
      </c>
      <c r="D4575" s="7" t="n">
        <v>23</v>
      </c>
      <c r="E4575" s="8" t="n">
        <v>1.39</v>
      </c>
      <c r="F4575" s="4" t="n">
        <f aca="false">D4575*E4575</f>
        <v>31.97</v>
      </c>
      <c r="G4575" s="7" t="n">
        <v>2</v>
      </c>
      <c r="H4575" s="9" t="n">
        <f aca="false">IF(G4575&gt;0,D4575/G4575,"")</f>
        <v>11.5</v>
      </c>
      <c r="I4575" s="10" t="n">
        <v>46302</v>
      </c>
      <c r="J4575" s="3" t="s">
        <v>1284</v>
      </c>
      <c r="K4575" s="10" t="n">
        <v>46295</v>
      </c>
      <c r="L4575" s="3" t="s">
        <v>14</v>
      </c>
      <c r="M4575" s="7" t="n">
        <v>25</v>
      </c>
      <c r="N4575" s="8" t="n">
        <v>1.39</v>
      </c>
      <c r="O4575" s="4" t="n">
        <f aca="false">M4575*N4575</f>
        <v>34.75</v>
      </c>
    </row>
    <row r="4576" customFormat="false" ht="15" hidden="false" customHeight="false" outlineLevel="0" collapsed="false">
      <c r="A4576" s="0" t="s">
        <v>6190</v>
      </c>
      <c r="C4576" s="0" t="s">
        <v>39</v>
      </c>
      <c r="D4576" s="7" t="n">
        <v>58</v>
      </c>
      <c r="E4576" s="8" t="n">
        <v>0.550862068965517</v>
      </c>
      <c r="F4576" s="4" t="n">
        <f aca="false">D4576*E4576</f>
        <v>31.95</v>
      </c>
      <c r="G4576" s="7" t="n">
        <v>56</v>
      </c>
      <c r="H4576" s="9" t="n">
        <f aca="false">IF(G4576&gt;0,D4576/G4576,"")</f>
        <v>1.03571428571429</v>
      </c>
      <c r="I4576" s="10" t="n">
        <v>46241</v>
      </c>
      <c r="J4576" s="3" t="s">
        <v>1021</v>
      </c>
      <c r="K4576" s="10" t="n">
        <v>45779</v>
      </c>
      <c r="L4576" s="3" t="s">
        <v>18</v>
      </c>
      <c r="M4576" s="7" t="n">
        <v>170</v>
      </c>
      <c r="N4576" s="8" t="n">
        <v>0.5508</v>
      </c>
      <c r="O4576" s="4" t="n">
        <f aca="false">M4576*N4576</f>
        <v>93.636</v>
      </c>
    </row>
    <row r="4577" customFormat="false" ht="15" hidden="false" customHeight="false" outlineLevel="0" collapsed="false">
      <c r="A4577" s="0" t="s">
        <v>6191</v>
      </c>
      <c r="C4577" s="0" t="s">
        <v>31</v>
      </c>
      <c r="D4577" s="7" t="n">
        <v>1050</v>
      </c>
      <c r="E4577" s="8" t="n">
        <v>0.0304</v>
      </c>
      <c r="F4577" s="4" t="n">
        <f aca="false">D4577*E4577</f>
        <v>31.92</v>
      </c>
      <c r="G4577" s="7" t="n">
        <v>600</v>
      </c>
      <c r="H4577" s="9" t="n">
        <f aca="false">IF(G4577&gt;0,D4577/G4577,"")</f>
        <v>1.75</v>
      </c>
      <c r="I4577" s="10" t="n">
        <v>46190</v>
      </c>
      <c r="J4577" s="3" t="s">
        <v>2716</v>
      </c>
      <c r="K4577" s="10" t="n">
        <v>46160</v>
      </c>
      <c r="L4577" s="3" t="s">
        <v>16</v>
      </c>
      <c r="M4577" s="7" t="n">
        <v>1650</v>
      </c>
      <c r="N4577" s="8" t="n">
        <v>0.0304</v>
      </c>
      <c r="O4577" s="4" t="n">
        <f aca="false">M4577*N4577</f>
        <v>50.16</v>
      </c>
    </row>
    <row r="4578" customFormat="false" ht="15" hidden="false" customHeight="false" outlineLevel="0" collapsed="false">
      <c r="A4578" s="0" t="s">
        <v>6192</v>
      </c>
      <c r="C4578" s="0" t="s">
        <v>31</v>
      </c>
      <c r="D4578" s="7" t="n">
        <v>1188</v>
      </c>
      <c r="E4578" s="8" t="n">
        <v>0.0268686868686869</v>
      </c>
      <c r="F4578" s="4" t="n">
        <f aca="false">D4578*E4578</f>
        <v>31.92</v>
      </c>
      <c r="G4578" s="7" t="n">
        <v>247</v>
      </c>
      <c r="H4578" s="9" t="n">
        <f aca="false">IF(G4578&gt;0,D4578/G4578,"")</f>
        <v>4.80971659919028</v>
      </c>
      <c r="I4578" s="10" t="n">
        <v>46310</v>
      </c>
      <c r="J4578" s="3" t="s">
        <v>4221</v>
      </c>
      <c r="K4578" s="10" t="n">
        <v>44698</v>
      </c>
      <c r="L4578" s="3" t="s">
        <v>19</v>
      </c>
      <c r="M4578" s="7" t="n">
        <v>3954</v>
      </c>
      <c r="N4578" s="8" t="n">
        <v>0</v>
      </c>
      <c r="O4578" s="4" t="n">
        <v>112.4133</v>
      </c>
    </row>
    <row r="4579" customFormat="false" ht="15" hidden="false" customHeight="false" outlineLevel="0" collapsed="false">
      <c r="A4579" s="0" t="s">
        <v>6193</v>
      </c>
      <c r="C4579" s="0" t="s">
        <v>31</v>
      </c>
      <c r="D4579" s="7" t="n">
        <v>602</v>
      </c>
      <c r="E4579" s="8" t="n">
        <v>0.0530066445182724</v>
      </c>
      <c r="F4579" s="4" t="n">
        <f aca="false">D4579*E4579</f>
        <v>31.91</v>
      </c>
      <c r="G4579" s="7" t="n">
        <v>70</v>
      </c>
      <c r="H4579" s="9" t="n">
        <f aca="false">IF(G4579&gt;0,D4579/G4579,"")</f>
        <v>8.6</v>
      </c>
      <c r="I4579" s="10" t="n">
        <v>46283</v>
      </c>
      <c r="J4579" s="3" t="s">
        <v>6194</v>
      </c>
      <c r="K4579" s="10" t="n">
        <v>45145</v>
      </c>
      <c r="L4579" s="3" t="s">
        <v>19</v>
      </c>
      <c r="M4579" s="7" t="n">
        <v>1000</v>
      </c>
      <c r="N4579" s="8" t="n">
        <v>0.053</v>
      </c>
      <c r="O4579" s="4" t="n">
        <f aca="false">M4579*N4579</f>
        <v>53</v>
      </c>
    </row>
    <row r="4580" customFormat="false" ht="15" hidden="false" customHeight="false" outlineLevel="0" collapsed="false">
      <c r="A4580" s="0" t="s">
        <v>6195</v>
      </c>
      <c r="C4580" s="0" t="s">
        <v>298</v>
      </c>
      <c r="D4580" s="7" t="n">
        <v>20</v>
      </c>
      <c r="E4580" s="8" t="n">
        <v>1.5955</v>
      </c>
      <c r="F4580" s="4" t="n">
        <f aca="false">D4580*E4580</f>
        <v>31.91</v>
      </c>
      <c r="G4580" s="7" t="n">
        <v>8</v>
      </c>
      <c r="H4580" s="9" t="n">
        <f aca="false">IF(G4580&gt;0,D4580/G4580,"")</f>
        <v>2.5</v>
      </c>
      <c r="I4580" s="10" t="n">
        <v>46197</v>
      </c>
      <c r="J4580" s="3" t="s">
        <v>821</v>
      </c>
      <c r="K4580" s="10" t="n">
        <v>45364</v>
      </c>
      <c r="L4580" s="3" t="s">
        <v>14</v>
      </c>
      <c r="M4580" s="7" t="n">
        <v>50</v>
      </c>
      <c r="N4580" s="8" t="n">
        <v>1.5954</v>
      </c>
      <c r="O4580" s="4" t="n">
        <f aca="false">M4580*N4580</f>
        <v>79.77</v>
      </c>
    </row>
    <row r="4581" customFormat="false" ht="15" hidden="false" customHeight="false" outlineLevel="0" collapsed="false">
      <c r="A4581" s="0" t="s">
        <v>6196</v>
      </c>
      <c r="C4581" s="0" t="s">
        <v>37</v>
      </c>
      <c r="D4581" s="7" t="n">
        <v>468</v>
      </c>
      <c r="E4581" s="8" t="n">
        <v>0.0681623931623932</v>
      </c>
      <c r="F4581" s="4" t="n">
        <f aca="false">D4581*E4581</f>
        <v>31.9</v>
      </c>
      <c r="G4581" s="7" t="n">
        <v>102</v>
      </c>
      <c r="H4581" s="9" t="n">
        <f aca="false">IF(G4581&gt;0,D4581/G4581,"")</f>
        <v>4.58823529411765</v>
      </c>
      <c r="I4581" s="10" t="n">
        <v>46300</v>
      </c>
      <c r="J4581" s="3" t="s">
        <v>4184</v>
      </c>
      <c r="K4581" s="10" t="n">
        <v>44713</v>
      </c>
      <c r="L4581" s="3" t="s">
        <v>15</v>
      </c>
      <c r="M4581" s="7" t="n">
        <v>2670</v>
      </c>
      <c r="N4581" s="8" t="n">
        <v>0</v>
      </c>
      <c r="O4581" s="4" t="n">
        <v>187.34586</v>
      </c>
    </row>
    <row r="4582" customFormat="false" ht="15" hidden="false" customHeight="false" outlineLevel="0" collapsed="false">
      <c r="A4582" s="0" t="s">
        <v>6197</v>
      </c>
      <c r="C4582" s="0" t="s">
        <v>31</v>
      </c>
      <c r="D4582" s="7" t="n">
        <v>1555</v>
      </c>
      <c r="E4582" s="8" t="n">
        <v>0.0205016077170418</v>
      </c>
      <c r="F4582" s="4" t="n">
        <f aca="false">D4582*E4582</f>
        <v>31.88</v>
      </c>
      <c r="G4582" s="7" t="n">
        <v>234</v>
      </c>
      <c r="H4582" s="9" t="n">
        <f aca="false">IF(G4582&gt;0,D4582/G4582,"")</f>
        <v>6.64529914529915</v>
      </c>
      <c r="I4582" s="10" t="n">
        <v>46308</v>
      </c>
      <c r="J4582" s="3" t="s">
        <v>6198</v>
      </c>
      <c r="K4582" s="10" t="n">
        <v>45846</v>
      </c>
      <c r="L4582" s="3" t="s">
        <v>19</v>
      </c>
      <c r="M4582" s="7" t="n">
        <v>1750</v>
      </c>
      <c r="N4582" s="8" t="n">
        <v>0.0205</v>
      </c>
      <c r="O4582" s="4" t="n">
        <f aca="false">M4582*N4582</f>
        <v>35.875</v>
      </c>
    </row>
    <row r="4583" customFormat="false" ht="15" hidden="false" customHeight="false" outlineLevel="0" collapsed="false">
      <c r="A4583" s="0" t="s">
        <v>6199</v>
      </c>
      <c r="C4583" s="0" t="s">
        <v>31</v>
      </c>
      <c r="D4583" s="7" t="n">
        <v>1809</v>
      </c>
      <c r="E4583" s="8" t="n">
        <v>0.0176064123825318</v>
      </c>
      <c r="F4583" s="4" t="n">
        <f aca="false">D4583*E4583</f>
        <v>31.85</v>
      </c>
      <c r="G4583" s="7" t="n">
        <v>730</v>
      </c>
      <c r="H4583" s="9" t="n">
        <f aca="false">IF(G4583&gt;0,D4583/G4583,"")</f>
        <v>2.47808219178082</v>
      </c>
      <c r="I4583" s="10" t="n">
        <v>46267</v>
      </c>
      <c r="J4583" s="3" t="s">
        <v>6200</v>
      </c>
      <c r="K4583" s="10" t="n">
        <v>45974</v>
      </c>
      <c r="L4583" s="3" t="s">
        <v>19</v>
      </c>
      <c r="M4583" s="7" t="n">
        <v>2500</v>
      </c>
      <c r="N4583" s="8" t="n">
        <v>0.0176</v>
      </c>
      <c r="O4583" s="4" t="n">
        <f aca="false">M4583*N4583</f>
        <v>44</v>
      </c>
    </row>
    <row r="4584" customFormat="false" ht="15" hidden="false" customHeight="false" outlineLevel="0" collapsed="false">
      <c r="A4584" s="0" t="s">
        <v>6201</v>
      </c>
      <c r="C4584" s="0" t="s">
        <v>298</v>
      </c>
      <c r="D4584" s="7" t="n">
        <v>916</v>
      </c>
      <c r="E4584" s="8" t="n">
        <v>0.0347598253275109</v>
      </c>
      <c r="F4584" s="4" t="n">
        <f aca="false">D4584*E4584</f>
        <v>31.84</v>
      </c>
      <c r="G4584" s="7" t="n">
        <v>374</v>
      </c>
      <c r="H4584" s="9" t="n">
        <f aca="false">IF(G4584&gt;0,D4584/G4584,"")</f>
        <v>2.44919786096257</v>
      </c>
      <c r="I4584" s="10" t="n">
        <v>46314</v>
      </c>
      <c r="J4584" s="3" t="s">
        <v>188</v>
      </c>
      <c r="K4584" s="10" t="n">
        <v>45124</v>
      </c>
      <c r="L4584" s="3" t="s">
        <v>19</v>
      </c>
      <c r="M4584" s="7" t="n">
        <v>2000</v>
      </c>
      <c r="N4584" s="8" t="n">
        <v>0.0348</v>
      </c>
      <c r="O4584" s="4" t="n">
        <f aca="false">M4584*N4584</f>
        <v>69.6</v>
      </c>
    </row>
    <row r="4585" customFormat="false" ht="15" hidden="false" customHeight="false" outlineLevel="0" collapsed="false">
      <c r="A4585" s="0" t="s">
        <v>6202</v>
      </c>
      <c r="D4585" s="7" t="n">
        <v>21</v>
      </c>
      <c r="E4585" s="8" t="n">
        <v>1.5152380952381</v>
      </c>
      <c r="F4585" s="4" t="n">
        <f aca="false">D4585*E4585</f>
        <v>31.82</v>
      </c>
      <c r="G4585" s="7" t="n">
        <v>5</v>
      </c>
      <c r="H4585" s="9" t="n">
        <f aca="false">IF(G4585&gt;0,D4585/G4585,"")</f>
        <v>4.2</v>
      </c>
      <c r="I4585" s="10" t="n">
        <v>46156</v>
      </c>
      <c r="J4585" s="3" t="s">
        <v>4726</v>
      </c>
      <c r="K4585" s="10" t="n">
        <v>46149</v>
      </c>
      <c r="L4585" s="3" t="s">
        <v>19</v>
      </c>
      <c r="M4585" s="7" t="n">
        <v>25</v>
      </c>
      <c r="N4585" s="8" t="n">
        <v>1.5153</v>
      </c>
      <c r="O4585" s="4" t="n">
        <f aca="false">M4585*N4585</f>
        <v>37.8825</v>
      </c>
    </row>
    <row r="4586" customFormat="false" ht="15" hidden="false" customHeight="false" outlineLevel="0" collapsed="false">
      <c r="A4586" s="0" t="s">
        <v>6203</v>
      </c>
      <c r="C4586" s="0" t="s">
        <v>38</v>
      </c>
      <c r="D4586" s="7" t="n">
        <v>392</v>
      </c>
      <c r="E4586" s="8" t="n">
        <v>0.0810459183673469</v>
      </c>
      <c r="F4586" s="4" t="n">
        <f aca="false">D4586*E4586</f>
        <v>31.77</v>
      </c>
      <c r="G4586" s="7" t="n">
        <v>37</v>
      </c>
      <c r="H4586" s="9" t="n">
        <f aca="false">IF(G4586&gt;0,D4586/G4586,"")</f>
        <v>10.5945945945946</v>
      </c>
      <c r="I4586" s="10" t="n">
        <v>46218</v>
      </c>
      <c r="J4586" s="3" t="s">
        <v>3293</v>
      </c>
      <c r="K4586" s="10" t="n">
        <v>46209</v>
      </c>
      <c r="L4586" s="3" t="s">
        <v>19</v>
      </c>
      <c r="M4586" s="7" t="n">
        <v>411</v>
      </c>
      <c r="N4586" s="8" t="n">
        <v>0.0812</v>
      </c>
      <c r="O4586" s="4" t="n">
        <f aca="false">M4586*N4586</f>
        <v>33.3732</v>
      </c>
    </row>
    <row r="4587" customFormat="false" ht="15" hidden="false" customHeight="false" outlineLevel="0" collapsed="false">
      <c r="A4587" s="0" t="s">
        <v>6204</v>
      </c>
      <c r="C4587" s="0" t="s">
        <v>41</v>
      </c>
      <c r="D4587" s="7" t="n">
        <v>5201</v>
      </c>
      <c r="E4587" s="8" t="n">
        <v>0.00610267256296866</v>
      </c>
      <c r="F4587" s="4" t="n">
        <f aca="false">D4587*E4587</f>
        <v>31.74</v>
      </c>
      <c r="G4587" s="7" t="n">
        <v>88</v>
      </c>
      <c r="H4587" s="9" t="n">
        <f aca="false">IF(G4587&gt;0,D4587/G4587,"")</f>
        <v>59.1022727272727</v>
      </c>
      <c r="I4587" s="10" t="n">
        <v>46104</v>
      </c>
      <c r="K4587" s="10"/>
      <c r="M4587" s="7"/>
      <c r="N4587" s="8"/>
      <c r="O4587" s="4"/>
    </row>
    <row r="4588" customFormat="false" ht="15" hidden="false" customHeight="false" outlineLevel="0" collapsed="false">
      <c r="A4588" s="0" t="s">
        <v>6205</v>
      </c>
      <c r="C4588" s="0" t="s">
        <v>298</v>
      </c>
      <c r="D4588" s="7" t="n">
        <v>81</v>
      </c>
      <c r="E4588" s="8" t="n">
        <v>0.391111111111111</v>
      </c>
      <c r="F4588" s="4" t="n">
        <f aca="false">D4588*E4588</f>
        <v>31.68</v>
      </c>
      <c r="G4588" s="7" t="n">
        <v>10</v>
      </c>
      <c r="H4588" s="9" t="n">
        <f aca="false">IF(G4588&gt;0,D4588/G4588,"")</f>
        <v>8.1</v>
      </c>
      <c r="I4588" s="10" t="n">
        <v>46279</v>
      </c>
      <c r="J4588" s="3" t="s">
        <v>932</v>
      </c>
      <c r="K4588" s="10" t="n">
        <v>45689</v>
      </c>
      <c r="L4588" s="3" t="s">
        <v>14</v>
      </c>
      <c r="M4588" s="7" t="n">
        <v>129</v>
      </c>
      <c r="N4588" s="8" t="n">
        <v>0.3911</v>
      </c>
      <c r="O4588" s="4" t="n">
        <f aca="false">M4588*N4588</f>
        <v>50.4519</v>
      </c>
    </row>
    <row r="4589" customFormat="false" ht="15" hidden="false" customHeight="false" outlineLevel="0" collapsed="false">
      <c r="A4589" s="0" t="s">
        <v>6206</v>
      </c>
      <c r="C4589" s="0" t="s">
        <v>31</v>
      </c>
      <c r="D4589" s="7" t="n">
        <v>2848</v>
      </c>
      <c r="E4589" s="8" t="n">
        <v>0.011123595505618</v>
      </c>
      <c r="F4589" s="4" t="n">
        <f aca="false">D4589*E4589</f>
        <v>31.68</v>
      </c>
      <c r="G4589" s="7" t="n">
        <v>783</v>
      </c>
      <c r="H4589" s="9" t="n">
        <f aca="false">IF(G4589&gt;0,D4589/G4589,"")</f>
        <v>3.63729246487867</v>
      </c>
      <c r="I4589" s="10" t="n">
        <v>46317</v>
      </c>
      <c r="J4589" s="3" t="s">
        <v>478</v>
      </c>
      <c r="K4589" s="10" t="n">
        <v>46185</v>
      </c>
      <c r="L4589" s="3" t="s">
        <v>16</v>
      </c>
      <c r="M4589" s="7" t="n">
        <v>3100</v>
      </c>
      <c r="N4589" s="8" t="n">
        <v>0.0108</v>
      </c>
      <c r="O4589" s="4" t="n">
        <f aca="false">M4589*N4589</f>
        <v>33.48</v>
      </c>
    </row>
    <row r="4590" customFormat="false" ht="15" hidden="false" customHeight="false" outlineLevel="0" collapsed="false">
      <c r="A4590" s="0" t="s">
        <v>6207</v>
      </c>
      <c r="C4590" s="0" t="s">
        <v>33</v>
      </c>
      <c r="D4590" s="7" t="n">
        <v>7</v>
      </c>
      <c r="E4590" s="8" t="n">
        <v>4.52428571428571</v>
      </c>
      <c r="F4590" s="4" t="n">
        <f aca="false">D4590*E4590</f>
        <v>31.67</v>
      </c>
      <c r="G4590" s="7" t="n">
        <v>3</v>
      </c>
      <c r="H4590" s="9" t="n">
        <f aca="false">IF(G4590&gt;0,D4590/G4590,"")</f>
        <v>2.33333333333333</v>
      </c>
      <c r="I4590" s="10" t="n">
        <v>46218</v>
      </c>
      <c r="J4590" s="3" t="s">
        <v>6208</v>
      </c>
      <c r="K4590" s="10" t="n">
        <v>46287</v>
      </c>
      <c r="L4590" s="3" t="s">
        <v>18</v>
      </c>
      <c r="M4590" s="7" t="n">
        <v>7</v>
      </c>
      <c r="N4590" s="8" t="n">
        <v>4.524</v>
      </c>
      <c r="O4590" s="4" t="n">
        <f aca="false">M4590*N4590</f>
        <v>31.668</v>
      </c>
    </row>
    <row r="4591" customFormat="false" ht="15" hidden="false" customHeight="false" outlineLevel="0" collapsed="false">
      <c r="A4591" s="0" t="s">
        <v>6209</v>
      </c>
      <c r="C4591" s="0" t="s">
        <v>35</v>
      </c>
      <c r="D4591" s="7" t="n">
        <v>10</v>
      </c>
      <c r="E4591" s="8" t="n">
        <v>3.163</v>
      </c>
      <c r="F4591" s="4" t="n">
        <f aca="false">D4591*E4591</f>
        <v>31.63</v>
      </c>
      <c r="G4591" s="7" t="n">
        <v>1</v>
      </c>
      <c r="H4591" s="9" t="n">
        <f aca="false">IF(G4591&gt;0,D4591/G4591,"")</f>
        <v>10</v>
      </c>
      <c r="I4591" s="10" t="n">
        <v>46294</v>
      </c>
      <c r="J4591" s="3" t="s">
        <v>968</v>
      </c>
      <c r="K4591" s="10" t="n">
        <v>45304</v>
      </c>
      <c r="L4591" s="3" t="s">
        <v>14</v>
      </c>
      <c r="M4591" s="7" t="n">
        <v>25</v>
      </c>
      <c r="N4591" s="8" t="n">
        <v>3.1628</v>
      </c>
      <c r="O4591" s="4" t="n">
        <f aca="false">M4591*N4591</f>
        <v>79.07</v>
      </c>
    </row>
    <row r="4592" customFormat="false" ht="15" hidden="false" customHeight="false" outlineLevel="0" collapsed="false">
      <c r="A4592" s="0" t="s">
        <v>6210</v>
      </c>
      <c r="C4592" s="0" t="s">
        <v>340</v>
      </c>
      <c r="D4592" s="7" t="n">
        <v>70</v>
      </c>
      <c r="E4592" s="8" t="n">
        <v>0.451714285714286</v>
      </c>
      <c r="F4592" s="4" t="n">
        <f aca="false">D4592*E4592</f>
        <v>31.62</v>
      </c>
      <c r="G4592" s="7" t="n">
        <v>4</v>
      </c>
      <c r="H4592" s="9" t="n">
        <f aca="false">IF(G4592&gt;0,D4592/G4592,"")</f>
        <v>17.5</v>
      </c>
      <c r="I4592" s="10" t="n">
        <v>46181</v>
      </c>
      <c r="J4592" s="3" t="s">
        <v>341</v>
      </c>
      <c r="K4592" s="10" t="n">
        <v>46078</v>
      </c>
      <c r="L4592" s="3" t="s">
        <v>15</v>
      </c>
      <c r="M4592" s="7" t="n">
        <v>43</v>
      </c>
      <c r="N4592" s="8" t="n">
        <v>0.38412</v>
      </c>
      <c r="O4592" s="4" t="n">
        <f aca="false">M4592*N4592</f>
        <v>16.51716</v>
      </c>
    </row>
    <row r="4593" customFormat="false" ht="15" hidden="false" customHeight="false" outlineLevel="0" collapsed="false">
      <c r="A4593" s="0" t="s">
        <v>6211</v>
      </c>
      <c r="C4593" s="0" t="s">
        <v>39</v>
      </c>
      <c r="D4593" s="7" t="n">
        <v>134</v>
      </c>
      <c r="E4593" s="8" t="n">
        <v>0.23589552238806</v>
      </c>
      <c r="F4593" s="4" t="n">
        <f aca="false">D4593*E4593</f>
        <v>31.61</v>
      </c>
      <c r="G4593" s="7" t="n">
        <v>24</v>
      </c>
      <c r="H4593" s="9" t="n">
        <f aca="false">IF(G4593&gt;0,D4593/G4593,"")</f>
        <v>5.58333333333333</v>
      </c>
      <c r="I4593" s="10" t="n">
        <v>45953</v>
      </c>
      <c r="K4593" s="10"/>
      <c r="M4593" s="7"/>
      <c r="N4593" s="8"/>
      <c r="O4593" s="4"/>
    </row>
    <row r="4594" customFormat="false" ht="15" hidden="false" customHeight="false" outlineLevel="0" collapsed="false">
      <c r="A4594" s="0" t="s">
        <v>6212</v>
      </c>
      <c r="C4594" s="0" t="s">
        <v>45</v>
      </c>
      <c r="D4594" s="7" t="n">
        <v>77</v>
      </c>
      <c r="E4594" s="8" t="n">
        <v>0.41012987012987</v>
      </c>
      <c r="F4594" s="4" t="n">
        <f aca="false">D4594*E4594</f>
        <v>31.58</v>
      </c>
      <c r="G4594" s="7" t="n">
        <v>45</v>
      </c>
      <c r="H4594" s="9" t="n">
        <f aca="false">IF(G4594&gt;0,D4594/G4594,"")</f>
        <v>1.71111111111111</v>
      </c>
      <c r="I4594" s="10" t="n">
        <v>46213</v>
      </c>
      <c r="J4594" s="3" t="s">
        <v>345</v>
      </c>
      <c r="K4594" s="10" t="n">
        <v>46183</v>
      </c>
      <c r="L4594" s="3" t="s">
        <v>14</v>
      </c>
      <c r="M4594" s="7" t="n">
        <v>122</v>
      </c>
      <c r="N4594" s="8" t="n">
        <v>0.4101</v>
      </c>
      <c r="O4594" s="4" t="n">
        <f aca="false">M4594*N4594</f>
        <v>50.0322</v>
      </c>
    </row>
    <row r="4595" customFormat="false" ht="15" hidden="false" customHeight="false" outlineLevel="0" collapsed="false">
      <c r="A4595" s="0" t="s">
        <v>6213</v>
      </c>
      <c r="C4595" s="0" t="s">
        <v>41</v>
      </c>
      <c r="D4595" s="7" t="n">
        <v>910</v>
      </c>
      <c r="E4595" s="8" t="n">
        <v>0.0346483516483517</v>
      </c>
      <c r="F4595" s="4" t="n">
        <f aca="false">D4595*E4595</f>
        <v>31.53</v>
      </c>
      <c r="G4595" s="7" t="n">
        <v>1</v>
      </c>
      <c r="H4595" s="9" t="n">
        <f aca="false">IF(G4595&gt;0,D4595/G4595,"")</f>
        <v>910</v>
      </c>
      <c r="I4595" s="10" t="n">
        <v>46006</v>
      </c>
      <c r="J4595" s="3" t="s">
        <v>2757</v>
      </c>
      <c r="K4595" s="10" t="n">
        <v>44210</v>
      </c>
      <c r="L4595" s="3" t="s">
        <v>15</v>
      </c>
      <c r="M4595" s="7" t="n">
        <v>935</v>
      </c>
      <c r="N4595" s="8" t="n">
        <v>0.03465</v>
      </c>
      <c r="O4595" s="4" t="n">
        <f aca="false">M4595*N4595</f>
        <v>32.39775</v>
      </c>
    </row>
    <row r="4596" customFormat="false" ht="15" hidden="false" customHeight="false" outlineLevel="0" collapsed="false">
      <c r="A4596" s="0" t="s">
        <v>6214</v>
      </c>
      <c r="C4596" s="0" t="s">
        <v>583</v>
      </c>
      <c r="D4596" s="7" t="n">
        <v>4089</v>
      </c>
      <c r="E4596" s="8" t="n">
        <v>0.00770114942528736</v>
      </c>
      <c r="F4596" s="4" t="n">
        <f aca="false">D4596*E4596</f>
        <v>31.49</v>
      </c>
      <c r="G4596" s="7" t="n">
        <v>2239</v>
      </c>
      <c r="H4596" s="9" t="n">
        <f aca="false">IF(G4596&gt;0,D4596/G4596,"")</f>
        <v>1.82626172398392</v>
      </c>
      <c r="I4596" s="10" t="n">
        <v>46316</v>
      </c>
      <c r="J4596" s="3" t="s">
        <v>6215</v>
      </c>
      <c r="K4596" s="10" t="n">
        <v>45875</v>
      </c>
      <c r="L4596" s="3" t="s">
        <v>16</v>
      </c>
      <c r="M4596" s="7" t="n">
        <v>30000</v>
      </c>
      <c r="N4596" s="8" t="n">
        <v>0.0077</v>
      </c>
      <c r="O4596" s="4" t="n">
        <f aca="false">M4596*N4596</f>
        <v>231</v>
      </c>
    </row>
    <row r="4597" customFormat="false" ht="15" hidden="false" customHeight="false" outlineLevel="0" collapsed="false">
      <c r="A4597" s="0" t="s">
        <v>6216</v>
      </c>
      <c r="C4597" s="0" t="s">
        <v>340</v>
      </c>
      <c r="D4597" s="7" t="n">
        <v>1897</v>
      </c>
      <c r="E4597" s="8" t="n">
        <v>0.0165893516078018</v>
      </c>
      <c r="F4597" s="4" t="n">
        <f aca="false">D4597*E4597</f>
        <v>31.47</v>
      </c>
      <c r="G4597" s="7" t="n">
        <v>944</v>
      </c>
      <c r="H4597" s="9" t="n">
        <f aca="false">IF(G4597&gt;0,D4597/G4597,"")</f>
        <v>2.00953389830508</v>
      </c>
      <c r="I4597" s="10" t="n">
        <v>46310</v>
      </c>
      <c r="J4597" s="3" t="s">
        <v>3235</v>
      </c>
      <c r="K4597" s="10" t="n">
        <v>44364</v>
      </c>
      <c r="L4597" s="3" t="s">
        <v>19</v>
      </c>
      <c r="M4597" s="7" t="n">
        <v>3015</v>
      </c>
      <c r="N4597" s="8" t="n">
        <v>0.0166</v>
      </c>
      <c r="O4597" s="4" t="n">
        <f aca="false">M4597*N4597</f>
        <v>50.049</v>
      </c>
    </row>
    <row r="4598" customFormat="false" ht="15" hidden="false" customHeight="false" outlineLevel="0" collapsed="false">
      <c r="A4598" s="0" t="s">
        <v>6217</v>
      </c>
      <c r="C4598" s="0" t="s">
        <v>1039</v>
      </c>
      <c r="D4598" s="7" t="n">
        <v>563</v>
      </c>
      <c r="E4598" s="8" t="n">
        <v>0.0558792184724689</v>
      </c>
      <c r="F4598" s="4" t="n">
        <f aca="false">D4598*E4598</f>
        <v>31.46</v>
      </c>
      <c r="G4598" s="7" t="n">
        <v>53</v>
      </c>
      <c r="H4598" s="9" t="n">
        <f aca="false">IF(G4598&gt;0,D4598/G4598,"")</f>
        <v>10.622641509434</v>
      </c>
      <c r="I4598" s="10" t="n">
        <v>46293</v>
      </c>
      <c r="K4598" s="10"/>
      <c r="M4598" s="7"/>
      <c r="N4598" s="8"/>
      <c r="O4598" s="4"/>
    </row>
    <row r="4599" customFormat="false" ht="15" hidden="false" customHeight="false" outlineLevel="0" collapsed="false">
      <c r="A4599" s="0" t="s">
        <v>6218</v>
      </c>
      <c r="D4599" s="7" t="n">
        <v>185</v>
      </c>
      <c r="E4599" s="8" t="n">
        <v>0.17</v>
      </c>
      <c r="F4599" s="4" t="n">
        <f aca="false">D4599*E4599</f>
        <v>31.45</v>
      </c>
      <c r="G4599" s="7" t="n">
        <v>5</v>
      </c>
      <c r="H4599" s="9" t="n">
        <f aca="false">IF(G4599&gt;0,D4599/G4599,"")</f>
        <v>37</v>
      </c>
      <c r="I4599" s="10" t="n">
        <v>46057</v>
      </c>
      <c r="K4599" s="10"/>
      <c r="M4599" s="7"/>
      <c r="N4599" s="8"/>
      <c r="O4599" s="4"/>
    </row>
    <row r="4600" customFormat="false" ht="15" hidden="false" customHeight="false" outlineLevel="0" collapsed="false">
      <c r="A4600" s="0" t="s">
        <v>6219</v>
      </c>
      <c r="C4600" s="0" t="s">
        <v>31</v>
      </c>
      <c r="D4600" s="7" t="n">
        <v>3199</v>
      </c>
      <c r="E4600" s="8" t="n">
        <v>0.00982181931853704</v>
      </c>
      <c r="F4600" s="4" t="n">
        <f aca="false">D4600*E4600</f>
        <v>31.42</v>
      </c>
      <c r="G4600" s="7" t="n">
        <v>130</v>
      </c>
      <c r="H4600" s="9" t="n">
        <f aca="false">IF(G4600&gt;0,D4600/G4600,"")</f>
        <v>24.6076923076923</v>
      </c>
      <c r="I4600" s="10" t="n">
        <v>46224</v>
      </c>
      <c r="J4600" s="3" t="s">
        <v>2162</v>
      </c>
      <c r="K4600" s="10" t="n">
        <v>44222</v>
      </c>
      <c r="L4600" s="3" t="s">
        <v>15</v>
      </c>
      <c r="M4600" s="7" t="n">
        <v>4080</v>
      </c>
      <c r="N4600" s="8" t="n">
        <v>0.00983</v>
      </c>
      <c r="O4600" s="4" t="n">
        <f aca="false">M4600*N4600</f>
        <v>40.1064</v>
      </c>
    </row>
    <row r="4601" customFormat="false" ht="15" hidden="false" customHeight="false" outlineLevel="0" collapsed="false">
      <c r="A4601" s="0" t="s">
        <v>6220</v>
      </c>
      <c r="C4601" s="0" t="s">
        <v>438</v>
      </c>
      <c r="D4601" s="7" t="n">
        <v>32</v>
      </c>
      <c r="E4601" s="8" t="n">
        <v>0.98125</v>
      </c>
      <c r="F4601" s="4" t="n">
        <f aca="false">D4601*E4601</f>
        <v>31.4</v>
      </c>
      <c r="G4601" s="7" t="n">
        <v>10</v>
      </c>
      <c r="H4601" s="9" t="n">
        <f aca="false">IF(G4601&gt;0,D4601/G4601,"")</f>
        <v>3.2</v>
      </c>
      <c r="I4601" s="10" t="n">
        <v>46302</v>
      </c>
      <c r="J4601" s="3" t="s">
        <v>6221</v>
      </c>
      <c r="K4601" s="10" t="n">
        <v>45930</v>
      </c>
      <c r="L4601" s="3" t="s">
        <v>313</v>
      </c>
      <c r="M4601" s="7" t="n">
        <v>50</v>
      </c>
      <c r="N4601" s="8" t="n">
        <v>0.865</v>
      </c>
      <c r="O4601" s="4" t="n">
        <f aca="false">M4601*N4601</f>
        <v>43.25</v>
      </c>
    </row>
    <row r="4602" customFormat="false" ht="15" hidden="false" customHeight="false" outlineLevel="0" collapsed="false">
      <c r="A4602" s="0" t="s">
        <v>6222</v>
      </c>
      <c r="C4602" s="0" t="s">
        <v>38</v>
      </c>
      <c r="D4602" s="7" t="n">
        <v>1334</v>
      </c>
      <c r="E4602" s="8" t="n">
        <v>0.0235007496251874</v>
      </c>
      <c r="F4602" s="4" t="n">
        <f aca="false">D4602*E4602</f>
        <v>31.35</v>
      </c>
      <c r="G4602" s="7" t="n">
        <v>230</v>
      </c>
      <c r="H4602" s="9" t="n">
        <f aca="false">IF(G4602&gt;0,D4602/G4602,"")</f>
        <v>5.8</v>
      </c>
      <c r="I4602" s="10" t="n">
        <v>46244</v>
      </c>
      <c r="J4602" s="3" t="s">
        <v>5042</v>
      </c>
      <c r="K4602" s="10" t="n">
        <v>44364</v>
      </c>
      <c r="L4602" s="3" t="s">
        <v>465</v>
      </c>
      <c r="M4602" s="7" t="n">
        <v>5000</v>
      </c>
      <c r="N4602" s="8" t="n">
        <v>0.0235</v>
      </c>
      <c r="O4602" s="4" t="n">
        <f aca="false">M4602*N4602</f>
        <v>117.5</v>
      </c>
    </row>
    <row r="4603" customFormat="false" ht="15" hidden="false" customHeight="false" outlineLevel="0" collapsed="false">
      <c r="A4603" s="0" t="s">
        <v>6223</v>
      </c>
      <c r="C4603" s="0" t="s">
        <v>31</v>
      </c>
      <c r="D4603" s="7" t="n">
        <v>7180</v>
      </c>
      <c r="E4603" s="8" t="n">
        <v>0.00436629526462396</v>
      </c>
      <c r="F4603" s="4" t="n">
        <f aca="false">D4603*E4603</f>
        <v>31.35</v>
      </c>
      <c r="G4603" s="7" t="n">
        <v>388</v>
      </c>
      <c r="H4603" s="9" t="n">
        <f aca="false">IF(G4603&gt;0,D4603/G4603,"")</f>
        <v>18.5051546391753</v>
      </c>
      <c r="I4603" s="10" t="n">
        <v>46233</v>
      </c>
      <c r="K4603" s="10"/>
      <c r="M4603" s="7"/>
      <c r="N4603" s="8"/>
      <c r="O4603" s="4"/>
    </row>
    <row r="4604" customFormat="false" ht="15" hidden="false" customHeight="false" outlineLevel="0" collapsed="false">
      <c r="A4604" s="0" t="s">
        <v>6224</v>
      </c>
      <c r="C4604" s="0" t="s">
        <v>34</v>
      </c>
      <c r="D4604" s="7" t="n">
        <v>65</v>
      </c>
      <c r="E4604" s="8" t="n">
        <v>0.482153846153846</v>
      </c>
      <c r="F4604" s="4" t="n">
        <f aca="false">D4604*E4604</f>
        <v>31.34</v>
      </c>
      <c r="G4604" s="7" t="n">
        <v>16</v>
      </c>
      <c r="H4604" s="9" t="n">
        <f aca="false">IF(G4604&gt;0,D4604/G4604,"")</f>
        <v>4.0625</v>
      </c>
      <c r="I4604" s="10" t="n">
        <v>46265</v>
      </c>
      <c r="K4604" s="10"/>
      <c r="M4604" s="7"/>
      <c r="N4604" s="8"/>
      <c r="O4604" s="4"/>
    </row>
    <row r="4605" customFormat="false" ht="15" hidden="false" customHeight="false" outlineLevel="0" collapsed="false">
      <c r="A4605" s="0" t="s">
        <v>6225</v>
      </c>
      <c r="C4605" s="0" t="s">
        <v>1169</v>
      </c>
      <c r="D4605" s="7" t="n">
        <v>28</v>
      </c>
      <c r="E4605" s="8" t="n">
        <v>1.11714285714286</v>
      </c>
      <c r="F4605" s="4" t="n">
        <f aca="false">D4605*E4605</f>
        <v>31.28</v>
      </c>
      <c r="G4605" s="7" t="n">
        <v>10</v>
      </c>
      <c r="H4605" s="9" t="n">
        <f aca="false">IF(G4605&gt;0,D4605/G4605,"")</f>
        <v>2.8</v>
      </c>
      <c r="I4605" s="10" t="n">
        <v>46139</v>
      </c>
      <c r="J4605" s="3" t="s">
        <v>6226</v>
      </c>
      <c r="K4605" s="10" t="n">
        <v>45162</v>
      </c>
      <c r="L4605" s="3" t="s">
        <v>14</v>
      </c>
      <c r="M4605" s="7" t="n">
        <v>100</v>
      </c>
      <c r="N4605" s="8" t="n">
        <v>1.1169</v>
      </c>
      <c r="O4605" s="4" t="n">
        <f aca="false">M4605*N4605</f>
        <v>111.69</v>
      </c>
    </row>
    <row r="4606" customFormat="false" ht="15" hidden="false" customHeight="false" outlineLevel="0" collapsed="false">
      <c r="A4606" s="0" t="s">
        <v>6227</v>
      </c>
      <c r="C4606" s="0" t="s">
        <v>31</v>
      </c>
      <c r="D4606" s="7" t="n">
        <v>1320</v>
      </c>
      <c r="E4606" s="8" t="n">
        <v>0.0236969696969697</v>
      </c>
      <c r="F4606" s="4" t="n">
        <f aca="false">D4606*E4606</f>
        <v>31.28</v>
      </c>
      <c r="G4606" s="7" t="n">
        <v>633</v>
      </c>
      <c r="H4606" s="9" t="n">
        <f aca="false">IF(G4606&gt;0,D4606/G4606,"")</f>
        <v>2.08530805687204</v>
      </c>
      <c r="I4606" s="10" t="n">
        <v>46295</v>
      </c>
      <c r="J4606" s="3" t="s">
        <v>2716</v>
      </c>
      <c r="K4606" s="10" t="n">
        <v>46160</v>
      </c>
      <c r="L4606" s="3" t="s">
        <v>16</v>
      </c>
      <c r="M4606" s="7" t="n">
        <v>1400</v>
      </c>
      <c r="N4606" s="8" t="n">
        <v>0.0237</v>
      </c>
      <c r="O4606" s="4" t="n">
        <f aca="false">M4606*N4606</f>
        <v>33.18</v>
      </c>
    </row>
    <row r="4607" customFormat="false" ht="15" hidden="false" customHeight="false" outlineLevel="0" collapsed="false">
      <c r="A4607" s="0" t="s">
        <v>6228</v>
      </c>
      <c r="C4607" s="0" t="s">
        <v>285</v>
      </c>
      <c r="D4607" s="7" t="n">
        <v>1468</v>
      </c>
      <c r="E4607" s="8" t="n">
        <v>0.0213010899182561</v>
      </c>
      <c r="F4607" s="4" t="n">
        <f aca="false">D4607*E4607</f>
        <v>31.27</v>
      </c>
      <c r="G4607" s="7" t="n">
        <v>164</v>
      </c>
      <c r="H4607" s="9" t="n">
        <f aca="false">IF(G4607&gt;0,D4607/G4607,"")</f>
        <v>8.95121951219512</v>
      </c>
      <c r="I4607" s="10" t="n">
        <v>46289</v>
      </c>
      <c r="K4607" s="10"/>
      <c r="M4607" s="7"/>
      <c r="N4607" s="8"/>
      <c r="O4607" s="4"/>
    </row>
    <row r="4608" customFormat="false" ht="15" hidden="false" customHeight="false" outlineLevel="0" collapsed="false">
      <c r="A4608" s="0" t="s">
        <v>6229</v>
      </c>
      <c r="C4608" s="0" t="s">
        <v>39</v>
      </c>
      <c r="D4608" s="7" t="n">
        <v>729</v>
      </c>
      <c r="E4608" s="8" t="n">
        <v>0.042880658436214</v>
      </c>
      <c r="F4608" s="4" t="n">
        <f aca="false">D4608*E4608</f>
        <v>31.26</v>
      </c>
      <c r="G4608" s="7" t="n">
        <v>100</v>
      </c>
      <c r="H4608" s="9" t="n">
        <f aca="false">IF(G4608&gt;0,D4608/G4608,"")</f>
        <v>7.29</v>
      </c>
      <c r="I4608" s="10" t="n">
        <v>46308</v>
      </c>
      <c r="J4608" s="3" t="s">
        <v>5600</v>
      </c>
      <c r="K4608" s="10" t="n">
        <v>44819</v>
      </c>
      <c r="L4608" s="3" t="s">
        <v>19</v>
      </c>
      <c r="M4608" s="7" t="n">
        <v>1510</v>
      </c>
      <c r="N4608" s="8" t="n">
        <v>0.0435</v>
      </c>
      <c r="O4608" s="4" t="n">
        <v>65.25</v>
      </c>
    </row>
    <row r="4609" customFormat="false" ht="15" hidden="false" customHeight="false" outlineLevel="0" collapsed="false">
      <c r="A4609" s="0" t="s">
        <v>6230</v>
      </c>
      <c r="C4609" s="0" t="s">
        <v>37</v>
      </c>
      <c r="D4609" s="7" t="n">
        <v>1727</v>
      </c>
      <c r="E4609" s="8" t="n">
        <v>0.0180775911986103</v>
      </c>
      <c r="F4609" s="4" t="n">
        <f aca="false">D4609*E4609</f>
        <v>31.22</v>
      </c>
      <c r="G4609" s="7" t="n">
        <v>830</v>
      </c>
      <c r="H4609" s="9" t="n">
        <f aca="false">IF(G4609&gt;0,D4609/G4609,"")</f>
        <v>2.08072289156627</v>
      </c>
      <c r="I4609" s="10" t="n">
        <v>46310</v>
      </c>
      <c r="J4609" s="3" t="s">
        <v>1936</v>
      </c>
      <c r="K4609" s="10" t="n">
        <v>45057</v>
      </c>
      <c r="L4609" s="3" t="s">
        <v>15</v>
      </c>
      <c r="M4609" s="7" t="n">
        <v>11100</v>
      </c>
      <c r="N4609" s="8" t="n">
        <v>0.01807</v>
      </c>
      <c r="O4609" s="4" t="n">
        <f aca="false">M4609*N4609</f>
        <v>200.577</v>
      </c>
    </row>
    <row r="4610" customFormat="false" ht="15" hidden="false" customHeight="false" outlineLevel="0" collapsed="false">
      <c r="A4610" s="0" t="s">
        <v>6231</v>
      </c>
      <c r="C4610" s="0" t="s">
        <v>295</v>
      </c>
      <c r="D4610" s="7" t="n">
        <v>2400</v>
      </c>
      <c r="E4610" s="8" t="n">
        <v>0.013</v>
      </c>
      <c r="F4610" s="4" t="n">
        <f aca="false">D4610*E4610</f>
        <v>31.2</v>
      </c>
      <c r="G4610" s="7" t="n">
        <v>100</v>
      </c>
      <c r="H4610" s="9" t="n">
        <f aca="false">IF(G4610&gt;0,D4610/G4610,"")</f>
        <v>24</v>
      </c>
      <c r="I4610" s="10" t="n">
        <v>46063</v>
      </c>
      <c r="J4610" s="3" t="s">
        <v>2417</v>
      </c>
      <c r="K4610" s="10" t="n">
        <v>46049</v>
      </c>
      <c r="L4610" s="3" t="s">
        <v>19</v>
      </c>
      <c r="M4610" s="7" t="n">
        <v>2500</v>
      </c>
      <c r="N4610" s="8" t="n">
        <v>0.013</v>
      </c>
      <c r="O4610" s="4" t="n">
        <f aca="false">M4610*N4610</f>
        <v>32.5</v>
      </c>
    </row>
    <row r="4611" customFormat="false" ht="15" hidden="false" customHeight="false" outlineLevel="0" collapsed="false">
      <c r="A4611" s="0" t="s">
        <v>6232</v>
      </c>
      <c r="C4611" s="0" t="s">
        <v>38</v>
      </c>
      <c r="D4611" s="7" t="n">
        <v>269</v>
      </c>
      <c r="E4611" s="8" t="n">
        <v>0.115910780669145</v>
      </c>
      <c r="F4611" s="4" t="n">
        <f aca="false">D4611*E4611</f>
        <v>31.18</v>
      </c>
      <c r="G4611" s="7" t="n">
        <v>20</v>
      </c>
      <c r="H4611" s="9" t="n">
        <f aca="false">IF(G4611&gt;0,D4611/G4611,"")</f>
        <v>13.45</v>
      </c>
      <c r="I4611" s="10" t="n">
        <v>46230</v>
      </c>
      <c r="J4611" s="3" t="s">
        <v>6233</v>
      </c>
      <c r="K4611" s="10" t="n">
        <v>44221</v>
      </c>
      <c r="L4611" s="3" t="s">
        <v>465</v>
      </c>
      <c r="M4611" s="7" t="n">
        <v>500</v>
      </c>
      <c r="N4611" s="8" t="n">
        <v>0.1159</v>
      </c>
      <c r="O4611" s="4" t="n">
        <f aca="false">M4611*N4611</f>
        <v>57.95</v>
      </c>
    </row>
    <row r="4612" customFormat="false" ht="15" hidden="false" customHeight="false" outlineLevel="0" collapsed="false">
      <c r="A4612" s="0" t="s">
        <v>6234</v>
      </c>
      <c r="C4612" s="0" t="s">
        <v>34</v>
      </c>
      <c r="D4612" s="7" t="n">
        <v>184</v>
      </c>
      <c r="E4612" s="8" t="n">
        <v>0.16945652173913</v>
      </c>
      <c r="F4612" s="4" t="n">
        <f aca="false">D4612*E4612</f>
        <v>31.18</v>
      </c>
      <c r="G4612" s="7" t="n">
        <v>25</v>
      </c>
      <c r="H4612" s="9" t="n">
        <f aca="false">IF(G4612&gt;0,D4612/G4612,"")</f>
        <v>7.36</v>
      </c>
      <c r="I4612" s="10" t="n">
        <v>46169</v>
      </c>
      <c r="J4612" s="3" t="s">
        <v>6235</v>
      </c>
      <c r="K4612" s="10" t="n">
        <v>44210</v>
      </c>
      <c r="L4612" s="3" t="s">
        <v>19</v>
      </c>
      <c r="M4612" s="7" t="n">
        <v>250</v>
      </c>
      <c r="N4612" s="8" t="n">
        <v>0.1695</v>
      </c>
      <c r="O4612" s="4" t="n">
        <f aca="false">M4612*N4612</f>
        <v>42.375</v>
      </c>
    </row>
    <row r="4613" customFormat="false" ht="15" hidden="false" customHeight="false" outlineLevel="0" collapsed="false">
      <c r="A4613" s="0" t="s">
        <v>6236</v>
      </c>
      <c r="C4613" s="0" t="s">
        <v>31</v>
      </c>
      <c r="D4613" s="7" t="n">
        <v>436</v>
      </c>
      <c r="E4613" s="8" t="n">
        <v>0.0714678899082569</v>
      </c>
      <c r="F4613" s="4" t="n">
        <f aca="false">D4613*E4613</f>
        <v>31.16</v>
      </c>
      <c r="G4613" s="7" t="n">
        <v>330</v>
      </c>
      <c r="H4613" s="9" t="n">
        <f aca="false">IF(G4613&gt;0,D4613/G4613,"")</f>
        <v>1.32121212121212</v>
      </c>
      <c r="I4613" s="10" t="n">
        <v>46308</v>
      </c>
      <c r="K4613" s="10"/>
      <c r="M4613" s="7"/>
      <c r="N4613" s="8"/>
      <c r="O4613" s="4"/>
    </row>
    <row r="4614" customFormat="false" ht="15" hidden="false" customHeight="false" outlineLevel="0" collapsed="false">
      <c r="A4614" s="0" t="s">
        <v>6237</v>
      </c>
      <c r="C4614" s="0" t="s">
        <v>31</v>
      </c>
      <c r="D4614" s="7" t="n">
        <v>250</v>
      </c>
      <c r="E4614" s="8" t="n">
        <v>0.1246</v>
      </c>
      <c r="F4614" s="4" t="n">
        <f aca="false">D4614*E4614</f>
        <v>31.15</v>
      </c>
      <c r="G4614" s="7" t="n">
        <v>5</v>
      </c>
      <c r="H4614" s="9" t="n">
        <f aca="false">IF(G4614&gt;0,D4614/G4614,"")</f>
        <v>50</v>
      </c>
      <c r="I4614" s="10" t="n">
        <v>46029</v>
      </c>
      <c r="J4614" s="3" t="s">
        <v>6125</v>
      </c>
      <c r="K4614" s="10" t="n">
        <v>46028</v>
      </c>
      <c r="L4614" s="3" t="s">
        <v>19</v>
      </c>
      <c r="M4614" s="7" t="n">
        <v>250</v>
      </c>
      <c r="N4614" s="8" t="n">
        <v>0.1246</v>
      </c>
      <c r="O4614" s="4" t="n">
        <f aca="false">M4614*N4614</f>
        <v>31.15</v>
      </c>
    </row>
    <row r="4615" customFormat="false" ht="15" hidden="false" customHeight="false" outlineLevel="0" collapsed="false">
      <c r="A4615" s="0" t="s">
        <v>6238</v>
      </c>
      <c r="D4615" s="7" t="n">
        <v>20</v>
      </c>
      <c r="E4615" s="8" t="n">
        <v>1.5575</v>
      </c>
      <c r="F4615" s="4" t="n">
        <f aca="false">D4615*E4615</f>
        <v>31.15</v>
      </c>
      <c r="G4615" s="7" t="n">
        <v>5</v>
      </c>
      <c r="H4615" s="9" t="n">
        <f aca="false">IF(G4615&gt;0,D4615/G4615,"")</f>
        <v>4</v>
      </c>
      <c r="I4615" s="10" t="n">
        <v>46252</v>
      </c>
      <c r="J4615" s="3" t="s">
        <v>6239</v>
      </c>
      <c r="K4615" s="10" t="n">
        <v>46069</v>
      </c>
      <c r="L4615" s="3" t="s">
        <v>313</v>
      </c>
      <c r="M4615" s="7" t="n">
        <v>25</v>
      </c>
      <c r="N4615" s="8" t="n">
        <v>1.557</v>
      </c>
      <c r="O4615" s="4" t="n">
        <f aca="false">M4615*N4615</f>
        <v>38.925</v>
      </c>
    </row>
    <row r="4616" customFormat="false" ht="15" hidden="false" customHeight="false" outlineLevel="0" collapsed="false">
      <c r="A4616" s="0" t="s">
        <v>6240</v>
      </c>
      <c r="C4616" s="0" t="s">
        <v>38</v>
      </c>
      <c r="D4616" s="7" t="n">
        <v>1342</v>
      </c>
      <c r="E4616" s="8" t="n">
        <v>0.023204172876304</v>
      </c>
      <c r="F4616" s="4" t="n">
        <f aca="false">D4616*E4616</f>
        <v>31.14</v>
      </c>
      <c r="G4616" s="7" t="n">
        <v>700</v>
      </c>
      <c r="H4616" s="9" t="n">
        <f aca="false">IF(G4616&gt;0,D4616/G4616,"")</f>
        <v>1.91714285714286</v>
      </c>
      <c r="I4616" s="10" t="n">
        <v>46308</v>
      </c>
      <c r="J4616" s="3" t="s">
        <v>3625</v>
      </c>
      <c r="K4616" s="10" t="n">
        <v>45896</v>
      </c>
      <c r="L4616" s="3" t="s">
        <v>18</v>
      </c>
      <c r="M4616" s="7" t="n">
        <v>2350</v>
      </c>
      <c r="N4616" s="8" t="n">
        <v>0.0232</v>
      </c>
      <c r="O4616" s="4" t="n">
        <f aca="false">M4616*N4616</f>
        <v>54.52</v>
      </c>
    </row>
    <row r="4617" customFormat="false" ht="15" hidden="false" customHeight="false" outlineLevel="0" collapsed="false">
      <c r="A4617" s="0" t="s">
        <v>6241</v>
      </c>
      <c r="C4617" s="0" t="s">
        <v>41</v>
      </c>
      <c r="D4617" s="7" t="n">
        <v>2451</v>
      </c>
      <c r="E4617" s="8" t="n">
        <v>0.0127009383924929</v>
      </c>
      <c r="F4617" s="4" t="n">
        <f aca="false">D4617*E4617</f>
        <v>31.13</v>
      </c>
      <c r="G4617" s="7" t="n">
        <v>260</v>
      </c>
      <c r="H4617" s="9" t="n">
        <f aca="false">IF(G4617&gt;0,D4617/G4617,"")</f>
        <v>9.42692307692308</v>
      </c>
      <c r="I4617" s="10" t="n">
        <v>46091</v>
      </c>
      <c r="J4617" s="3" t="s">
        <v>3251</v>
      </c>
      <c r="K4617" s="10" t="n">
        <v>44198</v>
      </c>
      <c r="L4617" s="3" t="s">
        <v>15</v>
      </c>
      <c r="M4617" s="7" t="n">
        <v>3030</v>
      </c>
      <c r="N4617" s="8" t="n">
        <v>0.0127</v>
      </c>
      <c r="O4617" s="4" t="n">
        <f aca="false">M4617*N4617</f>
        <v>38.481</v>
      </c>
    </row>
    <row r="4618" customFormat="false" ht="15" hidden="false" customHeight="false" outlineLevel="0" collapsed="false">
      <c r="A4618" s="0" t="s">
        <v>6242</v>
      </c>
      <c r="C4618" s="0" t="s">
        <v>33</v>
      </c>
      <c r="D4618" s="7" t="n">
        <v>2</v>
      </c>
      <c r="E4618" s="8" t="n">
        <v>15.565</v>
      </c>
      <c r="F4618" s="4" t="n">
        <f aca="false">D4618*E4618</f>
        <v>31.13</v>
      </c>
      <c r="G4618" s="7" t="n">
        <v>1</v>
      </c>
      <c r="H4618" s="9" t="n">
        <f aca="false">IF(G4618&gt;0,D4618/G4618,"")</f>
        <v>2</v>
      </c>
      <c r="I4618" s="10" t="n">
        <v>46036</v>
      </c>
      <c r="J4618" s="3" t="s">
        <v>1974</v>
      </c>
      <c r="K4618" s="10" t="n">
        <v>45287</v>
      </c>
      <c r="L4618" s="3" t="s">
        <v>14</v>
      </c>
      <c r="M4618" s="7" t="n">
        <v>6</v>
      </c>
      <c r="N4618" s="8" t="n">
        <v>15.565</v>
      </c>
      <c r="O4618" s="4" t="n">
        <f aca="false">M4618*N4618</f>
        <v>93.39</v>
      </c>
    </row>
    <row r="4619" customFormat="false" ht="15" hidden="false" customHeight="false" outlineLevel="0" collapsed="false">
      <c r="A4619" s="0" t="s">
        <v>6243</v>
      </c>
      <c r="C4619" s="0" t="s">
        <v>1039</v>
      </c>
      <c r="D4619" s="7" t="n">
        <v>2070</v>
      </c>
      <c r="E4619" s="8" t="n">
        <v>0.015</v>
      </c>
      <c r="F4619" s="4" t="n">
        <f aca="false">D4619*E4619</f>
        <v>31.05</v>
      </c>
      <c r="G4619" s="7" t="n">
        <v>629</v>
      </c>
      <c r="H4619" s="9" t="n">
        <f aca="false">IF(G4619&gt;0,D4619/G4619,"")</f>
        <v>3.29093799682035</v>
      </c>
      <c r="I4619" s="10" t="n">
        <v>46317</v>
      </c>
      <c r="K4619" s="10"/>
      <c r="M4619" s="7"/>
      <c r="N4619" s="8"/>
      <c r="O4619" s="4"/>
    </row>
    <row r="4620" customFormat="false" ht="15" hidden="false" customHeight="false" outlineLevel="0" collapsed="false">
      <c r="A4620" s="0" t="s">
        <v>6244</v>
      </c>
      <c r="C4620" s="0" t="s">
        <v>889</v>
      </c>
      <c r="D4620" s="7" t="n">
        <v>1243</v>
      </c>
      <c r="E4620" s="8" t="n">
        <v>0.0249396621078037</v>
      </c>
      <c r="F4620" s="4" t="n">
        <f aca="false">D4620*E4620</f>
        <v>31</v>
      </c>
      <c r="G4620" s="7" t="n">
        <v>10</v>
      </c>
      <c r="H4620" s="9" t="n">
        <f aca="false">IF(G4620&gt;0,D4620/G4620,"")</f>
        <v>124.3</v>
      </c>
      <c r="I4620" s="10" t="n">
        <v>45996</v>
      </c>
      <c r="J4620" s="3" t="s">
        <v>913</v>
      </c>
      <c r="K4620" s="10" t="n">
        <v>44199</v>
      </c>
      <c r="L4620" s="3" t="s">
        <v>15</v>
      </c>
      <c r="M4620" s="7" t="n">
        <v>5</v>
      </c>
      <c r="N4620" s="8" t="n">
        <v>0.0249</v>
      </c>
      <c r="O4620" s="4" t="n">
        <f aca="false">M4620*N4620</f>
        <v>0.1245</v>
      </c>
    </row>
    <row r="4621" customFormat="false" ht="15" hidden="false" customHeight="false" outlineLevel="0" collapsed="false">
      <c r="A4621" s="0" t="s">
        <v>6245</v>
      </c>
      <c r="C4621" s="0" t="s">
        <v>40</v>
      </c>
      <c r="D4621" s="7" t="n">
        <v>8858</v>
      </c>
      <c r="E4621" s="8" t="n">
        <v>0.00349966132309777</v>
      </c>
      <c r="F4621" s="4" t="n">
        <f aca="false">D4621*E4621</f>
        <v>31</v>
      </c>
      <c r="G4621" s="7" t="n">
        <v>875</v>
      </c>
      <c r="H4621" s="9" t="n">
        <f aca="false">IF(G4621&gt;0,D4621/G4621,"")</f>
        <v>10.1234285714286</v>
      </c>
      <c r="I4621" s="10" t="n">
        <v>46281</v>
      </c>
      <c r="K4621" s="10"/>
      <c r="M4621" s="7"/>
      <c r="N4621" s="8"/>
      <c r="O4621" s="4"/>
    </row>
    <row r="4622" customFormat="false" ht="15" hidden="false" customHeight="false" outlineLevel="0" collapsed="false">
      <c r="A4622" s="0" t="s">
        <v>6246</v>
      </c>
      <c r="C4622" s="0" t="s">
        <v>340</v>
      </c>
      <c r="D4622" s="7" t="n">
        <v>324</v>
      </c>
      <c r="E4622" s="8" t="n">
        <v>0.0956481481481482</v>
      </c>
      <c r="F4622" s="4" t="n">
        <f aca="false">D4622*E4622</f>
        <v>30.99</v>
      </c>
      <c r="G4622" s="7" t="n">
        <v>8</v>
      </c>
      <c r="H4622" s="9" t="n">
        <f aca="false">IF(G4622&gt;0,D4622/G4622,"")</f>
        <v>40.5</v>
      </c>
      <c r="I4622" s="10" t="n">
        <v>46317</v>
      </c>
      <c r="J4622" s="3" t="s">
        <v>5632</v>
      </c>
      <c r="K4622" s="10" t="n">
        <v>45289</v>
      </c>
      <c r="L4622" s="3" t="s">
        <v>15</v>
      </c>
      <c r="M4622" s="7" t="n">
        <v>359</v>
      </c>
      <c r="N4622" s="8" t="n">
        <v>0.09566</v>
      </c>
      <c r="O4622" s="4" t="n">
        <f aca="false">M4622*N4622</f>
        <v>34.34194</v>
      </c>
    </row>
    <row r="4623" customFormat="false" ht="15" hidden="false" customHeight="false" outlineLevel="0" collapsed="false">
      <c r="A4623" s="0" t="s">
        <v>6247</v>
      </c>
      <c r="C4623" s="0" t="s">
        <v>340</v>
      </c>
      <c r="D4623" s="7" t="n">
        <v>372</v>
      </c>
      <c r="E4623" s="8" t="n">
        <v>0.0831989247311828</v>
      </c>
      <c r="F4623" s="4" t="n">
        <f aca="false">D4623*E4623</f>
        <v>30.95</v>
      </c>
      <c r="G4623" s="7" t="n">
        <v>8</v>
      </c>
      <c r="H4623" s="9" t="n">
        <f aca="false">IF(G4623&gt;0,D4623/G4623,"")</f>
        <v>46.5</v>
      </c>
      <c r="I4623" s="10" t="n">
        <v>46133</v>
      </c>
      <c r="J4623" s="3" t="s">
        <v>6041</v>
      </c>
      <c r="K4623" s="10" t="n">
        <v>45896</v>
      </c>
      <c r="L4623" s="3" t="s">
        <v>19</v>
      </c>
      <c r="M4623" s="7" t="n">
        <v>1400</v>
      </c>
      <c r="N4623" s="8" t="n">
        <v>0.0832</v>
      </c>
      <c r="O4623" s="4" t="n">
        <f aca="false">M4623*N4623</f>
        <v>116.48</v>
      </c>
    </row>
    <row r="4624" customFormat="false" ht="15" hidden="false" customHeight="false" outlineLevel="0" collapsed="false">
      <c r="A4624" s="0" t="s">
        <v>6248</v>
      </c>
      <c r="C4624" s="0" t="s">
        <v>38</v>
      </c>
      <c r="D4624" s="7" t="n">
        <v>204</v>
      </c>
      <c r="E4624" s="8" t="n">
        <v>0.15171568627451</v>
      </c>
      <c r="F4624" s="4" t="n">
        <f aca="false">D4624*E4624</f>
        <v>30.95</v>
      </c>
      <c r="G4624" s="7" t="n">
        <v>12</v>
      </c>
      <c r="H4624" s="9" t="n">
        <f aca="false">IF(G4624&gt;0,D4624/G4624,"")</f>
        <v>17</v>
      </c>
      <c r="I4624" s="10" t="n">
        <v>46289</v>
      </c>
      <c r="J4624" s="3" t="s">
        <v>1840</v>
      </c>
      <c r="K4624" s="10" t="n">
        <v>44230</v>
      </c>
      <c r="L4624" s="3" t="s">
        <v>19</v>
      </c>
      <c r="M4624" s="7" t="n">
        <v>3000</v>
      </c>
      <c r="N4624" s="8" t="n">
        <v>0.1517</v>
      </c>
      <c r="O4624" s="4" t="n">
        <f aca="false">M4624*N4624</f>
        <v>455.1</v>
      </c>
    </row>
    <row r="4625" customFormat="false" ht="15" hidden="false" customHeight="false" outlineLevel="0" collapsed="false">
      <c r="A4625" s="0" t="s">
        <v>6249</v>
      </c>
      <c r="C4625" s="0" t="s">
        <v>34</v>
      </c>
      <c r="D4625" s="7" t="n">
        <v>369</v>
      </c>
      <c r="E4625" s="8" t="n">
        <v>0.0837669376693767</v>
      </c>
      <c r="F4625" s="4" t="n">
        <f aca="false">D4625*E4625</f>
        <v>30.91</v>
      </c>
      <c r="G4625" s="7" t="n">
        <v>56</v>
      </c>
      <c r="H4625" s="9" t="n">
        <f aca="false">IF(G4625&gt;0,D4625/G4625,"")</f>
        <v>6.58928571428571</v>
      </c>
      <c r="I4625" s="10" t="n">
        <v>46301</v>
      </c>
      <c r="J4625" s="3" t="s">
        <v>3385</v>
      </c>
      <c r="K4625" s="10" t="n">
        <v>45595</v>
      </c>
      <c r="L4625" s="3" t="s">
        <v>16</v>
      </c>
      <c r="M4625" s="7" t="n">
        <v>435</v>
      </c>
      <c r="N4625" s="8" t="n">
        <v>0.0838</v>
      </c>
      <c r="O4625" s="4" t="n">
        <f aca="false">M4625*N4625</f>
        <v>36.453</v>
      </c>
    </row>
    <row r="4626" customFormat="false" ht="15" hidden="false" customHeight="false" outlineLevel="0" collapsed="false">
      <c r="A4626" s="0" t="s">
        <v>6250</v>
      </c>
      <c r="C4626" s="0" t="s">
        <v>398</v>
      </c>
      <c r="D4626" s="7" t="n">
        <v>5882</v>
      </c>
      <c r="E4626" s="8" t="n">
        <v>0.00524991499489969</v>
      </c>
      <c r="F4626" s="4" t="n">
        <f aca="false">D4626*E4626</f>
        <v>30.88</v>
      </c>
      <c r="G4626" s="7" t="n">
        <v>150</v>
      </c>
      <c r="H4626" s="9" t="n">
        <f aca="false">IF(G4626&gt;0,D4626/G4626,"")</f>
        <v>39.2133333333333</v>
      </c>
      <c r="I4626" s="10" t="n">
        <v>46210</v>
      </c>
      <c r="K4626" s="10"/>
      <c r="M4626" s="7"/>
      <c r="N4626" s="8"/>
      <c r="O4626" s="4"/>
    </row>
    <row r="4627" customFormat="false" ht="15" hidden="false" customHeight="false" outlineLevel="0" collapsed="false">
      <c r="A4627" s="0" t="s">
        <v>6251</v>
      </c>
      <c r="C4627" s="0" t="s">
        <v>340</v>
      </c>
      <c r="D4627" s="7" t="n">
        <v>4750</v>
      </c>
      <c r="E4627" s="8" t="n">
        <v>0.00649894736842105</v>
      </c>
      <c r="F4627" s="4" t="n">
        <f aca="false">D4627*E4627</f>
        <v>30.87</v>
      </c>
      <c r="G4627" s="7" t="n">
        <v>250</v>
      </c>
      <c r="H4627" s="9" t="n">
        <f aca="false">IF(G4627&gt;0,D4627/G4627,"")</f>
        <v>19</v>
      </c>
      <c r="I4627" s="10" t="n">
        <v>46036</v>
      </c>
      <c r="J4627" s="3" t="s">
        <v>6125</v>
      </c>
      <c r="K4627" s="10" t="n">
        <v>46028</v>
      </c>
      <c r="L4627" s="3" t="s">
        <v>19</v>
      </c>
      <c r="M4627" s="7" t="n">
        <v>5000</v>
      </c>
      <c r="N4627" s="8" t="n">
        <v>0.0065</v>
      </c>
      <c r="O4627" s="4" t="n">
        <f aca="false">M4627*N4627</f>
        <v>32.5</v>
      </c>
    </row>
    <row r="4628" customFormat="false" ht="15" hidden="false" customHeight="false" outlineLevel="0" collapsed="false">
      <c r="A4628" s="0" t="s">
        <v>6252</v>
      </c>
      <c r="C4628" s="0" t="s">
        <v>497</v>
      </c>
      <c r="D4628" s="7" t="n">
        <v>42</v>
      </c>
      <c r="E4628" s="8" t="n">
        <v>0.73452380952381</v>
      </c>
      <c r="F4628" s="4" t="n">
        <f aca="false">D4628*E4628</f>
        <v>30.85</v>
      </c>
      <c r="G4628" s="7" t="n">
        <v>4</v>
      </c>
      <c r="H4628" s="9" t="n">
        <f aca="false">IF(G4628&gt;0,D4628/G4628,"")</f>
        <v>10.5</v>
      </c>
      <c r="I4628" s="10" t="n">
        <v>46286</v>
      </c>
      <c r="K4628" s="10"/>
      <c r="M4628" s="7"/>
      <c r="N4628" s="8"/>
      <c r="O4628" s="4"/>
    </row>
    <row r="4629" customFormat="false" ht="15" hidden="false" customHeight="false" outlineLevel="0" collapsed="false">
      <c r="A4629" s="0" t="s">
        <v>6253</v>
      </c>
      <c r="C4629" s="0" t="s">
        <v>34</v>
      </c>
      <c r="D4629" s="7" t="n">
        <v>627</v>
      </c>
      <c r="E4629" s="8" t="n">
        <v>0.0492025518341308</v>
      </c>
      <c r="F4629" s="4" t="n">
        <f aca="false">D4629*E4629</f>
        <v>30.85</v>
      </c>
      <c r="G4629" s="7" t="n">
        <v>48</v>
      </c>
      <c r="H4629" s="9" t="n">
        <f aca="false">IF(G4629&gt;0,D4629/G4629,"")</f>
        <v>13.0625</v>
      </c>
      <c r="I4629" s="10" t="n">
        <v>46300</v>
      </c>
      <c r="J4629" s="3" t="s">
        <v>1743</v>
      </c>
      <c r="K4629" s="10" t="n">
        <v>45852</v>
      </c>
      <c r="L4629" s="3" t="s">
        <v>16</v>
      </c>
      <c r="M4629" s="7" t="n">
        <v>700</v>
      </c>
      <c r="N4629" s="8" t="n">
        <v>0.0492</v>
      </c>
      <c r="O4629" s="4" t="n">
        <f aca="false">M4629*N4629</f>
        <v>34.44</v>
      </c>
    </row>
    <row r="4630" customFormat="false" ht="15" hidden="false" customHeight="false" outlineLevel="0" collapsed="false">
      <c r="A4630" s="0" t="s">
        <v>6254</v>
      </c>
      <c r="C4630" s="0" t="s">
        <v>4363</v>
      </c>
      <c r="D4630" s="7" t="n">
        <v>5</v>
      </c>
      <c r="E4630" s="8" t="n">
        <v>6.17</v>
      </c>
      <c r="F4630" s="4" t="n">
        <f aca="false">D4630*E4630</f>
        <v>30.85</v>
      </c>
      <c r="G4630" s="7" t="n">
        <v>4</v>
      </c>
      <c r="H4630" s="9" t="n">
        <f aca="false">IF(G4630&gt;0,D4630/G4630,"")</f>
        <v>1.25</v>
      </c>
      <c r="I4630" s="10" t="n">
        <v>46156</v>
      </c>
      <c r="J4630" s="3" t="s">
        <v>4364</v>
      </c>
      <c r="K4630" s="10" t="n">
        <v>45978</v>
      </c>
      <c r="L4630" s="3" t="s">
        <v>4365</v>
      </c>
      <c r="M4630" s="7" t="n">
        <v>5</v>
      </c>
      <c r="N4630" s="8" t="n">
        <v>6.17</v>
      </c>
      <c r="O4630" s="4" t="n">
        <f aca="false">M4630*N4630</f>
        <v>30.85</v>
      </c>
    </row>
    <row r="4631" customFormat="false" ht="15" hidden="false" customHeight="false" outlineLevel="0" collapsed="false">
      <c r="A4631" s="0" t="s">
        <v>6255</v>
      </c>
      <c r="C4631" s="0" t="s">
        <v>34</v>
      </c>
      <c r="D4631" s="7" t="n">
        <v>105</v>
      </c>
      <c r="E4631" s="8" t="n">
        <v>0.293809523809524</v>
      </c>
      <c r="F4631" s="4" t="n">
        <f aca="false">D4631*E4631</f>
        <v>30.85</v>
      </c>
      <c r="G4631" s="7" t="n">
        <v>1</v>
      </c>
      <c r="H4631" s="9" t="n">
        <f aca="false">IF(G4631&gt;0,D4631/G4631,"")</f>
        <v>105</v>
      </c>
      <c r="I4631" s="10" t="n">
        <v>46141</v>
      </c>
      <c r="J4631" s="3" t="s">
        <v>457</v>
      </c>
      <c r="K4631" s="10" t="n">
        <v>45866</v>
      </c>
      <c r="L4631" s="3" t="s">
        <v>16</v>
      </c>
      <c r="M4631" s="7" t="n">
        <v>156</v>
      </c>
      <c r="N4631" s="8" t="n">
        <v>0.2938</v>
      </c>
      <c r="O4631" s="4" t="n">
        <f aca="false">M4631*N4631</f>
        <v>45.8328</v>
      </c>
    </row>
    <row r="4632" customFormat="false" ht="15" hidden="false" customHeight="false" outlineLevel="0" collapsed="false">
      <c r="A4632" s="0" t="s">
        <v>6256</v>
      </c>
      <c r="C4632" s="0" t="s">
        <v>340</v>
      </c>
      <c r="D4632" s="7" t="n">
        <v>1890</v>
      </c>
      <c r="E4632" s="8" t="n">
        <v>0.0163015873015873</v>
      </c>
      <c r="F4632" s="4" t="n">
        <f aca="false">D4632*E4632</f>
        <v>30.81</v>
      </c>
      <c r="G4632" s="7" t="n">
        <v>810</v>
      </c>
      <c r="H4632" s="9" t="n">
        <f aca="false">IF(G4632&gt;0,D4632/G4632,"")</f>
        <v>2.33333333333333</v>
      </c>
      <c r="I4632" s="10" t="n">
        <v>46281</v>
      </c>
      <c r="J4632" s="3" t="s">
        <v>2780</v>
      </c>
      <c r="K4632" s="10" t="n">
        <v>46043</v>
      </c>
      <c r="L4632" s="3" t="s">
        <v>16</v>
      </c>
      <c r="M4632" s="7" t="n">
        <v>2546</v>
      </c>
      <c r="N4632" s="8" t="n">
        <v>0.0163</v>
      </c>
      <c r="O4632" s="4" t="n">
        <f aca="false">M4632*N4632</f>
        <v>41.4998</v>
      </c>
    </row>
    <row r="4633" customFormat="false" ht="15" hidden="false" customHeight="false" outlineLevel="0" collapsed="false">
      <c r="A4633" s="0" t="s">
        <v>6257</v>
      </c>
      <c r="C4633" s="0" t="s">
        <v>34</v>
      </c>
      <c r="D4633" s="7" t="n">
        <v>220</v>
      </c>
      <c r="E4633" s="8" t="n">
        <v>0.14</v>
      </c>
      <c r="F4633" s="4" t="n">
        <f aca="false">D4633*E4633</f>
        <v>30.8</v>
      </c>
      <c r="G4633" s="7" t="n">
        <v>40</v>
      </c>
      <c r="H4633" s="9" t="n">
        <f aca="false">IF(G4633&gt;0,D4633/G4633,"")</f>
        <v>5.5</v>
      </c>
      <c r="I4633" s="10" t="n">
        <v>46308</v>
      </c>
      <c r="J4633" s="3" t="s">
        <v>2777</v>
      </c>
      <c r="K4633" s="10" t="n">
        <v>45763</v>
      </c>
      <c r="L4633" s="3" t="s">
        <v>16</v>
      </c>
      <c r="M4633" s="7" t="n">
        <v>260</v>
      </c>
      <c r="N4633" s="8" t="n">
        <v>0.14</v>
      </c>
      <c r="O4633" s="4" t="n">
        <f aca="false">M4633*N4633</f>
        <v>36.4</v>
      </c>
    </row>
    <row r="4634" customFormat="false" ht="15" hidden="false" customHeight="false" outlineLevel="0" collapsed="false">
      <c r="A4634" s="0" t="s">
        <v>6258</v>
      </c>
      <c r="C4634" s="0" t="s">
        <v>855</v>
      </c>
      <c r="D4634" s="7" t="n">
        <v>494</v>
      </c>
      <c r="E4634" s="8" t="n">
        <v>0.062246963562753</v>
      </c>
      <c r="F4634" s="4" t="n">
        <f aca="false">D4634*E4634</f>
        <v>30.75</v>
      </c>
      <c r="G4634" s="7" t="n">
        <v>70</v>
      </c>
      <c r="H4634" s="9" t="n">
        <f aca="false">IF(G4634&gt;0,D4634/G4634,"")</f>
        <v>7.05714285714286</v>
      </c>
      <c r="I4634" s="10" t="n">
        <v>46265</v>
      </c>
      <c r="K4634" s="10"/>
      <c r="M4634" s="7"/>
      <c r="N4634" s="8"/>
      <c r="O4634" s="4"/>
    </row>
    <row r="4635" customFormat="false" ht="15" hidden="false" customHeight="false" outlineLevel="0" collapsed="false">
      <c r="A4635" s="0" t="s">
        <v>6259</v>
      </c>
      <c r="C4635" s="0" t="s">
        <v>69</v>
      </c>
      <c r="D4635" s="7" t="n">
        <v>76</v>
      </c>
      <c r="E4635" s="8" t="n">
        <v>0.403947368421053</v>
      </c>
      <c r="F4635" s="4" t="n">
        <f aca="false">D4635*E4635</f>
        <v>30.7</v>
      </c>
      <c r="G4635" s="7" t="n">
        <v>4</v>
      </c>
      <c r="H4635" s="9" t="n">
        <f aca="false">IF(G4635&gt;0,D4635/G4635,"")</f>
        <v>19</v>
      </c>
      <c r="I4635" s="10" t="n">
        <v>46000</v>
      </c>
      <c r="K4635" s="10"/>
      <c r="M4635" s="7"/>
      <c r="N4635" s="8"/>
      <c r="O4635" s="4"/>
    </row>
    <row r="4636" customFormat="false" ht="15" hidden="false" customHeight="false" outlineLevel="0" collapsed="false">
      <c r="A4636" s="0" t="s">
        <v>6260</v>
      </c>
      <c r="C4636" s="0" t="s">
        <v>1010</v>
      </c>
      <c r="D4636" s="7" t="n">
        <v>159</v>
      </c>
      <c r="E4636" s="8" t="n">
        <v>0.192893081761006</v>
      </c>
      <c r="F4636" s="4" t="n">
        <f aca="false">D4636*E4636</f>
        <v>30.67</v>
      </c>
      <c r="G4636" s="7" t="n">
        <v>20</v>
      </c>
      <c r="H4636" s="9" t="n">
        <f aca="false">IF(G4636&gt;0,D4636/G4636,"")</f>
        <v>7.95</v>
      </c>
      <c r="I4636" s="10" t="n">
        <v>46111</v>
      </c>
      <c r="K4636" s="10"/>
      <c r="M4636" s="7"/>
      <c r="N4636" s="8"/>
      <c r="O4636" s="4"/>
    </row>
    <row r="4637" customFormat="false" ht="15" hidden="false" customHeight="false" outlineLevel="0" collapsed="false">
      <c r="A4637" s="0" t="s">
        <v>6261</v>
      </c>
      <c r="D4637" s="7" t="n">
        <v>3</v>
      </c>
      <c r="E4637" s="8" t="n">
        <v>10.22</v>
      </c>
      <c r="F4637" s="4" t="n">
        <f aca="false">D4637*E4637</f>
        <v>30.66</v>
      </c>
      <c r="G4637" s="7" t="n">
        <v>2</v>
      </c>
      <c r="H4637" s="9" t="n">
        <f aca="false">IF(G4637&gt;0,D4637/G4637,"")</f>
        <v>1.5</v>
      </c>
      <c r="I4637" s="10" t="n">
        <v>46260</v>
      </c>
      <c r="J4637" s="3" t="s">
        <v>273</v>
      </c>
      <c r="K4637" s="10" t="n">
        <v>46251</v>
      </c>
      <c r="L4637" s="3" t="s">
        <v>14</v>
      </c>
      <c r="M4637" s="7" t="n">
        <v>5</v>
      </c>
      <c r="N4637" s="8" t="n">
        <v>10.22</v>
      </c>
      <c r="O4637" s="4" t="n">
        <f aca="false">M4637*N4637</f>
        <v>51.1</v>
      </c>
    </row>
    <row r="4638" customFormat="false" ht="15" hidden="false" customHeight="false" outlineLevel="0" collapsed="false">
      <c r="A4638" s="0" t="s">
        <v>6262</v>
      </c>
      <c r="C4638" s="0" t="s">
        <v>31</v>
      </c>
      <c r="D4638" s="7" t="n">
        <v>8262</v>
      </c>
      <c r="E4638" s="8" t="n">
        <v>0.0037037037037037</v>
      </c>
      <c r="F4638" s="4" t="n">
        <f aca="false">D4638*E4638</f>
        <v>30.6</v>
      </c>
      <c r="G4638" s="7" t="n">
        <v>2026</v>
      </c>
      <c r="H4638" s="9" t="n">
        <f aca="false">IF(G4638&gt;0,D4638/G4638,"")</f>
        <v>4.07798617966436</v>
      </c>
      <c r="I4638" s="10" t="n">
        <v>46294</v>
      </c>
      <c r="K4638" s="10"/>
      <c r="M4638" s="7"/>
      <c r="N4638" s="8"/>
      <c r="O4638" s="4"/>
    </row>
    <row r="4639" customFormat="false" ht="15" hidden="false" customHeight="false" outlineLevel="0" collapsed="false">
      <c r="A4639" s="0" t="s">
        <v>6263</v>
      </c>
      <c r="C4639" s="0" t="s">
        <v>31</v>
      </c>
      <c r="D4639" s="7" t="n">
        <v>340</v>
      </c>
      <c r="E4639" s="8" t="n">
        <v>0.09</v>
      </c>
      <c r="F4639" s="4" t="n">
        <f aca="false">D4639*E4639</f>
        <v>30.6</v>
      </c>
      <c r="G4639" s="7" t="n">
        <v>210</v>
      </c>
      <c r="H4639" s="9" t="n">
        <f aca="false">IF(G4639&gt;0,D4639/G4639,"")</f>
        <v>1.61904761904762</v>
      </c>
      <c r="I4639" s="10" t="n">
        <v>46224</v>
      </c>
      <c r="J4639" s="3" t="s">
        <v>3149</v>
      </c>
      <c r="K4639" s="10" t="n">
        <v>46204</v>
      </c>
      <c r="L4639" s="3" t="s">
        <v>16</v>
      </c>
      <c r="M4639" s="7" t="n">
        <v>540</v>
      </c>
      <c r="N4639" s="8" t="n">
        <v>0.093</v>
      </c>
      <c r="O4639" s="4" t="n">
        <f aca="false">M4639*N4639</f>
        <v>50.22</v>
      </c>
    </row>
    <row r="4640" customFormat="false" ht="15" hidden="false" customHeight="false" outlineLevel="0" collapsed="false">
      <c r="A4640" s="0" t="s">
        <v>6264</v>
      </c>
      <c r="C4640" s="0" t="s">
        <v>34</v>
      </c>
      <c r="D4640" s="7" t="n">
        <v>1671</v>
      </c>
      <c r="E4640" s="8" t="n">
        <v>0.0183064033512867</v>
      </c>
      <c r="F4640" s="4" t="n">
        <f aca="false">D4640*E4640</f>
        <v>30.59</v>
      </c>
      <c r="G4640" s="7" t="n">
        <v>65</v>
      </c>
      <c r="H4640" s="9" t="n">
        <f aca="false">IF(G4640&gt;0,D4640/G4640,"")</f>
        <v>25.7076923076923</v>
      </c>
      <c r="I4640" s="10" t="n">
        <v>46288</v>
      </c>
      <c r="J4640" s="3" t="s">
        <v>6265</v>
      </c>
      <c r="K4640" s="10" t="n">
        <v>45225</v>
      </c>
      <c r="L4640" s="3" t="s">
        <v>16</v>
      </c>
      <c r="M4640" s="7" t="n">
        <v>2000</v>
      </c>
      <c r="N4640" s="8" t="n">
        <v>0.0183</v>
      </c>
      <c r="O4640" s="4" t="n">
        <f aca="false">M4640*N4640</f>
        <v>36.6</v>
      </c>
    </row>
    <row r="4641" customFormat="false" ht="15" hidden="false" customHeight="false" outlineLevel="0" collapsed="false">
      <c r="A4641" s="0" t="s">
        <v>6266</v>
      </c>
      <c r="C4641" s="0" t="s">
        <v>1039</v>
      </c>
      <c r="D4641" s="7" t="n">
        <v>6178</v>
      </c>
      <c r="E4641" s="8" t="n">
        <v>0.00494982194885076</v>
      </c>
      <c r="F4641" s="4" t="n">
        <f aca="false">D4641*E4641</f>
        <v>30.58</v>
      </c>
      <c r="G4641" s="7" t="n">
        <v>1850</v>
      </c>
      <c r="H4641" s="9" t="n">
        <f aca="false">IF(G4641&gt;0,D4641/G4641,"")</f>
        <v>3.33945945945946</v>
      </c>
      <c r="I4641" s="10" t="n">
        <v>46304</v>
      </c>
      <c r="J4641" s="3" t="s">
        <v>5874</v>
      </c>
      <c r="K4641" s="10" t="n">
        <v>45187</v>
      </c>
      <c r="L4641" s="3" t="s">
        <v>16</v>
      </c>
      <c r="M4641" s="7" t="n">
        <v>10150</v>
      </c>
      <c r="N4641" s="8" t="n">
        <v>0.00495</v>
      </c>
      <c r="O4641" s="4" t="n">
        <f aca="false">M4641*N4641</f>
        <v>50.2425</v>
      </c>
    </row>
    <row r="4642" customFormat="false" ht="15" hidden="false" customHeight="false" outlineLevel="0" collapsed="false">
      <c r="A4642" s="0" t="s">
        <v>6267</v>
      </c>
      <c r="C4642" s="0" t="s">
        <v>31</v>
      </c>
      <c r="D4642" s="7" t="n">
        <v>905</v>
      </c>
      <c r="E4642" s="8" t="n">
        <v>0.033767955801105</v>
      </c>
      <c r="F4642" s="4" t="n">
        <f aca="false">D4642*E4642</f>
        <v>30.56</v>
      </c>
      <c r="G4642" s="7" t="n">
        <v>10</v>
      </c>
      <c r="H4642" s="9" t="n">
        <f aca="false">IF(G4642&gt;0,D4642/G4642,"")</f>
        <v>90.5</v>
      </c>
      <c r="I4642" s="10" t="n">
        <v>46066</v>
      </c>
      <c r="J4642" s="3" t="s">
        <v>2097</v>
      </c>
      <c r="K4642" s="10" t="n">
        <v>44351</v>
      </c>
      <c r="L4642" s="3" t="s">
        <v>16</v>
      </c>
      <c r="M4642" s="7" t="n">
        <v>1528</v>
      </c>
      <c r="N4642" s="8" t="n">
        <v>0.0338</v>
      </c>
      <c r="O4642" s="4" t="n">
        <f aca="false">M4642*N4642</f>
        <v>51.6464</v>
      </c>
    </row>
    <row r="4643" customFormat="false" ht="15" hidden="false" customHeight="false" outlineLevel="0" collapsed="false">
      <c r="A4643" s="0" t="s">
        <v>6268</v>
      </c>
      <c r="C4643" s="0" t="s">
        <v>765</v>
      </c>
      <c r="D4643" s="7" t="n">
        <v>3055</v>
      </c>
      <c r="E4643" s="8" t="n">
        <v>0.01</v>
      </c>
      <c r="F4643" s="4" t="n">
        <f aca="false">D4643*E4643</f>
        <v>30.55</v>
      </c>
      <c r="G4643" s="7" t="n">
        <v>70</v>
      </c>
      <c r="H4643" s="9" t="n">
        <f aca="false">IF(G4643&gt;0,D4643/G4643,"")</f>
        <v>43.6428571428571</v>
      </c>
      <c r="I4643" s="10" t="n">
        <v>46146</v>
      </c>
      <c r="J4643" s="3" t="s">
        <v>631</v>
      </c>
      <c r="K4643" s="10" t="n">
        <v>44307</v>
      </c>
      <c r="L4643" s="3" t="s">
        <v>16</v>
      </c>
      <c r="M4643" s="7" t="n">
        <v>15000</v>
      </c>
      <c r="N4643" s="8" t="n">
        <v>0.00693</v>
      </c>
      <c r="O4643" s="4" t="n">
        <f aca="false">M4643*N4643</f>
        <v>103.95</v>
      </c>
    </row>
    <row r="4644" customFormat="false" ht="15" hidden="false" customHeight="false" outlineLevel="0" collapsed="false">
      <c r="A4644" s="0" t="s">
        <v>6269</v>
      </c>
      <c r="C4644" s="0" t="s">
        <v>285</v>
      </c>
      <c r="D4644" s="7" t="n">
        <v>4848</v>
      </c>
      <c r="E4644" s="8" t="n">
        <v>0.00629744224422442</v>
      </c>
      <c r="F4644" s="4" t="n">
        <f aca="false">D4644*E4644</f>
        <v>30.53</v>
      </c>
      <c r="G4644" s="7" t="n">
        <v>2040</v>
      </c>
      <c r="H4644" s="9" t="n">
        <f aca="false">IF(G4644&gt;0,D4644/G4644,"")</f>
        <v>2.37647058823529</v>
      </c>
      <c r="I4644" s="10" t="n">
        <v>46014</v>
      </c>
      <c r="K4644" s="10"/>
      <c r="M4644" s="7"/>
      <c r="N4644" s="8"/>
      <c r="O4644" s="4"/>
    </row>
    <row r="4645" customFormat="false" ht="15" hidden="false" customHeight="false" outlineLevel="0" collapsed="false">
      <c r="A4645" s="0" t="s">
        <v>6270</v>
      </c>
      <c r="C4645" s="0" t="s">
        <v>41</v>
      </c>
      <c r="D4645" s="7" t="n">
        <v>4233</v>
      </c>
      <c r="E4645" s="8" t="n">
        <v>0.00720292936451689</v>
      </c>
      <c r="F4645" s="4" t="n">
        <f aca="false">D4645*E4645</f>
        <v>30.49</v>
      </c>
      <c r="G4645" s="7" t="n">
        <v>100</v>
      </c>
      <c r="H4645" s="9" t="n">
        <f aca="false">IF(G4645&gt;0,D4645/G4645,"")</f>
        <v>42.33</v>
      </c>
      <c r="I4645" s="10" t="n">
        <v>46192</v>
      </c>
      <c r="K4645" s="10"/>
      <c r="M4645" s="7"/>
      <c r="N4645" s="8"/>
      <c r="O4645" s="4"/>
    </row>
    <row r="4646" customFormat="false" ht="15" hidden="false" customHeight="false" outlineLevel="0" collapsed="false">
      <c r="A4646" s="0" t="s">
        <v>6271</v>
      </c>
      <c r="C4646" s="0" t="s">
        <v>31</v>
      </c>
      <c r="D4646" s="7" t="n">
        <v>325</v>
      </c>
      <c r="E4646" s="8" t="n">
        <v>0.0937230769230769</v>
      </c>
      <c r="F4646" s="4" t="n">
        <f aca="false">D4646*E4646</f>
        <v>30.46</v>
      </c>
      <c r="G4646" s="7" t="n">
        <v>26</v>
      </c>
      <c r="H4646" s="9" t="n">
        <f aca="false">IF(G4646&gt;0,D4646/G4646,"")</f>
        <v>12.5</v>
      </c>
      <c r="I4646" s="10" t="n">
        <v>46148</v>
      </c>
      <c r="J4646" s="3" t="s">
        <v>2844</v>
      </c>
      <c r="K4646" s="10" t="n">
        <v>45839</v>
      </c>
      <c r="L4646" s="3" t="s">
        <v>16</v>
      </c>
      <c r="M4646" s="7" t="n">
        <v>1605</v>
      </c>
      <c r="N4646" s="8" t="n">
        <v>0.0937</v>
      </c>
      <c r="O4646" s="4" t="n">
        <f aca="false">M4646*N4646</f>
        <v>150.3885</v>
      </c>
    </row>
    <row r="4647" customFormat="false" ht="15" hidden="false" customHeight="false" outlineLevel="0" collapsed="false">
      <c r="A4647" s="0" t="s">
        <v>6272</v>
      </c>
      <c r="C4647" s="0" t="s">
        <v>34</v>
      </c>
      <c r="D4647" s="7" t="n">
        <v>2795</v>
      </c>
      <c r="E4647" s="8" t="n">
        <v>0.0108872987477639</v>
      </c>
      <c r="F4647" s="4" t="n">
        <f aca="false">D4647*E4647</f>
        <v>30.43</v>
      </c>
      <c r="G4647" s="7" t="n">
        <v>381</v>
      </c>
      <c r="H4647" s="9" t="n">
        <f aca="false">IF(G4647&gt;0,D4647/G4647,"")</f>
        <v>7.33595800524934</v>
      </c>
      <c r="I4647" s="10" t="n">
        <v>46281</v>
      </c>
      <c r="K4647" s="10"/>
      <c r="M4647" s="7"/>
      <c r="N4647" s="8"/>
      <c r="O4647" s="4"/>
    </row>
    <row r="4648" customFormat="false" ht="15" hidden="false" customHeight="false" outlineLevel="0" collapsed="false">
      <c r="A4648" s="0" t="s">
        <v>6273</v>
      </c>
      <c r="C4648" s="0" t="s">
        <v>4363</v>
      </c>
      <c r="D4648" s="7" t="n">
        <v>8</v>
      </c>
      <c r="E4648" s="8" t="n">
        <v>3.79</v>
      </c>
      <c r="F4648" s="4" t="n">
        <f aca="false">D4648*E4648</f>
        <v>30.32</v>
      </c>
      <c r="G4648" s="7" t="n">
        <v>5</v>
      </c>
      <c r="H4648" s="9" t="n">
        <f aca="false">IF(G4648&gt;0,D4648/G4648,"")</f>
        <v>1.6</v>
      </c>
      <c r="I4648" s="10" t="n">
        <v>46093</v>
      </c>
      <c r="J4648" s="3" t="s">
        <v>6274</v>
      </c>
      <c r="K4648" s="10" t="n">
        <v>45632</v>
      </c>
      <c r="L4648" s="3" t="s">
        <v>4365</v>
      </c>
      <c r="M4648" s="7" t="n">
        <v>10</v>
      </c>
      <c r="N4648" s="8" t="n">
        <v>3.79</v>
      </c>
      <c r="O4648" s="4" t="n">
        <f aca="false">M4648*N4648</f>
        <v>37.9</v>
      </c>
    </row>
    <row r="4649" customFormat="false" ht="15" hidden="false" customHeight="false" outlineLevel="0" collapsed="false">
      <c r="A4649" s="0" t="s">
        <v>6275</v>
      </c>
      <c r="C4649" s="0" t="s">
        <v>36</v>
      </c>
      <c r="D4649" s="7" t="n">
        <v>253</v>
      </c>
      <c r="E4649" s="8" t="n">
        <v>0.119802371541502</v>
      </c>
      <c r="F4649" s="4" t="n">
        <f aca="false">D4649*E4649</f>
        <v>30.31</v>
      </c>
      <c r="G4649" s="7" t="n">
        <v>132</v>
      </c>
      <c r="H4649" s="9" t="n">
        <f aca="false">IF(G4649&gt;0,D4649/G4649,"")</f>
        <v>1.91666666666667</v>
      </c>
      <c r="I4649" s="10" t="n">
        <v>46282</v>
      </c>
      <c r="J4649" s="3" t="s">
        <v>3317</v>
      </c>
      <c r="K4649" s="10" t="n">
        <v>45442</v>
      </c>
      <c r="L4649" s="3" t="s">
        <v>18</v>
      </c>
      <c r="M4649" s="7" t="n">
        <v>600</v>
      </c>
      <c r="N4649" s="8" t="n">
        <v>0.1198</v>
      </c>
      <c r="O4649" s="4" t="n">
        <f aca="false">M4649*N4649</f>
        <v>71.88</v>
      </c>
    </row>
    <row r="4650" customFormat="false" ht="15" hidden="false" customHeight="false" outlineLevel="0" collapsed="false">
      <c r="A4650" s="0" t="s">
        <v>6276</v>
      </c>
      <c r="C4650" s="0" t="s">
        <v>34</v>
      </c>
      <c r="D4650" s="7" t="n">
        <v>616</v>
      </c>
      <c r="E4650" s="8" t="n">
        <v>0.0491883116883117</v>
      </c>
      <c r="F4650" s="4" t="n">
        <f aca="false">D4650*E4650</f>
        <v>30.3</v>
      </c>
      <c r="G4650" s="7" t="n">
        <v>208</v>
      </c>
      <c r="H4650" s="9" t="n">
        <f aca="false">IF(G4650&gt;0,D4650/G4650,"")</f>
        <v>2.96153846153846</v>
      </c>
      <c r="I4650" s="10" t="n">
        <v>46260</v>
      </c>
      <c r="J4650" s="3" t="s">
        <v>2914</v>
      </c>
      <c r="K4650" s="10" t="n">
        <v>45562</v>
      </c>
      <c r="L4650" s="3" t="s">
        <v>16</v>
      </c>
      <c r="M4650" s="7" t="n">
        <v>1500</v>
      </c>
      <c r="N4650" s="8" t="n">
        <v>0.0492</v>
      </c>
      <c r="O4650" s="4" t="n">
        <f aca="false">M4650*N4650</f>
        <v>73.8</v>
      </c>
    </row>
    <row r="4651" customFormat="false" ht="15" hidden="false" customHeight="false" outlineLevel="0" collapsed="false">
      <c r="A4651" s="0" t="s">
        <v>6277</v>
      </c>
      <c r="C4651" s="0" t="s">
        <v>31</v>
      </c>
      <c r="D4651" s="7" t="n">
        <v>108</v>
      </c>
      <c r="E4651" s="8" t="n">
        <v>0.28037037037037</v>
      </c>
      <c r="F4651" s="4" t="n">
        <f aca="false">D4651*E4651</f>
        <v>30.28</v>
      </c>
      <c r="G4651" s="7" t="n">
        <v>38</v>
      </c>
      <c r="H4651" s="9" t="n">
        <f aca="false">IF(G4651&gt;0,D4651/G4651,"")</f>
        <v>2.84210526315789</v>
      </c>
      <c r="I4651" s="10" t="n">
        <v>46294</v>
      </c>
      <c r="J4651" s="3" t="s">
        <v>4968</v>
      </c>
      <c r="K4651" s="10" t="n">
        <v>46251</v>
      </c>
      <c r="L4651" s="3" t="s">
        <v>15</v>
      </c>
      <c r="M4651" s="7" t="n">
        <v>133</v>
      </c>
      <c r="N4651" s="8" t="n">
        <v>0.28035</v>
      </c>
      <c r="O4651" s="4" t="n">
        <f aca="false">M4651*N4651</f>
        <v>37.28655</v>
      </c>
    </row>
    <row r="4652" customFormat="false" ht="15" hidden="false" customHeight="false" outlineLevel="0" collapsed="false">
      <c r="A4652" s="0" t="s">
        <v>6278</v>
      </c>
      <c r="C4652" s="0" t="s">
        <v>37</v>
      </c>
      <c r="D4652" s="7" t="n">
        <v>260</v>
      </c>
      <c r="E4652" s="8" t="n">
        <v>0.116461538461539</v>
      </c>
      <c r="F4652" s="4" t="n">
        <f aca="false">D4652*E4652</f>
        <v>30.28</v>
      </c>
      <c r="G4652" s="7" t="n">
        <v>10</v>
      </c>
      <c r="H4652" s="9" t="n">
        <f aca="false">IF(G4652&gt;0,D4652/G4652,"")</f>
        <v>26</v>
      </c>
      <c r="I4652" s="10" t="n">
        <v>46317</v>
      </c>
      <c r="J4652" s="3" t="s">
        <v>341</v>
      </c>
      <c r="K4652" s="10" t="n">
        <v>46078</v>
      </c>
      <c r="L4652" s="3" t="s">
        <v>15</v>
      </c>
      <c r="M4652" s="7" t="n">
        <v>270</v>
      </c>
      <c r="N4652" s="8" t="n">
        <v>0.11643</v>
      </c>
      <c r="O4652" s="4" t="n">
        <f aca="false">M4652*N4652</f>
        <v>31.4361</v>
      </c>
    </row>
    <row r="4653" customFormat="false" ht="15" hidden="false" customHeight="false" outlineLevel="0" collapsed="false">
      <c r="A4653" s="0" t="s">
        <v>6279</v>
      </c>
      <c r="C4653" s="0" t="s">
        <v>4363</v>
      </c>
      <c r="D4653" s="7" t="n">
        <v>3</v>
      </c>
      <c r="E4653" s="8" t="n">
        <v>10.09</v>
      </c>
      <c r="F4653" s="4" t="n">
        <f aca="false">D4653*E4653</f>
        <v>30.27</v>
      </c>
      <c r="G4653" s="7" t="n">
        <v>1</v>
      </c>
      <c r="H4653" s="9" t="n">
        <f aca="false">IF(G4653&gt;0,D4653/G4653,"")</f>
        <v>3</v>
      </c>
      <c r="I4653" s="10" t="n">
        <v>46283</v>
      </c>
      <c r="J4653" s="3" t="s">
        <v>5714</v>
      </c>
      <c r="K4653" s="10" t="n">
        <v>45585</v>
      </c>
      <c r="L4653" s="3" t="s">
        <v>4365</v>
      </c>
      <c r="M4653" s="7" t="n">
        <v>2</v>
      </c>
      <c r="N4653" s="8" t="n">
        <v>10.09</v>
      </c>
      <c r="O4653" s="4" t="n">
        <f aca="false">M4653*N4653</f>
        <v>20.18</v>
      </c>
    </row>
    <row r="4654" customFormat="false" ht="15" hidden="false" customHeight="false" outlineLevel="0" collapsed="false">
      <c r="A4654" s="0" t="s">
        <v>6280</v>
      </c>
      <c r="C4654" s="0" t="s">
        <v>298</v>
      </c>
      <c r="D4654" s="7" t="n">
        <v>127</v>
      </c>
      <c r="E4654" s="8" t="n">
        <v>0.238267716535433</v>
      </c>
      <c r="F4654" s="4" t="n">
        <f aca="false">D4654*E4654</f>
        <v>30.26</v>
      </c>
      <c r="G4654" s="7" t="n">
        <v>35</v>
      </c>
      <c r="H4654" s="9" t="n">
        <f aca="false">IF(G4654&gt;0,D4654/G4654,"")</f>
        <v>3.62857142857143</v>
      </c>
      <c r="I4654" s="10" t="n">
        <v>46245</v>
      </c>
      <c r="J4654" s="3" t="s">
        <v>2635</v>
      </c>
      <c r="K4654" s="10" t="n">
        <v>46237</v>
      </c>
      <c r="L4654" s="3" t="s">
        <v>19</v>
      </c>
      <c r="M4654" s="7" t="n">
        <v>134</v>
      </c>
      <c r="N4654" s="8" t="n">
        <v>0.2383</v>
      </c>
      <c r="O4654" s="4" t="n">
        <f aca="false">M4654*N4654</f>
        <v>31.9322</v>
      </c>
    </row>
    <row r="4655" customFormat="false" ht="15" hidden="false" customHeight="false" outlineLevel="0" collapsed="false">
      <c r="A4655" s="0" t="s">
        <v>6281</v>
      </c>
      <c r="C4655" s="0" t="s">
        <v>398</v>
      </c>
      <c r="D4655" s="7" t="n">
        <v>192</v>
      </c>
      <c r="E4655" s="8" t="n">
        <v>0.1575</v>
      </c>
      <c r="F4655" s="4" t="n">
        <f aca="false">D4655*E4655</f>
        <v>30.24</v>
      </c>
      <c r="G4655" s="7" t="n">
        <v>2</v>
      </c>
      <c r="H4655" s="9" t="n">
        <f aca="false">IF(G4655&gt;0,D4655/G4655,"")</f>
        <v>96</v>
      </c>
      <c r="I4655" s="10" t="n">
        <v>46066</v>
      </c>
      <c r="K4655" s="10"/>
      <c r="M4655" s="7"/>
      <c r="N4655" s="8"/>
      <c r="O4655" s="4"/>
    </row>
    <row r="4656" customFormat="false" ht="15" hidden="false" customHeight="false" outlineLevel="0" collapsed="false">
      <c r="A4656" s="0" t="s">
        <v>6282</v>
      </c>
      <c r="C4656" s="0" t="s">
        <v>31</v>
      </c>
      <c r="D4656" s="7" t="n">
        <v>5759</v>
      </c>
      <c r="E4656" s="8" t="n">
        <v>0.00524917520402848</v>
      </c>
      <c r="F4656" s="4" t="n">
        <f aca="false">D4656*E4656</f>
        <v>30.23</v>
      </c>
      <c r="G4656" s="7" t="n">
        <v>4534</v>
      </c>
      <c r="H4656" s="9" t="n">
        <f aca="false">IF(G4656&gt;0,D4656/G4656,"")</f>
        <v>1.27018085575651</v>
      </c>
      <c r="I4656" s="10" t="n">
        <v>46274</v>
      </c>
      <c r="J4656" s="3" t="s">
        <v>3590</v>
      </c>
      <c r="K4656" s="10" t="n">
        <v>45967</v>
      </c>
      <c r="L4656" s="3" t="s">
        <v>16</v>
      </c>
      <c r="M4656" s="7" t="n">
        <v>10000</v>
      </c>
      <c r="N4656" s="8" t="n">
        <v>0.00525</v>
      </c>
      <c r="O4656" s="4" t="n">
        <f aca="false">M4656*N4656</f>
        <v>52.5</v>
      </c>
    </row>
    <row r="4657" customFormat="false" ht="15" hidden="false" customHeight="false" outlineLevel="0" collapsed="false">
      <c r="A4657" s="0" t="s">
        <v>6283</v>
      </c>
      <c r="C4657" s="0" t="s">
        <v>5255</v>
      </c>
      <c r="D4657" s="7" t="n">
        <v>45</v>
      </c>
      <c r="E4657" s="8" t="n">
        <v>0.671555555555556</v>
      </c>
      <c r="F4657" s="4" t="n">
        <f aca="false">D4657*E4657</f>
        <v>30.22</v>
      </c>
      <c r="G4657" s="7" t="n">
        <v>5</v>
      </c>
      <c r="H4657" s="9" t="n">
        <f aca="false">IF(G4657&gt;0,D4657/G4657,"")</f>
        <v>9</v>
      </c>
      <c r="I4657" s="10" t="n">
        <v>46176</v>
      </c>
      <c r="J4657" s="3" t="s">
        <v>4427</v>
      </c>
      <c r="K4657" s="10" t="n">
        <v>46169</v>
      </c>
      <c r="L4657" s="3" t="s">
        <v>19</v>
      </c>
      <c r="M4657" s="7" t="n">
        <v>50</v>
      </c>
      <c r="N4657" s="8" t="n">
        <v>0.6715</v>
      </c>
      <c r="O4657" s="4" t="n">
        <f aca="false">M4657*N4657</f>
        <v>33.575</v>
      </c>
    </row>
    <row r="4658" customFormat="false" ht="15" hidden="false" customHeight="false" outlineLevel="0" collapsed="false">
      <c r="A4658" s="0" t="s">
        <v>6284</v>
      </c>
      <c r="C4658" s="0" t="s">
        <v>1039</v>
      </c>
      <c r="D4658" s="7" t="n">
        <v>5025</v>
      </c>
      <c r="E4658" s="8" t="n">
        <v>0.00600597014925373</v>
      </c>
      <c r="F4658" s="4" t="n">
        <f aca="false">D4658*E4658</f>
        <v>30.18</v>
      </c>
      <c r="G4658" s="7" t="n">
        <v>602</v>
      </c>
      <c r="H4658" s="9" t="n">
        <f aca="false">IF(G4658&gt;0,D4658/G4658,"")</f>
        <v>8.34717607973422</v>
      </c>
      <c r="I4658" s="10" t="n">
        <v>46008</v>
      </c>
      <c r="K4658" s="10"/>
      <c r="M4658" s="7"/>
      <c r="N4658" s="8"/>
      <c r="O4658" s="4"/>
    </row>
    <row r="4659" customFormat="false" ht="15" hidden="false" customHeight="false" outlineLevel="0" collapsed="false">
      <c r="A4659" s="0" t="s">
        <v>6285</v>
      </c>
      <c r="C4659" s="0" t="s">
        <v>855</v>
      </c>
      <c r="D4659" s="7" t="n">
        <v>1779</v>
      </c>
      <c r="E4659" s="8" t="n">
        <v>0.0169589657110736</v>
      </c>
      <c r="F4659" s="4" t="n">
        <f aca="false">D4659*E4659</f>
        <v>30.17</v>
      </c>
      <c r="G4659" s="7" t="n">
        <v>23</v>
      </c>
      <c r="H4659" s="9" t="n">
        <f aca="false">IF(G4659&gt;0,D4659/G4659,"")</f>
        <v>77.3478260869565</v>
      </c>
      <c r="I4659" s="10" t="n">
        <v>46034</v>
      </c>
      <c r="J4659" s="3" t="s">
        <v>4302</v>
      </c>
      <c r="K4659" s="10" t="n">
        <v>44513</v>
      </c>
      <c r="L4659" s="3" t="s">
        <v>16</v>
      </c>
      <c r="M4659" s="7" t="n">
        <v>6469</v>
      </c>
      <c r="N4659" s="8" t="n">
        <v>0.0171</v>
      </c>
      <c r="O4659" s="4" t="n">
        <v>110.3805</v>
      </c>
    </row>
    <row r="4660" customFormat="false" ht="15" hidden="false" customHeight="false" outlineLevel="0" collapsed="false">
      <c r="A4660" s="0" t="s">
        <v>6286</v>
      </c>
      <c r="C4660" s="0" t="s">
        <v>31</v>
      </c>
      <c r="D4660" s="7" t="n">
        <v>80</v>
      </c>
      <c r="E4660" s="8" t="n">
        <v>0.37675</v>
      </c>
      <c r="F4660" s="4" t="n">
        <f aca="false">D4660*E4660</f>
        <v>30.14</v>
      </c>
      <c r="G4660" s="7" t="n">
        <v>7</v>
      </c>
      <c r="H4660" s="9" t="n">
        <f aca="false">IF(G4660&gt;0,D4660/G4660,"")</f>
        <v>11.4285714285714</v>
      </c>
      <c r="I4660" s="10" t="n">
        <v>46036</v>
      </c>
      <c r="K4660" s="10"/>
      <c r="M4660" s="7"/>
      <c r="N4660" s="8"/>
      <c r="O4660" s="4"/>
    </row>
    <row r="4661" customFormat="false" ht="15" hidden="false" customHeight="false" outlineLevel="0" collapsed="false">
      <c r="A4661" s="0" t="s">
        <v>6287</v>
      </c>
      <c r="C4661" s="0" t="s">
        <v>32</v>
      </c>
      <c r="D4661" s="7" t="n">
        <v>49</v>
      </c>
      <c r="E4661" s="8" t="n">
        <v>0.614897959183674</v>
      </c>
      <c r="F4661" s="4" t="n">
        <f aca="false">D4661*E4661</f>
        <v>30.13</v>
      </c>
      <c r="G4661" s="7" t="n">
        <v>7</v>
      </c>
      <c r="H4661" s="9" t="n">
        <f aca="false">IF(G4661&gt;0,D4661/G4661,"")</f>
        <v>7</v>
      </c>
      <c r="I4661" s="10" t="n">
        <v>46244</v>
      </c>
      <c r="J4661" s="3" t="s">
        <v>6061</v>
      </c>
      <c r="K4661" s="10" t="n">
        <v>45357</v>
      </c>
      <c r="L4661" s="3" t="s">
        <v>18</v>
      </c>
      <c r="M4661" s="7" t="n">
        <v>140</v>
      </c>
      <c r="N4661" s="8" t="n">
        <v>0.615</v>
      </c>
      <c r="O4661" s="4" t="n">
        <f aca="false">M4661*N4661</f>
        <v>86.1</v>
      </c>
    </row>
    <row r="4662" customFormat="false" ht="15" hidden="false" customHeight="false" outlineLevel="0" collapsed="false">
      <c r="A4662" s="0" t="s">
        <v>6288</v>
      </c>
      <c r="C4662" s="0" t="s">
        <v>765</v>
      </c>
      <c r="D4662" s="7" t="n">
        <v>41</v>
      </c>
      <c r="E4662" s="8" t="n">
        <v>0.734390243902439</v>
      </c>
      <c r="F4662" s="4" t="n">
        <f aca="false">D4662*E4662</f>
        <v>30.11</v>
      </c>
      <c r="G4662" s="7" t="n">
        <v>40</v>
      </c>
      <c r="H4662" s="9" t="n">
        <f aca="false">IF(G4662&gt;0,D4662/G4662,"")</f>
        <v>1.025</v>
      </c>
      <c r="I4662" s="10" t="n">
        <v>46206</v>
      </c>
      <c r="J4662" s="3" t="s">
        <v>6289</v>
      </c>
      <c r="K4662" s="10" t="n">
        <v>46182</v>
      </c>
      <c r="L4662" s="3" t="s">
        <v>19</v>
      </c>
      <c r="M4662" s="7" t="n">
        <v>50</v>
      </c>
      <c r="N4662" s="8" t="n">
        <v>0.7381</v>
      </c>
      <c r="O4662" s="4" t="n">
        <f aca="false">M4662*N4662</f>
        <v>36.905</v>
      </c>
    </row>
    <row r="4663" customFormat="false" ht="15" hidden="false" customHeight="false" outlineLevel="0" collapsed="false">
      <c r="A4663" s="0" t="s">
        <v>6290</v>
      </c>
      <c r="C4663" s="0" t="s">
        <v>31</v>
      </c>
      <c r="D4663" s="7" t="n">
        <v>1851</v>
      </c>
      <c r="E4663" s="8" t="n">
        <v>0.0162506753106429</v>
      </c>
      <c r="F4663" s="4" t="n">
        <f aca="false">D4663*E4663</f>
        <v>30.08</v>
      </c>
      <c r="G4663" s="7" t="n">
        <v>421</v>
      </c>
      <c r="H4663" s="9" t="n">
        <f aca="false">IF(G4663&gt;0,D4663/G4663,"")</f>
        <v>4.39667458432304</v>
      </c>
      <c r="I4663" s="10" t="n">
        <v>46106</v>
      </c>
      <c r="J4663" s="3" t="s">
        <v>1080</v>
      </c>
      <c r="K4663" s="10" t="n">
        <v>44313</v>
      </c>
      <c r="L4663" s="3" t="s">
        <v>16</v>
      </c>
      <c r="M4663" s="7" t="n">
        <v>5715</v>
      </c>
      <c r="N4663" s="8" t="n">
        <v>0.0162</v>
      </c>
      <c r="O4663" s="4" t="n">
        <f aca="false">M4663*N4663</f>
        <v>92.583</v>
      </c>
    </row>
    <row r="4664" customFormat="false" ht="15" hidden="false" customHeight="false" outlineLevel="0" collapsed="false">
      <c r="A4664" s="0" t="s">
        <v>6291</v>
      </c>
      <c r="C4664" s="0" t="s">
        <v>118</v>
      </c>
      <c r="D4664" s="7" t="n">
        <v>57</v>
      </c>
      <c r="E4664" s="8" t="n">
        <v>0.52719298245614</v>
      </c>
      <c r="F4664" s="4" t="n">
        <f aca="false">D4664*E4664</f>
        <v>30.05</v>
      </c>
      <c r="G4664" s="7" t="n">
        <v>23</v>
      </c>
      <c r="H4664" s="9" t="n">
        <f aca="false">IF(G4664&gt;0,D4664/G4664,"")</f>
        <v>2.47826086956522</v>
      </c>
      <c r="I4664" s="10" t="n">
        <v>46237</v>
      </c>
      <c r="J4664" s="3" t="s">
        <v>381</v>
      </c>
      <c r="K4664" s="10" t="n">
        <v>45344</v>
      </c>
      <c r="L4664" s="3" t="s">
        <v>14</v>
      </c>
      <c r="M4664" s="7" t="n">
        <v>200</v>
      </c>
      <c r="N4664" s="8" t="n">
        <v>0.5271</v>
      </c>
      <c r="O4664" s="4" t="n">
        <f aca="false">M4664*N4664</f>
        <v>105.42</v>
      </c>
    </row>
    <row r="4665" customFormat="false" ht="15" hidden="false" customHeight="false" outlineLevel="0" collapsed="false">
      <c r="A4665" s="0" t="s">
        <v>6292</v>
      </c>
      <c r="C4665" s="0" t="s">
        <v>1010</v>
      </c>
      <c r="D4665" s="7" t="n">
        <v>351</v>
      </c>
      <c r="E4665" s="8" t="n">
        <v>0.0855555555555556</v>
      </c>
      <c r="F4665" s="4" t="n">
        <f aca="false">D4665*E4665</f>
        <v>30.03</v>
      </c>
      <c r="G4665" s="7" t="n">
        <v>30</v>
      </c>
      <c r="H4665" s="9" t="n">
        <f aca="false">IF(G4665&gt;0,D4665/G4665,"")</f>
        <v>11.7</v>
      </c>
      <c r="I4665" s="10" t="n">
        <v>46118</v>
      </c>
      <c r="J4665" s="3" t="s">
        <v>628</v>
      </c>
      <c r="K4665" s="10" t="n">
        <v>46128</v>
      </c>
      <c r="L4665" s="3" t="s">
        <v>16</v>
      </c>
      <c r="M4665" s="7" t="n">
        <v>300</v>
      </c>
      <c r="N4665" s="8" t="n">
        <v>0.0693</v>
      </c>
      <c r="O4665" s="4" t="n">
        <f aca="false">M4665*N4665</f>
        <v>20.79</v>
      </c>
    </row>
    <row r="4666" customFormat="false" ht="15" hidden="false" customHeight="false" outlineLevel="0" collapsed="false">
      <c r="A4666" s="0" t="s">
        <v>6293</v>
      </c>
      <c r="C4666" s="0" t="s">
        <v>34</v>
      </c>
      <c r="D4666" s="7" t="n">
        <v>796</v>
      </c>
      <c r="E4666" s="8" t="n">
        <v>0.037713567839196</v>
      </c>
      <c r="F4666" s="4" t="n">
        <f aca="false">D4666*E4666</f>
        <v>30.02</v>
      </c>
      <c r="G4666" s="7" t="n">
        <v>20</v>
      </c>
      <c r="H4666" s="9" t="n">
        <f aca="false">IF(G4666&gt;0,D4666/G4666,"")</f>
        <v>39.8</v>
      </c>
      <c r="I4666" s="10" t="n">
        <v>46083</v>
      </c>
      <c r="J4666" s="3" t="s">
        <v>2239</v>
      </c>
      <c r="K4666" s="10" t="n">
        <v>44281</v>
      </c>
      <c r="L4666" s="3" t="s">
        <v>19</v>
      </c>
      <c r="M4666" s="7" t="n">
        <v>1000</v>
      </c>
      <c r="N4666" s="8" t="n">
        <v>0.0377</v>
      </c>
      <c r="O4666" s="4" t="n">
        <f aca="false">M4666*N4666</f>
        <v>37.7</v>
      </c>
    </row>
    <row r="4667" customFormat="false" ht="15" hidden="false" customHeight="false" outlineLevel="0" collapsed="false">
      <c r="A4667" s="0" t="s">
        <v>6294</v>
      </c>
      <c r="C4667" s="0" t="s">
        <v>35</v>
      </c>
      <c r="D4667" s="7" t="n">
        <v>219</v>
      </c>
      <c r="E4667" s="8" t="n">
        <v>0.13703196347032</v>
      </c>
      <c r="F4667" s="4" t="n">
        <f aca="false">D4667*E4667</f>
        <v>30.01</v>
      </c>
      <c r="G4667" s="7" t="n">
        <v>3</v>
      </c>
      <c r="H4667" s="9" t="n">
        <f aca="false">IF(G4667&gt;0,D4667/G4667,"")</f>
        <v>73</v>
      </c>
      <c r="I4667" s="10" t="n">
        <v>45978</v>
      </c>
      <c r="J4667" s="3" t="s">
        <v>1349</v>
      </c>
      <c r="K4667" s="10" t="n">
        <v>44215</v>
      </c>
      <c r="L4667" s="3" t="s">
        <v>20</v>
      </c>
      <c r="M4667" s="7" t="n">
        <v>250</v>
      </c>
      <c r="N4667" s="8" t="n">
        <v>0.137</v>
      </c>
      <c r="O4667" s="4" t="n">
        <f aca="false">M4667*N4667</f>
        <v>34.25</v>
      </c>
    </row>
    <row r="4668" customFormat="false" ht="15" hidden="false" customHeight="false" outlineLevel="0" collapsed="false">
      <c r="A4668" s="0" t="s">
        <v>6295</v>
      </c>
      <c r="C4668" s="0" t="s">
        <v>398</v>
      </c>
      <c r="D4668" s="7" t="n">
        <v>956</v>
      </c>
      <c r="E4668" s="8" t="n">
        <v>0.0313702928870293</v>
      </c>
      <c r="F4668" s="4" t="n">
        <f aca="false">D4668*E4668</f>
        <v>29.99</v>
      </c>
      <c r="G4668" s="7" t="n">
        <v>661</v>
      </c>
      <c r="H4668" s="9" t="n">
        <f aca="false">IF(G4668&gt;0,D4668/G4668,"")</f>
        <v>1.44629349470499</v>
      </c>
      <c r="I4668" s="10" t="n">
        <v>46311</v>
      </c>
      <c r="K4668" s="10"/>
      <c r="M4668" s="7"/>
      <c r="N4668" s="8"/>
      <c r="O4668" s="4"/>
    </row>
    <row r="4669" customFormat="false" ht="15" hidden="false" customHeight="false" outlineLevel="0" collapsed="false">
      <c r="A4669" s="0" t="s">
        <v>6296</v>
      </c>
      <c r="C4669" s="0" t="s">
        <v>31</v>
      </c>
      <c r="D4669" s="7" t="n">
        <v>211</v>
      </c>
      <c r="E4669" s="8" t="n">
        <v>0.142132701421801</v>
      </c>
      <c r="F4669" s="4" t="n">
        <f aca="false">D4669*E4669</f>
        <v>29.99</v>
      </c>
      <c r="G4669" s="7" t="n">
        <v>172</v>
      </c>
      <c r="H4669" s="9" t="n">
        <f aca="false">IF(G4669&gt;0,D4669/G4669,"")</f>
        <v>1.22674418604651</v>
      </c>
      <c r="I4669" s="10" t="n">
        <v>46267</v>
      </c>
      <c r="J4669" s="3" t="s">
        <v>5618</v>
      </c>
      <c r="K4669" s="10" t="n">
        <v>44756</v>
      </c>
      <c r="L4669" s="3" t="s">
        <v>19</v>
      </c>
      <c r="M4669" s="7" t="n">
        <v>788</v>
      </c>
      <c r="N4669" s="8" t="n">
        <v>0.1435</v>
      </c>
      <c r="O4669" s="4" t="n">
        <v>112.791</v>
      </c>
    </row>
    <row r="4670" customFormat="false" ht="15" hidden="false" customHeight="false" outlineLevel="0" collapsed="false">
      <c r="A4670" s="0" t="s">
        <v>6297</v>
      </c>
      <c r="C4670" s="0" t="s">
        <v>31</v>
      </c>
      <c r="D4670" s="7" t="n">
        <v>583</v>
      </c>
      <c r="E4670" s="8" t="n">
        <v>0.0514408233276158</v>
      </c>
      <c r="F4670" s="4" t="n">
        <f aca="false">D4670*E4670</f>
        <v>29.99</v>
      </c>
      <c r="G4670" s="7" t="n">
        <v>525</v>
      </c>
      <c r="H4670" s="9" t="n">
        <f aca="false">IF(G4670&gt;0,D4670/G4670,"")</f>
        <v>1.11047619047619</v>
      </c>
      <c r="I4670" s="10" t="n">
        <v>46217</v>
      </c>
      <c r="K4670" s="10"/>
      <c r="M4670" s="7"/>
      <c r="N4670" s="8"/>
      <c r="O4670" s="4"/>
    </row>
    <row r="4671" customFormat="false" ht="15" hidden="false" customHeight="false" outlineLevel="0" collapsed="false">
      <c r="A4671" s="0" t="s">
        <v>6298</v>
      </c>
      <c r="C4671" s="0" t="s">
        <v>34</v>
      </c>
      <c r="D4671" s="7" t="n">
        <v>1332</v>
      </c>
      <c r="E4671" s="8" t="n">
        <v>0.022484984984985</v>
      </c>
      <c r="F4671" s="4" t="n">
        <f aca="false">D4671*E4671</f>
        <v>29.95</v>
      </c>
      <c r="G4671" s="7" t="n">
        <v>200</v>
      </c>
      <c r="H4671" s="9" t="n">
        <f aca="false">IF(G4671&gt;0,D4671/G4671,"")</f>
        <v>6.66</v>
      </c>
      <c r="I4671" s="10" t="n">
        <v>46219</v>
      </c>
      <c r="J4671" s="3" t="s">
        <v>302</v>
      </c>
      <c r="K4671" s="10" t="n">
        <v>45520</v>
      </c>
      <c r="L4671" s="3" t="s">
        <v>15</v>
      </c>
      <c r="M4671" s="7" t="n">
        <v>1550</v>
      </c>
      <c r="N4671" s="8" t="n">
        <v>0.02234</v>
      </c>
      <c r="O4671" s="4" t="n">
        <f aca="false">M4671*N4671</f>
        <v>34.627</v>
      </c>
    </row>
    <row r="4672" customFormat="false" ht="15" hidden="false" customHeight="false" outlineLevel="0" collapsed="false">
      <c r="A4672" s="0" t="s">
        <v>6299</v>
      </c>
      <c r="C4672" s="0" t="s">
        <v>438</v>
      </c>
      <c r="D4672" s="7" t="n">
        <v>22</v>
      </c>
      <c r="E4672" s="8" t="n">
        <v>1.35909090909091</v>
      </c>
      <c r="F4672" s="4" t="n">
        <f aca="false">D4672*E4672</f>
        <v>29.9</v>
      </c>
      <c r="G4672" s="7" t="n">
        <v>11</v>
      </c>
      <c r="H4672" s="9" t="n">
        <f aca="false">IF(G4672&gt;0,D4672/G4672,"")</f>
        <v>2</v>
      </c>
      <c r="I4672" s="10" t="n">
        <v>46105</v>
      </c>
      <c r="K4672" s="10"/>
      <c r="M4672" s="7"/>
      <c r="N4672" s="8"/>
      <c r="O4672" s="4"/>
    </row>
    <row r="4673" customFormat="false" ht="15" hidden="false" customHeight="false" outlineLevel="0" collapsed="false">
      <c r="A4673" s="0" t="s">
        <v>6300</v>
      </c>
      <c r="C4673" s="0" t="s">
        <v>979</v>
      </c>
      <c r="D4673" s="7" t="n">
        <v>168</v>
      </c>
      <c r="E4673" s="8" t="n">
        <v>0.177976190476191</v>
      </c>
      <c r="F4673" s="4" t="n">
        <f aca="false">D4673*E4673</f>
        <v>29.9</v>
      </c>
      <c r="G4673" s="7" t="n">
        <v>25</v>
      </c>
      <c r="H4673" s="9" t="n">
        <f aca="false">IF(G4673&gt;0,D4673/G4673,"")</f>
        <v>6.72</v>
      </c>
      <c r="I4673" s="10" t="n">
        <v>46300</v>
      </c>
      <c r="K4673" s="10"/>
      <c r="M4673" s="7"/>
      <c r="N4673" s="8"/>
      <c r="O4673" s="4"/>
    </row>
    <row r="4674" customFormat="false" ht="15" hidden="false" customHeight="false" outlineLevel="0" collapsed="false">
      <c r="A4674" s="0" t="s">
        <v>6301</v>
      </c>
      <c r="C4674" s="0" t="s">
        <v>39</v>
      </c>
      <c r="D4674" s="7" t="n">
        <v>50</v>
      </c>
      <c r="E4674" s="8" t="n">
        <v>0.5978</v>
      </c>
      <c r="F4674" s="4" t="n">
        <f aca="false">D4674*E4674</f>
        <v>29.89</v>
      </c>
      <c r="G4674" s="7" t="n">
        <v>21</v>
      </c>
      <c r="H4674" s="9" t="n">
        <f aca="false">IF(G4674&gt;0,D4674/G4674,"")</f>
        <v>2.38095238095238</v>
      </c>
      <c r="I4674" s="10" t="n">
        <v>46247</v>
      </c>
      <c r="J4674" s="3" t="s">
        <v>5898</v>
      </c>
      <c r="K4674" s="10" t="n">
        <v>44579</v>
      </c>
      <c r="L4674" s="3" t="s">
        <v>15</v>
      </c>
      <c r="M4674" s="7" t="n">
        <v>104</v>
      </c>
      <c r="N4674" s="8" t="n">
        <v>0</v>
      </c>
      <c r="O4674" s="4" t="n">
        <v>62.83</v>
      </c>
    </row>
    <row r="4675" customFormat="false" ht="15" hidden="false" customHeight="false" outlineLevel="0" collapsed="false">
      <c r="A4675" s="0" t="s">
        <v>6302</v>
      </c>
      <c r="C4675" s="0" t="s">
        <v>41</v>
      </c>
      <c r="D4675" s="7" t="n">
        <v>5150</v>
      </c>
      <c r="E4675" s="8" t="n">
        <v>0.0058</v>
      </c>
      <c r="F4675" s="4" t="n">
        <f aca="false">D4675*E4675</f>
        <v>29.87</v>
      </c>
      <c r="G4675" s="7" t="n">
        <v>2000</v>
      </c>
      <c r="H4675" s="9" t="n">
        <f aca="false">IF(G4675&gt;0,D4675/G4675,"")</f>
        <v>2.575</v>
      </c>
      <c r="I4675" s="10" t="n">
        <v>46021</v>
      </c>
      <c r="J4675" s="3" t="s">
        <v>1011</v>
      </c>
      <c r="K4675" s="10" t="n">
        <v>46003</v>
      </c>
      <c r="L4675" s="3" t="s">
        <v>16</v>
      </c>
      <c r="M4675" s="7" t="n">
        <v>7150</v>
      </c>
      <c r="N4675" s="8" t="n">
        <v>0.0058</v>
      </c>
      <c r="O4675" s="4" t="n">
        <f aca="false">M4675*N4675</f>
        <v>41.47</v>
      </c>
    </row>
    <row r="4676" customFormat="false" ht="15" hidden="false" customHeight="false" outlineLevel="0" collapsed="false">
      <c r="A4676" s="0" t="s">
        <v>6303</v>
      </c>
      <c r="C4676" s="0" t="s">
        <v>855</v>
      </c>
      <c r="D4676" s="7" t="n">
        <v>1298</v>
      </c>
      <c r="E4676" s="8" t="n">
        <v>0.0229969183359014</v>
      </c>
      <c r="F4676" s="4" t="n">
        <f aca="false">D4676*E4676</f>
        <v>29.85</v>
      </c>
      <c r="G4676" s="7" t="n">
        <v>250</v>
      </c>
      <c r="H4676" s="9" t="n">
        <f aca="false">IF(G4676&gt;0,D4676/G4676,"")</f>
        <v>5.192</v>
      </c>
      <c r="I4676" s="10" t="n">
        <v>46111</v>
      </c>
      <c r="J4676" s="3" t="s">
        <v>2321</v>
      </c>
      <c r="K4676" s="10" t="n">
        <v>46094</v>
      </c>
      <c r="L4676" s="3" t="s">
        <v>16</v>
      </c>
      <c r="M4676" s="7" t="n">
        <v>1548</v>
      </c>
      <c r="N4676" s="8" t="n">
        <v>0.023</v>
      </c>
      <c r="O4676" s="4" t="n">
        <f aca="false">M4676*N4676</f>
        <v>35.604</v>
      </c>
    </row>
    <row r="4677" customFormat="false" ht="15" hidden="false" customHeight="false" outlineLevel="0" collapsed="false">
      <c r="A4677" s="0" t="s">
        <v>6304</v>
      </c>
      <c r="C4677" s="0" t="s">
        <v>31</v>
      </c>
      <c r="D4677" s="7" t="n">
        <v>1139</v>
      </c>
      <c r="E4677" s="8" t="n">
        <v>0.0261369622475856</v>
      </c>
      <c r="F4677" s="4" t="n">
        <f aca="false">D4677*E4677</f>
        <v>29.77</v>
      </c>
      <c r="G4677" s="7" t="n">
        <v>1066</v>
      </c>
      <c r="H4677" s="9" t="n">
        <f aca="false">IF(G4677&gt;0,D4677/G4677,"")</f>
        <v>1.06848030018762</v>
      </c>
      <c r="I4677" s="10" t="n">
        <v>46280</v>
      </c>
      <c r="J4677" s="3" t="s">
        <v>4801</v>
      </c>
      <c r="K4677" s="10" t="n">
        <v>46290</v>
      </c>
      <c r="L4677" s="3" t="s">
        <v>16</v>
      </c>
      <c r="M4677" s="7" t="n">
        <v>12900</v>
      </c>
      <c r="N4677" s="8" t="n">
        <v>0.0117</v>
      </c>
      <c r="O4677" s="4" t="n">
        <f aca="false">M4677*N4677</f>
        <v>150.93</v>
      </c>
    </row>
    <row r="4678" customFormat="false" ht="15" hidden="false" customHeight="false" outlineLevel="0" collapsed="false">
      <c r="A4678" s="0" t="s">
        <v>6305</v>
      </c>
      <c r="C4678" s="0" t="s">
        <v>1101</v>
      </c>
      <c r="D4678" s="7" t="n">
        <v>5</v>
      </c>
      <c r="E4678" s="8" t="n">
        <v>5.95</v>
      </c>
      <c r="F4678" s="4" t="n">
        <f aca="false">D4678*E4678</f>
        <v>29.75</v>
      </c>
      <c r="G4678" s="7" t="n">
        <v>5</v>
      </c>
      <c r="H4678" s="9" t="n">
        <f aca="false">IF(G4678&gt;0,D4678/G4678,"")</f>
        <v>1</v>
      </c>
      <c r="I4678" s="10" t="n">
        <v>46224</v>
      </c>
      <c r="J4678" s="3" t="s">
        <v>5986</v>
      </c>
      <c r="K4678" s="10" t="n">
        <v>46199</v>
      </c>
      <c r="L4678" s="3" t="s">
        <v>834</v>
      </c>
      <c r="M4678" s="7" t="n">
        <v>10</v>
      </c>
      <c r="N4678" s="8" t="n">
        <v>5.95</v>
      </c>
      <c r="O4678" s="4" t="n">
        <f aca="false">M4678*N4678</f>
        <v>59.5</v>
      </c>
    </row>
    <row r="4679" customFormat="false" ht="15" hidden="false" customHeight="false" outlineLevel="0" collapsed="false">
      <c r="A4679" s="0" t="s">
        <v>6306</v>
      </c>
      <c r="C4679" s="0" t="s">
        <v>34</v>
      </c>
      <c r="D4679" s="7" t="n">
        <v>334</v>
      </c>
      <c r="E4679" s="8" t="n">
        <v>0.0889221556886228</v>
      </c>
      <c r="F4679" s="4" t="n">
        <f aca="false">D4679*E4679</f>
        <v>29.7</v>
      </c>
      <c r="G4679" s="7" t="n">
        <v>11</v>
      </c>
      <c r="H4679" s="9" t="n">
        <f aca="false">IF(G4679&gt;0,D4679/G4679,"")</f>
        <v>30.3636363636364</v>
      </c>
      <c r="I4679" s="10" t="n">
        <v>46196</v>
      </c>
      <c r="J4679" s="3" t="s">
        <v>5276</v>
      </c>
      <c r="K4679" s="10" t="n">
        <v>44232</v>
      </c>
      <c r="L4679" s="3" t="s">
        <v>14</v>
      </c>
      <c r="M4679" s="7" t="n">
        <v>23</v>
      </c>
      <c r="N4679" s="8" t="n">
        <v>0.7863</v>
      </c>
      <c r="O4679" s="4" t="n">
        <f aca="false">M4679*N4679</f>
        <v>18.0849</v>
      </c>
    </row>
    <row r="4680" customFormat="false" ht="15" hidden="false" customHeight="false" outlineLevel="0" collapsed="false">
      <c r="A4680" s="0" t="s">
        <v>6307</v>
      </c>
      <c r="C4680" s="0" t="s">
        <v>855</v>
      </c>
      <c r="D4680" s="7" t="n">
        <v>4701</v>
      </c>
      <c r="E4680" s="8" t="n">
        <v>0.00631780472239949</v>
      </c>
      <c r="F4680" s="4" t="n">
        <f aca="false">D4680*E4680</f>
        <v>29.7</v>
      </c>
      <c r="G4680" s="7" t="n">
        <v>80</v>
      </c>
      <c r="H4680" s="9" t="n">
        <f aca="false">IF(G4680&gt;0,D4680/G4680,"")</f>
        <v>58.7625</v>
      </c>
      <c r="I4680" s="10" t="n">
        <v>46279</v>
      </c>
      <c r="J4680" s="3" t="s">
        <v>6308</v>
      </c>
      <c r="K4680" s="10" t="n">
        <v>45714</v>
      </c>
      <c r="L4680" s="3" t="s">
        <v>19</v>
      </c>
      <c r="M4680" s="7" t="n">
        <v>1000</v>
      </c>
      <c r="N4680" s="8" t="n">
        <v>0.0205</v>
      </c>
      <c r="O4680" s="4" t="n">
        <f aca="false">M4680*N4680</f>
        <v>20.5</v>
      </c>
    </row>
    <row r="4681" customFormat="false" ht="15" hidden="false" customHeight="false" outlineLevel="0" collapsed="false">
      <c r="A4681" s="0" t="s">
        <v>6309</v>
      </c>
      <c r="C4681" s="0" t="s">
        <v>875</v>
      </c>
      <c r="D4681" s="7" t="n">
        <v>23</v>
      </c>
      <c r="E4681" s="8" t="n">
        <v>1.2904347826087</v>
      </c>
      <c r="F4681" s="4" t="n">
        <f aca="false">D4681*E4681</f>
        <v>29.68</v>
      </c>
      <c r="G4681" s="7" t="n">
        <v>13</v>
      </c>
      <c r="H4681" s="9" t="n">
        <f aca="false">IF(G4681&gt;0,D4681/G4681,"")</f>
        <v>1.76923076923077</v>
      </c>
      <c r="I4681" s="10" t="n">
        <v>46293</v>
      </c>
      <c r="J4681" s="3" t="s">
        <v>269</v>
      </c>
      <c r="K4681" s="10" t="n">
        <v>46252</v>
      </c>
      <c r="L4681" s="3" t="s">
        <v>14</v>
      </c>
      <c r="M4681" s="7" t="n">
        <v>25</v>
      </c>
      <c r="N4681" s="8" t="n">
        <v>1.2904</v>
      </c>
      <c r="O4681" s="4" t="n">
        <f aca="false">M4681*N4681</f>
        <v>32.26</v>
      </c>
    </row>
    <row r="4682" customFormat="false" ht="15" hidden="false" customHeight="false" outlineLevel="0" collapsed="false">
      <c r="A4682" s="0" t="s">
        <v>6310</v>
      </c>
      <c r="C4682" s="0" t="s">
        <v>855</v>
      </c>
      <c r="D4682" s="7" t="n">
        <v>9575</v>
      </c>
      <c r="E4682" s="8" t="n">
        <v>0.00309869451697128</v>
      </c>
      <c r="F4682" s="4" t="n">
        <f aca="false">D4682*E4682</f>
        <v>29.67</v>
      </c>
      <c r="G4682" s="7" t="n">
        <v>1374</v>
      </c>
      <c r="H4682" s="9" t="n">
        <f aca="false">IF(G4682&gt;0,D4682/G4682,"")</f>
        <v>6.96870451237264</v>
      </c>
      <c r="I4682" s="10" t="n">
        <v>46283</v>
      </c>
      <c r="J4682" s="3" t="s">
        <v>1651</v>
      </c>
      <c r="K4682" s="10" t="n">
        <v>46069</v>
      </c>
      <c r="L4682" s="3" t="s">
        <v>16</v>
      </c>
      <c r="M4682" s="7" t="n">
        <v>10000</v>
      </c>
      <c r="N4682" s="8" t="n">
        <v>0.0031</v>
      </c>
      <c r="O4682" s="4" t="n">
        <f aca="false">M4682*N4682</f>
        <v>31</v>
      </c>
    </row>
    <row r="4683" customFormat="false" ht="15" hidden="false" customHeight="false" outlineLevel="0" collapsed="false">
      <c r="A4683" s="0" t="s">
        <v>6311</v>
      </c>
      <c r="C4683" s="0" t="s">
        <v>609</v>
      </c>
      <c r="D4683" s="7" t="n">
        <v>11</v>
      </c>
      <c r="E4683" s="8" t="n">
        <v>2.69</v>
      </c>
      <c r="F4683" s="4" t="n">
        <f aca="false">D4683*E4683</f>
        <v>29.59</v>
      </c>
      <c r="G4683" s="7" t="n">
        <v>3</v>
      </c>
      <c r="H4683" s="9" t="n">
        <f aca="false">IF(G4683&gt;0,D4683/G4683,"")</f>
        <v>3.66666666666667</v>
      </c>
      <c r="I4683" s="10" t="n">
        <v>46010</v>
      </c>
      <c r="J4683" s="3" t="s">
        <v>5240</v>
      </c>
      <c r="K4683" s="10" t="n">
        <v>44441</v>
      </c>
      <c r="L4683" s="3" t="s">
        <v>14</v>
      </c>
      <c r="M4683" s="7" t="n">
        <v>50</v>
      </c>
      <c r="N4683" s="8" t="n">
        <v>2.6908</v>
      </c>
      <c r="O4683" s="4" t="n">
        <f aca="false">M4683*N4683</f>
        <v>134.54</v>
      </c>
    </row>
    <row r="4684" customFormat="false" ht="15" hidden="false" customHeight="false" outlineLevel="0" collapsed="false">
      <c r="A4684" s="0" t="s">
        <v>6312</v>
      </c>
      <c r="C4684" s="0" t="s">
        <v>39</v>
      </c>
      <c r="D4684" s="7" t="n">
        <v>5</v>
      </c>
      <c r="E4684" s="8" t="n">
        <v>5.914</v>
      </c>
      <c r="F4684" s="4" t="n">
        <f aca="false">D4684*E4684</f>
        <v>29.57</v>
      </c>
      <c r="G4684" s="7" t="n">
        <v>4</v>
      </c>
      <c r="H4684" s="9" t="n">
        <f aca="false">IF(G4684&gt;0,D4684/G4684,"")</f>
        <v>1.25</v>
      </c>
      <c r="I4684" s="10" t="n">
        <v>46057</v>
      </c>
      <c r="J4684" s="3" t="s">
        <v>980</v>
      </c>
      <c r="K4684" s="10" t="n">
        <v>46049</v>
      </c>
      <c r="L4684" s="3" t="s">
        <v>18</v>
      </c>
      <c r="M4684" s="7" t="n">
        <v>9</v>
      </c>
      <c r="N4684" s="8" t="n">
        <v>5.9129</v>
      </c>
      <c r="O4684" s="4" t="n">
        <f aca="false">M4684*N4684</f>
        <v>53.2161</v>
      </c>
    </row>
    <row r="4685" customFormat="false" ht="15" hidden="false" customHeight="false" outlineLevel="0" collapsed="false">
      <c r="A4685" s="0" t="s">
        <v>6313</v>
      </c>
      <c r="C4685" s="0" t="s">
        <v>741</v>
      </c>
      <c r="D4685" s="7" t="n">
        <v>181</v>
      </c>
      <c r="E4685" s="8" t="n">
        <v>0.163204419889503</v>
      </c>
      <c r="F4685" s="4" t="n">
        <f aca="false">D4685*E4685</f>
        <v>29.54</v>
      </c>
      <c r="G4685" s="7" t="n">
        <v>34</v>
      </c>
      <c r="H4685" s="9" t="n">
        <f aca="false">IF(G4685&gt;0,D4685/G4685,"")</f>
        <v>5.32352941176471</v>
      </c>
      <c r="I4685" s="10" t="n">
        <v>46244</v>
      </c>
      <c r="K4685" s="10"/>
      <c r="M4685" s="7"/>
      <c r="N4685" s="8"/>
      <c r="O4685" s="4"/>
    </row>
    <row r="4686" customFormat="false" ht="15" hidden="false" customHeight="false" outlineLevel="0" collapsed="false">
      <c r="A4686" s="0" t="s">
        <v>6314</v>
      </c>
      <c r="C4686" s="0" t="s">
        <v>34</v>
      </c>
      <c r="D4686" s="7" t="n">
        <v>3991</v>
      </c>
      <c r="E4686" s="8" t="n">
        <v>0.00739914808318717</v>
      </c>
      <c r="F4686" s="4" t="n">
        <f aca="false">D4686*E4686</f>
        <v>29.53</v>
      </c>
      <c r="G4686" s="7" t="n">
        <v>300</v>
      </c>
      <c r="H4686" s="9" t="n">
        <f aca="false">IF(G4686&gt;0,D4686/G4686,"")</f>
        <v>13.3033333333333</v>
      </c>
      <c r="I4686" s="10" t="n">
        <v>46230</v>
      </c>
      <c r="J4686" s="3" t="s">
        <v>3847</v>
      </c>
      <c r="K4686" s="10" t="n">
        <v>44524</v>
      </c>
      <c r="L4686" s="3" t="s">
        <v>16</v>
      </c>
      <c r="M4686" s="7" t="n">
        <v>6278</v>
      </c>
      <c r="N4686" s="8" t="n">
        <v>0.0077</v>
      </c>
      <c r="O4686" s="4" t="n">
        <f aca="false">M4686*N4686</f>
        <v>48.3406</v>
      </c>
    </row>
    <row r="4687" customFormat="false" ht="15" hidden="false" customHeight="false" outlineLevel="0" collapsed="false">
      <c r="A4687" s="0" t="s">
        <v>6315</v>
      </c>
      <c r="C4687" s="0" t="s">
        <v>31</v>
      </c>
      <c r="D4687" s="7" t="n">
        <v>177</v>
      </c>
      <c r="E4687" s="8" t="n">
        <v>0.166553672316384</v>
      </c>
      <c r="F4687" s="4" t="n">
        <f aca="false">D4687*E4687</f>
        <v>29.48</v>
      </c>
      <c r="G4687" s="7" t="n">
        <v>33</v>
      </c>
      <c r="H4687" s="9" t="n">
        <f aca="false">IF(G4687&gt;0,D4687/G4687,"")</f>
        <v>5.36363636363636</v>
      </c>
      <c r="I4687" s="10" t="n">
        <v>46174</v>
      </c>
      <c r="K4687" s="10"/>
      <c r="M4687" s="7"/>
      <c r="N4687" s="8"/>
      <c r="O4687" s="4"/>
    </row>
    <row r="4688" customFormat="false" ht="15" hidden="false" customHeight="false" outlineLevel="0" collapsed="false">
      <c r="A4688" s="0" t="s">
        <v>6316</v>
      </c>
      <c r="C4688" s="0" t="s">
        <v>1039</v>
      </c>
      <c r="D4688" s="7" t="n">
        <v>4464</v>
      </c>
      <c r="E4688" s="8" t="n">
        <v>0.00660170250896057</v>
      </c>
      <c r="F4688" s="4" t="n">
        <f aca="false">D4688*E4688</f>
        <v>29.47</v>
      </c>
      <c r="G4688" s="7" t="n">
        <v>431</v>
      </c>
      <c r="H4688" s="9" t="n">
        <f aca="false">IF(G4688&gt;0,D4688/G4688,"")</f>
        <v>10.3573085846868</v>
      </c>
      <c r="I4688" s="10" t="n">
        <v>46174</v>
      </c>
      <c r="J4688" s="3" t="s">
        <v>1576</v>
      </c>
      <c r="K4688" s="10" t="n">
        <v>46196</v>
      </c>
      <c r="L4688" s="3" t="s">
        <v>16</v>
      </c>
      <c r="M4688" s="7" t="n">
        <v>4656</v>
      </c>
      <c r="N4688" s="8" t="n">
        <v>0.0066</v>
      </c>
      <c r="O4688" s="4" t="n">
        <f aca="false">M4688*N4688</f>
        <v>30.7296</v>
      </c>
    </row>
    <row r="4689" customFormat="false" ht="15" hidden="false" customHeight="false" outlineLevel="0" collapsed="false">
      <c r="A4689" s="0" t="s">
        <v>6317</v>
      </c>
      <c r="C4689" s="0" t="s">
        <v>41</v>
      </c>
      <c r="D4689" s="7" t="n">
        <v>2665</v>
      </c>
      <c r="E4689" s="8" t="n">
        <v>0.0110506566604128</v>
      </c>
      <c r="F4689" s="4" t="n">
        <f aca="false">D4689*E4689</f>
        <v>29.45</v>
      </c>
      <c r="G4689" s="7" t="n">
        <v>1750</v>
      </c>
      <c r="H4689" s="9" t="n">
        <f aca="false">IF(G4689&gt;0,D4689/G4689,"")</f>
        <v>1.52285714285714</v>
      </c>
      <c r="I4689" s="10" t="n">
        <v>46197</v>
      </c>
      <c r="J4689" s="3" t="s">
        <v>4704</v>
      </c>
      <c r="K4689" s="10" t="n">
        <v>44222</v>
      </c>
      <c r="L4689" s="3" t="s">
        <v>19</v>
      </c>
      <c r="M4689" s="7" t="n">
        <v>1000</v>
      </c>
      <c r="N4689" s="8" t="n">
        <v>0.0342</v>
      </c>
      <c r="O4689" s="4" t="n">
        <f aca="false">M4689*N4689</f>
        <v>34.2</v>
      </c>
    </row>
    <row r="4690" customFormat="false" ht="15" hidden="false" customHeight="false" outlineLevel="0" collapsed="false">
      <c r="A4690" s="0" t="s">
        <v>6318</v>
      </c>
      <c r="C4690" s="0" t="s">
        <v>438</v>
      </c>
      <c r="D4690" s="7" t="n">
        <v>17</v>
      </c>
      <c r="E4690" s="8" t="n">
        <v>1.73117647058824</v>
      </c>
      <c r="F4690" s="4" t="n">
        <f aca="false">D4690*E4690</f>
        <v>29.43</v>
      </c>
      <c r="G4690" s="7" t="n">
        <v>12</v>
      </c>
      <c r="H4690" s="9" t="n">
        <f aca="false">IF(G4690&gt;0,D4690/G4690,"")</f>
        <v>1.41666666666667</v>
      </c>
      <c r="I4690" s="10" t="n">
        <v>46202</v>
      </c>
      <c r="J4690" s="3" t="s">
        <v>848</v>
      </c>
      <c r="K4690" s="10" t="n">
        <v>46083</v>
      </c>
      <c r="L4690" s="3" t="s">
        <v>14</v>
      </c>
      <c r="M4690" s="7" t="n">
        <v>30</v>
      </c>
      <c r="N4690" s="8" t="n">
        <v>1.7307</v>
      </c>
      <c r="O4690" s="4" t="n">
        <f aca="false">M4690*N4690</f>
        <v>51.921</v>
      </c>
    </row>
    <row r="4691" customFormat="false" ht="15" hidden="false" customHeight="false" outlineLevel="0" collapsed="false">
      <c r="A4691" s="0" t="s">
        <v>6319</v>
      </c>
      <c r="C4691" s="0" t="s">
        <v>38</v>
      </c>
      <c r="D4691" s="7" t="n">
        <v>98</v>
      </c>
      <c r="E4691" s="8" t="n">
        <v>0.300204081632653</v>
      </c>
      <c r="F4691" s="4" t="n">
        <f aca="false">D4691*E4691</f>
        <v>29.42</v>
      </c>
      <c r="G4691" s="7" t="n">
        <v>11</v>
      </c>
      <c r="H4691" s="9" t="n">
        <f aca="false">IF(G4691&gt;0,D4691/G4691,"")</f>
        <v>8.90909090909091</v>
      </c>
      <c r="I4691" s="10" t="n">
        <v>46288</v>
      </c>
      <c r="J4691" s="3" t="s">
        <v>405</v>
      </c>
      <c r="K4691" s="10" t="n">
        <v>46280</v>
      </c>
      <c r="L4691" s="3" t="s">
        <v>14</v>
      </c>
      <c r="M4691" s="7" t="n">
        <v>100</v>
      </c>
      <c r="N4691" s="8" t="n">
        <v>0.3028</v>
      </c>
      <c r="O4691" s="4" t="n">
        <f aca="false">M4691*N4691</f>
        <v>30.28</v>
      </c>
    </row>
    <row r="4692" customFormat="false" ht="15" hidden="false" customHeight="false" outlineLevel="0" collapsed="false">
      <c r="A4692" s="0" t="s">
        <v>6320</v>
      </c>
      <c r="C4692" s="0" t="s">
        <v>38</v>
      </c>
      <c r="D4692" s="7" t="n">
        <v>1475</v>
      </c>
      <c r="E4692" s="8" t="n">
        <v>0.0198983050847458</v>
      </c>
      <c r="F4692" s="4" t="n">
        <f aca="false">D4692*E4692</f>
        <v>29.35</v>
      </c>
      <c r="G4692" s="7" t="n">
        <v>75</v>
      </c>
      <c r="H4692" s="9" t="n">
        <f aca="false">IF(G4692&gt;0,D4692/G4692,"")</f>
        <v>19.6666666666667</v>
      </c>
      <c r="I4692" s="10" t="n">
        <v>46202</v>
      </c>
      <c r="J4692" s="3" t="s">
        <v>703</v>
      </c>
      <c r="K4692" s="10" t="n">
        <v>46155</v>
      </c>
      <c r="L4692" s="3" t="s">
        <v>14</v>
      </c>
      <c r="M4692" s="7" t="n">
        <v>1550</v>
      </c>
      <c r="N4692" s="8" t="n">
        <v>0.0199</v>
      </c>
      <c r="O4692" s="4" t="n">
        <f aca="false">M4692*N4692</f>
        <v>30.845</v>
      </c>
    </row>
    <row r="4693" customFormat="false" ht="15" hidden="false" customHeight="false" outlineLevel="0" collapsed="false">
      <c r="A4693" s="0" t="s">
        <v>6321</v>
      </c>
      <c r="C4693" s="0" t="s">
        <v>31</v>
      </c>
      <c r="D4693" s="7" t="n">
        <v>247</v>
      </c>
      <c r="E4693" s="8" t="n">
        <v>0.118825910931174</v>
      </c>
      <c r="F4693" s="4" t="n">
        <f aca="false">D4693*E4693</f>
        <v>29.35</v>
      </c>
      <c r="G4693" s="7" t="n">
        <v>236</v>
      </c>
      <c r="H4693" s="9" t="n">
        <f aca="false">IF(G4693&gt;0,D4693/G4693,"")</f>
        <v>1.04661016949153</v>
      </c>
      <c r="I4693" s="10" t="n">
        <v>46316</v>
      </c>
      <c r="J4693" s="3" t="s">
        <v>1616</v>
      </c>
      <c r="K4693" s="10" t="n">
        <v>46266</v>
      </c>
      <c r="L4693" s="3" t="s">
        <v>16</v>
      </c>
      <c r="M4693" s="7" t="n">
        <v>425</v>
      </c>
      <c r="N4693" s="8" t="n">
        <v>0.1188</v>
      </c>
      <c r="O4693" s="4" t="n">
        <f aca="false">M4693*N4693</f>
        <v>50.49</v>
      </c>
    </row>
    <row r="4694" customFormat="false" ht="15" hidden="false" customHeight="false" outlineLevel="0" collapsed="false">
      <c r="A4694" s="0" t="s">
        <v>6322</v>
      </c>
      <c r="C4694" s="0" t="s">
        <v>298</v>
      </c>
      <c r="D4694" s="7" t="n">
        <v>75</v>
      </c>
      <c r="E4694" s="8" t="n">
        <v>0.3912</v>
      </c>
      <c r="F4694" s="4" t="n">
        <f aca="false">D4694*E4694</f>
        <v>29.34</v>
      </c>
      <c r="G4694" s="7" t="n">
        <v>3</v>
      </c>
      <c r="H4694" s="9" t="n">
        <f aca="false">IF(G4694&gt;0,D4694/G4694,"")</f>
        <v>25</v>
      </c>
      <c r="I4694" s="10" t="n">
        <v>46174</v>
      </c>
      <c r="K4694" s="10"/>
      <c r="M4694" s="7"/>
      <c r="N4694" s="8"/>
      <c r="O4694" s="4"/>
    </row>
    <row r="4695" customFormat="false" ht="15" hidden="false" customHeight="false" outlineLevel="0" collapsed="false">
      <c r="A4695" s="0" t="s">
        <v>6323</v>
      </c>
      <c r="C4695" s="0" t="s">
        <v>38</v>
      </c>
      <c r="D4695" s="7" t="n">
        <v>71</v>
      </c>
      <c r="E4695" s="8" t="n">
        <v>0.413098591549296</v>
      </c>
      <c r="F4695" s="4" t="n">
        <f aca="false">D4695*E4695</f>
        <v>29.33</v>
      </c>
      <c r="G4695" s="7" t="n">
        <v>22</v>
      </c>
      <c r="H4695" s="9" t="n">
        <f aca="false">IF(G4695&gt;0,D4695/G4695,"")</f>
        <v>3.22727272727273</v>
      </c>
      <c r="I4695" s="10" t="n">
        <v>46086</v>
      </c>
      <c r="J4695" s="3" t="s">
        <v>362</v>
      </c>
      <c r="K4695" s="10" t="n">
        <v>45576</v>
      </c>
      <c r="L4695" s="3" t="s">
        <v>14</v>
      </c>
      <c r="M4695" s="7" t="n">
        <v>100</v>
      </c>
      <c r="N4695" s="8" t="n">
        <v>0.4132</v>
      </c>
      <c r="O4695" s="4" t="n">
        <f aca="false">M4695*N4695</f>
        <v>41.32</v>
      </c>
    </row>
    <row r="4696" customFormat="false" ht="15" hidden="false" customHeight="false" outlineLevel="0" collapsed="false">
      <c r="A4696" s="0" t="s">
        <v>6324</v>
      </c>
      <c r="C4696" s="0" t="s">
        <v>118</v>
      </c>
      <c r="D4696" s="7" t="n">
        <v>29</v>
      </c>
      <c r="E4696" s="8" t="n">
        <v>1.01137931034483</v>
      </c>
      <c r="F4696" s="4" t="n">
        <f aca="false">D4696*E4696</f>
        <v>29.33</v>
      </c>
      <c r="G4696" s="7" t="n">
        <v>16</v>
      </c>
      <c r="H4696" s="9" t="n">
        <f aca="false">IF(G4696&gt;0,D4696/G4696,"")</f>
        <v>1.8125</v>
      </c>
      <c r="I4696" s="10" t="n">
        <v>46268</v>
      </c>
      <c r="K4696" s="10"/>
      <c r="M4696" s="7"/>
      <c r="N4696" s="8"/>
      <c r="O4696" s="4"/>
    </row>
    <row r="4697" customFormat="false" ht="15" hidden="false" customHeight="false" outlineLevel="0" collapsed="false">
      <c r="A4697" s="0" t="s">
        <v>6325</v>
      </c>
      <c r="C4697" s="0" t="s">
        <v>34</v>
      </c>
      <c r="D4697" s="7" t="n">
        <v>265</v>
      </c>
      <c r="E4697" s="8" t="n">
        <v>0.110679245283019</v>
      </c>
      <c r="F4697" s="4" t="n">
        <f aca="false">D4697*E4697</f>
        <v>29.33</v>
      </c>
      <c r="G4697" s="7" t="n">
        <v>13</v>
      </c>
      <c r="H4697" s="9" t="n">
        <f aca="false">IF(G4697&gt;0,D4697/G4697,"")</f>
        <v>20.3846153846154</v>
      </c>
      <c r="I4697" s="10" t="n">
        <v>46244</v>
      </c>
      <c r="J4697" s="3" t="s">
        <v>1743</v>
      </c>
      <c r="K4697" s="10" t="n">
        <v>45852</v>
      </c>
      <c r="L4697" s="3" t="s">
        <v>16</v>
      </c>
      <c r="M4697" s="7" t="n">
        <v>300</v>
      </c>
      <c r="N4697" s="8" t="n">
        <v>0.1107</v>
      </c>
      <c r="O4697" s="4" t="n">
        <f aca="false">M4697*N4697</f>
        <v>33.21</v>
      </c>
    </row>
    <row r="4698" customFormat="false" ht="15" hidden="false" customHeight="false" outlineLevel="0" collapsed="false">
      <c r="A4698" s="0" t="s">
        <v>6326</v>
      </c>
      <c r="C4698" s="0" t="s">
        <v>41</v>
      </c>
      <c r="D4698" s="7" t="n">
        <v>1382</v>
      </c>
      <c r="E4698" s="8" t="n">
        <v>0.0212011577424023</v>
      </c>
      <c r="F4698" s="4" t="n">
        <f aca="false">D4698*E4698</f>
        <v>29.3</v>
      </c>
      <c r="G4698" s="7" t="n">
        <v>50</v>
      </c>
      <c r="H4698" s="9" t="n">
        <f aca="false">IF(G4698&gt;0,D4698/G4698,"")</f>
        <v>27.64</v>
      </c>
      <c r="I4698" s="10" t="n">
        <v>46091</v>
      </c>
      <c r="K4698" s="10"/>
      <c r="M4698" s="7"/>
      <c r="N4698" s="8"/>
      <c r="O4698" s="4"/>
    </row>
    <row r="4699" customFormat="false" ht="15" hidden="false" customHeight="false" outlineLevel="0" collapsed="false">
      <c r="A4699" s="0" t="s">
        <v>6327</v>
      </c>
      <c r="C4699" s="0" t="s">
        <v>34</v>
      </c>
      <c r="D4699" s="7" t="n">
        <v>199</v>
      </c>
      <c r="E4699" s="8" t="n">
        <v>0.146884422110553</v>
      </c>
      <c r="F4699" s="4" t="n">
        <f aca="false">D4699*E4699</f>
        <v>29.23</v>
      </c>
      <c r="G4699" s="7" t="n">
        <v>41</v>
      </c>
      <c r="H4699" s="9" t="n">
        <f aca="false">IF(G4699&gt;0,D4699/G4699,"")</f>
        <v>4.85365853658537</v>
      </c>
      <c r="I4699" s="10" t="n">
        <v>46302</v>
      </c>
      <c r="J4699" s="3" t="s">
        <v>1192</v>
      </c>
      <c r="K4699" s="10" t="n">
        <v>45736</v>
      </c>
      <c r="L4699" s="3" t="s">
        <v>26</v>
      </c>
      <c r="M4699" s="7" t="n">
        <v>100</v>
      </c>
      <c r="N4699" s="8" t="n">
        <v>0.3861</v>
      </c>
      <c r="O4699" s="4" t="n">
        <f aca="false">M4699*N4699</f>
        <v>38.61</v>
      </c>
    </row>
    <row r="4700" customFormat="false" ht="15" hidden="false" customHeight="false" outlineLevel="0" collapsed="false">
      <c r="A4700" s="0" t="s">
        <v>6328</v>
      </c>
      <c r="C4700" s="0" t="s">
        <v>31</v>
      </c>
      <c r="D4700" s="7" t="n">
        <v>642</v>
      </c>
      <c r="E4700" s="8" t="n">
        <v>0.0454984423676013</v>
      </c>
      <c r="F4700" s="4" t="n">
        <f aca="false">D4700*E4700</f>
        <v>29.21</v>
      </c>
      <c r="G4700" s="7" t="n">
        <v>137</v>
      </c>
      <c r="H4700" s="9" t="n">
        <f aca="false">IF(G4700&gt;0,D4700/G4700,"")</f>
        <v>4.68613138686131</v>
      </c>
      <c r="I4700" s="10" t="n">
        <v>46314</v>
      </c>
      <c r="J4700" s="3" t="s">
        <v>2787</v>
      </c>
      <c r="K4700" s="10" t="n">
        <v>45972</v>
      </c>
      <c r="L4700" s="3" t="s">
        <v>16</v>
      </c>
      <c r="M4700" s="7" t="n">
        <v>770</v>
      </c>
      <c r="N4700" s="8" t="n">
        <v>0.0455</v>
      </c>
      <c r="O4700" s="4" t="n">
        <f aca="false">M4700*N4700</f>
        <v>35.035</v>
      </c>
    </row>
    <row r="4701" customFormat="false" ht="15" hidden="false" customHeight="false" outlineLevel="0" collapsed="false">
      <c r="A4701" s="0" t="s">
        <v>6329</v>
      </c>
      <c r="C4701" s="0" t="s">
        <v>118</v>
      </c>
      <c r="D4701" s="7" t="n">
        <v>173</v>
      </c>
      <c r="E4701" s="8" t="n">
        <v>0.16878612716763</v>
      </c>
      <c r="F4701" s="4" t="n">
        <f aca="false">D4701*E4701</f>
        <v>29.2</v>
      </c>
      <c r="G4701" s="7" t="n">
        <v>93</v>
      </c>
      <c r="H4701" s="9" t="n">
        <f aca="false">IF(G4701&gt;0,D4701/G4701,"")</f>
        <v>1.86021505376344</v>
      </c>
      <c r="I4701" s="10" t="n">
        <v>46308</v>
      </c>
      <c r="J4701" s="3" t="s">
        <v>812</v>
      </c>
      <c r="K4701" s="10" t="n">
        <v>44830</v>
      </c>
      <c r="L4701" s="3" t="s">
        <v>16</v>
      </c>
      <c r="M4701" s="7" t="n">
        <v>971</v>
      </c>
      <c r="N4701" s="8" t="n">
        <v>0.1688</v>
      </c>
      <c r="O4701" s="4" t="n">
        <f aca="false">M4701*N4701</f>
        <v>163.9048</v>
      </c>
    </row>
    <row r="4702" customFormat="false" ht="15" hidden="false" customHeight="false" outlineLevel="0" collapsed="false">
      <c r="A4702" s="0" t="s">
        <v>6330</v>
      </c>
      <c r="C4702" s="0" t="s">
        <v>4363</v>
      </c>
      <c r="D4702" s="7" t="n">
        <v>4</v>
      </c>
      <c r="E4702" s="8" t="n">
        <v>7.29</v>
      </c>
      <c r="F4702" s="4" t="n">
        <f aca="false">D4702*E4702</f>
        <v>29.16</v>
      </c>
      <c r="G4702" s="7" t="n">
        <v>1</v>
      </c>
      <c r="H4702" s="9" t="n">
        <f aca="false">IF(G4702&gt;0,D4702/G4702,"")</f>
        <v>4</v>
      </c>
      <c r="I4702" s="10" t="n">
        <v>46216</v>
      </c>
      <c r="K4702" s="10"/>
      <c r="M4702" s="7"/>
      <c r="N4702" s="8"/>
      <c r="O4702" s="4"/>
    </row>
    <row r="4703" customFormat="false" ht="15" hidden="false" customHeight="false" outlineLevel="0" collapsed="false">
      <c r="A4703" s="0" t="s">
        <v>6331</v>
      </c>
      <c r="C4703" s="0" t="s">
        <v>370</v>
      </c>
      <c r="D4703" s="7" t="n">
        <v>78</v>
      </c>
      <c r="E4703" s="8" t="n">
        <v>0.373589743589744</v>
      </c>
      <c r="F4703" s="4" t="n">
        <f aca="false">D4703*E4703</f>
        <v>29.14</v>
      </c>
      <c r="G4703" s="7" t="n">
        <v>22</v>
      </c>
      <c r="H4703" s="9" t="n">
        <f aca="false">IF(G4703&gt;0,D4703/G4703,"")</f>
        <v>3.54545454545455</v>
      </c>
      <c r="I4703" s="10" t="n">
        <v>46238</v>
      </c>
      <c r="J4703" s="3" t="s">
        <v>5039</v>
      </c>
      <c r="K4703" s="10" t="n">
        <v>45972</v>
      </c>
      <c r="L4703" s="3" t="s">
        <v>19</v>
      </c>
      <c r="M4703" s="7" t="n">
        <v>100</v>
      </c>
      <c r="N4703" s="8" t="n">
        <v>0.3736</v>
      </c>
      <c r="O4703" s="4" t="n">
        <f aca="false">M4703*N4703</f>
        <v>37.36</v>
      </c>
    </row>
    <row r="4704" customFormat="false" ht="15" hidden="false" customHeight="false" outlineLevel="0" collapsed="false">
      <c r="A4704" s="0" t="s">
        <v>6332</v>
      </c>
      <c r="C4704" s="0" t="s">
        <v>34</v>
      </c>
      <c r="D4704" s="7" t="n">
        <v>1311</v>
      </c>
      <c r="E4704" s="8" t="n">
        <v>0.0222273073989321</v>
      </c>
      <c r="F4704" s="4" t="n">
        <f aca="false">D4704*E4704</f>
        <v>29.14</v>
      </c>
      <c r="G4704" s="7" t="n">
        <v>480</v>
      </c>
      <c r="H4704" s="9" t="n">
        <f aca="false">IF(G4704&gt;0,D4704/G4704,"")</f>
        <v>2.73125</v>
      </c>
      <c r="I4704" s="10" t="n">
        <v>46246</v>
      </c>
      <c r="J4704" s="3" t="s">
        <v>4973</v>
      </c>
      <c r="K4704" s="10" t="n">
        <v>45427</v>
      </c>
      <c r="L4704" s="3" t="s">
        <v>15</v>
      </c>
      <c r="M4704" s="7" t="n">
        <v>2050</v>
      </c>
      <c r="N4704" s="8" t="n">
        <v>0.02222</v>
      </c>
      <c r="O4704" s="4" t="n">
        <f aca="false">M4704*N4704</f>
        <v>45.551</v>
      </c>
    </row>
    <row r="4705" customFormat="false" ht="15" hidden="false" customHeight="false" outlineLevel="0" collapsed="false">
      <c r="A4705" s="0" t="s">
        <v>6333</v>
      </c>
      <c r="C4705" s="0" t="s">
        <v>31</v>
      </c>
      <c r="D4705" s="7" t="n">
        <v>1820</v>
      </c>
      <c r="E4705" s="8" t="n">
        <v>0.016</v>
      </c>
      <c r="F4705" s="4" t="n">
        <f aca="false">D4705*E4705</f>
        <v>29.12</v>
      </c>
      <c r="G4705" s="7" t="n">
        <v>164</v>
      </c>
      <c r="H4705" s="9" t="n">
        <f aca="false">IF(G4705&gt;0,D4705/G4705,"")</f>
        <v>11.0975609756098</v>
      </c>
      <c r="I4705" s="10" t="n">
        <v>46279</v>
      </c>
      <c r="J4705" s="3" t="s">
        <v>2719</v>
      </c>
      <c r="K4705" s="10" t="n">
        <v>46049</v>
      </c>
      <c r="L4705" s="3" t="s">
        <v>16</v>
      </c>
      <c r="M4705" s="7" t="n">
        <v>2000</v>
      </c>
      <c r="N4705" s="8" t="n">
        <v>0.016</v>
      </c>
      <c r="O4705" s="4" t="n">
        <f aca="false">M4705*N4705</f>
        <v>32</v>
      </c>
    </row>
    <row r="4706" customFormat="false" ht="15" hidden="false" customHeight="false" outlineLevel="0" collapsed="false">
      <c r="A4706" s="0" t="s">
        <v>6334</v>
      </c>
      <c r="C4706" s="0" t="s">
        <v>31</v>
      </c>
      <c r="D4706" s="7" t="n">
        <v>1192</v>
      </c>
      <c r="E4706" s="8" t="n">
        <v>0.0244127516778524</v>
      </c>
      <c r="F4706" s="4" t="n">
        <f aca="false">D4706*E4706</f>
        <v>29.1</v>
      </c>
      <c r="G4706" s="7" t="n">
        <v>4</v>
      </c>
      <c r="H4706" s="9" t="n">
        <f aca="false">IF(G4706&gt;0,D4706/G4706,"")</f>
        <v>298</v>
      </c>
      <c r="I4706" s="10" t="n">
        <v>46175</v>
      </c>
      <c r="J4706" s="3" t="s">
        <v>3351</v>
      </c>
      <c r="K4706" s="10" t="n">
        <v>45358</v>
      </c>
      <c r="L4706" s="3" t="s">
        <v>16</v>
      </c>
      <c r="M4706" s="7" t="n">
        <v>3284</v>
      </c>
      <c r="N4706" s="8" t="n">
        <v>0.0244</v>
      </c>
      <c r="O4706" s="4" t="n">
        <f aca="false">M4706*N4706</f>
        <v>80.1296</v>
      </c>
    </row>
    <row r="4707" customFormat="false" ht="15" hidden="false" customHeight="false" outlineLevel="0" collapsed="false">
      <c r="A4707" s="0" t="s">
        <v>6335</v>
      </c>
      <c r="C4707" s="0" t="s">
        <v>1039</v>
      </c>
      <c r="D4707" s="7" t="n">
        <v>8</v>
      </c>
      <c r="E4707" s="8" t="n">
        <v>3.6375</v>
      </c>
      <c r="F4707" s="4" t="n">
        <f aca="false">D4707*E4707</f>
        <v>29.1</v>
      </c>
      <c r="G4707" s="7" t="n">
        <v>2</v>
      </c>
      <c r="H4707" s="9" t="n">
        <f aca="false">IF(G4707&gt;0,D4707/G4707,"")</f>
        <v>4</v>
      </c>
      <c r="I4707" s="10" t="n">
        <v>46315</v>
      </c>
      <c r="J4707" s="3" t="s">
        <v>6336</v>
      </c>
      <c r="K4707" s="10" t="n">
        <v>46314</v>
      </c>
      <c r="L4707" s="3" t="s">
        <v>19</v>
      </c>
      <c r="M4707" s="7" t="n">
        <v>10</v>
      </c>
      <c r="N4707" s="8" t="n">
        <v>3.6369</v>
      </c>
      <c r="O4707" s="4" t="n">
        <f aca="false">M4707*N4707</f>
        <v>36.369</v>
      </c>
    </row>
    <row r="4708" customFormat="false" ht="15" hidden="false" customHeight="false" outlineLevel="0" collapsed="false">
      <c r="A4708" s="0" t="s">
        <v>6337</v>
      </c>
      <c r="C4708" s="0" t="s">
        <v>34</v>
      </c>
      <c r="D4708" s="7" t="n">
        <v>3382</v>
      </c>
      <c r="E4708" s="8" t="n">
        <v>0.00860141927853341</v>
      </c>
      <c r="F4708" s="4" t="n">
        <f aca="false">D4708*E4708</f>
        <v>29.09</v>
      </c>
      <c r="G4708" s="7" t="n">
        <v>1153</v>
      </c>
      <c r="H4708" s="9" t="n">
        <f aca="false">IF(G4708&gt;0,D4708/G4708,"")</f>
        <v>2.93321769297485</v>
      </c>
      <c r="I4708" s="10" t="n">
        <v>46266</v>
      </c>
      <c r="J4708" s="3" t="s">
        <v>2760</v>
      </c>
      <c r="K4708" s="10" t="n">
        <v>46246</v>
      </c>
      <c r="L4708" s="3" t="s">
        <v>16</v>
      </c>
      <c r="M4708" s="7" t="n">
        <v>3722</v>
      </c>
      <c r="N4708" s="8" t="n">
        <v>0.0086</v>
      </c>
      <c r="O4708" s="4" t="n">
        <f aca="false">M4708*N4708</f>
        <v>32.0092</v>
      </c>
    </row>
    <row r="4709" customFormat="false" ht="15" hidden="false" customHeight="false" outlineLevel="0" collapsed="false">
      <c r="A4709" s="0" t="s">
        <v>6338</v>
      </c>
      <c r="C4709" s="0" t="s">
        <v>1529</v>
      </c>
      <c r="D4709" s="7" t="n">
        <v>153</v>
      </c>
      <c r="E4709" s="8" t="n">
        <v>0.19</v>
      </c>
      <c r="F4709" s="4" t="n">
        <f aca="false">D4709*E4709</f>
        <v>29.07</v>
      </c>
      <c r="G4709" s="7" t="n">
        <v>22</v>
      </c>
      <c r="H4709" s="9" t="n">
        <f aca="false">IF(G4709&gt;0,D4709/G4709,"")</f>
        <v>6.95454545454545</v>
      </c>
      <c r="I4709" s="10" t="n">
        <v>46300</v>
      </c>
      <c r="K4709" s="10"/>
      <c r="M4709" s="7"/>
      <c r="N4709" s="8"/>
      <c r="O4709" s="4"/>
    </row>
    <row r="4710" customFormat="false" ht="15" hidden="false" customHeight="false" outlineLevel="0" collapsed="false">
      <c r="A4710" s="0" t="s">
        <v>6339</v>
      </c>
      <c r="C4710" s="0" t="s">
        <v>41</v>
      </c>
      <c r="D4710" s="7" t="n">
        <v>1910</v>
      </c>
      <c r="E4710" s="8" t="n">
        <v>0.0151989528795812</v>
      </c>
      <c r="F4710" s="4" t="n">
        <f aca="false">D4710*E4710</f>
        <v>29.03</v>
      </c>
      <c r="G4710" s="7" t="n">
        <v>10</v>
      </c>
      <c r="H4710" s="9" t="n">
        <f aca="false">IF(G4710&gt;0,D4710/G4710,"")</f>
        <v>191</v>
      </c>
      <c r="I4710" s="10" t="n">
        <v>46044</v>
      </c>
      <c r="K4710" s="10"/>
      <c r="M4710" s="7"/>
      <c r="N4710" s="8"/>
      <c r="O4710" s="4"/>
    </row>
    <row r="4711" customFormat="false" ht="15" hidden="false" customHeight="false" outlineLevel="0" collapsed="false">
      <c r="A4711" s="0" t="s">
        <v>6340</v>
      </c>
      <c r="C4711" s="0" t="s">
        <v>715</v>
      </c>
      <c r="D4711" s="7" t="n">
        <v>855</v>
      </c>
      <c r="E4711" s="8" t="n">
        <v>0.0339298245614035</v>
      </c>
      <c r="F4711" s="4" t="n">
        <f aca="false">D4711*E4711</f>
        <v>29.01</v>
      </c>
      <c r="G4711" s="7" t="n">
        <v>158</v>
      </c>
      <c r="H4711" s="9" t="n">
        <f aca="false">IF(G4711&gt;0,D4711/G4711,"")</f>
        <v>5.41139240506329</v>
      </c>
      <c r="I4711" s="10" t="n">
        <v>46311</v>
      </c>
      <c r="J4711" s="3" t="s">
        <v>376</v>
      </c>
      <c r="K4711" s="10" t="n">
        <v>44321</v>
      </c>
      <c r="L4711" s="3" t="s">
        <v>15</v>
      </c>
      <c r="M4711" s="7" t="n">
        <v>2515</v>
      </c>
      <c r="N4711" s="8" t="n">
        <v>0.03396</v>
      </c>
      <c r="O4711" s="4" t="n">
        <f aca="false">M4711*N4711</f>
        <v>85.4094</v>
      </c>
    </row>
    <row r="4712" customFormat="false" ht="15" hidden="false" customHeight="false" outlineLevel="0" collapsed="false">
      <c r="A4712" s="0" t="s">
        <v>6341</v>
      </c>
      <c r="C4712" s="0" t="s">
        <v>32</v>
      </c>
      <c r="D4712" s="7" t="n">
        <v>14579</v>
      </c>
      <c r="E4712" s="8" t="n">
        <v>0.00198916249399822</v>
      </c>
      <c r="F4712" s="4" t="n">
        <f aca="false">D4712*E4712</f>
        <v>29</v>
      </c>
      <c r="G4712" s="7" t="n">
        <v>404</v>
      </c>
      <c r="H4712" s="9" t="n">
        <f aca="false">IF(G4712&gt;0,D4712/G4712,"")</f>
        <v>36.0866336633663</v>
      </c>
      <c r="I4712" s="10" t="n">
        <v>46202</v>
      </c>
      <c r="J4712" s="3" t="s">
        <v>2506</v>
      </c>
      <c r="K4712" s="10" t="n">
        <v>45911</v>
      </c>
      <c r="L4712" s="3" t="s">
        <v>18</v>
      </c>
      <c r="M4712" s="7" t="n">
        <v>10000</v>
      </c>
      <c r="N4712" s="8" t="n">
        <v>0.0029</v>
      </c>
      <c r="O4712" s="4" t="n">
        <f aca="false">M4712*N4712</f>
        <v>29</v>
      </c>
    </row>
    <row r="4713" customFormat="false" ht="15" hidden="false" customHeight="false" outlineLevel="0" collapsed="false">
      <c r="A4713" s="0" t="s">
        <v>6342</v>
      </c>
      <c r="C4713" s="0" t="s">
        <v>340</v>
      </c>
      <c r="D4713" s="7" t="n">
        <v>383</v>
      </c>
      <c r="E4713" s="8" t="n">
        <v>0.0756919060052219</v>
      </c>
      <c r="F4713" s="4" t="n">
        <f aca="false">D4713*E4713</f>
        <v>28.99</v>
      </c>
      <c r="G4713" s="7" t="n">
        <v>10</v>
      </c>
      <c r="H4713" s="9" t="n">
        <f aca="false">IF(G4713&gt;0,D4713/G4713,"")</f>
        <v>38.3</v>
      </c>
      <c r="I4713" s="10" t="n">
        <v>46291</v>
      </c>
      <c r="J4713" s="3" t="s">
        <v>2732</v>
      </c>
      <c r="K4713" s="10" t="n">
        <v>45867</v>
      </c>
      <c r="L4713" s="3" t="s">
        <v>19</v>
      </c>
      <c r="M4713" s="7" t="n">
        <v>400</v>
      </c>
      <c r="N4713" s="8" t="n">
        <v>0.0757</v>
      </c>
      <c r="O4713" s="4" t="n">
        <f aca="false">M4713*N4713</f>
        <v>30.28</v>
      </c>
    </row>
    <row r="4714" customFormat="false" ht="15" hidden="false" customHeight="false" outlineLevel="0" collapsed="false">
      <c r="A4714" s="0" t="s">
        <v>6343</v>
      </c>
      <c r="C4714" s="0" t="s">
        <v>34</v>
      </c>
      <c r="D4714" s="7" t="n">
        <v>566</v>
      </c>
      <c r="E4714" s="8" t="n">
        <v>0.0511660777385159</v>
      </c>
      <c r="F4714" s="4" t="n">
        <f aca="false">D4714*E4714</f>
        <v>28.96</v>
      </c>
      <c r="G4714" s="7" t="n">
        <v>90</v>
      </c>
      <c r="H4714" s="9" t="n">
        <f aca="false">IF(G4714&gt;0,D4714/G4714,"")</f>
        <v>6.28888888888889</v>
      </c>
      <c r="I4714" s="10" t="n">
        <v>46202</v>
      </c>
      <c r="J4714" s="3" t="s">
        <v>2162</v>
      </c>
      <c r="K4714" s="10" t="n">
        <v>44222</v>
      </c>
      <c r="L4714" s="3" t="s">
        <v>15</v>
      </c>
      <c r="M4714" s="7" t="n">
        <v>950</v>
      </c>
      <c r="N4714" s="8" t="n">
        <v>0.05115</v>
      </c>
      <c r="O4714" s="4" t="n">
        <f aca="false">M4714*N4714</f>
        <v>48.5925</v>
      </c>
    </row>
    <row r="4715" customFormat="false" ht="15" hidden="false" customHeight="false" outlineLevel="0" collapsed="false">
      <c r="A4715" s="0" t="s">
        <v>6344</v>
      </c>
      <c r="C4715" s="0" t="s">
        <v>31</v>
      </c>
      <c r="D4715" s="7" t="n">
        <v>247</v>
      </c>
      <c r="E4715" s="8" t="n">
        <v>0.117206477732794</v>
      </c>
      <c r="F4715" s="4" t="n">
        <f aca="false">D4715*E4715</f>
        <v>28.95</v>
      </c>
      <c r="G4715" s="7" t="n">
        <v>16</v>
      </c>
      <c r="H4715" s="9" t="n">
        <f aca="false">IF(G4715&gt;0,D4715/G4715,"")</f>
        <v>15.4375</v>
      </c>
      <c r="I4715" s="10" t="n">
        <v>46038</v>
      </c>
      <c r="J4715" s="3" t="s">
        <v>6345</v>
      </c>
      <c r="K4715" s="10" t="n">
        <v>46036</v>
      </c>
      <c r="L4715" s="3" t="s">
        <v>2203</v>
      </c>
      <c r="M4715" s="7" t="n">
        <v>250</v>
      </c>
      <c r="N4715" s="8" t="n">
        <v>0.1212</v>
      </c>
      <c r="O4715" s="4" t="n">
        <f aca="false">M4715*N4715</f>
        <v>30.3</v>
      </c>
    </row>
    <row r="4716" customFormat="false" ht="15" hidden="false" customHeight="false" outlineLevel="0" collapsed="false">
      <c r="A4716" s="0" t="s">
        <v>6346</v>
      </c>
      <c r="C4716" s="0" t="s">
        <v>31</v>
      </c>
      <c r="D4716" s="7" t="n">
        <v>1930</v>
      </c>
      <c r="E4716" s="8" t="n">
        <v>0.015</v>
      </c>
      <c r="F4716" s="4" t="n">
        <f aca="false">D4716*E4716</f>
        <v>28.95</v>
      </c>
      <c r="G4716" s="7" t="n">
        <v>399</v>
      </c>
      <c r="H4716" s="9" t="n">
        <f aca="false">IF(G4716&gt;0,D4716/G4716,"")</f>
        <v>4.83709273182957</v>
      </c>
      <c r="I4716" s="10" t="n">
        <v>46135</v>
      </c>
      <c r="K4716" s="10"/>
      <c r="M4716" s="7"/>
      <c r="N4716" s="8"/>
      <c r="O4716" s="4"/>
    </row>
    <row r="4717" customFormat="false" ht="15" hidden="false" customHeight="false" outlineLevel="0" collapsed="false">
      <c r="A4717" s="0" t="s">
        <v>6347</v>
      </c>
      <c r="C4717" s="0" t="s">
        <v>31</v>
      </c>
      <c r="D4717" s="7" t="n">
        <v>280</v>
      </c>
      <c r="E4717" s="8" t="n">
        <v>0.10325</v>
      </c>
      <c r="F4717" s="4" t="n">
        <f aca="false">D4717*E4717</f>
        <v>28.91</v>
      </c>
      <c r="G4717" s="7" t="n">
        <v>14</v>
      </c>
      <c r="H4717" s="9" t="n">
        <f aca="false">IF(G4717&gt;0,D4717/G4717,"")</f>
        <v>20</v>
      </c>
      <c r="I4717" s="10" t="n">
        <v>46107</v>
      </c>
      <c r="K4717" s="10"/>
      <c r="M4717" s="7"/>
      <c r="N4717" s="8"/>
      <c r="O4717" s="4"/>
    </row>
    <row r="4718" customFormat="false" ht="15" hidden="false" customHeight="false" outlineLevel="0" collapsed="false">
      <c r="A4718" s="0" t="s">
        <v>6348</v>
      </c>
      <c r="C4718" s="0" t="s">
        <v>31</v>
      </c>
      <c r="D4718" s="7" t="n">
        <v>178</v>
      </c>
      <c r="E4718" s="8" t="n">
        <v>0.162415730337079</v>
      </c>
      <c r="F4718" s="4" t="n">
        <f aca="false">D4718*E4718</f>
        <v>28.91</v>
      </c>
      <c r="G4718" s="7" t="n">
        <v>10</v>
      </c>
      <c r="H4718" s="9" t="n">
        <f aca="false">IF(G4718&gt;0,D4718/G4718,"")</f>
        <v>17.8</v>
      </c>
      <c r="I4718" s="10" t="n">
        <v>46121</v>
      </c>
      <c r="J4718" s="3" t="s">
        <v>2162</v>
      </c>
      <c r="K4718" s="10" t="n">
        <v>44222</v>
      </c>
      <c r="L4718" s="3" t="s">
        <v>15</v>
      </c>
      <c r="M4718" s="7" t="n">
        <v>197</v>
      </c>
      <c r="N4718" s="8" t="n">
        <v>0.1624</v>
      </c>
      <c r="O4718" s="4" t="n">
        <f aca="false">M4718*N4718</f>
        <v>31.9928</v>
      </c>
    </row>
    <row r="4719" customFormat="false" ht="15" hidden="false" customHeight="false" outlineLevel="0" collapsed="false">
      <c r="A4719" s="0" t="s">
        <v>6349</v>
      </c>
      <c r="C4719" s="0" t="s">
        <v>40</v>
      </c>
      <c r="D4719" s="7" t="n">
        <v>70</v>
      </c>
      <c r="E4719" s="8" t="n">
        <v>0.412857142857143</v>
      </c>
      <c r="F4719" s="4" t="n">
        <f aca="false">D4719*E4719</f>
        <v>28.9</v>
      </c>
      <c r="G4719" s="7" t="n">
        <v>52</v>
      </c>
      <c r="H4719" s="9" t="n">
        <f aca="false">IF(G4719&gt;0,D4719/G4719,"")</f>
        <v>1.34615384615385</v>
      </c>
      <c r="I4719" s="10" t="n">
        <v>46252</v>
      </c>
      <c r="J4719" s="3" t="s">
        <v>4391</v>
      </c>
      <c r="K4719" s="10" t="n">
        <v>45757</v>
      </c>
      <c r="L4719" s="3" t="s">
        <v>18</v>
      </c>
      <c r="M4719" s="7" t="n">
        <v>130</v>
      </c>
      <c r="N4719" s="8" t="n">
        <v>0.4129</v>
      </c>
      <c r="O4719" s="4" t="n">
        <f aca="false">M4719*N4719</f>
        <v>53.677</v>
      </c>
    </row>
    <row r="4720" customFormat="false" ht="15" hidden="false" customHeight="false" outlineLevel="0" collapsed="false">
      <c r="A4720" s="0" t="s">
        <v>6350</v>
      </c>
      <c r="C4720" s="0" t="s">
        <v>40</v>
      </c>
      <c r="D4720" s="7" t="n">
        <v>21</v>
      </c>
      <c r="E4720" s="8" t="n">
        <v>1.37619047619048</v>
      </c>
      <c r="F4720" s="4" t="n">
        <f aca="false">D4720*E4720</f>
        <v>28.9</v>
      </c>
      <c r="G4720" s="7" t="n">
        <v>15</v>
      </c>
      <c r="H4720" s="9" t="n">
        <f aca="false">IF(G4720&gt;0,D4720/G4720,"")</f>
        <v>1.4</v>
      </c>
      <c r="I4720" s="10" t="n">
        <v>46114</v>
      </c>
      <c r="J4720" s="3" t="s">
        <v>613</v>
      </c>
      <c r="K4720" s="10" t="n">
        <v>44852</v>
      </c>
      <c r="L4720" s="3" t="s">
        <v>18</v>
      </c>
      <c r="M4720" s="7" t="n">
        <v>73</v>
      </c>
      <c r="N4720" s="8" t="n">
        <v>1.3763</v>
      </c>
      <c r="O4720" s="4" t="n">
        <f aca="false">M4720*N4720</f>
        <v>100.4699</v>
      </c>
    </row>
    <row r="4721" customFormat="false" ht="15" hidden="false" customHeight="false" outlineLevel="0" collapsed="false">
      <c r="A4721" s="0" t="s">
        <v>6351</v>
      </c>
      <c r="C4721" s="0" t="s">
        <v>166</v>
      </c>
      <c r="D4721" s="7" t="n">
        <v>7</v>
      </c>
      <c r="E4721" s="8" t="n">
        <v>4.12285714285714</v>
      </c>
      <c r="F4721" s="4" t="n">
        <f aca="false">D4721*E4721</f>
        <v>28.86</v>
      </c>
      <c r="G4721" s="7" t="n">
        <v>5</v>
      </c>
      <c r="H4721" s="9" t="n">
        <f aca="false">IF(G4721&gt;0,D4721/G4721,"")</f>
        <v>1.4</v>
      </c>
      <c r="I4721" s="10" t="n">
        <v>46224</v>
      </c>
      <c r="J4721" s="3" t="s">
        <v>2241</v>
      </c>
      <c r="K4721" s="10" t="n">
        <v>45946</v>
      </c>
      <c r="L4721" s="3" t="s">
        <v>14</v>
      </c>
      <c r="M4721" s="7" t="n">
        <v>12</v>
      </c>
      <c r="N4721" s="8" t="n">
        <v>4.1225</v>
      </c>
      <c r="O4721" s="4" t="n">
        <f aca="false">M4721*N4721</f>
        <v>49.47</v>
      </c>
    </row>
    <row r="4722" customFormat="false" ht="15" hidden="false" customHeight="false" outlineLevel="0" collapsed="false">
      <c r="A4722" s="0" t="s">
        <v>6352</v>
      </c>
      <c r="C4722" s="0" t="s">
        <v>32</v>
      </c>
      <c r="D4722" s="7" t="n">
        <v>91</v>
      </c>
      <c r="E4722" s="8" t="n">
        <v>0.316923076923077</v>
      </c>
      <c r="F4722" s="4" t="n">
        <f aca="false">D4722*E4722</f>
        <v>28.84</v>
      </c>
      <c r="G4722" s="7" t="n">
        <v>1</v>
      </c>
      <c r="H4722" s="9" t="n">
        <f aca="false">IF(G4722&gt;0,D4722/G4722,"")</f>
        <v>91</v>
      </c>
      <c r="I4722" s="10" t="n">
        <v>46171</v>
      </c>
      <c r="K4722" s="10"/>
      <c r="M4722" s="7"/>
      <c r="N4722" s="8"/>
      <c r="O4722" s="4"/>
    </row>
    <row r="4723" customFormat="false" ht="15" hidden="false" customHeight="false" outlineLevel="0" collapsed="false">
      <c r="A4723" s="0" t="s">
        <v>6353</v>
      </c>
      <c r="C4723" s="0" t="s">
        <v>679</v>
      </c>
      <c r="D4723" s="7" t="n">
        <v>42</v>
      </c>
      <c r="E4723" s="8" t="n">
        <v>0.686666666666667</v>
      </c>
      <c r="F4723" s="4" t="n">
        <f aca="false">D4723*E4723</f>
        <v>28.84</v>
      </c>
      <c r="G4723" s="7" t="n">
        <v>4</v>
      </c>
      <c r="H4723" s="9" t="n">
        <f aca="false">IF(G4723&gt;0,D4723/G4723,"")</f>
        <v>10.5</v>
      </c>
      <c r="I4723" s="10" t="n">
        <v>46192</v>
      </c>
      <c r="K4723" s="10"/>
      <c r="M4723" s="7"/>
      <c r="N4723" s="8"/>
      <c r="O4723" s="4"/>
    </row>
    <row r="4724" customFormat="false" ht="15" hidden="false" customHeight="false" outlineLevel="0" collapsed="false">
      <c r="A4724" s="0" t="s">
        <v>6354</v>
      </c>
      <c r="C4724" s="0" t="s">
        <v>31</v>
      </c>
      <c r="D4724" s="7" t="n">
        <v>480</v>
      </c>
      <c r="E4724" s="8" t="n">
        <v>0.0600208333333333</v>
      </c>
      <c r="F4724" s="4" t="n">
        <f aca="false">D4724*E4724</f>
        <v>28.81</v>
      </c>
      <c r="G4724" s="7" t="n">
        <v>50</v>
      </c>
      <c r="H4724" s="9" t="n">
        <f aca="false">IF(G4724&gt;0,D4724/G4724,"")</f>
        <v>9.6</v>
      </c>
      <c r="I4724" s="10" t="n">
        <v>46253</v>
      </c>
      <c r="J4724" s="3" t="s">
        <v>336</v>
      </c>
      <c r="K4724" s="10" t="n">
        <v>46245</v>
      </c>
      <c r="L4724" s="3" t="s">
        <v>14</v>
      </c>
      <c r="M4724" s="7" t="n">
        <v>500</v>
      </c>
      <c r="N4724" s="8" t="n">
        <v>0.0592</v>
      </c>
      <c r="O4724" s="4" t="n">
        <f aca="false">M4724*N4724</f>
        <v>29.6</v>
      </c>
    </row>
    <row r="4725" customFormat="false" ht="15" hidden="false" customHeight="false" outlineLevel="0" collapsed="false">
      <c r="A4725" s="0" t="s">
        <v>6355</v>
      </c>
      <c r="C4725" s="0" t="s">
        <v>31</v>
      </c>
      <c r="D4725" s="7" t="n">
        <v>830</v>
      </c>
      <c r="E4725" s="8" t="n">
        <v>0.0346987951807229</v>
      </c>
      <c r="F4725" s="4" t="n">
        <f aca="false">D4725*E4725</f>
        <v>28.8</v>
      </c>
      <c r="G4725" s="7" t="n">
        <v>232</v>
      </c>
      <c r="H4725" s="9" t="n">
        <f aca="false">IF(G4725&gt;0,D4725/G4725,"")</f>
        <v>3.57758620689655</v>
      </c>
      <c r="I4725" s="10" t="n">
        <v>46086</v>
      </c>
      <c r="J4725" s="3" t="s">
        <v>1192</v>
      </c>
      <c r="K4725" s="10" t="n">
        <v>45736</v>
      </c>
      <c r="L4725" s="3" t="s">
        <v>26</v>
      </c>
      <c r="M4725" s="7" t="n">
        <v>125</v>
      </c>
      <c r="N4725" s="8" t="n">
        <v>0.0892</v>
      </c>
      <c r="O4725" s="4" t="n">
        <f aca="false">M4725*N4725</f>
        <v>11.15</v>
      </c>
    </row>
    <row r="4726" customFormat="false" ht="15" hidden="false" customHeight="false" outlineLevel="0" collapsed="false">
      <c r="A4726" s="0" t="s">
        <v>6356</v>
      </c>
      <c r="C4726" s="0" t="s">
        <v>31</v>
      </c>
      <c r="D4726" s="7" t="n">
        <v>175</v>
      </c>
      <c r="E4726" s="8" t="n">
        <v>0.164571428571429</v>
      </c>
      <c r="F4726" s="4" t="n">
        <f aca="false">D4726*E4726</f>
        <v>28.8</v>
      </c>
      <c r="G4726" s="7" t="n">
        <v>15</v>
      </c>
      <c r="H4726" s="9" t="n">
        <f aca="false">IF(G4726&gt;0,D4726/G4726,"")</f>
        <v>11.6666666666667</v>
      </c>
      <c r="I4726" s="10" t="n">
        <v>46176</v>
      </c>
      <c r="K4726" s="10"/>
      <c r="M4726" s="7"/>
      <c r="N4726" s="8"/>
      <c r="O4726" s="4"/>
    </row>
    <row r="4727" customFormat="false" ht="15" hidden="false" customHeight="false" outlineLevel="0" collapsed="false">
      <c r="A4727" s="0" t="s">
        <v>6357</v>
      </c>
      <c r="D4727" s="7" t="n">
        <v>24</v>
      </c>
      <c r="E4727" s="8" t="n">
        <v>1.2</v>
      </c>
      <c r="F4727" s="4" t="n">
        <f aca="false">D4727*E4727</f>
        <v>28.8</v>
      </c>
      <c r="G4727" s="7" t="n">
        <v>3</v>
      </c>
      <c r="H4727" s="9" t="n">
        <f aca="false">IF(G4727&gt;0,D4727/G4727,"")</f>
        <v>8</v>
      </c>
      <c r="I4727" s="10" t="n">
        <v>46133</v>
      </c>
      <c r="J4727" s="3" t="s">
        <v>1288</v>
      </c>
      <c r="K4727" s="10" t="n">
        <v>46122</v>
      </c>
      <c r="L4727" s="3" t="s">
        <v>313</v>
      </c>
      <c r="M4727" s="7" t="n">
        <v>27</v>
      </c>
      <c r="N4727" s="8" t="n">
        <v>1.2</v>
      </c>
      <c r="O4727" s="4" t="n">
        <f aca="false">M4727*N4727</f>
        <v>32.4</v>
      </c>
    </row>
    <row r="4728" customFormat="false" ht="15" hidden="false" customHeight="false" outlineLevel="0" collapsed="false">
      <c r="A4728" s="0" t="s">
        <v>6358</v>
      </c>
      <c r="C4728" s="0" t="s">
        <v>298</v>
      </c>
      <c r="D4728" s="7" t="n">
        <v>97</v>
      </c>
      <c r="E4728" s="8" t="n">
        <v>0.296701030927835</v>
      </c>
      <c r="F4728" s="4" t="n">
        <f aca="false">D4728*E4728</f>
        <v>28.78</v>
      </c>
      <c r="G4728" s="7" t="n">
        <v>14</v>
      </c>
      <c r="H4728" s="9" t="n">
        <f aca="false">IF(G4728&gt;0,D4728/G4728,"")</f>
        <v>6.92857142857143</v>
      </c>
      <c r="I4728" s="10" t="n">
        <v>46141</v>
      </c>
      <c r="K4728" s="10"/>
      <c r="M4728" s="7"/>
      <c r="N4728" s="8"/>
      <c r="O4728" s="4"/>
    </row>
    <row r="4729" customFormat="false" ht="15" hidden="false" customHeight="false" outlineLevel="0" collapsed="false">
      <c r="A4729" s="0" t="s">
        <v>6359</v>
      </c>
      <c r="C4729" s="0" t="s">
        <v>31</v>
      </c>
      <c r="D4729" s="7" t="n">
        <v>211</v>
      </c>
      <c r="E4729" s="8" t="n">
        <v>0.136208530805687</v>
      </c>
      <c r="F4729" s="4" t="n">
        <f aca="false">D4729*E4729</f>
        <v>28.74</v>
      </c>
      <c r="G4729" s="7" t="n">
        <v>30</v>
      </c>
      <c r="H4729" s="9" t="n">
        <f aca="false">IF(G4729&gt;0,D4729/G4729,"")</f>
        <v>7.03333333333333</v>
      </c>
      <c r="I4729" s="10" t="n">
        <v>46105</v>
      </c>
      <c r="J4729" s="3" t="s">
        <v>2732</v>
      </c>
      <c r="K4729" s="10" t="n">
        <v>45867</v>
      </c>
      <c r="L4729" s="3" t="s">
        <v>19</v>
      </c>
      <c r="M4729" s="7" t="n">
        <v>250</v>
      </c>
      <c r="N4729" s="8" t="n">
        <v>0.1362</v>
      </c>
      <c r="O4729" s="4" t="n">
        <f aca="false">M4729*N4729</f>
        <v>34.05</v>
      </c>
    </row>
    <row r="4730" customFormat="false" ht="15" hidden="false" customHeight="false" outlineLevel="0" collapsed="false">
      <c r="A4730" s="0" t="s">
        <v>6360</v>
      </c>
      <c r="C4730" s="0" t="s">
        <v>855</v>
      </c>
      <c r="D4730" s="7" t="n">
        <v>209</v>
      </c>
      <c r="E4730" s="8" t="n">
        <v>0.137511961722488</v>
      </c>
      <c r="F4730" s="4" t="n">
        <f aca="false">D4730*E4730</f>
        <v>28.74</v>
      </c>
      <c r="G4730" s="7" t="n">
        <v>20</v>
      </c>
      <c r="H4730" s="9" t="n">
        <f aca="false">IF(G4730&gt;0,D4730/G4730,"")</f>
        <v>10.45</v>
      </c>
      <c r="I4730" s="10" t="n">
        <v>46273</v>
      </c>
      <c r="J4730" s="3" t="s">
        <v>3545</v>
      </c>
      <c r="K4730" s="10" t="n">
        <v>45772</v>
      </c>
      <c r="L4730" s="3" t="s">
        <v>19</v>
      </c>
      <c r="M4730" s="7" t="n">
        <v>250</v>
      </c>
      <c r="N4730" s="8" t="n">
        <v>0.1375</v>
      </c>
      <c r="O4730" s="4" t="n">
        <f aca="false">M4730*N4730</f>
        <v>34.375</v>
      </c>
    </row>
    <row r="4731" customFormat="false" ht="15" hidden="false" customHeight="false" outlineLevel="0" collapsed="false">
      <c r="A4731" s="0" t="s">
        <v>6361</v>
      </c>
      <c r="C4731" s="0" t="s">
        <v>34</v>
      </c>
      <c r="D4731" s="7" t="n">
        <v>943</v>
      </c>
      <c r="E4731" s="8" t="n">
        <v>0.0304135737009544</v>
      </c>
      <c r="F4731" s="4" t="n">
        <f aca="false">D4731*E4731</f>
        <v>28.68</v>
      </c>
      <c r="G4731" s="7" t="n">
        <v>64</v>
      </c>
      <c r="H4731" s="9" t="n">
        <f aca="false">IF(G4731&gt;0,D4731/G4731,"")</f>
        <v>14.734375</v>
      </c>
      <c r="I4731" s="10" t="n">
        <v>46294</v>
      </c>
      <c r="J4731" s="3" t="s">
        <v>3590</v>
      </c>
      <c r="K4731" s="10" t="n">
        <v>45967</v>
      </c>
      <c r="L4731" s="3" t="s">
        <v>16</v>
      </c>
      <c r="M4731" s="7" t="n">
        <v>1000</v>
      </c>
      <c r="N4731" s="8" t="n">
        <v>0.02928</v>
      </c>
      <c r="O4731" s="4" t="n">
        <f aca="false">M4731*N4731</f>
        <v>29.28</v>
      </c>
    </row>
    <row r="4732" customFormat="false" ht="15" hidden="false" customHeight="false" outlineLevel="0" collapsed="false">
      <c r="A4732" s="0" t="s">
        <v>6362</v>
      </c>
      <c r="C4732" s="0" t="s">
        <v>32</v>
      </c>
      <c r="D4732" s="7" t="n">
        <v>290</v>
      </c>
      <c r="E4732" s="8" t="n">
        <v>0.0988275862068966</v>
      </c>
      <c r="F4732" s="4" t="n">
        <f aca="false">D4732*E4732</f>
        <v>28.66</v>
      </c>
      <c r="G4732" s="7" t="n">
        <v>264</v>
      </c>
      <c r="H4732" s="9" t="n">
        <f aca="false">IF(G4732&gt;0,D4732/G4732,"")</f>
        <v>1.09848484848485</v>
      </c>
      <c r="I4732" s="10" t="n">
        <v>46283</v>
      </c>
      <c r="J4732" s="3" t="s">
        <v>6363</v>
      </c>
      <c r="K4732" s="10" t="n">
        <v>45359</v>
      </c>
      <c r="L4732" s="3" t="s">
        <v>18</v>
      </c>
      <c r="M4732" s="7" t="n">
        <v>900</v>
      </c>
      <c r="N4732" s="8" t="n">
        <v>0.097</v>
      </c>
      <c r="O4732" s="4" t="n">
        <f aca="false">M4732*N4732</f>
        <v>87.3</v>
      </c>
    </row>
    <row r="4733" customFormat="false" ht="15" hidden="false" customHeight="false" outlineLevel="0" collapsed="false">
      <c r="A4733" s="0" t="s">
        <v>6364</v>
      </c>
      <c r="C4733" s="0" t="s">
        <v>1169</v>
      </c>
      <c r="D4733" s="7" t="n">
        <v>42</v>
      </c>
      <c r="E4733" s="8" t="n">
        <v>0.682142857142857</v>
      </c>
      <c r="F4733" s="4" t="n">
        <f aca="false">D4733*E4733</f>
        <v>28.65</v>
      </c>
      <c r="G4733" s="7" t="n">
        <v>4</v>
      </c>
      <c r="H4733" s="9" t="n">
        <f aca="false">IF(G4733&gt;0,D4733/G4733,"")</f>
        <v>10.5</v>
      </c>
      <c r="I4733" s="10" t="n">
        <v>46183</v>
      </c>
      <c r="J4733" s="3" t="s">
        <v>1095</v>
      </c>
      <c r="K4733" s="10" t="n">
        <v>45905</v>
      </c>
      <c r="L4733" s="3" t="s">
        <v>19</v>
      </c>
      <c r="M4733" s="7" t="n">
        <v>50</v>
      </c>
      <c r="N4733" s="8" t="n">
        <v>0.6822</v>
      </c>
      <c r="O4733" s="4" t="n">
        <f aca="false">M4733*N4733</f>
        <v>34.11</v>
      </c>
    </row>
    <row r="4734" customFormat="false" ht="15" hidden="false" customHeight="false" outlineLevel="0" collapsed="false">
      <c r="A4734" s="0" t="s">
        <v>6365</v>
      </c>
      <c r="C4734" s="0" t="s">
        <v>37</v>
      </c>
      <c r="D4734" s="7" t="n">
        <v>1037</v>
      </c>
      <c r="E4734" s="8" t="n">
        <v>0.0275988428158149</v>
      </c>
      <c r="F4734" s="4" t="n">
        <f aca="false">D4734*E4734</f>
        <v>28.62</v>
      </c>
      <c r="G4734" s="7" t="n">
        <v>315</v>
      </c>
      <c r="H4734" s="9" t="n">
        <f aca="false">IF(G4734&gt;0,D4734/G4734,"")</f>
        <v>3.29206349206349</v>
      </c>
      <c r="I4734" s="10" t="n">
        <v>46155</v>
      </c>
      <c r="J4734" s="3" t="s">
        <v>6366</v>
      </c>
      <c r="K4734" s="10" t="n">
        <v>44274</v>
      </c>
      <c r="L4734" s="3" t="s">
        <v>19</v>
      </c>
      <c r="M4734" s="7" t="n">
        <v>1900</v>
      </c>
      <c r="N4734" s="8" t="n">
        <v>0.0276</v>
      </c>
      <c r="O4734" s="4" t="n">
        <f aca="false">M4734*N4734</f>
        <v>52.44</v>
      </c>
    </row>
    <row r="4735" customFormat="false" ht="15" hidden="false" customHeight="false" outlineLevel="0" collapsed="false">
      <c r="A4735" s="0" t="s">
        <v>6367</v>
      </c>
      <c r="C4735" s="0" t="s">
        <v>398</v>
      </c>
      <c r="D4735" s="7" t="n">
        <v>192</v>
      </c>
      <c r="E4735" s="8" t="n">
        <v>0.149010416666667</v>
      </c>
      <c r="F4735" s="4" t="n">
        <f aca="false">D4735*E4735</f>
        <v>28.61</v>
      </c>
      <c r="G4735" s="7" t="n">
        <v>2</v>
      </c>
      <c r="H4735" s="9" t="n">
        <f aca="false">IF(G4735&gt;0,D4735/G4735,"")</f>
        <v>96</v>
      </c>
      <c r="I4735" s="10" t="n">
        <v>46066</v>
      </c>
      <c r="K4735" s="10"/>
      <c r="M4735" s="7"/>
      <c r="N4735" s="8"/>
      <c r="O4735" s="4"/>
    </row>
    <row r="4736" customFormat="false" ht="15" hidden="false" customHeight="false" outlineLevel="0" collapsed="false">
      <c r="A4736" s="0" t="s">
        <v>6368</v>
      </c>
      <c r="C4736" s="0" t="s">
        <v>32</v>
      </c>
      <c r="D4736" s="7" t="n">
        <v>114</v>
      </c>
      <c r="E4736" s="8" t="n">
        <v>0.250877192982456</v>
      </c>
      <c r="F4736" s="4" t="n">
        <f aca="false">D4736*E4736</f>
        <v>28.6</v>
      </c>
      <c r="G4736" s="7" t="n">
        <v>56</v>
      </c>
      <c r="H4736" s="9" t="n">
        <f aca="false">IF(G4736&gt;0,D4736/G4736,"")</f>
        <v>2.03571428571429</v>
      </c>
      <c r="I4736" s="10" t="n">
        <v>46155</v>
      </c>
      <c r="J4736" s="3" t="s">
        <v>6369</v>
      </c>
      <c r="K4736" s="10" t="n">
        <v>45590</v>
      </c>
      <c r="L4736" s="3" t="s">
        <v>18</v>
      </c>
      <c r="M4736" s="7" t="n">
        <v>350</v>
      </c>
      <c r="N4736" s="8" t="n">
        <v>0.2507</v>
      </c>
      <c r="O4736" s="4" t="n">
        <f aca="false">M4736*N4736</f>
        <v>87.745</v>
      </c>
    </row>
    <row r="4737" customFormat="false" ht="15" hidden="false" customHeight="false" outlineLevel="0" collapsed="false">
      <c r="A4737" s="0" t="s">
        <v>6370</v>
      </c>
      <c r="C4737" s="0" t="s">
        <v>295</v>
      </c>
      <c r="D4737" s="7" t="n">
        <v>196</v>
      </c>
      <c r="E4737" s="8" t="n">
        <v>0.145663265306122</v>
      </c>
      <c r="F4737" s="4" t="n">
        <f aca="false">D4737*E4737</f>
        <v>28.55</v>
      </c>
      <c r="G4737" s="7" t="n">
        <v>10</v>
      </c>
      <c r="H4737" s="9" t="n">
        <f aca="false">IF(G4737&gt;0,D4737/G4737,"")</f>
        <v>19.6</v>
      </c>
      <c r="I4737" s="10" t="n">
        <v>45987</v>
      </c>
      <c r="J4737" s="3" t="s">
        <v>5295</v>
      </c>
      <c r="K4737" s="10" t="n">
        <v>44356</v>
      </c>
      <c r="L4737" s="3" t="s">
        <v>15</v>
      </c>
      <c r="M4737" s="7" t="n">
        <v>214</v>
      </c>
      <c r="N4737" s="8" t="n">
        <v>0.13889</v>
      </c>
      <c r="O4737" s="4" t="n">
        <f aca="false">M4737*N4737</f>
        <v>29.72246</v>
      </c>
    </row>
    <row r="4738" customFormat="false" ht="15" hidden="false" customHeight="false" outlineLevel="0" collapsed="false">
      <c r="A4738" s="0" t="s">
        <v>6371</v>
      </c>
      <c r="C4738" s="0" t="s">
        <v>40</v>
      </c>
      <c r="D4738" s="7" t="n">
        <v>2772</v>
      </c>
      <c r="E4738" s="8" t="n">
        <v>0.0102958152958153</v>
      </c>
      <c r="F4738" s="4" t="n">
        <f aca="false">D4738*E4738</f>
        <v>28.54</v>
      </c>
      <c r="G4738" s="7" t="n">
        <v>25</v>
      </c>
      <c r="H4738" s="9" t="n">
        <f aca="false">IF(G4738&gt;0,D4738/G4738,"")</f>
        <v>110.88</v>
      </c>
      <c r="I4738" s="10" t="n">
        <v>46000</v>
      </c>
      <c r="K4738" s="10"/>
      <c r="M4738" s="7"/>
      <c r="N4738" s="8"/>
      <c r="O4738" s="4"/>
    </row>
    <row r="4739" customFormat="false" ht="15" hidden="false" customHeight="false" outlineLevel="0" collapsed="false">
      <c r="A4739" s="0" t="s">
        <v>6372</v>
      </c>
      <c r="C4739" s="0" t="s">
        <v>31</v>
      </c>
      <c r="D4739" s="7" t="n">
        <v>1427</v>
      </c>
      <c r="E4739" s="8" t="n">
        <v>0.02</v>
      </c>
      <c r="F4739" s="4" t="n">
        <f aca="false">D4739*E4739</f>
        <v>28.54</v>
      </c>
      <c r="G4739" s="7" t="n">
        <v>157</v>
      </c>
      <c r="H4739" s="9" t="n">
        <f aca="false">IF(G4739&gt;0,D4739/G4739,"")</f>
        <v>9.08917197452229</v>
      </c>
      <c r="I4739" s="10" t="n">
        <v>46147</v>
      </c>
      <c r="K4739" s="10"/>
      <c r="M4739" s="7"/>
      <c r="N4739" s="8"/>
      <c r="O4739" s="4"/>
    </row>
    <row r="4740" customFormat="false" ht="15" hidden="false" customHeight="false" outlineLevel="0" collapsed="false">
      <c r="A4740" s="0" t="s">
        <v>6373</v>
      </c>
      <c r="C4740" s="0" t="s">
        <v>34</v>
      </c>
      <c r="D4740" s="7" t="n">
        <v>50</v>
      </c>
      <c r="E4740" s="8" t="n">
        <v>0.5708</v>
      </c>
      <c r="F4740" s="4" t="n">
        <f aca="false">D4740*E4740</f>
        <v>28.54</v>
      </c>
      <c r="G4740" s="7" t="n">
        <v>20</v>
      </c>
      <c r="H4740" s="9" t="n">
        <f aca="false">IF(G4740&gt;0,D4740/G4740,"")</f>
        <v>2.5</v>
      </c>
      <c r="I4740" s="10" t="n">
        <v>46006</v>
      </c>
      <c r="J4740" s="3" t="s">
        <v>4645</v>
      </c>
      <c r="K4740" s="10" t="n">
        <v>46310</v>
      </c>
      <c r="L4740" s="3" t="s">
        <v>16</v>
      </c>
      <c r="M4740" s="7" t="n">
        <v>1300</v>
      </c>
      <c r="N4740" s="8" t="n">
        <v>0.1157</v>
      </c>
      <c r="O4740" s="4" t="n">
        <f aca="false">M4740*N4740</f>
        <v>150.41</v>
      </c>
    </row>
    <row r="4741" customFormat="false" ht="15" hidden="false" customHeight="false" outlineLevel="0" collapsed="false">
      <c r="A4741" s="0" t="s">
        <v>6374</v>
      </c>
      <c r="C4741" s="0" t="s">
        <v>34</v>
      </c>
      <c r="D4741" s="7" t="n">
        <v>356</v>
      </c>
      <c r="E4741" s="8" t="n">
        <v>0.08</v>
      </c>
      <c r="F4741" s="4" t="n">
        <f aca="false">D4741*E4741</f>
        <v>28.48</v>
      </c>
      <c r="G4741" s="7" t="n">
        <v>50</v>
      </c>
      <c r="H4741" s="9" t="n">
        <f aca="false">IF(G4741&gt;0,D4741/G4741,"")</f>
        <v>7.12</v>
      </c>
      <c r="I4741" s="10" t="n">
        <v>46300</v>
      </c>
      <c r="J4741" s="3" t="s">
        <v>1743</v>
      </c>
      <c r="K4741" s="10" t="n">
        <v>45852</v>
      </c>
      <c r="L4741" s="3" t="s">
        <v>16</v>
      </c>
      <c r="M4741" s="7" t="n">
        <v>450</v>
      </c>
      <c r="N4741" s="8" t="n">
        <v>0.08</v>
      </c>
      <c r="O4741" s="4" t="n">
        <f aca="false">M4741*N4741</f>
        <v>36</v>
      </c>
    </row>
    <row r="4742" customFormat="false" ht="15" hidden="false" customHeight="false" outlineLevel="0" collapsed="false">
      <c r="A4742" s="0" t="s">
        <v>6375</v>
      </c>
      <c r="C4742" s="0" t="s">
        <v>844</v>
      </c>
      <c r="D4742" s="7" t="n">
        <v>17</v>
      </c>
      <c r="E4742" s="8" t="n">
        <v>1.67470588235294</v>
      </c>
      <c r="F4742" s="4" t="n">
        <f aca="false">D4742*E4742</f>
        <v>28.47</v>
      </c>
      <c r="G4742" s="7" t="n">
        <v>2</v>
      </c>
      <c r="H4742" s="9" t="n">
        <f aca="false">IF(G4742&gt;0,D4742/G4742,"")</f>
        <v>8.5</v>
      </c>
      <c r="I4742" s="10" t="n">
        <v>46171</v>
      </c>
      <c r="J4742" s="3" t="s">
        <v>5441</v>
      </c>
      <c r="K4742" s="10" t="n">
        <v>45201</v>
      </c>
      <c r="L4742" s="3" t="s">
        <v>14</v>
      </c>
      <c r="M4742" s="7" t="n">
        <v>25</v>
      </c>
      <c r="N4742" s="8" t="n">
        <v>1.6752</v>
      </c>
      <c r="O4742" s="4" t="n">
        <f aca="false">M4742*N4742</f>
        <v>41.88</v>
      </c>
    </row>
    <row r="4743" customFormat="false" ht="15" hidden="false" customHeight="false" outlineLevel="0" collapsed="false">
      <c r="A4743" s="0" t="s">
        <v>6376</v>
      </c>
      <c r="C4743" s="0" t="s">
        <v>4363</v>
      </c>
      <c r="D4743" s="7" t="n">
        <v>5</v>
      </c>
      <c r="E4743" s="8" t="n">
        <v>5.69</v>
      </c>
      <c r="F4743" s="4" t="n">
        <f aca="false">D4743*E4743</f>
        <v>28.45</v>
      </c>
      <c r="G4743" s="7" t="n">
        <v>2</v>
      </c>
      <c r="H4743" s="9" t="n">
        <f aca="false">IF(G4743&gt;0,D4743/G4743,"")</f>
        <v>2.5</v>
      </c>
      <c r="I4743" s="10" t="n">
        <v>45986</v>
      </c>
      <c r="J4743" s="3" t="s">
        <v>4364</v>
      </c>
      <c r="K4743" s="10" t="n">
        <v>45978</v>
      </c>
      <c r="L4743" s="3" t="s">
        <v>4365</v>
      </c>
      <c r="M4743" s="7" t="n">
        <v>5</v>
      </c>
      <c r="N4743" s="8" t="n">
        <v>5.69</v>
      </c>
      <c r="O4743" s="4" t="n">
        <f aca="false">M4743*N4743</f>
        <v>28.45</v>
      </c>
    </row>
    <row r="4744" customFormat="false" ht="15" hidden="false" customHeight="false" outlineLevel="0" collapsed="false">
      <c r="A4744" s="0" t="s">
        <v>6377</v>
      </c>
      <c r="C4744" s="0" t="s">
        <v>38</v>
      </c>
      <c r="D4744" s="7" t="n">
        <v>2768</v>
      </c>
      <c r="E4744" s="8" t="n">
        <v>0.0102781791907514</v>
      </c>
      <c r="F4744" s="4" t="n">
        <f aca="false">D4744*E4744</f>
        <v>28.45</v>
      </c>
      <c r="G4744" s="7" t="n">
        <v>1988</v>
      </c>
      <c r="H4744" s="9" t="n">
        <f aca="false">IF(G4744&gt;0,D4744/G4744,"")</f>
        <v>1.39235412474849</v>
      </c>
      <c r="I4744" s="10" t="n">
        <v>46287</v>
      </c>
      <c r="J4744" s="3" t="s">
        <v>2342</v>
      </c>
      <c r="K4744" s="10" t="n">
        <v>46290</v>
      </c>
      <c r="L4744" s="3" t="s">
        <v>15</v>
      </c>
      <c r="M4744" s="7" t="n">
        <v>14600</v>
      </c>
      <c r="N4744" s="8" t="n">
        <v>0.01372</v>
      </c>
      <c r="O4744" s="4" t="n">
        <f aca="false">M4744*N4744</f>
        <v>200.312</v>
      </c>
    </row>
    <row r="4745" customFormat="false" ht="15" hidden="false" customHeight="false" outlineLevel="0" collapsed="false">
      <c r="A4745" s="0" t="s">
        <v>6378</v>
      </c>
      <c r="C4745" s="0" t="s">
        <v>31</v>
      </c>
      <c r="D4745" s="7" t="n">
        <v>2681</v>
      </c>
      <c r="E4745" s="8" t="n">
        <v>0.0105930622901902</v>
      </c>
      <c r="F4745" s="4" t="n">
        <f aca="false">D4745*E4745</f>
        <v>28.4</v>
      </c>
      <c r="G4745" s="7" t="n">
        <v>1624</v>
      </c>
      <c r="H4745" s="9" t="n">
        <f aca="false">IF(G4745&gt;0,D4745/G4745,"")</f>
        <v>1.65086206896552</v>
      </c>
      <c r="I4745" s="10" t="n">
        <v>46309</v>
      </c>
      <c r="J4745" s="3" t="s">
        <v>1211</v>
      </c>
      <c r="K4745" s="10" t="n">
        <v>45750</v>
      </c>
      <c r="L4745" s="3" t="s">
        <v>26</v>
      </c>
      <c r="M4745" s="7" t="n">
        <v>500</v>
      </c>
      <c r="N4745" s="8" t="n">
        <v>0.0195</v>
      </c>
      <c r="O4745" s="4" t="n">
        <f aca="false">M4745*N4745</f>
        <v>9.75</v>
      </c>
    </row>
    <row r="4746" customFormat="false" ht="15" hidden="false" customHeight="false" outlineLevel="0" collapsed="false">
      <c r="A4746" s="0" t="s">
        <v>6379</v>
      </c>
      <c r="C4746" s="0" t="s">
        <v>41</v>
      </c>
      <c r="D4746" s="7" t="n">
        <v>578</v>
      </c>
      <c r="E4746" s="8" t="n">
        <v>0.0491003460207612</v>
      </c>
      <c r="F4746" s="4" t="n">
        <f aca="false">D4746*E4746</f>
        <v>28.38</v>
      </c>
      <c r="G4746" s="7" t="n">
        <v>430</v>
      </c>
      <c r="H4746" s="9" t="n">
        <f aca="false">IF(G4746&gt;0,D4746/G4746,"")</f>
        <v>1.34418604651163</v>
      </c>
      <c r="I4746" s="10" t="n">
        <v>46175</v>
      </c>
      <c r="J4746" s="3" t="s">
        <v>80</v>
      </c>
      <c r="K4746" s="10" t="n">
        <v>44887</v>
      </c>
      <c r="L4746" s="3" t="s">
        <v>19</v>
      </c>
      <c r="M4746" s="7" t="n">
        <v>2500</v>
      </c>
      <c r="N4746" s="8" t="n">
        <v>0.0491</v>
      </c>
      <c r="O4746" s="4" t="n">
        <f aca="false">M4746*N4746</f>
        <v>122.75</v>
      </c>
    </row>
    <row r="4747" customFormat="false" ht="15" hidden="false" customHeight="false" outlineLevel="0" collapsed="false">
      <c r="A4747" s="0" t="s">
        <v>6380</v>
      </c>
      <c r="C4747" s="0" t="s">
        <v>438</v>
      </c>
      <c r="D4747" s="7" t="n">
        <v>19</v>
      </c>
      <c r="E4747" s="8" t="n">
        <v>1.49052631578947</v>
      </c>
      <c r="F4747" s="4" t="n">
        <f aca="false">D4747*E4747</f>
        <v>28.32</v>
      </c>
      <c r="G4747" s="7" t="n">
        <v>19</v>
      </c>
      <c r="H4747" s="9" t="n">
        <f aca="false">IF(G4747&gt;0,D4747/G4747,"")</f>
        <v>1</v>
      </c>
      <c r="I4747" s="10" t="n">
        <v>46269</v>
      </c>
      <c r="J4747" s="3" t="s">
        <v>315</v>
      </c>
      <c r="K4747" s="10" t="n">
        <v>46274</v>
      </c>
      <c r="L4747" s="3" t="s">
        <v>14</v>
      </c>
      <c r="M4747" s="7" t="n">
        <v>20</v>
      </c>
      <c r="N4747" s="8" t="n">
        <v>1.77</v>
      </c>
      <c r="O4747" s="4" t="n">
        <f aca="false">M4747*N4747</f>
        <v>35.4</v>
      </c>
    </row>
    <row r="4748" customFormat="false" ht="15" hidden="false" customHeight="false" outlineLevel="0" collapsed="false">
      <c r="A4748" s="0" t="s">
        <v>6381</v>
      </c>
      <c r="C4748" s="0" t="s">
        <v>36</v>
      </c>
      <c r="D4748" s="7" t="n">
        <v>243</v>
      </c>
      <c r="E4748" s="8" t="n">
        <v>0.116502057613169</v>
      </c>
      <c r="F4748" s="4" t="n">
        <f aca="false">D4748*E4748</f>
        <v>28.31</v>
      </c>
      <c r="G4748" s="7" t="n">
        <v>46</v>
      </c>
      <c r="H4748" s="9" t="n">
        <f aca="false">IF(G4748&gt;0,D4748/G4748,"")</f>
        <v>5.28260869565217</v>
      </c>
      <c r="I4748" s="10" t="n">
        <v>46273</v>
      </c>
      <c r="K4748" s="10"/>
      <c r="M4748" s="7"/>
      <c r="N4748" s="8"/>
      <c r="O4748" s="4"/>
    </row>
    <row r="4749" customFormat="false" ht="15" hidden="false" customHeight="false" outlineLevel="0" collapsed="false">
      <c r="A4749" s="0" t="s">
        <v>6382</v>
      </c>
      <c r="C4749" s="0" t="s">
        <v>1010</v>
      </c>
      <c r="D4749" s="7" t="n">
        <v>70</v>
      </c>
      <c r="E4749" s="8" t="n">
        <v>0.404142857142857</v>
      </c>
      <c r="F4749" s="4" t="n">
        <f aca="false">D4749*E4749</f>
        <v>28.29</v>
      </c>
      <c r="G4749" s="7" t="n">
        <v>30</v>
      </c>
      <c r="H4749" s="9" t="n">
        <f aca="false">IF(G4749&gt;0,D4749/G4749,"")</f>
        <v>2.33333333333333</v>
      </c>
      <c r="I4749" s="10" t="n">
        <v>46163</v>
      </c>
      <c r="J4749" s="3" t="s">
        <v>2739</v>
      </c>
      <c r="K4749" s="10" t="n">
        <v>46142</v>
      </c>
      <c r="L4749" s="3" t="s">
        <v>16</v>
      </c>
      <c r="M4749" s="7" t="n">
        <v>100</v>
      </c>
      <c r="N4749" s="8" t="n">
        <v>0.4041</v>
      </c>
      <c r="O4749" s="4" t="n">
        <f aca="false">M4749*N4749</f>
        <v>40.41</v>
      </c>
    </row>
    <row r="4750" customFormat="false" ht="15" hidden="false" customHeight="false" outlineLevel="0" collapsed="false">
      <c r="A4750" s="0" t="s">
        <v>6383</v>
      </c>
      <c r="C4750" s="0" t="s">
        <v>34</v>
      </c>
      <c r="D4750" s="7" t="n">
        <v>982</v>
      </c>
      <c r="E4750" s="8" t="n">
        <v>0.0287983706720978</v>
      </c>
      <c r="F4750" s="4" t="n">
        <f aca="false">D4750*E4750</f>
        <v>28.28</v>
      </c>
      <c r="G4750" s="7" t="n">
        <v>31</v>
      </c>
      <c r="H4750" s="9" t="n">
        <f aca="false">IF(G4750&gt;0,D4750/G4750,"")</f>
        <v>31.6774193548387</v>
      </c>
      <c r="I4750" s="10" t="n">
        <v>46209</v>
      </c>
      <c r="J4750" s="3" t="s">
        <v>478</v>
      </c>
      <c r="K4750" s="10" t="n">
        <v>46185</v>
      </c>
      <c r="L4750" s="3" t="s">
        <v>16</v>
      </c>
      <c r="M4750" s="7" t="n">
        <v>1000</v>
      </c>
      <c r="N4750" s="8" t="n">
        <v>0.0286</v>
      </c>
      <c r="O4750" s="4" t="n">
        <f aca="false">M4750*N4750</f>
        <v>28.6</v>
      </c>
    </row>
    <row r="4751" customFormat="false" ht="15" hidden="false" customHeight="false" outlineLevel="0" collapsed="false">
      <c r="A4751" s="0" t="s">
        <v>6384</v>
      </c>
      <c r="C4751" s="0" t="s">
        <v>34</v>
      </c>
      <c r="D4751" s="7" t="n">
        <v>129</v>
      </c>
      <c r="E4751" s="8" t="n">
        <v>0.219069767441861</v>
      </c>
      <c r="F4751" s="4" t="n">
        <f aca="false">D4751*E4751</f>
        <v>28.26</v>
      </c>
      <c r="G4751" s="7" t="n">
        <v>11</v>
      </c>
      <c r="H4751" s="9" t="n">
        <f aca="false">IF(G4751&gt;0,D4751/G4751,"")</f>
        <v>11.7272727272727</v>
      </c>
      <c r="I4751" s="10" t="n">
        <v>46210</v>
      </c>
      <c r="J4751" s="3" t="s">
        <v>1743</v>
      </c>
      <c r="K4751" s="10" t="n">
        <v>45852</v>
      </c>
      <c r="L4751" s="3" t="s">
        <v>16</v>
      </c>
      <c r="M4751" s="7" t="n">
        <v>150</v>
      </c>
      <c r="N4751" s="8" t="n">
        <v>0.2191</v>
      </c>
      <c r="O4751" s="4" t="n">
        <f aca="false">M4751*N4751</f>
        <v>32.865</v>
      </c>
    </row>
    <row r="4752" customFormat="false" ht="15" hidden="false" customHeight="false" outlineLevel="0" collapsed="false">
      <c r="A4752" s="0" t="s">
        <v>6385</v>
      </c>
      <c r="C4752" s="0" t="s">
        <v>855</v>
      </c>
      <c r="D4752" s="7" t="n">
        <v>3647</v>
      </c>
      <c r="E4752" s="8" t="n">
        <v>0.00774609267891418</v>
      </c>
      <c r="F4752" s="4" t="n">
        <f aca="false">D4752*E4752</f>
        <v>28.25</v>
      </c>
      <c r="G4752" s="7" t="n">
        <v>213</v>
      </c>
      <c r="H4752" s="9" t="n">
        <f aca="false">IF(G4752&gt;0,D4752/G4752,"")</f>
        <v>17.1220657276995</v>
      </c>
      <c r="I4752" s="10" t="n">
        <v>46297</v>
      </c>
      <c r="J4752" s="3" t="s">
        <v>2789</v>
      </c>
      <c r="K4752" s="10" t="n">
        <v>44256</v>
      </c>
      <c r="L4752" s="3" t="s">
        <v>15</v>
      </c>
      <c r="M4752" s="7" t="n">
        <v>4448</v>
      </c>
      <c r="N4752" s="8" t="n">
        <v>0.00775</v>
      </c>
      <c r="O4752" s="4" t="n">
        <f aca="false">M4752*N4752</f>
        <v>34.472</v>
      </c>
    </row>
    <row r="4753" customFormat="false" ht="15" hidden="false" customHeight="false" outlineLevel="0" collapsed="false">
      <c r="A4753" s="0" t="s">
        <v>6386</v>
      </c>
      <c r="C4753" s="0" t="s">
        <v>37</v>
      </c>
      <c r="D4753" s="7" t="n">
        <v>271</v>
      </c>
      <c r="E4753" s="8" t="n">
        <v>0.104169741697417</v>
      </c>
      <c r="F4753" s="4" t="n">
        <f aca="false">D4753*E4753</f>
        <v>28.23</v>
      </c>
      <c r="G4753" s="7" t="n">
        <v>20</v>
      </c>
      <c r="H4753" s="9" t="n">
        <f aca="false">IF(G4753&gt;0,D4753/G4753,"")</f>
        <v>13.55</v>
      </c>
      <c r="I4753" s="10" t="n">
        <v>46044</v>
      </c>
      <c r="J4753" s="3" t="s">
        <v>5295</v>
      </c>
      <c r="K4753" s="10" t="n">
        <v>44356</v>
      </c>
      <c r="L4753" s="3" t="s">
        <v>15</v>
      </c>
      <c r="M4753" s="7" t="n">
        <v>295</v>
      </c>
      <c r="N4753" s="8" t="n">
        <v>0.10418</v>
      </c>
      <c r="O4753" s="4" t="n">
        <f aca="false">M4753*N4753</f>
        <v>30.7331</v>
      </c>
    </row>
    <row r="4754" customFormat="false" ht="15" hidden="false" customHeight="false" outlineLevel="0" collapsed="false">
      <c r="A4754" s="0" t="s">
        <v>6387</v>
      </c>
      <c r="C4754" s="0" t="s">
        <v>31</v>
      </c>
      <c r="D4754" s="7" t="n">
        <v>861</v>
      </c>
      <c r="E4754" s="8" t="n">
        <v>0.0327758420441347</v>
      </c>
      <c r="F4754" s="4" t="n">
        <f aca="false">D4754*E4754</f>
        <v>28.22</v>
      </c>
      <c r="G4754" s="7" t="n">
        <v>24</v>
      </c>
      <c r="H4754" s="9" t="n">
        <f aca="false">IF(G4754&gt;0,D4754/G4754,"")</f>
        <v>35.875</v>
      </c>
      <c r="I4754" s="10" t="n">
        <v>46034</v>
      </c>
      <c r="K4754" s="10"/>
      <c r="M4754" s="7"/>
      <c r="N4754" s="8"/>
      <c r="O4754" s="4"/>
    </row>
    <row r="4755" customFormat="false" ht="15" hidden="false" customHeight="false" outlineLevel="0" collapsed="false">
      <c r="A4755" s="0" t="s">
        <v>6388</v>
      </c>
      <c r="C4755" s="0" t="s">
        <v>295</v>
      </c>
      <c r="D4755" s="7" t="n">
        <v>92</v>
      </c>
      <c r="E4755" s="8" t="n">
        <v>0.306521739130435</v>
      </c>
      <c r="F4755" s="4" t="n">
        <f aca="false">D4755*E4755</f>
        <v>28.2</v>
      </c>
      <c r="G4755" s="7" t="n">
        <v>55</v>
      </c>
      <c r="H4755" s="9" t="n">
        <f aca="false">IF(G4755&gt;0,D4755/G4755,"")</f>
        <v>1.67272727272727</v>
      </c>
      <c r="I4755" s="10" t="n">
        <v>46065</v>
      </c>
      <c r="J4755" s="3" t="s">
        <v>6389</v>
      </c>
      <c r="K4755" s="10" t="n">
        <v>45876</v>
      </c>
      <c r="L4755" s="3" t="s">
        <v>19</v>
      </c>
      <c r="M4755" s="7" t="n">
        <v>180</v>
      </c>
      <c r="N4755" s="8" t="n">
        <v>0.3065</v>
      </c>
      <c r="O4755" s="4" t="n">
        <f aca="false">M4755*N4755</f>
        <v>55.17</v>
      </c>
    </row>
    <row r="4756" customFormat="false" ht="15" hidden="false" customHeight="false" outlineLevel="0" collapsed="false">
      <c r="A4756" s="0" t="s">
        <v>6390</v>
      </c>
      <c r="C4756" s="0" t="s">
        <v>31</v>
      </c>
      <c r="D4756" s="7" t="n">
        <v>12812</v>
      </c>
      <c r="E4756" s="8" t="n">
        <v>0.00220106150483921</v>
      </c>
      <c r="F4756" s="4" t="n">
        <f aca="false">D4756*E4756</f>
        <v>28.2</v>
      </c>
      <c r="G4756" s="7" t="n">
        <v>1268</v>
      </c>
      <c r="H4756" s="9" t="n">
        <f aca="false">IF(G4756&gt;0,D4756/G4756,"")</f>
        <v>10.1041009463722</v>
      </c>
      <c r="I4756" s="10" t="n">
        <v>46281</v>
      </c>
      <c r="J4756" s="3" t="s">
        <v>3385</v>
      </c>
      <c r="K4756" s="10" t="n">
        <v>45595</v>
      </c>
      <c r="L4756" s="3" t="s">
        <v>16</v>
      </c>
      <c r="M4756" s="7" t="n">
        <v>15000</v>
      </c>
      <c r="N4756" s="8" t="n">
        <v>0.0022</v>
      </c>
      <c r="O4756" s="4" t="n">
        <f aca="false">M4756*N4756</f>
        <v>33</v>
      </c>
    </row>
    <row r="4757" customFormat="false" ht="15" hidden="false" customHeight="false" outlineLevel="0" collapsed="false">
      <c r="A4757" s="0" t="s">
        <v>6391</v>
      </c>
      <c r="C4757" s="0" t="s">
        <v>31</v>
      </c>
      <c r="D4757" s="7" t="n">
        <v>12195</v>
      </c>
      <c r="E4757" s="8" t="n">
        <v>0.00231160311603116</v>
      </c>
      <c r="F4757" s="4" t="n">
        <f aca="false">D4757*E4757</f>
        <v>28.19</v>
      </c>
      <c r="G4757" s="7" t="n">
        <v>225</v>
      </c>
      <c r="H4757" s="9" t="n">
        <f aca="false">IF(G4757&gt;0,D4757/G4757,"")</f>
        <v>54.2</v>
      </c>
      <c r="I4757" s="10" t="n">
        <v>46168</v>
      </c>
      <c r="K4757" s="10"/>
      <c r="M4757" s="7"/>
      <c r="N4757" s="8"/>
      <c r="O4757" s="4"/>
    </row>
    <row r="4758" customFormat="false" ht="15" hidden="false" customHeight="false" outlineLevel="0" collapsed="false">
      <c r="A4758" s="0" t="s">
        <v>6392</v>
      </c>
      <c r="C4758" s="0" t="s">
        <v>36</v>
      </c>
      <c r="D4758" s="7" t="n">
        <v>44</v>
      </c>
      <c r="E4758" s="8" t="n">
        <v>0.640454545454546</v>
      </c>
      <c r="F4758" s="4" t="n">
        <f aca="false">D4758*E4758</f>
        <v>28.18</v>
      </c>
      <c r="G4758" s="7" t="n">
        <v>5</v>
      </c>
      <c r="H4758" s="9" t="n">
        <f aca="false">IF(G4758&gt;0,D4758/G4758,"")</f>
        <v>8.8</v>
      </c>
      <c r="I4758" s="10" t="n">
        <v>46253</v>
      </c>
      <c r="J4758" s="3" t="s">
        <v>1095</v>
      </c>
      <c r="K4758" s="10" t="n">
        <v>45905</v>
      </c>
      <c r="L4758" s="3" t="s">
        <v>19</v>
      </c>
      <c r="M4758" s="7" t="n">
        <v>50</v>
      </c>
      <c r="N4758" s="8" t="n">
        <v>0.6403</v>
      </c>
      <c r="O4758" s="4" t="n">
        <f aca="false">M4758*N4758</f>
        <v>32.015</v>
      </c>
    </row>
    <row r="4759" customFormat="false" ht="15" hidden="false" customHeight="false" outlineLevel="0" collapsed="false">
      <c r="A4759" s="0" t="s">
        <v>6393</v>
      </c>
      <c r="C4759" s="0" t="s">
        <v>39</v>
      </c>
      <c r="D4759" s="7" t="n">
        <v>180</v>
      </c>
      <c r="E4759" s="8" t="n">
        <v>0.156444444444444</v>
      </c>
      <c r="F4759" s="4" t="n">
        <f aca="false">D4759*E4759</f>
        <v>28.16</v>
      </c>
      <c r="G4759" s="7" t="n">
        <v>10</v>
      </c>
      <c r="H4759" s="9" t="n">
        <f aca="false">IF(G4759&gt;0,D4759/G4759,"")</f>
        <v>18</v>
      </c>
      <c r="I4759" s="10" t="n">
        <v>46205</v>
      </c>
      <c r="J4759" s="3" t="s">
        <v>6394</v>
      </c>
      <c r="K4759" s="10" t="n">
        <v>44510</v>
      </c>
      <c r="L4759" s="3" t="s">
        <v>465</v>
      </c>
      <c r="M4759" s="7" t="n">
        <v>100</v>
      </c>
      <c r="N4759" s="8" t="n">
        <v>0.1942</v>
      </c>
      <c r="O4759" s="4" t="n">
        <f aca="false">M4759*N4759</f>
        <v>19.42</v>
      </c>
    </row>
    <row r="4760" customFormat="false" ht="15" hidden="false" customHeight="false" outlineLevel="0" collapsed="false">
      <c r="A4760" s="0" t="s">
        <v>6395</v>
      </c>
      <c r="C4760" s="0" t="s">
        <v>31</v>
      </c>
      <c r="D4760" s="7" t="n">
        <v>2477</v>
      </c>
      <c r="E4760" s="8" t="n">
        <v>0.0113524424707307</v>
      </c>
      <c r="F4760" s="4" t="n">
        <f aca="false">D4760*E4760</f>
        <v>28.12</v>
      </c>
      <c r="G4760" s="7" t="n">
        <v>112</v>
      </c>
      <c r="H4760" s="9" t="n">
        <f aca="false">IF(G4760&gt;0,D4760/G4760,"")</f>
        <v>22.1160714285714</v>
      </c>
      <c r="I4760" s="10" t="n">
        <v>46192</v>
      </c>
      <c r="J4760" s="3" t="s">
        <v>628</v>
      </c>
      <c r="K4760" s="10" t="n">
        <v>46128</v>
      </c>
      <c r="L4760" s="3" t="s">
        <v>16</v>
      </c>
      <c r="M4760" s="7" t="n">
        <v>2500</v>
      </c>
      <c r="N4760" s="8" t="n">
        <v>0.011</v>
      </c>
      <c r="O4760" s="4" t="n">
        <f aca="false">M4760*N4760</f>
        <v>27.5</v>
      </c>
    </row>
    <row r="4761" customFormat="false" ht="15" hidden="false" customHeight="false" outlineLevel="0" collapsed="false">
      <c r="A4761" s="0" t="s">
        <v>6396</v>
      </c>
      <c r="C4761" s="0" t="s">
        <v>34</v>
      </c>
      <c r="D4761" s="7" t="n">
        <v>1552</v>
      </c>
      <c r="E4761" s="8" t="n">
        <v>0.0181121134020619</v>
      </c>
      <c r="F4761" s="4" t="n">
        <f aca="false">D4761*E4761</f>
        <v>28.11</v>
      </c>
      <c r="G4761" s="7" t="n">
        <v>326</v>
      </c>
      <c r="H4761" s="9" t="n">
        <f aca="false">IF(G4761&gt;0,D4761/G4761,"")</f>
        <v>4.76073619631902</v>
      </c>
      <c r="I4761" s="10" t="n">
        <v>46224</v>
      </c>
      <c r="J4761" s="3" t="s">
        <v>6397</v>
      </c>
      <c r="K4761" s="10" t="n">
        <v>44798</v>
      </c>
      <c r="L4761" s="3" t="s">
        <v>25</v>
      </c>
      <c r="M4761" s="7" t="n">
        <v>8000</v>
      </c>
      <c r="N4761" s="8" t="n">
        <v>0.031</v>
      </c>
      <c r="O4761" s="4" t="n">
        <f aca="false">M4761*N4761</f>
        <v>248</v>
      </c>
    </row>
    <row r="4762" customFormat="false" ht="15" hidden="false" customHeight="false" outlineLevel="0" collapsed="false">
      <c r="A4762" s="0" t="s">
        <v>6398</v>
      </c>
      <c r="C4762" s="0" t="s">
        <v>35</v>
      </c>
      <c r="D4762" s="7" t="n">
        <v>20</v>
      </c>
      <c r="E4762" s="8" t="n">
        <v>1.405</v>
      </c>
      <c r="F4762" s="4" t="n">
        <f aca="false">D4762*E4762</f>
        <v>28.1</v>
      </c>
      <c r="G4762" s="7" t="n">
        <v>1</v>
      </c>
      <c r="H4762" s="9" t="n">
        <f aca="false">IF(G4762&gt;0,D4762/G4762,"")</f>
        <v>20</v>
      </c>
      <c r="I4762" s="10" t="n">
        <v>46309</v>
      </c>
      <c r="J4762" s="3" t="s">
        <v>4580</v>
      </c>
      <c r="K4762" s="10" t="n">
        <v>45215</v>
      </c>
      <c r="L4762" s="3" t="s">
        <v>14</v>
      </c>
      <c r="M4762" s="7" t="n">
        <v>50</v>
      </c>
      <c r="N4762" s="8" t="n">
        <v>1.4052</v>
      </c>
      <c r="O4762" s="4" t="n">
        <f aca="false">M4762*N4762</f>
        <v>70.26</v>
      </c>
    </row>
    <row r="4763" customFormat="false" ht="15" hidden="false" customHeight="false" outlineLevel="0" collapsed="false">
      <c r="A4763" s="0" t="s">
        <v>6399</v>
      </c>
      <c r="C4763" s="0" t="s">
        <v>31</v>
      </c>
      <c r="D4763" s="7" t="n">
        <v>2300</v>
      </c>
      <c r="E4763" s="8" t="n">
        <v>0.0122</v>
      </c>
      <c r="F4763" s="4" t="n">
        <f aca="false">D4763*E4763</f>
        <v>28.06</v>
      </c>
      <c r="G4763" s="7" t="n">
        <v>200</v>
      </c>
      <c r="H4763" s="9" t="n">
        <f aca="false">IF(G4763&gt;0,D4763/G4763,"")</f>
        <v>11.5</v>
      </c>
      <c r="I4763" s="10" t="n">
        <v>46308</v>
      </c>
      <c r="J4763" s="3" t="s">
        <v>3412</v>
      </c>
      <c r="K4763" s="10" t="n">
        <v>46303</v>
      </c>
      <c r="L4763" s="3" t="s">
        <v>19</v>
      </c>
      <c r="M4763" s="7" t="n">
        <v>2500</v>
      </c>
      <c r="N4763" s="8" t="n">
        <v>0.0122</v>
      </c>
      <c r="O4763" s="4" t="n">
        <f aca="false">M4763*N4763</f>
        <v>30.5</v>
      </c>
    </row>
    <row r="4764" customFormat="false" ht="15" hidden="false" customHeight="false" outlineLevel="0" collapsed="false">
      <c r="A4764" s="0" t="s">
        <v>6400</v>
      </c>
      <c r="C4764" s="0" t="s">
        <v>583</v>
      </c>
      <c r="D4764" s="7" t="n">
        <v>2299</v>
      </c>
      <c r="E4764" s="8" t="n">
        <v>0.0121966072205307</v>
      </c>
      <c r="F4764" s="4" t="n">
        <f aca="false">D4764*E4764</f>
        <v>28.04</v>
      </c>
      <c r="G4764" s="7" t="n">
        <v>2251</v>
      </c>
      <c r="H4764" s="9" t="n">
        <f aca="false">IF(G4764&gt;0,D4764/G4764,"")</f>
        <v>1.02132385606397</v>
      </c>
      <c r="I4764" s="10" t="n">
        <v>46315</v>
      </c>
      <c r="J4764" s="3" t="s">
        <v>940</v>
      </c>
      <c r="K4764" s="10" t="n">
        <v>46231</v>
      </c>
      <c r="L4764" s="3" t="s">
        <v>16</v>
      </c>
      <c r="M4764" s="7" t="n">
        <v>2500</v>
      </c>
      <c r="N4764" s="8" t="n">
        <v>0.0122</v>
      </c>
      <c r="O4764" s="4" t="n">
        <f aca="false">M4764*N4764</f>
        <v>30.5</v>
      </c>
    </row>
    <row r="4765" customFormat="false" ht="15" hidden="false" customHeight="false" outlineLevel="0" collapsed="false">
      <c r="A4765" s="0" t="s">
        <v>6401</v>
      </c>
      <c r="C4765" s="0" t="s">
        <v>166</v>
      </c>
      <c r="D4765" s="7" t="n">
        <v>26</v>
      </c>
      <c r="E4765" s="8" t="n">
        <v>1.07769230769231</v>
      </c>
      <c r="F4765" s="4" t="n">
        <f aca="false">D4765*E4765</f>
        <v>28.02</v>
      </c>
      <c r="G4765" s="7" t="n">
        <v>1</v>
      </c>
      <c r="H4765" s="9" t="n">
        <f aca="false">IF(G4765&gt;0,D4765/G4765,"")</f>
        <v>26</v>
      </c>
      <c r="I4765" s="10" t="n">
        <v>46093</v>
      </c>
      <c r="K4765" s="10"/>
      <c r="M4765" s="7"/>
      <c r="N4765" s="8"/>
      <c r="O4765" s="4"/>
    </row>
    <row r="4766" customFormat="false" ht="15" hidden="false" customHeight="false" outlineLevel="0" collapsed="false">
      <c r="A4766" s="0" t="s">
        <v>6402</v>
      </c>
      <c r="C4766" s="0" t="s">
        <v>34</v>
      </c>
      <c r="D4766" s="7" t="n">
        <v>495</v>
      </c>
      <c r="E4766" s="8" t="n">
        <v>0.0566060606060606</v>
      </c>
      <c r="F4766" s="4" t="n">
        <f aca="false">D4766*E4766</f>
        <v>28.02</v>
      </c>
      <c r="G4766" s="7" t="n">
        <v>4</v>
      </c>
      <c r="H4766" s="9" t="n">
        <f aca="false">IF(G4766&gt;0,D4766/G4766,"")</f>
        <v>123.75</v>
      </c>
      <c r="I4766" s="10" t="n">
        <v>46066</v>
      </c>
      <c r="J4766" s="3" t="s">
        <v>90</v>
      </c>
      <c r="K4766" s="10" t="n">
        <v>46055</v>
      </c>
      <c r="L4766" s="3" t="s">
        <v>16</v>
      </c>
      <c r="M4766" s="7" t="n">
        <v>495</v>
      </c>
      <c r="N4766" s="8" t="n">
        <v>0.0566</v>
      </c>
      <c r="O4766" s="4" t="n">
        <f aca="false">M4766*N4766</f>
        <v>28.017</v>
      </c>
    </row>
    <row r="4767" customFormat="false" ht="15" hidden="false" customHeight="false" outlineLevel="0" collapsed="false">
      <c r="A4767" s="0" t="s">
        <v>6403</v>
      </c>
      <c r="C4767" s="0" t="s">
        <v>285</v>
      </c>
      <c r="D4767" s="7" t="n">
        <v>343</v>
      </c>
      <c r="E4767" s="8" t="n">
        <v>0.0816326530612245</v>
      </c>
      <c r="F4767" s="4" t="n">
        <f aca="false">D4767*E4767</f>
        <v>28</v>
      </c>
      <c r="G4767" s="7" t="n">
        <v>12</v>
      </c>
      <c r="H4767" s="9" t="n">
        <f aca="false">IF(G4767&gt;0,D4767/G4767,"")</f>
        <v>28.5833333333333</v>
      </c>
      <c r="I4767" s="10" t="n">
        <v>46008</v>
      </c>
      <c r="J4767" s="3" t="s">
        <v>947</v>
      </c>
      <c r="K4767" s="10" t="n">
        <v>45469</v>
      </c>
      <c r="L4767" s="3" t="s">
        <v>15</v>
      </c>
      <c r="M4767" s="7" t="n">
        <v>2380</v>
      </c>
      <c r="N4767" s="8" t="n">
        <v>0.08164</v>
      </c>
      <c r="O4767" s="4" t="n">
        <f aca="false">M4767*N4767</f>
        <v>194.3032</v>
      </c>
    </row>
    <row r="4768" customFormat="false" ht="15" hidden="false" customHeight="false" outlineLevel="0" collapsed="false">
      <c r="A4768" s="0" t="s">
        <v>6404</v>
      </c>
      <c r="C4768" s="0" t="s">
        <v>295</v>
      </c>
      <c r="D4768" s="7" t="n">
        <v>220</v>
      </c>
      <c r="E4768" s="8" t="n">
        <v>0.127227272727273</v>
      </c>
      <c r="F4768" s="4" t="n">
        <f aca="false">D4768*E4768</f>
        <v>27.99</v>
      </c>
      <c r="G4768" s="7" t="n">
        <v>50</v>
      </c>
      <c r="H4768" s="9" t="n">
        <f aca="false">IF(G4768&gt;0,D4768/G4768,"")</f>
        <v>4.4</v>
      </c>
      <c r="I4768" s="10" t="n">
        <v>46213</v>
      </c>
      <c r="K4768" s="10"/>
      <c r="M4768" s="7"/>
      <c r="N4768" s="8"/>
      <c r="O4768" s="4"/>
    </row>
    <row r="4769" customFormat="false" ht="15" hidden="false" customHeight="false" outlineLevel="0" collapsed="false">
      <c r="A4769" s="0" t="s">
        <v>6405</v>
      </c>
      <c r="C4769" s="0" t="s">
        <v>462</v>
      </c>
      <c r="D4769" s="7" t="n">
        <v>848</v>
      </c>
      <c r="E4769" s="8" t="n">
        <v>0.0329952830188679</v>
      </c>
      <c r="F4769" s="4" t="n">
        <f aca="false">D4769*E4769</f>
        <v>27.98</v>
      </c>
      <c r="G4769" s="7" t="n">
        <v>243</v>
      </c>
      <c r="H4769" s="9" t="n">
        <f aca="false">IF(G4769&gt;0,D4769/G4769,"")</f>
        <v>3.48971193415638</v>
      </c>
      <c r="I4769" s="10" t="n">
        <v>46265</v>
      </c>
      <c r="K4769" s="10"/>
      <c r="M4769" s="7"/>
      <c r="N4769" s="8"/>
      <c r="O4769" s="4"/>
    </row>
    <row r="4770" customFormat="false" ht="15" hidden="false" customHeight="false" outlineLevel="0" collapsed="false">
      <c r="A4770" s="0" t="s">
        <v>6406</v>
      </c>
      <c r="C4770" s="0" t="s">
        <v>5091</v>
      </c>
      <c r="D4770" s="7" t="n">
        <v>57</v>
      </c>
      <c r="E4770" s="8" t="n">
        <v>0.490526315789474</v>
      </c>
      <c r="F4770" s="4" t="n">
        <f aca="false">D4770*E4770</f>
        <v>27.96</v>
      </c>
      <c r="G4770" s="7" t="n">
        <v>4</v>
      </c>
      <c r="H4770" s="9" t="n">
        <f aca="false">IF(G4770&gt;0,D4770/G4770,"")</f>
        <v>14.25</v>
      </c>
      <c r="I4770" s="10" t="n">
        <v>46192</v>
      </c>
      <c r="K4770" s="10"/>
      <c r="M4770" s="7"/>
      <c r="N4770" s="8"/>
      <c r="O4770" s="4"/>
    </row>
    <row r="4771" customFormat="false" ht="15" hidden="false" customHeight="false" outlineLevel="0" collapsed="false">
      <c r="A4771" s="0" t="s">
        <v>6407</v>
      </c>
      <c r="C4771" s="0" t="s">
        <v>34</v>
      </c>
      <c r="D4771" s="7" t="n">
        <v>1141</v>
      </c>
      <c r="E4771" s="8" t="n">
        <v>0.0244960560911481</v>
      </c>
      <c r="F4771" s="4" t="n">
        <f aca="false">D4771*E4771</f>
        <v>27.95</v>
      </c>
      <c r="G4771" s="7" t="n">
        <v>986</v>
      </c>
      <c r="H4771" s="9" t="n">
        <f aca="false">IF(G4771&gt;0,D4771/G4771,"")</f>
        <v>1.15720081135903</v>
      </c>
      <c r="I4771" s="10" t="n">
        <v>46252</v>
      </c>
      <c r="J4771" s="3" t="s">
        <v>6408</v>
      </c>
      <c r="K4771" s="10" t="n">
        <v>44464</v>
      </c>
      <c r="L4771" s="3" t="s">
        <v>19</v>
      </c>
      <c r="M4771" s="7" t="n">
        <v>13262</v>
      </c>
      <c r="N4771" s="8" t="n">
        <v>0.0245</v>
      </c>
      <c r="O4771" s="4" t="n">
        <f aca="false">M4771*N4771</f>
        <v>324.919</v>
      </c>
    </row>
    <row r="4772" customFormat="false" ht="15" hidden="false" customHeight="false" outlineLevel="0" collapsed="false">
      <c r="A4772" s="0" t="s">
        <v>6409</v>
      </c>
      <c r="C4772" s="0" t="s">
        <v>37</v>
      </c>
      <c r="D4772" s="7" t="n">
        <v>42</v>
      </c>
      <c r="E4772" s="8" t="n">
        <v>0.664761904761905</v>
      </c>
      <c r="F4772" s="4" t="n">
        <f aca="false">D4772*E4772</f>
        <v>27.92</v>
      </c>
      <c r="G4772" s="7" t="n">
        <v>10</v>
      </c>
      <c r="H4772" s="9" t="n">
        <f aca="false">IF(G4772&gt;0,D4772/G4772,"")</f>
        <v>4.2</v>
      </c>
      <c r="I4772" s="10" t="n">
        <v>46247</v>
      </c>
      <c r="J4772" s="3" t="s">
        <v>341</v>
      </c>
      <c r="K4772" s="10" t="n">
        <v>46078</v>
      </c>
      <c r="L4772" s="3" t="s">
        <v>15</v>
      </c>
      <c r="M4772" s="7" t="n">
        <v>52</v>
      </c>
      <c r="N4772" s="8" t="n">
        <v>0.66488</v>
      </c>
      <c r="O4772" s="4" t="n">
        <f aca="false">M4772*N4772</f>
        <v>34.57376</v>
      </c>
    </row>
    <row r="4773" customFormat="false" ht="15" hidden="false" customHeight="false" outlineLevel="0" collapsed="false">
      <c r="A4773" s="0" t="s">
        <v>6410</v>
      </c>
      <c r="C4773" s="0" t="s">
        <v>1010</v>
      </c>
      <c r="D4773" s="7" t="n">
        <v>702</v>
      </c>
      <c r="E4773" s="8" t="n">
        <v>0.0397150997150997</v>
      </c>
      <c r="F4773" s="4" t="n">
        <f aca="false">D4773*E4773</f>
        <v>27.88</v>
      </c>
      <c r="G4773" s="7" t="n">
        <v>20</v>
      </c>
      <c r="H4773" s="9" t="n">
        <f aca="false">IF(G4773&gt;0,D4773/G4773,"")</f>
        <v>35.1</v>
      </c>
      <c r="I4773" s="10" t="n">
        <v>46111</v>
      </c>
      <c r="J4773" s="3" t="s">
        <v>628</v>
      </c>
      <c r="K4773" s="10" t="n">
        <v>46128</v>
      </c>
      <c r="L4773" s="3" t="s">
        <v>16</v>
      </c>
      <c r="M4773" s="7" t="n">
        <v>675</v>
      </c>
      <c r="N4773" s="8" t="n">
        <v>0.0381</v>
      </c>
      <c r="O4773" s="4" t="n">
        <f aca="false">M4773*N4773</f>
        <v>25.7175</v>
      </c>
    </row>
    <row r="4774" customFormat="false" ht="15" hidden="false" customHeight="false" outlineLevel="0" collapsed="false">
      <c r="A4774" s="0" t="s">
        <v>6411</v>
      </c>
      <c r="C4774" s="0" t="s">
        <v>40</v>
      </c>
      <c r="D4774" s="7" t="n">
        <v>367</v>
      </c>
      <c r="E4774" s="8" t="n">
        <v>0.0758038147138965</v>
      </c>
      <c r="F4774" s="4" t="n">
        <f aca="false">D4774*E4774</f>
        <v>27.82</v>
      </c>
      <c r="G4774" s="7" t="n">
        <v>361</v>
      </c>
      <c r="H4774" s="9" t="n">
        <f aca="false">IF(G4774&gt;0,D4774/G4774,"")</f>
        <v>1.01662049861496</v>
      </c>
      <c r="I4774" s="10" t="n">
        <v>46211</v>
      </c>
      <c r="J4774" s="3" t="s">
        <v>1746</v>
      </c>
      <c r="K4774" s="10" t="n">
        <v>44587</v>
      </c>
      <c r="L4774" s="3" t="s">
        <v>18</v>
      </c>
      <c r="M4774" s="7" t="n">
        <v>1308</v>
      </c>
      <c r="N4774" s="8" t="n">
        <v>0.0775</v>
      </c>
      <c r="O4774" s="4" t="n">
        <v>100.75</v>
      </c>
    </row>
    <row r="4775" customFormat="false" ht="15" hidden="false" customHeight="false" outlineLevel="0" collapsed="false">
      <c r="A4775" s="0" t="s">
        <v>6412</v>
      </c>
      <c r="C4775" s="0" t="s">
        <v>31</v>
      </c>
      <c r="D4775" s="7" t="n">
        <v>198</v>
      </c>
      <c r="E4775" s="8" t="n">
        <v>0.140505050505051</v>
      </c>
      <c r="F4775" s="4" t="n">
        <f aca="false">D4775*E4775</f>
        <v>27.82</v>
      </c>
      <c r="G4775" s="7" t="n">
        <v>5</v>
      </c>
      <c r="H4775" s="9" t="n">
        <f aca="false">IF(G4775&gt;0,D4775/G4775,"")</f>
        <v>39.6</v>
      </c>
      <c r="I4775" s="10" t="n">
        <v>46150</v>
      </c>
      <c r="J4775" s="3" t="s">
        <v>6413</v>
      </c>
      <c r="K4775" s="10" t="n">
        <v>44267</v>
      </c>
      <c r="L4775" s="3" t="s">
        <v>19</v>
      </c>
      <c r="M4775" s="7" t="n">
        <v>250</v>
      </c>
      <c r="N4775" s="8" t="n">
        <v>0.1404</v>
      </c>
      <c r="O4775" s="4" t="n">
        <f aca="false">M4775*N4775</f>
        <v>35.1</v>
      </c>
    </row>
    <row r="4776" customFormat="false" ht="15" hidden="false" customHeight="false" outlineLevel="0" collapsed="false">
      <c r="A4776" s="0" t="s">
        <v>6414</v>
      </c>
      <c r="C4776" s="0" t="s">
        <v>765</v>
      </c>
      <c r="D4776" s="7" t="n">
        <v>1140</v>
      </c>
      <c r="E4776" s="8" t="n">
        <v>0.0243947368421053</v>
      </c>
      <c r="F4776" s="4" t="n">
        <f aca="false">D4776*E4776</f>
        <v>27.81</v>
      </c>
      <c r="G4776" s="7" t="n">
        <v>297</v>
      </c>
      <c r="H4776" s="9" t="n">
        <f aca="false">IF(G4776&gt;0,D4776/G4776,"")</f>
        <v>3.83838383838384</v>
      </c>
      <c r="I4776" s="10" t="n">
        <v>46252</v>
      </c>
      <c r="J4776" s="3" t="s">
        <v>3371</v>
      </c>
      <c r="K4776" s="10" t="n">
        <v>45405</v>
      </c>
      <c r="L4776" s="3" t="s">
        <v>19</v>
      </c>
      <c r="M4776" s="7" t="n">
        <v>2500</v>
      </c>
      <c r="N4776" s="8" t="n">
        <v>0.0244</v>
      </c>
      <c r="O4776" s="4" t="n">
        <f aca="false">M4776*N4776</f>
        <v>61</v>
      </c>
    </row>
    <row r="4777" customFormat="false" ht="15" hidden="false" customHeight="false" outlineLevel="0" collapsed="false">
      <c r="A4777" s="0" t="s">
        <v>6415</v>
      </c>
      <c r="C4777" s="0" t="s">
        <v>34</v>
      </c>
      <c r="D4777" s="7" t="n">
        <v>601</v>
      </c>
      <c r="E4777" s="8" t="n">
        <v>0.0462728785357737</v>
      </c>
      <c r="F4777" s="4" t="n">
        <f aca="false">D4777*E4777</f>
        <v>27.81</v>
      </c>
      <c r="G4777" s="7" t="n">
        <v>10</v>
      </c>
      <c r="H4777" s="9" t="n">
        <f aca="false">IF(G4777&gt;0,D4777/G4777,"")</f>
        <v>60.1</v>
      </c>
      <c r="I4777" s="10" t="n">
        <v>46027</v>
      </c>
      <c r="J4777" s="3" t="s">
        <v>6416</v>
      </c>
      <c r="K4777" s="10" t="n">
        <v>46317</v>
      </c>
      <c r="L4777" s="3" t="s">
        <v>16</v>
      </c>
      <c r="M4777" s="7" t="n">
        <v>4000</v>
      </c>
      <c r="N4777" s="8" t="n">
        <v>0.015</v>
      </c>
      <c r="O4777" s="4" t="n">
        <f aca="false">M4777*N4777</f>
        <v>60</v>
      </c>
    </row>
    <row r="4778" customFormat="false" ht="15" hidden="false" customHeight="false" outlineLevel="0" collapsed="false">
      <c r="A4778" s="0" t="s">
        <v>6417</v>
      </c>
      <c r="C4778" s="0" t="s">
        <v>37</v>
      </c>
      <c r="D4778" s="7" t="n">
        <v>377</v>
      </c>
      <c r="E4778" s="8" t="n">
        <v>0.0736870026525199</v>
      </c>
      <c r="F4778" s="4" t="n">
        <f aca="false">D4778*E4778</f>
        <v>27.78</v>
      </c>
      <c r="G4778" s="7" t="n">
        <v>23</v>
      </c>
      <c r="H4778" s="9" t="n">
        <f aca="false">IF(G4778&gt;0,D4778/G4778,"")</f>
        <v>16.3913043478261</v>
      </c>
      <c r="I4778" s="10" t="n">
        <v>46006</v>
      </c>
      <c r="J4778" s="3" t="s">
        <v>6418</v>
      </c>
      <c r="K4778" s="10" t="n">
        <v>44949</v>
      </c>
      <c r="L4778" s="3" t="s">
        <v>19</v>
      </c>
      <c r="M4778" s="7" t="n">
        <v>800</v>
      </c>
      <c r="N4778" s="8" t="n">
        <v>0.0737</v>
      </c>
      <c r="O4778" s="4" t="n">
        <f aca="false">M4778*N4778</f>
        <v>58.96</v>
      </c>
    </row>
    <row r="4779" customFormat="false" ht="15" hidden="false" customHeight="false" outlineLevel="0" collapsed="false">
      <c r="A4779" s="0" t="s">
        <v>6419</v>
      </c>
      <c r="C4779" s="0" t="s">
        <v>715</v>
      </c>
      <c r="D4779" s="7" t="n">
        <v>191</v>
      </c>
      <c r="E4779" s="8" t="n">
        <v>0.145130890052356</v>
      </c>
      <c r="F4779" s="4" t="n">
        <f aca="false">D4779*E4779</f>
        <v>27.72</v>
      </c>
      <c r="G4779" s="7" t="n">
        <v>10</v>
      </c>
      <c r="H4779" s="9" t="n">
        <f aca="false">IF(G4779&gt;0,D4779/G4779,"")</f>
        <v>19.1</v>
      </c>
      <c r="I4779" s="10" t="n">
        <v>46073</v>
      </c>
      <c r="J4779" s="3" t="s">
        <v>1986</v>
      </c>
      <c r="K4779" s="10" t="n">
        <v>46052</v>
      </c>
      <c r="L4779" s="3" t="s">
        <v>16</v>
      </c>
      <c r="M4779" s="7" t="n">
        <v>200</v>
      </c>
      <c r="N4779" s="8" t="n">
        <v>0.1451</v>
      </c>
      <c r="O4779" s="4" t="n">
        <f aca="false">M4779*N4779</f>
        <v>29.02</v>
      </c>
    </row>
    <row r="4780" customFormat="false" ht="15" hidden="false" customHeight="false" outlineLevel="0" collapsed="false">
      <c r="A4780" s="0" t="s">
        <v>6420</v>
      </c>
      <c r="C4780" s="0" t="s">
        <v>31</v>
      </c>
      <c r="D4780" s="7" t="n">
        <v>32</v>
      </c>
      <c r="E4780" s="8" t="n">
        <v>0.8659375</v>
      </c>
      <c r="F4780" s="4" t="n">
        <f aca="false">D4780*E4780</f>
        <v>27.71</v>
      </c>
      <c r="G4780" s="7" t="n">
        <v>2</v>
      </c>
      <c r="H4780" s="9" t="n">
        <f aca="false">IF(G4780&gt;0,D4780/G4780,"")</f>
        <v>16</v>
      </c>
      <c r="I4780" s="10" t="n">
        <v>46014</v>
      </c>
      <c r="J4780" s="3" t="s">
        <v>6421</v>
      </c>
      <c r="K4780" s="10" t="n">
        <v>45314</v>
      </c>
      <c r="L4780" s="3" t="s">
        <v>2203</v>
      </c>
      <c r="M4780" s="7" t="n">
        <v>50</v>
      </c>
      <c r="N4780" s="8" t="n">
        <v>0.866</v>
      </c>
      <c r="O4780" s="4" t="n">
        <f aca="false">M4780*N4780</f>
        <v>43.3</v>
      </c>
    </row>
    <row r="4781" customFormat="false" ht="15" hidden="false" customHeight="false" outlineLevel="0" collapsed="false">
      <c r="A4781" s="0" t="s">
        <v>6422</v>
      </c>
      <c r="C4781" s="0" t="s">
        <v>741</v>
      </c>
      <c r="D4781" s="7" t="n">
        <v>38</v>
      </c>
      <c r="E4781" s="8" t="n">
        <v>0.728947368421053</v>
      </c>
      <c r="F4781" s="4" t="n">
        <f aca="false">D4781*E4781</f>
        <v>27.7</v>
      </c>
      <c r="G4781" s="7" t="n">
        <v>5</v>
      </c>
      <c r="H4781" s="9" t="n">
        <f aca="false">IF(G4781&gt;0,D4781/G4781,"")</f>
        <v>7.6</v>
      </c>
      <c r="I4781" s="10" t="n">
        <v>46122</v>
      </c>
      <c r="K4781" s="10"/>
      <c r="M4781" s="7"/>
      <c r="N4781" s="8"/>
      <c r="O4781" s="4"/>
    </row>
    <row r="4782" customFormat="false" ht="15" hidden="false" customHeight="false" outlineLevel="0" collapsed="false">
      <c r="A4782" s="0" t="s">
        <v>6423</v>
      </c>
      <c r="C4782" s="0" t="s">
        <v>39</v>
      </c>
      <c r="D4782" s="7" t="n">
        <v>8</v>
      </c>
      <c r="E4782" s="8" t="n">
        <v>3.4625</v>
      </c>
      <c r="F4782" s="4" t="n">
        <f aca="false">D4782*E4782</f>
        <v>27.7</v>
      </c>
      <c r="G4782" s="7" t="n">
        <v>1</v>
      </c>
      <c r="H4782" s="9" t="n">
        <f aca="false">IF(G4782&gt;0,D4782/G4782,"")</f>
        <v>8</v>
      </c>
      <c r="I4782" s="10" t="n">
        <v>46101</v>
      </c>
      <c r="J4782" s="3" t="s">
        <v>4270</v>
      </c>
      <c r="K4782" s="10" t="n">
        <v>46092</v>
      </c>
      <c r="L4782" s="3" t="s">
        <v>18</v>
      </c>
      <c r="M4782" s="7" t="n">
        <v>9</v>
      </c>
      <c r="N4782" s="8" t="n">
        <v>3.4626</v>
      </c>
      <c r="O4782" s="4" t="n">
        <f aca="false">M4782*N4782</f>
        <v>31.1634</v>
      </c>
    </row>
    <row r="4783" customFormat="false" ht="15" hidden="false" customHeight="false" outlineLevel="0" collapsed="false">
      <c r="A4783" s="0" t="s">
        <v>6424</v>
      </c>
      <c r="C4783" s="0" t="s">
        <v>295</v>
      </c>
      <c r="D4783" s="7" t="n">
        <v>312</v>
      </c>
      <c r="E4783" s="8" t="n">
        <v>0.08875</v>
      </c>
      <c r="F4783" s="4" t="n">
        <f aca="false">D4783*E4783</f>
        <v>27.69</v>
      </c>
      <c r="G4783" s="7" t="n">
        <v>98</v>
      </c>
      <c r="H4783" s="9" t="n">
        <f aca="false">IF(G4783&gt;0,D4783/G4783,"")</f>
        <v>3.18367346938776</v>
      </c>
      <c r="I4783" s="10" t="n">
        <v>46216</v>
      </c>
      <c r="J4783" s="3" t="s">
        <v>6425</v>
      </c>
      <c r="K4783" s="10" t="n">
        <v>44839</v>
      </c>
      <c r="L4783" s="3" t="s">
        <v>19</v>
      </c>
      <c r="M4783" s="7" t="n">
        <v>650</v>
      </c>
      <c r="N4783" s="8" t="n">
        <v>0.0888</v>
      </c>
      <c r="O4783" s="4" t="n">
        <f aca="false">M4783*N4783</f>
        <v>57.72</v>
      </c>
    </row>
    <row r="4784" customFormat="false" ht="15" hidden="false" customHeight="false" outlineLevel="0" collapsed="false">
      <c r="A4784" s="0" t="s">
        <v>6426</v>
      </c>
      <c r="C4784" s="0" t="s">
        <v>979</v>
      </c>
      <c r="D4784" s="7" t="n">
        <v>2</v>
      </c>
      <c r="E4784" s="8" t="n">
        <v>13.825</v>
      </c>
      <c r="F4784" s="4" t="n">
        <f aca="false">D4784*E4784</f>
        <v>27.65</v>
      </c>
      <c r="G4784" s="7" t="n">
        <v>1</v>
      </c>
      <c r="H4784" s="9" t="n">
        <f aca="false">IF(G4784&gt;0,D4784/G4784,"")</f>
        <v>2</v>
      </c>
      <c r="I4784" s="10" t="n">
        <v>46122</v>
      </c>
      <c r="J4784" s="3" t="s">
        <v>6427</v>
      </c>
      <c r="K4784" s="10" t="n">
        <v>46112</v>
      </c>
      <c r="L4784" s="3" t="s">
        <v>28</v>
      </c>
      <c r="M4784" s="7" t="n">
        <v>3</v>
      </c>
      <c r="N4784" s="8" t="n">
        <v>13.8238</v>
      </c>
      <c r="O4784" s="4" t="n">
        <f aca="false">M4784*N4784</f>
        <v>41.4714</v>
      </c>
    </row>
    <row r="4785" customFormat="false" ht="15" hidden="false" customHeight="false" outlineLevel="0" collapsed="false">
      <c r="A4785" s="0" t="s">
        <v>6428</v>
      </c>
      <c r="C4785" s="0" t="s">
        <v>398</v>
      </c>
      <c r="D4785" s="7" t="n">
        <v>378</v>
      </c>
      <c r="E4785" s="8" t="n">
        <v>0.0730687830687831</v>
      </c>
      <c r="F4785" s="4" t="n">
        <f aca="false">D4785*E4785</f>
        <v>27.62</v>
      </c>
      <c r="G4785" s="7" t="n">
        <v>22</v>
      </c>
      <c r="H4785" s="9" t="n">
        <f aca="false">IF(G4785&gt;0,D4785/G4785,"")</f>
        <v>17.1818181818182</v>
      </c>
      <c r="I4785" s="10" t="n">
        <v>46286</v>
      </c>
      <c r="K4785" s="10"/>
      <c r="M4785" s="7"/>
      <c r="N4785" s="8"/>
      <c r="O4785" s="4"/>
    </row>
    <row r="4786" customFormat="false" ht="15" hidden="false" customHeight="false" outlineLevel="0" collapsed="false">
      <c r="A4786" s="0" t="s">
        <v>6429</v>
      </c>
      <c r="C4786" s="0" t="s">
        <v>715</v>
      </c>
      <c r="D4786" s="7" t="n">
        <v>258</v>
      </c>
      <c r="E4786" s="8" t="n">
        <v>0.107015503875969</v>
      </c>
      <c r="F4786" s="4" t="n">
        <f aca="false">D4786*E4786</f>
        <v>27.61</v>
      </c>
      <c r="G4786" s="7" t="n">
        <v>168</v>
      </c>
      <c r="H4786" s="9" t="n">
        <f aca="false">IF(G4786&gt;0,D4786/G4786,"")</f>
        <v>1.53571428571429</v>
      </c>
      <c r="I4786" s="10" t="n">
        <v>46029</v>
      </c>
      <c r="J4786" s="3" t="s">
        <v>6430</v>
      </c>
      <c r="K4786" s="10" t="n">
        <v>46013</v>
      </c>
      <c r="L4786" s="3" t="s">
        <v>19</v>
      </c>
      <c r="M4786" s="7" t="n">
        <v>270</v>
      </c>
      <c r="N4786" s="8" t="n">
        <v>0.107</v>
      </c>
      <c r="O4786" s="4" t="n">
        <f aca="false">M4786*N4786</f>
        <v>28.89</v>
      </c>
    </row>
    <row r="4787" customFormat="false" ht="15" hidden="false" customHeight="false" outlineLevel="0" collapsed="false">
      <c r="A4787" s="0" t="s">
        <v>6431</v>
      </c>
      <c r="C4787" s="0" t="s">
        <v>31</v>
      </c>
      <c r="D4787" s="7" t="n">
        <v>3834</v>
      </c>
      <c r="E4787" s="8" t="n">
        <v>0.00719613980177361</v>
      </c>
      <c r="F4787" s="4" t="n">
        <f aca="false">D4787*E4787</f>
        <v>27.59</v>
      </c>
      <c r="G4787" s="7" t="n">
        <v>498</v>
      </c>
      <c r="H4787" s="9" t="n">
        <f aca="false">IF(G4787&gt;0,D4787/G4787,"")</f>
        <v>7.69879518072289</v>
      </c>
      <c r="I4787" s="10" t="n">
        <v>46311</v>
      </c>
      <c r="J4787" s="3" t="s">
        <v>6432</v>
      </c>
      <c r="K4787" s="10" t="n">
        <v>44459</v>
      </c>
      <c r="L4787" s="3" t="s">
        <v>19</v>
      </c>
      <c r="M4787" s="7" t="n">
        <v>5330</v>
      </c>
      <c r="N4787" s="8" t="n">
        <v>0.0079</v>
      </c>
      <c r="O4787" s="4" t="n">
        <v>39.5</v>
      </c>
    </row>
    <row r="4788" customFormat="false" ht="15" hidden="false" customHeight="false" outlineLevel="0" collapsed="false">
      <c r="A4788" s="0" t="s">
        <v>6433</v>
      </c>
      <c r="C4788" s="0" t="s">
        <v>31</v>
      </c>
      <c r="D4788" s="7" t="n">
        <v>989</v>
      </c>
      <c r="E4788" s="8" t="n">
        <v>0.02788675429727</v>
      </c>
      <c r="F4788" s="4" t="n">
        <f aca="false">D4788*E4788</f>
        <v>27.58</v>
      </c>
      <c r="G4788" s="7" t="n">
        <v>144</v>
      </c>
      <c r="H4788" s="9" t="n">
        <f aca="false">IF(G4788&gt;0,D4788/G4788,"")</f>
        <v>6.86805555555556</v>
      </c>
      <c r="I4788" s="10" t="n">
        <v>46141</v>
      </c>
      <c r="J4788" s="3" t="s">
        <v>6434</v>
      </c>
      <c r="K4788" s="10" t="n">
        <v>44231</v>
      </c>
      <c r="L4788" s="3" t="s">
        <v>14</v>
      </c>
      <c r="M4788" s="7" t="n">
        <v>50</v>
      </c>
      <c r="N4788" s="8" t="n">
        <v>0.1587</v>
      </c>
      <c r="O4788" s="4" t="n">
        <f aca="false">M4788*N4788</f>
        <v>7.935</v>
      </c>
    </row>
    <row r="4789" customFormat="false" ht="15" hidden="false" customHeight="false" outlineLevel="0" collapsed="false">
      <c r="A4789" s="0" t="s">
        <v>6435</v>
      </c>
      <c r="C4789" s="0" t="s">
        <v>34</v>
      </c>
      <c r="D4789" s="7" t="n">
        <v>1839</v>
      </c>
      <c r="E4789" s="8" t="n">
        <v>0.0149972811310495</v>
      </c>
      <c r="F4789" s="4" t="n">
        <f aca="false">D4789*E4789</f>
        <v>27.58</v>
      </c>
      <c r="G4789" s="7" t="n">
        <v>750</v>
      </c>
      <c r="H4789" s="9" t="n">
        <f aca="false">IF(G4789&gt;0,D4789/G4789,"")</f>
        <v>2.452</v>
      </c>
      <c r="I4789" s="10" t="n">
        <v>46281</v>
      </c>
      <c r="J4789" s="3" t="s">
        <v>531</v>
      </c>
      <c r="K4789" s="10" t="n">
        <v>45782</v>
      </c>
      <c r="L4789" s="3" t="s">
        <v>14</v>
      </c>
      <c r="M4789" s="7" t="n">
        <v>200</v>
      </c>
      <c r="N4789" s="8" t="n">
        <v>0.117</v>
      </c>
      <c r="O4789" s="4" t="n">
        <f aca="false">M4789*N4789</f>
        <v>23.4</v>
      </c>
    </row>
    <row r="4790" customFormat="false" ht="15" hidden="false" customHeight="false" outlineLevel="0" collapsed="false">
      <c r="A4790" s="0" t="s">
        <v>6436</v>
      </c>
      <c r="C4790" s="0" t="s">
        <v>715</v>
      </c>
      <c r="D4790" s="7" t="n">
        <v>380</v>
      </c>
      <c r="E4790" s="8" t="n">
        <v>0.0725</v>
      </c>
      <c r="F4790" s="4" t="n">
        <f aca="false">D4790*E4790</f>
        <v>27.55</v>
      </c>
      <c r="G4790" s="7" t="n">
        <v>20</v>
      </c>
      <c r="H4790" s="9" t="n">
        <f aca="false">IF(G4790&gt;0,D4790/G4790,"")</f>
        <v>19</v>
      </c>
      <c r="I4790" s="10" t="n">
        <v>45986</v>
      </c>
      <c r="J4790" s="3" t="s">
        <v>5039</v>
      </c>
      <c r="K4790" s="10" t="n">
        <v>45972</v>
      </c>
      <c r="L4790" s="3" t="s">
        <v>19</v>
      </c>
      <c r="M4790" s="7" t="n">
        <v>400</v>
      </c>
      <c r="N4790" s="8" t="n">
        <v>0.0725</v>
      </c>
      <c r="O4790" s="4" t="n">
        <f aca="false">M4790*N4790</f>
        <v>29</v>
      </c>
    </row>
    <row r="4791" customFormat="false" ht="15" hidden="false" customHeight="false" outlineLevel="0" collapsed="false">
      <c r="A4791" s="0" t="s">
        <v>6437</v>
      </c>
      <c r="C4791" s="0" t="s">
        <v>40</v>
      </c>
      <c r="D4791" s="7" t="n">
        <v>557</v>
      </c>
      <c r="E4791" s="8" t="n">
        <v>0.0494614003590664</v>
      </c>
      <c r="F4791" s="4" t="n">
        <f aca="false">D4791*E4791</f>
        <v>27.55</v>
      </c>
      <c r="G4791" s="7" t="n">
        <v>455</v>
      </c>
      <c r="H4791" s="9" t="n">
        <f aca="false">IF(G4791&gt;0,D4791/G4791,"")</f>
        <v>1.22417582417582</v>
      </c>
      <c r="I4791" s="10" t="n">
        <v>46314</v>
      </c>
      <c r="J4791" s="3" t="s">
        <v>3141</v>
      </c>
      <c r="K4791" s="10" t="n">
        <v>44609</v>
      </c>
      <c r="L4791" s="3" t="s">
        <v>15</v>
      </c>
      <c r="M4791" s="7" t="n">
        <v>2567</v>
      </c>
      <c r="N4791" s="8" t="n">
        <v>0.04916</v>
      </c>
      <c r="O4791" s="4" t="n">
        <f aca="false">M4791*N4791</f>
        <v>126.19372</v>
      </c>
    </row>
    <row r="4792" customFormat="false" ht="15" hidden="false" customHeight="false" outlineLevel="0" collapsed="false">
      <c r="A4792" s="0" t="s">
        <v>6438</v>
      </c>
      <c r="C4792" s="0" t="s">
        <v>398</v>
      </c>
      <c r="D4792" s="7" t="n">
        <v>715</v>
      </c>
      <c r="E4792" s="8" t="n">
        <v>0.0385174825174825</v>
      </c>
      <c r="F4792" s="4" t="n">
        <f aca="false">D4792*E4792</f>
        <v>27.54</v>
      </c>
      <c r="G4792" s="7" t="n">
        <v>535</v>
      </c>
      <c r="H4792" s="9" t="n">
        <f aca="false">IF(G4792&gt;0,D4792/G4792,"")</f>
        <v>1.33644859813084</v>
      </c>
      <c r="I4792" s="10" t="n">
        <v>46311</v>
      </c>
      <c r="K4792" s="10"/>
      <c r="M4792" s="7"/>
      <c r="N4792" s="8"/>
      <c r="O4792" s="4"/>
    </row>
    <row r="4793" customFormat="false" ht="15" hidden="false" customHeight="false" outlineLevel="0" collapsed="false">
      <c r="A4793" s="0" t="s">
        <v>6439</v>
      </c>
      <c r="C4793" s="0" t="s">
        <v>741</v>
      </c>
      <c r="D4793" s="7" t="n">
        <v>172</v>
      </c>
      <c r="E4793" s="8" t="n">
        <v>0.16</v>
      </c>
      <c r="F4793" s="4" t="n">
        <f aca="false">D4793*E4793</f>
        <v>27.52</v>
      </c>
      <c r="G4793" s="7" t="n">
        <v>12</v>
      </c>
      <c r="H4793" s="9" t="n">
        <f aca="false">IF(G4793&gt;0,D4793/G4793,"")</f>
        <v>14.3333333333333</v>
      </c>
      <c r="I4793" s="10" t="n">
        <v>46185</v>
      </c>
      <c r="K4793" s="10"/>
      <c r="M4793" s="7"/>
      <c r="N4793" s="8"/>
      <c r="O4793" s="4"/>
    </row>
    <row r="4794" customFormat="false" ht="15" hidden="false" customHeight="false" outlineLevel="0" collapsed="false">
      <c r="A4794" s="0" t="s">
        <v>6440</v>
      </c>
      <c r="C4794" s="0" t="s">
        <v>34</v>
      </c>
      <c r="D4794" s="7" t="n">
        <v>375</v>
      </c>
      <c r="E4794" s="8" t="n">
        <v>0.0733066666666667</v>
      </c>
      <c r="F4794" s="4" t="n">
        <f aca="false">D4794*E4794</f>
        <v>27.49</v>
      </c>
      <c r="G4794" s="7" t="n">
        <v>173</v>
      </c>
      <c r="H4794" s="9" t="n">
        <f aca="false">IF(G4794&gt;0,D4794/G4794,"")</f>
        <v>2.16763005780347</v>
      </c>
      <c r="I4794" s="10" t="n">
        <v>46205</v>
      </c>
      <c r="J4794" s="3" t="s">
        <v>2719</v>
      </c>
      <c r="K4794" s="10" t="n">
        <v>46049</v>
      </c>
      <c r="L4794" s="3" t="s">
        <v>16</v>
      </c>
      <c r="M4794" s="7" t="n">
        <v>540</v>
      </c>
      <c r="N4794" s="8" t="n">
        <v>0.0733</v>
      </c>
      <c r="O4794" s="4" t="n">
        <f aca="false">M4794*N4794</f>
        <v>39.582</v>
      </c>
    </row>
    <row r="4795" customFormat="false" ht="15" hidden="false" customHeight="false" outlineLevel="0" collapsed="false">
      <c r="A4795" s="0" t="s">
        <v>6441</v>
      </c>
      <c r="C4795" s="0" t="s">
        <v>765</v>
      </c>
      <c r="D4795" s="7" t="n">
        <v>2621</v>
      </c>
      <c r="E4795" s="8" t="n">
        <v>0.0104845478824876</v>
      </c>
      <c r="F4795" s="4" t="n">
        <f aca="false">D4795*E4795</f>
        <v>27.48</v>
      </c>
      <c r="G4795" s="7" t="n">
        <v>158</v>
      </c>
      <c r="H4795" s="9" t="n">
        <f aca="false">IF(G4795&gt;0,D4795/G4795,"")</f>
        <v>16.5886075949367</v>
      </c>
      <c r="I4795" s="10" t="n">
        <v>46181</v>
      </c>
      <c r="K4795" s="10"/>
      <c r="M4795" s="7"/>
      <c r="N4795" s="8"/>
      <c r="O4795" s="4"/>
    </row>
    <row r="4796" customFormat="false" ht="15" hidden="false" customHeight="false" outlineLevel="0" collapsed="false">
      <c r="A4796" s="0" t="s">
        <v>6442</v>
      </c>
      <c r="C4796" s="0" t="s">
        <v>5871</v>
      </c>
      <c r="D4796" s="7" t="n">
        <v>92</v>
      </c>
      <c r="E4796" s="8" t="n">
        <v>0.298586956521739</v>
      </c>
      <c r="F4796" s="4" t="n">
        <f aca="false">D4796*E4796</f>
        <v>27.47</v>
      </c>
      <c r="G4796" s="7" t="n">
        <v>1</v>
      </c>
      <c r="H4796" s="9" t="n">
        <f aca="false">IF(G4796&gt;0,D4796/G4796,"")</f>
        <v>92</v>
      </c>
      <c r="I4796" s="10" t="n">
        <v>46122</v>
      </c>
      <c r="K4796" s="10"/>
      <c r="M4796" s="7"/>
      <c r="N4796" s="8"/>
      <c r="O4796" s="4"/>
    </row>
    <row r="4797" customFormat="false" ht="15" hidden="false" customHeight="false" outlineLevel="0" collapsed="false">
      <c r="A4797" s="0" t="s">
        <v>6443</v>
      </c>
      <c r="C4797" s="0" t="s">
        <v>1010</v>
      </c>
      <c r="D4797" s="7" t="n">
        <v>339</v>
      </c>
      <c r="E4797" s="8" t="n">
        <v>0.0810029498525074</v>
      </c>
      <c r="F4797" s="4" t="n">
        <f aca="false">D4797*E4797</f>
        <v>27.46</v>
      </c>
      <c r="G4797" s="7" t="n">
        <v>71</v>
      </c>
      <c r="H4797" s="9" t="n">
        <f aca="false">IF(G4797&gt;0,D4797/G4797,"")</f>
        <v>4.77464788732394</v>
      </c>
      <c r="I4797" s="10" t="n">
        <v>46265</v>
      </c>
      <c r="K4797" s="10"/>
      <c r="M4797" s="7"/>
      <c r="N4797" s="8"/>
      <c r="O4797" s="4"/>
    </row>
    <row r="4798" customFormat="false" ht="15" hidden="false" customHeight="false" outlineLevel="0" collapsed="false">
      <c r="A4798" s="0" t="s">
        <v>6444</v>
      </c>
      <c r="C4798" s="0" t="s">
        <v>5091</v>
      </c>
      <c r="D4798" s="7" t="n">
        <v>88</v>
      </c>
      <c r="E4798" s="8" t="n">
        <v>0.311704545454546</v>
      </c>
      <c r="F4798" s="4" t="n">
        <f aca="false">D4798*E4798</f>
        <v>27.43</v>
      </c>
      <c r="G4798" s="7" t="n">
        <v>5</v>
      </c>
      <c r="H4798" s="9" t="n">
        <f aca="false">IF(G4798&gt;0,D4798/G4798,"")</f>
        <v>17.6</v>
      </c>
      <c r="I4798" s="10" t="n">
        <v>46000</v>
      </c>
      <c r="K4798" s="10"/>
      <c r="M4798" s="7"/>
      <c r="N4798" s="8"/>
      <c r="O4798" s="4"/>
    </row>
    <row r="4799" customFormat="false" ht="15" hidden="false" customHeight="false" outlineLevel="0" collapsed="false">
      <c r="A4799" s="0" t="s">
        <v>6445</v>
      </c>
      <c r="C4799" s="0" t="s">
        <v>979</v>
      </c>
      <c r="D4799" s="7" t="n">
        <v>25</v>
      </c>
      <c r="E4799" s="8" t="n">
        <v>1.096</v>
      </c>
      <c r="F4799" s="4" t="n">
        <f aca="false">D4799*E4799</f>
        <v>27.4</v>
      </c>
      <c r="G4799" s="7" t="n">
        <v>5</v>
      </c>
      <c r="H4799" s="9" t="n">
        <f aca="false">IF(G4799&gt;0,D4799/G4799,"")</f>
        <v>5</v>
      </c>
      <c r="I4799" s="10" t="n">
        <v>46141</v>
      </c>
      <c r="J4799" s="3" t="s">
        <v>6446</v>
      </c>
      <c r="K4799" s="10" t="n">
        <v>44985</v>
      </c>
      <c r="L4799" s="3" t="s">
        <v>18</v>
      </c>
      <c r="M4799" s="7" t="n">
        <v>61</v>
      </c>
      <c r="N4799" s="8" t="n">
        <v>1.0961</v>
      </c>
      <c r="O4799" s="4" t="n">
        <f aca="false">M4799*N4799</f>
        <v>66.8621</v>
      </c>
    </row>
    <row r="4800" customFormat="false" ht="15" hidden="false" customHeight="false" outlineLevel="0" collapsed="false">
      <c r="A4800" s="0" t="s">
        <v>6447</v>
      </c>
      <c r="C4800" s="0" t="s">
        <v>979</v>
      </c>
      <c r="D4800" s="7" t="n">
        <v>28</v>
      </c>
      <c r="E4800" s="8" t="n">
        <v>0.977857142857143</v>
      </c>
      <c r="F4800" s="4" t="n">
        <f aca="false">D4800*E4800</f>
        <v>27.38</v>
      </c>
      <c r="G4800" s="7" t="n">
        <v>17</v>
      </c>
      <c r="H4800" s="9" t="n">
        <f aca="false">IF(G4800&gt;0,D4800/G4800,"")</f>
        <v>1.64705882352941</v>
      </c>
      <c r="I4800" s="10" t="n">
        <v>46168</v>
      </c>
      <c r="J4800" s="3" t="s">
        <v>4292</v>
      </c>
      <c r="K4800" s="10" t="n">
        <v>45917</v>
      </c>
      <c r="L4800" s="3" t="s">
        <v>18</v>
      </c>
      <c r="M4800" s="7" t="n">
        <v>50</v>
      </c>
      <c r="N4800" s="8" t="n">
        <v>0.9779</v>
      </c>
      <c r="O4800" s="4" t="n">
        <f aca="false">M4800*N4800</f>
        <v>48.895</v>
      </c>
    </row>
    <row r="4801" customFormat="false" ht="15" hidden="false" customHeight="false" outlineLevel="0" collapsed="false">
      <c r="A4801" s="0" t="s">
        <v>6448</v>
      </c>
      <c r="C4801" s="0" t="s">
        <v>38</v>
      </c>
      <c r="D4801" s="7" t="n">
        <v>275</v>
      </c>
      <c r="E4801" s="8" t="n">
        <v>0.0994909090909091</v>
      </c>
      <c r="F4801" s="4" t="n">
        <f aca="false">D4801*E4801</f>
        <v>27.36</v>
      </c>
      <c r="G4801" s="7" t="n">
        <v>80</v>
      </c>
      <c r="H4801" s="9" t="n">
        <f aca="false">IF(G4801&gt;0,D4801/G4801,"")</f>
        <v>3.4375</v>
      </c>
      <c r="I4801" s="10" t="n">
        <v>46316</v>
      </c>
      <c r="J4801" s="3" t="s">
        <v>6449</v>
      </c>
      <c r="K4801" s="10" t="n">
        <v>44341</v>
      </c>
      <c r="L4801" s="3" t="s">
        <v>19</v>
      </c>
      <c r="M4801" s="7" t="n">
        <v>700</v>
      </c>
      <c r="N4801" s="8" t="n">
        <v>0.0995</v>
      </c>
      <c r="O4801" s="4" t="n">
        <f aca="false">M4801*N4801</f>
        <v>69.65</v>
      </c>
    </row>
    <row r="4802" customFormat="false" ht="15" hidden="false" customHeight="false" outlineLevel="0" collapsed="false">
      <c r="A4802" s="0" t="s">
        <v>6450</v>
      </c>
      <c r="C4802" s="0" t="s">
        <v>41</v>
      </c>
      <c r="D4802" s="7" t="n">
        <v>4343</v>
      </c>
      <c r="E4802" s="8" t="n">
        <v>0.00629979276997467</v>
      </c>
      <c r="F4802" s="4" t="n">
        <f aca="false">D4802*E4802</f>
        <v>27.36</v>
      </c>
      <c r="G4802" s="7" t="n">
        <v>64</v>
      </c>
      <c r="H4802" s="9" t="n">
        <f aca="false">IF(G4802&gt;0,D4802/G4802,"")</f>
        <v>67.859375</v>
      </c>
      <c r="I4802" s="10" t="n">
        <v>46246</v>
      </c>
      <c r="J4802" s="3" t="s">
        <v>2760</v>
      </c>
      <c r="K4802" s="10" t="n">
        <v>46246</v>
      </c>
      <c r="L4802" s="3" t="s">
        <v>16</v>
      </c>
      <c r="M4802" s="7" t="n">
        <v>4343</v>
      </c>
      <c r="N4802" s="8" t="n">
        <v>0.0063</v>
      </c>
      <c r="O4802" s="4" t="n">
        <f aca="false">M4802*N4802</f>
        <v>27.3609</v>
      </c>
    </row>
    <row r="4803" customFormat="false" ht="15" hidden="false" customHeight="false" outlineLevel="0" collapsed="false">
      <c r="A4803" s="0" t="s">
        <v>6451</v>
      </c>
      <c r="C4803" s="0" t="s">
        <v>38</v>
      </c>
      <c r="D4803" s="7" t="n">
        <v>866</v>
      </c>
      <c r="E4803" s="8" t="n">
        <v>0.0315704387990762</v>
      </c>
      <c r="F4803" s="4" t="n">
        <f aca="false">D4803*E4803</f>
        <v>27.34</v>
      </c>
      <c r="G4803" s="7" t="n">
        <v>50</v>
      </c>
      <c r="H4803" s="9" t="n">
        <f aca="false">IF(G4803&gt;0,D4803/G4803,"")</f>
        <v>17.32</v>
      </c>
      <c r="I4803" s="10" t="n">
        <v>46112</v>
      </c>
      <c r="J4803" s="3" t="s">
        <v>3130</v>
      </c>
      <c r="K4803" s="10" t="n">
        <v>44652</v>
      </c>
      <c r="L4803" s="3" t="s">
        <v>15</v>
      </c>
      <c r="M4803" s="7" t="n">
        <v>1194</v>
      </c>
      <c r="N4803" s="8" t="n">
        <v>0.03147</v>
      </c>
      <c r="O4803" s="4" t="n">
        <f aca="false">M4803*N4803</f>
        <v>37.57518</v>
      </c>
    </row>
    <row r="4804" customFormat="false" ht="15" hidden="false" customHeight="false" outlineLevel="0" collapsed="false">
      <c r="A4804" s="0" t="s">
        <v>6452</v>
      </c>
      <c r="C4804" s="0" t="s">
        <v>39</v>
      </c>
      <c r="D4804" s="7" t="n">
        <v>13</v>
      </c>
      <c r="E4804" s="8" t="n">
        <v>2.10230769230769</v>
      </c>
      <c r="F4804" s="4" t="n">
        <f aca="false">D4804*E4804</f>
        <v>27.33</v>
      </c>
      <c r="G4804" s="7" t="n">
        <v>1</v>
      </c>
      <c r="H4804" s="9" t="n">
        <f aca="false">IF(G4804&gt;0,D4804/G4804,"")</f>
        <v>13</v>
      </c>
      <c r="I4804" s="10" t="n">
        <v>46101</v>
      </c>
      <c r="J4804" s="3" t="s">
        <v>4270</v>
      </c>
      <c r="K4804" s="10" t="n">
        <v>46092</v>
      </c>
      <c r="L4804" s="3" t="s">
        <v>18</v>
      </c>
      <c r="M4804" s="7" t="n">
        <v>14</v>
      </c>
      <c r="N4804" s="8" t="n">
        <v>2.1018</v>
      </c>
      <c r="O4804" s="4" t="n">
        <f aca="false">M4804*N4804</f>
        <v>29.4252</v>
      </c>
    </row>
    <row r="4805" customFormat="false" ht="15" hidden="false" customHeight="false" outlineLevel="0" collapsed="false">
      <c r="A4805" s="0" t="s">
        <v>6453</v>
      </c>
      <c r="C4805" s="0" t="s">
        <v>298</v>
      </c>
      <c r="D4805" s="7" t="n">
        <v>1120</v>
      </c>
      <c r="E4805" s="8" t="n">
        <v>0.0244017857142857</v>
      </c>
      <c r="F4805" s="4" t="n">
        <f aca="false">D4805*E4805</f>
        <v>27.33</v>
      </c>
      <c r="G4805" s="7" t="n">
        <v>250</v>
      </c>
      <c r="H4805" s="9" t="n">
        <f aca="false">IF(G4805&gt;0,D4805/G4805,"")</f>
        <v>4.48</v>
      </c>
      <c r="I4805" s="10" t="n">
        <v>46147</v>
      </c>
      <c r="J4805" s="3" t="s">
        <v>5927</v>
      </c>
      <c r="K4805" s="10" t="n">
        <v>46129</v>
      </c>
      <c r="L4805" s="3" t="s">
        <v>19</v>
      </c>
      <c r="M4805" s="7" t="n">
        <v>1300</v>
      </c>
      <c r="N4805" s="8" t="n">
        <v>0.0244</v>
      </c>
      <c r="O4805" s="4" t="n">
        <f aca="false">M4805*N4805</f>
        <v>31.72</v>
      </c>
    </row>
    <row r="4806" customFormat="false" ht="15" hidden="false" customHeight="false" outlineLevel="0" collapsed="false">
      <c r="A4806" s="0" t="s">
        <v>6454</v>
      </c>
      <c r="C4806" s="0" t="s">
        <v>889</v>
      </c>
      <c r="D4806" s="7" t="n">
        <v>840</v>
      </c>
      <c r="E4806" s="8" t="n">
        <v>0.0325238095238095</v>
      </c>
      <c r="F4806" s="4" t="n">
        <f aca="false">D4806*E4806</f>
        <v>27.32</v>
      </c>
      <c r="G4806" s="7" t="n">
        <v>10</v>
      </c>
      <c r="H4806" s="9" t="n">
        <f aca="false">IF(G4806&gt;0,D4806/G4806,"")</f>
        <v>84</v>
      </c>
      <c r="I4806" s="10" t="n">
        <v>46008</v>
      </c>
      <c r="J4806" s="3" t="s">
        <v>1228</v>
      </c>
      <c r="K4806" s="10" t="n">
        <v>45852</v>
      </c>
      <c r="L4806" s="3" t="s">
        <v>15</v>
      </c>
      <c r="M4806" s="7" t="n">
        <v>860</v>
      </c>
      <c r="N4806" s="8" t="n">
        <v>0.03254</v>
      </c>
      <c r="O4806" s="4" t="n">
        <f aca="false">M4806*N4806</f>
        <v>27.9844</v>
      </c>
    </row>
    <row r="4807" customFormat="false" ht="15" hidden="false" customHeight="false" outlineLevel="0" collapsed="false">
      <c r="A4807" s="0" t="s">
        <v>6455</v>
      </c>
      <c r="C4807" s="0" t="s">
        <v>855</v>
      </c>
      <c r="D4807" s="7" t="n">
        <v>517</v>
      </c>
      <c r="E4807" s="8" t="n">
        <v>0.0528046421663443</v>
      </c>
      <c r="F4807" s="4" t="n">
        <f aca="false">D4807*E4807</f>
        <v>27.3</v>
      </c>
      <c r="G4807" s="7" t="n">
        <v>154</v>
      </c>
      <c r="H4807" s="9" t="n">
        <f aca="false">IF(G4807&gt;0,D4807/G4807,"")</f>
        <v>3.35714285714286</v>
      </c>
      <c r="I4807" s="10" t="n">
        <v>46281</v>
      </c>
      <c r="J4807" s="3" t="s">
        <v>5646</v>
      </c>
      <c r="K4807" s="10" t="n">
        <v>46275</v>
      </c>
      <c r="L4807" s="3" t="s">
        <v>19</v>
      </c>
      <c r="M4807" s="7" t="n">
        <v>500</v>
      </c>
      <c r="N4807" s="8" t="n">
        <v>0.0529</v>
      </c>
      <c r="O4807" s="4" t="n">
        <f aca="false">M4807*N4807</f>
        <v>26.45</v>
      </c>
    </row>
    <row r="4808" customFormat="false" ht="15" hidden="false" customHeight="false" outlineLevel="0" collapsed="false">
      <c r="A4808" s="0" t="s">
        <v>6456</v>
      </c>
      <c r="C4808" s="0" t="s">
        <v>741</v>
      </c>
      <c r="D4808" s="7" t="n">
        <v>140</v>
      </c>
      <c r="E4808" s="8" t="n">
        <v>0.1945</v>
      </c>
      <c r="F4808" s="4" t="n">
        <f aca="false">D4808*E4808</f>
        <v>27.23</v>
      </c>
      <c r="G4808" s="7" t="n">
        <v>25</v>
      </c>
      <c r="H4808" s="9" t="n">
        <f aca="false">IF(G4808&gt;0,D4808/G4808,"")</f>
        <v>5.6</v>
      </c>
      <c r="I4808" s="10" t="n">
        <v>46191</v>
      </c>
      <c r="K4808" s="10"/>
      <c r="M4808" s="7"/>
      <c r="N4808" s="8"/>
      <c r="O4808" s="4"/>
    </row>
    <row r="4809" customFormat="false" ht="15" hidden="false" customHeight="false" outlineLevel="0" collapsed="false">
      <c r="A4809" s="0" t="s">
        <v>6457</v>
      </c>
      <c r="C4809" s="0" t="s">
        <v>340</v>
      </c>
      <c r="D4809" s="7" t="n">
        <v>2225</v>
      </c>
      <c r="E4809" s="8" t="n">
        <v>0.012238202247191</v>
      </c>
      <c r="F4809" s="4" t="n">
        <f aca="false">D4809*E4809</f>
        <v>27.23</v>
      </c>
      <c r="G4809" s="7" t="n">
        <v>65</v>
      </c>
      <c r="H4809" s="9" t="n">
        <f aca="false">IF(G4809&gt;0,D4809/G4809,"")</f>
        <v>34.2307692307692</v>
      </c>
      <c r="I4809" s="10" t="n">
        <v>46226</v>
      </c>
      <c r="J4809" s="3" t="s">
        <v>341</v>
      </c>
      <c r="K4809" s="10" t="n">
        <v>46078</v>
      </c>
      <c r="L4809" s="3" t="s">
        <v>15</v>
      </c>
      <c r="M4809" s="7" t="n">
        <v>2290</v>
      </c>
      <c r="N4809" s="8" t="n">
        <v>0.01224</v>
      </c>
      <c r="O4809" s="4" t="n">
        <f aca="false">M4809*N4809</f>
        <v>28.0296</v>
      </c>
    </row>
    <row r="4810" customFormat="false" ht="15" hidden="false" customHeight="false" outlineLevel="0" collapsed="false">
      <c r="A4810" s="0" t="s">
        <v>6458</v>
      </c>
      <c r="C4810" s="0" t="s">
        <v>979</v>
      </c>
      <c r="D4810" s="7" t="n">
        <v>540</v>
      </c>
      <c r="E4810" s="8" t="n">
        <v>0.0504259259259259</v>
      </c>
      <c r="F4810" s="4" t="n">
        <f aca="false">D4810*E4810</f>
        <v>27.23</v>
      </c>
      <c r="G4810" s="7" t="n">
        <v>30</v>
      </c>
      <c r="H4810" s="9" t="n">
        <f aca="false">IF(G4810&gt;0,D4810/G4810,"")</f>
        <v>18</v>
      </c>
      <c r="I4810" s="10" t="n">
        <v>46175</v>
      </c>
      <c r="J4810" s="3" t="s">
        <v>1347</v>
      </c>
      <c r="K4810" s="10" t="n">
        <v>46129</v>
      </c>
      <c r="L4810" s="3" t="s">
        <v>18</v>
      </c>
      <c r="M4810" s="7" t="n">
        <v>570</v>
      </c>
      <c r="N4810" s="8" t="n">
        <v>0.0504</v>
      </c>
      <c r="O4810" s="4" t="n">
        <f aca="false">M4810*N4810</f>
        <v>28.728</v>
      </c>
    </row>
    <row r="4811" customFormat="false" ht="15" hidden="false" customHeight="false" outlineLevel="0" collapsed="false">
      <c r="A4811" s="0" t="s">
        <v>6459</v>
      </c>
      <c r="C4811" s="0" t="s">
        <v>31</v>
      </c>
      <c r="D4811" s="7" t="n">
        <v>3274</v>
      </c>
      <c r="E4811" s="8" t="n">
        <v>0.00830788026878436</v>
      </c>
      <c r="F4811" s="4" t="n">
        <f aca="false">D4811*E4811</f>
        <v>27.2</v>
      </c>
      <c r="G4811" s="7" t="n">
        <v>500</v>
      </c>
      <c r="H4811" s="9" t="n">
        <f aca="false">IF(G4811&gt;0,D4811/G4811,"")</f>
        <v>6.548</v>
      </c>
      <c r="I4811" s="10" t="n">
        <v>46006</v>
      </c>
      <c r="K4811" s="10"/>
      <c r="M4811" s="7"/>
      <c r="N4811" s="8"/>
      <c r="O4811" s="4"/>
    </row>
    <row r="4812" customFormat="false" ht="15" hidden="false" customHeight="false" outlineLevel="0" collapsed="false">
      <c r="A4812" s="0" t="s">
        <v>6460</v>
      </c>
      <c r="C4812" s="0" t="s">
        <v>31</v>
      </c>
      <c r="D4812" s="7" t="n">
        <v>1288</v>
      </c>
      <c r="E4812" s="8" t="n">
        <v>0.021110248447205</v>
      </c>
      <c r="F4812" s="4" t="n">
        <f aca="false">D4812*E4812</f>
        <v>27.19</v>
      </c>
      <c r="G4812" s="7" t="n">
        <v>618</v>
      </c>
      <c r="H4812" s="9" t="n">
        <f aca="false">IF(G4812&gt;0,D4812/G4812,"")</f>
        <v>2.08414239482201</v>
      </c>
      <c r="I4812" s="10" t="n">
        <v>46286</v>
      </c>
      <c r="J4812" s="3" t="s">
        <v>940</v>
      </c>
      <c r="K4812" s="10" t="n">
        <v>46231</v>
      </c>
      <c r="L4812" s="3" t="s">
        <v>16</v>
      </c>
      <c r="M4812" s="7" t="n">
        <v>1357</v>
      </c>
      <c r="N4812" s="8" t="n">
        <v>0.0204</v>
      </c>
      <c r="O4812" s="4" t="n">
        <f aca="false">M4812*N4812</f>
        <v>27.6828</v>
      </c>
    </row>
    <row r="4813" customFormat="false" ht="15" hidden="false" customHeight="false" outlineLevel="0" collapsed="false">
      <c r="A4813" s="0" t="s">
        <v>6461</v>
      </c>
      <c r="C4813" s="0" t="s">
        <v>31</v>
      </c>
      <c r="D4813" s="7" t="n">
        <v>3913</v>
      </c>
      <c r="E4813" s="8" t="n">
        <v>0.00694863276258625</v>
      </c>
      <c r="F4813" s="4" t="n">
        <f aca="false">D4813*E4813</f>
        <v>27.19</v>
      </c>
      <c r="G4813" s="7" t="n">
        <v>370</v>
      </c>
      <c r="H4813" s="9" t="n">
        <f aca="false">IF(G4813&gt;0,D4813/G4813,"")</f>
        <v>10.5756756756757</v>
      </c>
      <c r="I4813" s="10" t="n">
        <v>46281</v>
      </c>
      <c r="K4813" s="10"/>
      <c r="M4813" s="7"/>
      <c r="N4813" s="8"/>
      <c r="O4813" s="4"/>
    </row>
    <row r="4814" customFormat="false" ht="15" hidden="false" customHeight="false" outlineLevel="0" collapsed="false">
      <c r="A4814" s="0" t="s">
        <v>6462</v>
      </c>
      <c r="C4814" s="0" t="s">
        <v>31</v>
      </c>
      <c r="D4814" s="7" t="n">
        <v>50</v>
      </c>
      <c r="E4814" s="8" t="n">
        <v>0.5428</v>
      </c>
      <c r="F4814" s="4" t="n">
        <f aca="false">D4814*E4814</f>
        <v>27.14</v>
      </c>
      <c r="G4814" s="7" t="n">
        <v>27</v>
      </c>
      <c r="H4814" s="9" t="n">
        <f aca="false">IF(G4814&gt;0,D4814/G4814,"")</f>
        <v>1.85185185185185</v>
      </c>
      <c r="I4814" s="10" t="n">
        <v>45966</v>
      </c>
      <c r="K4814" s="10"/>
      <c r="M4814" s="7"/>
      <c r="N4814" s="8"/>
      <c r="O4814" s="4"/>
    </row>
    <row r="4815" customFormat="false" ht="15" hidden="false" customHeight="false" outlineLevel="0" collapsed="false">
      <c r="A4815" s="0" t="s">
        <v>6463</v>
      </c>
      <c r="C4815" s="0" t="s">
        <v>34</v>
      </c>
      <c r="D4815" s="7" t="n">
        <v>68</v>
      </c>
      <c r="E4815" s="8" t="n">
        <v>0.398823529411765</v>
      </c>
      <c r="F4815" s="4" t="n">
        <f aca="false">D4815*E4815</f>
        <v>27.12</v>
      </c>
      <c r="G4815" s="7" t="n">
        <v>4</v>
      </c>
      <c r="H4815" s="9" t="n">
        <f aca="false">IF(G4815&gt;0,D4815/G4815,"")</f>
        <v>17</v>
      </c>
      <c r="I4815" s="10" t="n">
        <v>46106</v>
      </c>
      <c r="J4815" s="3" t="s">
        <v>6464</v>
      </c>
      <c r="K4815" s="10" t="n">
        <v>44400</v>
      </c>
      <c r="L4815" s="3" t="s">
        <v>16</v>
      </c>
      <c r="M4815" s="7" t="n">
        <v>148</v>
      </c>
      <c r="N4815" s="8" t="n">
        <v>0.397</v>
      </c>
      <c r="O4815" s="4" t="n">
        <f aca="false">M4815*N4815</f>
        <v>58.756</v>
      </c>
    </row>
    <row r="4816" customFormat="false" ht="15" hidden="false" customHeight="false" outlineLevel="0" collapsed="false">
      <c r="A4816" s="0" t="s">
        <v>6465</v>
      </c>
      <c r="C4816" s="0" t="s">
        <v>40</v>
      </c>
      <c r="D4816" s="7" t="n">
        <v>156</v>
      </c>
      <c r="E4816" s="8" t="n">
        <v>0.173717948717949</v>
      </c>
      <c r="F4816" s="4" t="n">
        <f aca="false">D4816*E4816</f>
        <v>27.1</v>
      </c>
      <c r="G4816" s="7" t="n">
        <v>7</v>
      </c>
      <c r="H4816" s="9" t="n">
        <f aca="false">IF(G4816&gt;0,D4816/G4816,"")</f>
        <v>22.2857142857143</v>
      </c>
      <c r="I4816" s="10" t="n">
        <v>46042</v>
      </c>
      <c r="K4816" s="10"/>
      <c r="M4816" s="7"/>
      <c r="N4816" s="8"/>
      <c r="O4816" s="4"/>
    </row>
    <row r="4817" customFormat="false" ht="15" hidden="false" customHeight="false" outlineLevel="0" collapsed="false">
      <c r="A4817" s="0" t="s">
        <v>6466</v>
      </c>
      <c r="C4817" s="0" t="s">
        <v>39</v>
      </c>
      <c r="D4817" s="7" t="n">
        <v>20</v>
      </c>
      <c r="E4817" s="8" t="n">
        <v>1.3545</v>
      </c>
      <c r="F4817" s="4" t="n">
        <f aca="false">D4817*E4817</f>
        <v>27.09</v>
      </c>
      <c r="G4817" s="7" t="n">
        <v>8</v>
      </c>
      <c r="H4817" s="9" t="n">
        <f aca="false">IF(G4817&gt;0,D4817/G4817,"")</f>
        <v>2.5</v>
      </c>
      <c r="I4817" s="10" t="n">
        <v>46316</v>
      </c>
      <c r="J4817" s="3" t="s">
        <v>6467</v>
      </c>
      <c r="K4817" s="10" t="n">
        <v>46310</v>
      </c>
      <c r="L4817" s="3" t="s">
        <v>18</v>
      </c>
      <c r="M4817" s="7" t="n">
        <v>22</v>
      </c>
      <c r="N4817" s="8" t="n">
        <v>1.3544</v>
      </c>
      <c r="O4817" s="4" t="n">
        <f aca="false">M4817*N4817</f>
        <v>29.7968</v>
      </c>
    </row>
    <row r="4818" customFormat="false" ht="15" hidden="false" customHeight="false" outlineLevel="0" collapsed="false">
      <c r="A4818" s="0" t="s">
        <v>6468</v>
      </c>
      <c r="C4818" s="0" t="s">
        <v>295</v>
      </c>
      <c r="D4818" s="7" t="n">
        <v>28</v>
      </c>
      <c r="E4818" s="8" t="n">
        <v>0.966785714285714</v>
      </c>
      <c r="F4818" s="4" t="n">
        <f aca="false">D4818*E4818</f>
        <v>27.07</v>
      </c>
      <c r="G4818" s="7" t="n">
        <v>5</v>
      </c>
      <c r="H4818" s="9" t="n">
        <f aca="false">IF(G4818&gt;0,D4818/G4818,"")</f>
        <v>5.6</v>
      </c>
      <c r="I4818" s="10" t="n">
        <v>46314</v>
      </c>
      <c r="J4818" s="3" t="s">
        <v>6136</v>
      </c>
      <c r="K4818" s="10" t="n">
        <v>46310</v>
      </c>
      <c r="L4818" s="3" t="s">
        <v>19</v>
      </c>
      <c r="M4818" s="7" t="n">
        <v>33</v>
      </c>
      <c r="N4818" s="8" t="n">
        <v>0.9668</v>
      </c>
      <c r="O4818" s="4" t="n">
        <f aca="false">M4818*N4818</f>
        <v>31.9044</v>
      </c>
    </row>
    <row r="4819" customFormat="false" ht="15" hidden="false" customHeight="false" outlineLevel="0" collapsed="false">
      <c r="A4819" s="0" t="s">
        <v>6469</v>
      </c>
      <c r="C4819" s="0" t="s">
        <v>36</v>
      </c>
      <c r="D4819" s="7" t="n">
        <v>291</v>
      </c>
      <c r="E4819" s="8" t="n">
        <v>0.0928178694158076</v>
      </c>
      <c r="F4819" s="4" t="n">
        <f aca="false">D4819*E4819</f>
        <v>27.01</v>
      </c>
      <c r="G4819" s="7" t="n">
        <v>105</v>
      </c>
      <c r="H4819" s="9" t="n">
        <f aca="false">IF(G4819&gt;0,D4819/G4819,"")</f>
        <v>2.77142857142857</v>
      </c>
      <c r="I4819" s="10" t="n">
        <v>46265</v>
      </c>
      <c r="J4819" s="3" t="s">
        <v>5993</v>
      </c>
      <c r="K4819" s="10" t="n">
        <v>44327</v>
      </c>
      <c r="L4819" s="3" t="s">
        <v>19</v>
      </c>
      <c r="M4819" s="7" t="n">
        <v>550</v>
      </c>
      <c r="N4819" s="8" t="n">
        <v>0.0928</v>
      </c>
      <c r="O4819" s="4" t="n">
        <f aca="false">M4819*N4819</f>
        <v>51.04</v>
      </c>
    </row>
    <row r="4820" customFormat="false" ht="15" hidden="false" customHeight="false" outlineLevel="0" collapsed="false">
      <c r="A4820" s="0" t="s">
        <v>6470</v>
      </c>
      <c r="C4820" s="0" t="s">
        <v>31</v>
      </c>
      <c r="D4820" s="7" t="n">
        <v>150</v>
      </c>
      <c r="E4820" s="8" t="n">
        <v>0.18</v>
      </c>
      <c r="F4820" s="4" t="n">
        <f aca="false">D4820*E4820</f>
        <v>27</v>
      </c>
      <c r="G4820" s="7" t="n">
        <v>74</v>
      </c>
      <c r="H4820" s="9" t="n">
        <f aca="false">IF(G4820&gt;0,D4820/G4820,"")</f>
        <v>2.02702702702703</v>
      </c>
      <c r="I4820" s="10" t="n">
        <v>46294</v>
      </c>
      <c r="K4820" s="10"/>
      <c r="M4820" s="7"/>
      <c r="N4820" s="8"/>
      <c r="O4820" s="4"/>
    </row>
    <row r="4821" customFormat="false" ht="15" hidden="false" customHeight="false" outlineLevel="0" collapsed="false">
      <c r="A4821" s="0" t="s">
        <v>6471</v>
      </c>
      <c r="C4821" s="0" t="s">
        <v>340</v>
      </c>
      <c r="D4821" s="7" t="n">
        <v>924</v>
      </c>
      <c r="E4821" s="8" t="n">
        <v>0.0291991341991342</v>
      </c>
      <c r="F4821" s="4" t="n">
        <f aca="false">D4821*E4821</f>
        <v>26.98</v>
      </c>
      <c r="G4821" s="7" t="n">
        <v>71</v>
      </c>
      <c r="H4821" s="9" t="n">
        <f aca="false">IF(G4821&gt;0,D4821/G4821,"")</f>
        <v>13.0140845070423</v>
      </c>
      <c r="I4821" s="10" t="n">
        <v>46086</v>
      </c>
      <c r="J4821" s="3" t="s">
        <v>6472</v>
      </c>
      <c r="K4821" s="10" t="n">
        <v>45064</v>
      </c>
      <c r="L4821" s="3" t="s">
        <v>19</v>
      </c>
      <c r="M4821" s="7" t="n">
        <v>1000</v>
      </c>
      <c r="N4821" s="8" t="n">
        <v>0.0292</v>
      </c>
      <c r="O4821" s="4" t="n">
        <f aca="false">M4821*N4821</f>
        <v>29.2</v>
      </c>
    </row>
    <row r="4822" customFormat="false" ht="15" hidden="false" customHeight="false" outlineLevel="0" collapsed="false">
      <c r="A4822" s="0" t="s">
        <v>6473</v>
      </c>
      <c r="C4822" s="0" t="s">
        <v>765</v>
      </c>
      <c r="D4822" s="7" t="n">
        <v>291</v>
      </c>
      <c r="E4822" s="8" t="n">
        <v>0.092680412371134</v>
      </c>
      <c r="F4822" s="4" t="n">
        <f aca="false">D4822*E4822</f>
        <v>26.97</v>
      </c>
      <c r="G4822" s="7" t="n">
        <v>17</v>
      </c>
      <c r="H4822" s="9" t="n">
        <f aca="false">IF(G4822&gt;0,D4822/G4822,"")</f>
        <v>17.1176470588235</v>
      </c>
      <c r="I4822" s="10" t="n">
        <v>46146</v>
      </c>
      <c r="K4822" s="10"/>
      <c r="M4822" s="7"/>
      <c r="N4822" s="8"/>
      <c r="O4822" s="4"/>
    </row>
    <row r="4823" customFormat="false" ht="15" hidden="false" customHeight="false" outlineLevel="0" collapsed="false">
      <c r="A4823" s="0" t="s">
        <v>6474</v>
      </c>
      <c r="C4823" s="0" t="s">
        <v>31</v>
      </c>
      <c r="D4823" s="7" t="n">
        <v>50</v>
      </c>
      <c r="E4823" s="8" t="n">
        <v>0.5388</v>
      </c>
      <c r="F4823" s="4" t="n">
        <f aca="false">D4823*E4823</f>
        <v>26.94</v>
      </c>
      <c r="G4823" s="7" t="n">
        <v>10</v>
      </c>
      <c r="H4823" s="9" t="n">
        <f aca="false">IF(G4823&gt;0,D4823/G4823,"")</f>
        <v>5</v>
      </c>
      <c r="I4823" s="10" t="n">
        <v>46294</v>
      </c>
      <c r="J4823" s="3" t="s">
        <v>3287</v>
      </c>
      <c r="K4823" s="10" t="n">
        <v>46289</v>
      </c>
      <c r="L4823" s="3" t="s">
        <v>19</v>
      </c>
      <c r="M4823" s="7" t="n">
        <v>50</v>
      </c>
      <c r="N4823" s="8" t="n">
        <v>0.5483</v>
      </c>
      <c r="O4823" s="4" t="n">
        <f aca="false">M4823*N4823</f>
        <v>27.415</v>
      </c>
    </row>
    <row r="4824" customFormat="false" ht="15" hidden="false" customHeight="false" outlineLevel="0" collapsed="false">
      <c r="A4824" s="0" t="s">
        <v>6475</v>
      </c>
      <c r="C4824" s="0" t="s">
        <v>1010</v>
      </c>
      <c r="D4824" s="7" t="n">
        <v>70</v>
      </c>
      <c r="E4824" s="8" t="n">
        <v>0.384857142857143</v>
      </c>
      <c r="F4824" s="4" t="n">
        <f aca="false">D4824*E4824</f>
        <v>26.94</v>
      </c>
      <c r="G4824" s="7" t="n">
        <v>30</v>
      </c>
      <c r="H4824" s="9" t="n">
        <f aca="false">IF(G4824&gt;0,D4824/G4824,"")</f>
        <v>2.33333333333333</v>
      </c>
      <c r="I4824" s="10" t="n">
        <v>46163</v>
      </c>
      <c r="J4824" s="3" t="s">
        <v>2739</v>
      </c>
      <c r="K4824" s="10" t="n">
        <v>46142</v>
      </c>
      <c r="L4824" s="3" t="s">
        <v>16</v>
      </c>
      <c r="M4824" s="7" t="n">
        <v>100</v>
      </c>
      <c r="N4824" s="8" t="n">
        <v>0.3849</v>
      </c>
      <c r="O4824" s="4" t="n">
        <f aca="false">M4824*N4824</f>
        <v>38.49</v>
      </c>
    </row>
    <row r="4825" customFormat="false" ht="15" hidden="false" customHeight="false" outlineLevel="0" collapsed="false">
      <c r="A4825" s="0" t="s">
        <v>6476</v>
      </c>
      <c r="C4825" s="0" t="s">
        <v>31</v>
      </c>
      <c r="D4825" s="7" t="n">
        <v>50</v>
      </c>
      <c r="E4825" s="8" t="n">
        <v>0.5386</v>
      </c>
      <c r="F4825" s="4" t="n">
        <f aca="false">D4825*E4825</f>
        <v>26.93</v>
      </c>
      <c r="G4825" s="7" t="n">
        <v>50</v>
      </c>
      <c r="H4825" s="9" t="n">
        <f aca="false">IF(G4825&gt;0,D4825/G4825,"")</f>
        <v>1</v>
      </c>
      <c r="I4825" s="10" t="n">
        <v>46308</v>
      </c>
      <c r="J4825" s="3" t="s">
        <v>3412</v>
      </c>
      <c r="K4825" s="10" t="n">
        <v>46303</v>
      </c>
      <c r="L4825" s="3" t="s">
        <v>19</v>
      </c>
      <c r="M4825" s="7" t="n">
        <v>100</v>
      </c>
      <c r="N4825" s="8" t="n">
        <v>0.5385</v>
      </c>
      <c r="O4825" s="4" t="n">
        <f aca="false">M4825*N4825</f>
        <v>53.85</v>
      </c>
    </row>
    <row r="4826" customFormat="false" ht="15" hidden="false" customHeight="false" outlineLevel="0" collapsed="false">
      <c r="A4826" s="0" t="s">
        <v>6477</v>
      </c>
      <c r="C4826" s="0" t="s">
        <v>31</v>
      </c>
      <c r="D4826" s="7" t="n">
        <v>191</v>
      </c>
      <c r="E4826" s="8" t="n">
        <v>0.140628272251309</v>
      </c>
      <c r="F4826" s="4" t="n">
        <f aca="false">D4826*E4826</f>
        <v>26.86</v>
      </c>
      <c r="G4826" s="7" t="n">
        <v>39</v>
      </c>
      <c r="H4826" s="9" t="n">
        <f aca="false">IF(G4826&gt;0,D4826/G4826,"")</f>
        <v>4.8974358974359</v>
      </c>
      <c r="I4826" s="10" t="n">
        <v>46160</v>
      </c>
      <c r="J4826" s="3" t="s">
        <v>6478</v>
      </c>
      <c r="K4826" s="10" t="n">
        <v>45940</v>
      </c>
      <c r="L4826" s="3" t="s">
        <v>19</v>
      </c>
      <c r="M4826" s="7" t="n">
        <v>250</v>
      </c>
      <c r="N4826" s="8" t="n">
        <v>0.1406</v>
      </c>
      <c r="O4826" s="4" t="n">
        <f aca="false">M4826*N4826</f>
        <v>35.15</v>
      </c>
    </row>
    <row r="4827" customFormat="false" ht="15" hidden="false" customHeight="false" outlineLevel="0" collapsed="false">
      <c r="A4827" s="0" t="s">
        <v>6479</v>
      </c>
      <c r="C4827" s="0" t="s">
        <v>609</v>
      </c>
      <c r="D4827" s="7" t="n">
        <v>17</v>
      </c>
      <c r="E4827" s="8" t="n">
        <v>1.58</v>
      </c>
      <c r="F4827" s="4" t="n">
        <f aca="false">D4827*E4827</f>
        <v>26.86</v>
      </c>
      <c r="G4827" s="7" t="n">
        <v>2</v>
      </c>
      <c r="H4827" s="9" t="n">
        <f aca="false">IF(G4827&gt;0,D4827/G4827,"")</f>
        <v>8.5</v>
      </c>
      <c r="I4827" s="10" t="n">
        <v>46314</v>
      </c>
      <c r="J4827" s="3" t="s">
        <v>6480</v>
      </c>
      <c r="K4827" s="10" t="n">
        <v>45434</v>
      </c>
      <c r="L4827" s="3" t="s">
        <v>1878</v>
      </c>
      <c r="M4827" s="7" t="n">
        <v>25</v>
      </c>
      <c r="N4827" s="8" t="n">
        <v>1.58</v>
      </c>
      <c r="O4827" s="4" t="n">
        <f aca="false">M4827*N4827</f>
        <v>39.5</v>
      </c>
    </row>
    <row r="4828" customFormat="false" ht="15" hidden="false" customHeight="false" outlineLevel="0" collapsed="false">
      <c r="A4828" s="0" t="s">
        <v>6481</v>
      </c>
      <c r="C4828" s="0" t="s">
        <v>438</v>
      </c>
      <c r="D4828" s="7" t="n">
        <v>63</v>
      </c>
      <c r="E4828" s="8" t="n">
        <v>0.426031746031746</v>
      </c>
      <c r="F4828" s="4" t="n">
        <f aca="false">D4828*E4828</f>
        <v>26.84</v>
      </c>
      <c r="G4828" s="7" t="n">
        <v>41</v>
      </c>
      <c r="H4828" s="9" t="n">
        <f aca="false">IF(G4828&gt;0,D4828/G4828,"")</f>
        <v>1.53658536585366</v>
      </c>
      <c r="I4828" s="10" t="n">
        <v>46302</v>
      </c>
      <c r="J4828" s="3" t="s">
        <v>6482</v>
      </c>
      <c r="K4828" s="10" t="n">
        <v>45412</v>
      </c>
      <c r="L4828" s="3" t="s">
        <v>1878</v>
      </c>
      <c r="M4828" s="7" t="n">
        <v>150</v>
      </c>
      <c r="N4828" s="8" t="n">
        <v>0.46</v>
      </c>
      <c r="O4828" s="4" t="n">
        <f aca="false">M4828*N4828</f>
        <v>69</v>
      </c>
    </row>
    <row r="4829" customFormat="false" ht="15" hidden="false" customHeight="false" outlineLevel="0" collapsed="false">
      <c r="A4829" s="0" t="s">
        <v>6483</v>
      </c>
      <c r="C4829" s="0" t="s">
        <v>31</v>
      </c>
      <c r="D4829" s="7" t="n">
        <v>105</v>
      </c>
      <c r="E4829" s="8" t="n">
        <v>0.255428571428571</v>
      </c>
      <c r="F4829" s="4" t="n">
        <f aca="false">D4829*E4829</f>
        <v>26.82</v>
      </c>
      <c r="G4829" s="7" t="n">
        <v>19</v>
      </c>
      <c r="H4829" s="9" t="n">
        <f aca="false">IF(G4829&gt;0,D4829/G4829,"")</f>
        <v>5.52631578947368</v>
      </c>
      <c r="I4829" s="10" t="n">
        <v>46097</v>
      </c>
      <c r="J4829" s="3" t="s">
        <v>6484</v>
      </c>
      <c r="K4829" s="10" t="n">
        <v>44855</v>
      </c>
      <c r="L4829" s="3" t="s">
        <v>14</v>
      </c>
      <c r="M4829" s="7" t="n">
        <v>585</v>
      </c>
      <c r="N4829" s="8" t="n">
        <v>0.2555</v>
      </c>
      <c r="O4829" s="4" t="n">
        <f aca="false">M4829*N4829</f>
        <v>149.4675</v>
      </c>
    </row>
    <row r="4830" customFormat="false" ht="15" hidden="false" customHeight="false" outlineLevel="0" collapsed="false">
      <c r="A4830" s="0" t="s">
        <v>6485</v>
      </c>
      <c r="C4830" s="0" t="s">
        <v>298</v>
      </c>
      <c r="D4830" s="7" t="n">
        <v>459</v>
      </c>
      <c r="E4830" s="8" t="n">
        <v>0.0584095860566449</v>
      </c>
      <c r="F4830" s="4" t="n">
        <f aca="false">D4830*E4830</f>
        <v>26.81</v>
      </c>
      <c r="G4830" s="7" t="n">
        <v>123</v>
      </c>
      <c r="H4830" s="9" t="n">
        <f aca="false">IF(G4830&gt;0,D4830/G4830,"")</f>
        <v>3.73170731707317</v>
      </c>
      <c r="I4830" s="10" t="n">
        <v>46286</v>
      </c>
      <c r="J4830" s="3" t="s">
        <v>247</v>
      </c>
      <c r="K4830" s="10" t="n">
        <v>44914</v>
      </c>
      <c r="L4830" s="3" t="s">
        <v>19</v>
      </c>
      <c r="M4830" s="7" t="n">
        <v>1111</v>
      </c>
      <c r="N4830" s="8" t="n">
        <v>0.0584</v>
      </c>
      <c r="O4830" s="4" t="n">
        <f aca="false">M4830*N4830</f>
        <v>64.8824</v>
      </c>
    </row>
    <row r="4831" customFormat="false" ht="15" hidden="false" customHeight="false" outlineLevel="0" collapsed="false">
      <c r="A4831" s="0" t="s">
        <v>6486</v>
      </c>
      <c r="C4831" s="0" t="s">
        <v>31</v>
      </c>
      <c r="D4831" s="7" t="n">
        <v>274</v>
      </c>
      <c r="E4831" s="8" t="n">
        <v>0.0977007299270073</v>
      </c>
      <c r="F4831" s="4" t="n">
        <f aca="false">D4831*E4831</f>
        <v>26.77</v>
      </c>
      <c r="G4831" s="7" t="n">
        <v>10</v>
      </c>
      <c r="H4831" s="9" t="n">
        <f aca="false">IF(G4831&gt;0,D4831/G4831,"")</f>
        <v>27.4</v>
      </c>
      <c r="I4831" s="10" t="n">
        <v>45953</v>
      </c>
      <c r="J4831" s="3" t="s">
        <v>6487</v>
      </c>
      <c r="K4831" s="10" t="n">
        <v>44742</v>
      </c>
      <c r="L4831" s="3" t="s">
        <v>19</v>
      </c>
      <c r="M4831" s="7" t="n">
        <v>1003</v>
      </c>
      <c r="N4831" s="8" t="n">
        <v>0.0988</v>
      </c>
      <c r="O4831" s="4" t="n">
        <v>98.8</v>
      </c>
    </row>
    <row r="4832" customFormat="false" ht="15" hidden="false" customHeight="false" outlineLevel="0" collapsed="false">
      <c r="A4832" s="0" t="s">
        <v>6488</v>
      </c>
      <c r="C4832" s="0" t="s">
        <v>765</v>
      </c>
      <c r="D4832" s="7" t="n">
        <v>295</v>
      </c>
      <c r="E4832" s="8" t="n">
        <v>0.0907118644067797</v>
      </c>
      <c r="F4832" s="4" t="n">
        <f aca="false">D4832*E4832</f>
        <v>26.76</v>
      </c>
      <c r="G4832" s="7" t="n">
        <v>55</v>
      </c>
      <c r="H4832" s="9" t="n">
        <f aca="false">IF(G4832&gt;0,D4832/G4832,"")</f>
        <v>5.36363636363636</v>
      </c>
      <c r="I4832" s="10" t="n">
        <v>46288</v>
      </c>
      <c r="J4832" s="3" t="s">
        <v>1915</v>
      </c>
      <c r="K4832" s="10" t="n">
        <v>45736</v>
      </c>
      <c r="L4832" s="3" t="s">
        <v>19</v>
      </c>
      <c r="M4832" s="7" t="n">
        <v>250</v>
      </c>
      <c r="N4832" s="8" t="n">
        <v>0.081</v>
      </c>
      <c r="O4832" s="4" t="n">
        <f aca="false">M4832*N4832</f>
        <v>20.25</v>
      </c>
    </row>
    <row r="4833" customFormat="false" ht="15" hidden="false" customHeight="false" outlineLevel="0" collapsed="false">
      <c r="A4833" s="0" t="s">
        <v>6489</v>
      </c>
      <c r="C4833" s="0" t="s">
        <v>41</v>
      </c>
      <c r="D4833" s="7" t="n">
        <v>593</v>
      </c>
      <c r="E4833" s="8" t="n">
        <v>0.0450084317032041</v>
      </c>
      <c r="F4833" s="4" t="n">
        <f aca="false">D4833*E4833</f>
        <v>26.69</v>
      </c>
      <c r="G4833" s="7" t="n">
        <v>16</v>
      </c>
      <c r="H4833" s="9" t="n">
        <f aca="false">IF(G4833&gt;0,D4833/G4833,"")</f>
        <v>37.0625</v>
      </c>
      <c r="I4833" s="10" t="n">
        <v>46231</v>
      </c>
      <c r="J4833" s="3" t="s">
        <v>3721</v>
      </c>
      <c r="K4833" s="10" t="n">
        <v>45305</v>
      </c>
      <c r="L4833" s="3" t="s">
        <v>25</v>
      </c>
      <c r="M4833" s="7" t="n">
        <v>725</v>
      </c>
      <c r="N4833" s="8" t="n">
        <v>0.045</v>
      </c>
      <c r="O4833" s="4" t="n">
        <f aca="false">M4833*N4833</f>
        <v>32.625</v>
      </c>
    </row>
    <row r="4834" customFormat="false" ht="15" hidden="false" customHeight="false" outlineLevel="0" collapsed="false">
      <c r="A4834" s="0" t="s">
        <v>6490</v>
      </c>
      <c r="C4834" s="0" t="s">
        <v>340</v>
      </c>
      <c r="D4834" s="7" t="n">
        <v>1333</v>
      </c>
      <c r="E4834" s="8" t="n">
        <v>0.02</v>
      </c>
      <c r="F4834" s="4" t="n">
        <f aca="false">D4834*E4834</f>
        <v>26.66</v>
      </c>
      <c r="G4834" s="7" t="n">
        <v>190</v>
      </c>
      <c r="H4834" s="9" t="n">
        <f aca="false">IF(G4834&gt;0,D4834/G4834,"")</f>
        <v>7.01578947368421</v>
      </c>
      <c r="I4834" s="10" t="n">
        <v>46104</v>
      </c>
      <c r="K4834" s="10"/>
      <c r="M4834" s="7"/>
      <c r="N4834" s="8"/>
      <c r="O4834" s="4"/>
    </row>
    <row r="4835" customFormat="false" ht="15" hidden="false" customHeight="false" outlineLevel="0" collapsed="false">
      <c r="A4835" s="0" t="s">
        <v>6491</v>
      </c>
      <c r="C4835" s="0" t="s">
        <v>40</v>
      </c>
      <c r="D4835" s="7" t="n">
        <v>136</v>
      </c>
      <c r="E4835" s="8" t="n">
        <v>0.195955882352941</v>
      </c>
      <c r="F4835" s="4" t="n">
        <f aca="false">D4835*E4835</f>
        <v>26.65</v>
      </c>
      <c r="G4835" s="7" t="n">
        <v>11</v>
      </c>
      <c r="H4835" s="9" t="n">
        <f aca="false">IF(G4835&gt;0,D4835/G4835,"")</f>
        <v>12.3636363636364</v>
      </c>
      <c r="I4835" s="10" t="n">
        <v>46293</v>
      </c>
      <c r="K4835" s="10"/>
      <c r="M4835" s="7"/>
      <c r="N4835" s="8"/>
      <c r="O4835" s="4"/>
    </row>
    <row r="4836" customFormat="false" ht="15" hidden="false" customHeight="false" outlineLevel="0" collapsed="false">
      <c r="A4836" s="0" t="s">
        <v>6492</v>
      </c>
      <c r="C4836" s="0" t="s">
        <v>1039</v>
      </c>
      <c r="D4836" s="7" t="n">
        <v>3289</v>
      </c>
      <c r="E4836" s="8" t="n">
        <v>0.00809972636059593</v>
      </c>
      <c r="F4836" s="4" t="n">
        <f aca="false">D4836*E4836</f>
        <v>26.64</v>
      </c>
      <c r="G4836" s="7" t="n">
        <v>346</v>
      </c>
      <c r="H4836" s="9" t="n">
        <f aca="false">IF(G4836&gt;0,D4836/G4836,"")</f>
        <v>9.50578034682081</v>
      </c>
      <c r="I4836" s="10" t="n">
        <v>46192</v>
      </c>
      <c r="K4836" s="10"/>
      <c r="M4836" s="7"/>
      <c r="N4836" s="8"/>
      <c r="O4836" s="4"/>
    </row>
    <row r="4837" customFormat="false" ht="15" hidden="false" customHeight="false" outlineLevel="0" collapsed="false">
      <c r="A4837" s="0" t="s">
        <v>6493</v>
      </c>
      <c r="C4837" s="0" t="s">
        <v>441</v>
      </c>
      <c r="D4837" s="7" t="n">
        <v>4</v>
      </c>
      <c r="E4837" s="8" t="n">
        <v>6.6575</v>
      </c>
      <c r="F4837" s="4" t="n">
        <f aca="false">D4837*E4837</f>
        <v>26.63</v>
      </c>
      <c r="G4837" s="7" t="n">
        <v>2</v>
      </c>
      <c r="H4837" s="9" t="n">
        <f aca="false">IF(G4837&gt;0,D4837/G4837,"")</f>
        <v>2</v>
      </c>
      <c r="I4837" s="10" t="n">
        <v>45960</v>
      </c>
      <c r="J4837" s="3" t="s">
        <v>6494</v>
      </c>
      <c r="K4837" s="10" t="n">
        <v>44882</v>
      </c>
      <c r="L4837" s="3" t="s">
        <v>1175</v>
      </c>
      <c r="M4837" s="7" t="n">
        <v>10</v>
      </c>
      <c r="N4837" s="8" t="n">
        <v>6.6578</v>
      </c>
      <c r="O4837" s="4" t="n">
        <f aca="false">M4837*N4837</f>
        <v>66.578</v>
      </c>
    </row>
    <row r="4838" customFormat="false" ht="15" hidden="false" customHeight="false" outlineLevel="0" collapsed="false">
      <c r="A4838" s="0" t="s">
        <v>6495</v>
      </c>
      <c r="C4838" s="0" t="s">
        <v>34</v>
      </c>
      <c r="D4838" s="7" t="n">
        <v>2055</v>
      </c>
      <c r="E4838" s="8" t="n">
        <v>0.0129489051094891</v>
      </c>
      <c r="F4838" s="4" t="n">
        <f aca="false">D4838*E4838</f>
        <v>26.61</v>
      </c>
      <c r="G4838" s="7" t="n">
        <v>1860</v>
      </c>
      <c r="H4838" s="9" t="n">
        <f aca="false">IF(G4838&gt;0,D4838/G4838,"")</f>
        <v>1.10483870967742</v>
      </c>
      <c r="I4838" s="10" t="n">
        <v>46288</v>
      </c>
      <c r="J4838" s="3" t="s">
        <v>2046</v>
      </c>
      <c r="K4838" s="10" t="n">
        <v>44770</v>
      </c>
      <c r="L4838" s="3" t="s">
        <v>15</v>
      </c>
      <c r="M4838" s="7" t="n">
        <v>7188</v>
      </c>
      <c r="N4838" s="8" t="n">
        <v>0.01295</v>
      </c>
      <c r="O4838" s="4" t="n">
        <f aca="false">M4838*N4838</f>
        <v>93.0846</v>
      </c>
    </row>
    <row r="4839" customFormat="false" ht="15" hidden="false" customHeight="false" outlineLevel="0" collapsed="false">
      <c r="A4839" s="0" t="s">
        <v>6496</v>
      </c>
      <c r="C4839" s="0" t="s">
        <v>33</v>
      </c>
      <c r="D4839" s="7" t="n">
        <v>12</v>
      </c>
      <c r="E4839" s="8" t="n">
        <v>2.2175</v>
      </c>
      <c r="F4839" s="4" t="n">
        <f aca="false">D4839*E4839</f>
        <v>26.61</v>
      </c>
      <c r="G4839" s="7" t="n">
        <v>8</v>
      </c>
      <c r="H4839" s="9" t="n">
        <f aca="false">IF(G4839&gt;0,D4839/G4839,"")</f>
        <v>1.5</v>
      </c>
      <c r="I4839" s="10" t="n">
        <v>46296</v>
      </c>
      <c r="J4839" s="3" t="s">
        <v>6208</v>
      </c>
      <c r="K4839" s="10" t="n">
        <v>46287</v>
      </c>
      <c r="L4839" s="3" t="s">
        <v>18</v>
      </c>
      <c r="M4839" s="7" t="n">
        <v>14</v>
      </c>
      <c r="N4839" s="8" t="n">
        <v>2.2182</v>
      </c>
      <c r="O4839" s="4" t="n">
        <f aca="false">M4839*N4839</f>
        <v>31.0548</v>
      </c>
    </row>
    <row r="4840" customFormat="false" ht="15" hidden="false" customHeight="false" outlineLevel="0" collapsed="false">
      <c r="A4840" s="0" t="s">
        <v>6497</v>
      </c>
      <c r="C4840" s="0" t="s">
        <v>35</v>
      </c>
      <c r="D4840" s="7" t="n">
        <v>12</v>
      </c>
      <c r="E4840" s="8" t="n">
        <v>2.21583333333333</v>
      </c>
      <c r="F4840" s="4" t="n">
        <f aca="false">D4840*E4840</f>
        <v>26.59</v>
      </c>
      <c r="G4840" s="7" t="n">
        <v>9</v>
      </c>
      <c r="H4840" s="9" t="n">
        <f aca="false">IF(G4840&gt;0,D4840/G4840,"")</f>
        <v>1.33333333333333</v>
      </c>
      <c r="I4840" s="10" t="n">
        <v>46310</v>
      </c>
      <c r="J4840" s="3" t="s">
        <v>3526</v>
      </c>
      <c r="K4840" s="10" t="n">
        <v>45293</v>
      </c>
      <c r="L4840" s="3" t="s">
        <v>14</v>
      </c>
      <c r="M4840" s="7" t="n">
        <v>25</v>
      </c>
      <c r="N4840" s="8" t="n">
        <v>2.2164</v>
      </c>
      <c r="O4840" s="4" t="n">
        <f aca="false">M4840*N4840</f>
        <v>55.41</v>
      </c>
    </row>
    <row r="4841" customFormat="false" ht="15" hidden="false" customHeight="false" outlineLevel="0" collapsed="false">
      <c r="A4841" s="0" t="s">
        <v>6498</v>
      </c>
      <c r="C4841" s="0" t="s">
        <v>31</v>
      </c>
      <c r="D4841" s="7" t="n">
        <v>100</v>
      </c>
      <c r="E4841" s="8" t="n">
        <v>0.2656</v>
      </c>
      <c r="F4841" s="4" t="n">
        <f aca="false">D4841*E4841</f>
        <v>26.56</v>
      </c>
      <c r="G4841" s="7" t="n">
        <v>41</v>
      </c>
      <c r="H4841" s="9" t="n">
        <f aca="false">IF(G4841&gt;0,D4841/G4841,"")</f>
        <v>2.4390243902439</v>
      </c>
      <c r="I4841" s="10" t="n">
        <v>46304</v>
      </c>
      <c r="J4841" s="3" t="s">
        <v>4904</v>
      </c>
      <c r="K4841" s="10" t="n">
        <v>46301</v>
      </c>
      <c r="L4841" s="3" t="s">
        <v>14</v>
      </c>
      <c r="M4841" s="7" t="n">
        <v>100</v>
      </c>
      <c r="N4841" s="8" t="n">
        <v>0.2656</v>
      </c>
      <c r="O4841" s="4" t="n">
        <f aca="false">M4841*N4841</f>
        <v>26.56</v>
      </c>
    </row>
    <row r="4842" customFormat="false" ht="15" hidden="false" customHeight="false" outlineLevel="0" collapsed="false">
      <c r="A4842" s="0" t="s">
        <v>6499</v>
      </c>
      <c r="C4842" s="0" t="s">
        <v>31</v>
      </c>
      <c r="D4842" s="7" t="n">
        <v>602</v>
      </c>
      <c r="E4842" s="8" t="n">
        <v>0.0440863787375415</v>
      </c>
      <c r="F4842" s="4" t="n">
        <f aca="false">D4842*E4842</f>
        <v>26.54</v>
      </c>
      <c r="G4842" s="7" t="n">
        <v>4</v>
      </c>
      <c r="H4842" s="9" t="n">
        <f aca="false">IF(G4842&gt;0,D4842/G4842,"")</f>
        <v>150.5</v>
      </c>
      <c r="I4842" s="10" t="n">
        <v>45953</v>
      </c>
      <c r="J4842" s="3" t="s">
        <v>2716</v>
      </c>
      <c r="K4842" s="10" t="n">
        <v>46160</v>
      </c>
      <c r="L4842" s="3" t="s">
        <v>16</v>
      </c>
      <c r="M4842" s="7" t="n">
        <v>600</v>
      </c>
      <c r="N4842" s="8" t="n">
        <v>0.0435</v>
      </c>
      <c r="O4842" s="4" t="n">
        <f aca="false">M4842*N4842</f>
        <v>26.1</v>
      </c>
    </row>
    <row r="4843" customFormat="false" ht="15" hidden="false" customHeight="false" outlineLevel="0" collapsed="false">
      <c r="A4843" s="0" t="s">
        <v>6500</v>
      </c>
      <c r="C4843" s="0" t="s">
        <v>40</v>
      </c>
      <c r="D4843" s="7" t="n">
        <v>420</v>
      </c>
      <c r="E4843" s="8" t="n">
        <v>0.0631904761904762</v>
      </c>
      <c r="F4843" s="4" t="n">
        <f aca="false">D4843*E4843</f>
        <v>26.54</v>
      </c>
      <c r="G4843" s="7" t="n">
        <v>250</v>
      </c>
      <c r="H4843" s="9" t="n">
        <f aca="false">IF(G4843&gt;0,D4843/G4843,"")</f>
        <v>1.68</v>
      </c>
      <c r="I4843" s="10" t="n">
        <v>46244</v>
      </c>
      <c r="J4843" s="3" t="s">
        <v>5391</v>
      </c>
      <c r="K4843" s="10" t="n">
        <v>44936</v>
      </c>
      <c r="L4843" s="3" t="s">
        <v>18</v>
      </c>
      <c r="M4843" s="7" t="n">
        <v>1600</v>
      </c>
      <c r="N4843" s="8" t="n">
        <v>0.0632</v>
      </c>
      <c r="O4843" s="4" t="n">
        <f aca="false">M4843*N4843</f>
        <v>101.12</v>
      </c>
    </row>
    <row r="4844" customFormat="false" ht="15" hidden="false" customHeight="false" outlineLevel="0" collapsed="false">
      <c r="A4844" s="0" t="s">
        <v>6501</v>
      </c>
      <c r="C4844" s="0" t="s">
        <v>118</v>
      </c>
      <c r="D4844" s="7" t="n">
        <v>360</v>
      </c>
      <c r="E4844" s="8" t="n">
        <v>0.0736944444444445</v>
      </c>
      <c r="F4844" s="4" t="n">
        <f aca="false">D4844*E4844</f>
        <v>26.53</v>
      </c>
      <c r="G4844" s="7" t="n">
        <v>58</v>
      </c>
      <c r="H4844" s="9" t="n">
        <f aca="false">IF(G4844&gt;0,D4844/G4844,"")</f>
        <v>6.20689655172414</v>
      </c>
      <c r="I4844" s="10" t="n">
        <v>46006</v>
      </c>
      <c r="J4844" s="3" t="s">
        <v>3361</v>
      </c>
      <c r="K4844" s="10" t="n">
        <v>44613</v>
      </c>
      <c r="L4844" s="3" t="s">
        <v>16</v>
      </c>
      <c r="M4844" s="7" t="n">
        <v>2222</v>
      </c>
      <c r="N4844" s="8" t="n">
        <v>0</v>
      </c>
      <c r="O4844" s="4" t="n">
        <v>100.98</v>
      </c>
    </row>
    <row r="4845" customFormat="false" ht="15" hidden="false" customHeight="false" outlineLevel="0" collapsed="false">
      <c r="A4845" s="0" t="s">
        <v>6502</v>
      </c>
      <c r="C4845" s="0" t="s">
        <v>298</v>
      </c>
      <c r="D4845" s="7" t="n">
        <v>8</v>
      </c>
      <c r="E4845" s="8" t="n">
        <v>3.31625</v>
      </c>
      <c r="F4845" s="4" t="n">
        <f aca="false">D4845*E4845</f>
        <v>26.53</v>
      </c>
      <c r="G4845" s="7" t="n">
        <v>1</v>
      </c>
      <c r="H4845" s="9" t="n">
        <f aca="false">IF(G4845&gt;0,D4845/G4845,"")</f>
        <v>8</v>
      </c>
      <c r="I4845" s="10" t="n">
        <v>46154</v>
      </c>
      <c r="J4845" s="3" t="s">
        <v>6503</v>
      </c>
      <c r="K4845" s="10" t="n">
        <v>44925</v>
      </c>
      <c r="L4845" s="3" t="s">
        <v>14</v>
      </c>
      <c r="M4845" s="7" t="n">
        <v>10</v>
      </c>
      <c r="N4845" s="8" t="n">
        <v>3.633</v>
      </c>
      <c r="O4845" s="4" t="n">
        <f aca="false">M4845*N4845</f>
        <v>36.33</v>
      </c>
    </row>
    <row r="4846" customFormat="false" ht="15" hidden="false" customHeight="false" outlineLevel="0" collapsed="false">
      <c r="A4846" s="0" t="s">
        <v>6504</v>
      </c>
      <c r="C4846" s="0" t="s">
        <v>34</v>
      </c>
      <c r="D4846" s="7" t="n">
        <v>178</v>
      </c>
      <c r="E4846" s="8" t="n">
        <v>0.149044943820225</v>
      </c>
      <c r="F4846" s="4" t="n">
        <f aca="false">D4846*E4846</f>
        <v>26.53</v>
      </c>
      <c r="G4846" s="7" t="n">
        <v>25</v>
      </c>
      <c r="H4846" s="9" t="n">
        <f aca="false">IF(G4846&gt;0,D4846/G4846,"")</f>
        <v>7.12</v>
      </c>
      <c r="I4846" s="10" t="n">
        <v>46108</v>
      </c>
      <c r="J4846" s="3" t="s">
        <v>6505</v>
      </c>
      <c r="K4846" s="10" t="n">
        <v>45984</v>
      </c>
      <c r="L4846" s="3" t="s">
        <v>19</v>
      </c>
      <c r="M4846" s="7" t="n">
        <v>41</v>
      </c>
      <c r="N4846" s="8" t="n">
        <v>0.4231</v>
      </c>
      <c r="O4846" s="4" t="n">
        <f aca="false">M4846*N4846</f>
        <v>17.3471</v>
      </c>
    </row>
    <row r="4847" customFormat="false" ht="15" hidden="false" customHeight="false" outlineLevel="0" collapsed="false">
      <c r="A4847" s="0" t="s">
        <v>6506</v>
      </c>
      <c r="C4847" s="0" t="s">
        <v>438</v>
      </c>
      <c r="D4847" s="7" t="n">
        <v>17</v>
      </c>
      <c r="E4847" s="8" t="n">
        <v>1.55882352941177</v>
      </c>
      <c r="F4847" s="4" t="n">
        <f aca="false">D4847*E4847</f>
        <v>26.5</v>
      </c>
      <c r="G4847" s="7" t="n">
        <v>11</v>
      </c>
      <c r="H4847" s="9" t="n">
        <f aca="false">IF(G4847&gt;0,D4847/G4847,"")</f>
        <v>1.54545454545455</v>
      </c>
      <c r="I4847" s="10" t="n">
        <v>46259</v>
      </c>
      <c r="J4847" s="3" t="s">
        <v>347</v>
      </c>
      <c r="K4847" s="10" t="n">
        <v>46210</v>
      </c>
      <c r="L4847" s="3" t="s">
        <v>14</v>
      </c>
      <c r="M4847" s="7" t="n">
        <v>20</v>
      </c>
      <c r="N4847" s="8" t="n">
        <v>1.559</v>
      </c>
      <c r="O4847" s="4" t="n">
        <f aca="false">M4847*N4847</f>
        <v>31.18</v>
      </c>
    </row>
    <row r="4848" customFormat="false" ht="15" hidden="false" customHeight="false" outlineLevel="0" collapsed="false">
      <c r="A4848" s="0" t="s">
        <v>6507</v>
      </c>
      <c r="C4848" s="0" t="s">
        <v>34</v>
      </c>
      <c r="D4848" s="7" t="n">
        <v>65</v>
      </c>
      <c r="E4848" s="8" t="n">
        <v>0.407538461538462</v>
      </c>
      <c r="F4848" s="4" t="n">
        <f aca="false">D4848*E4848</f>
        <v>26.49</v>
      </c>
      <c r="G4848" s="7" t="n">
        <v>6</v>
      </c>
      <c r="H4848" s="9" t="n">
        <f aca="false">IF(G4848&gt;0,D4848/G4848,"")</f>
        <v>10.8333333333333</v>
      </c>
      <c r="I4848" s="10" t="n">
        <v>46057</v>
      </c>
      <c r="J4848" s="3" t="s">
        <v>1107</v>
      </c>
      <c r="K4848" s="10" t="n">
        <v>46035</v>
      </c>
      <c r="L4848" s="3" t="s">
        <v>16</v>
      </c>
      <c r="M4848" s="7" t="n">
        <v>70</v>
      </c>
      <c r="N4848" s="8" t="n">
        <v>0.3493</v>
      </c>
      <c r="O4848" s="4" t="n">
        <f aca="false">M4848*N4848</f>
        <v>24.451</v>
      </c>
    </row>
    <row r="4849" customFormat="false" ht="15" hidden="false" customHeight="false" outlineLevel="0" collapsed="false">
      <c r="A4849" s="0" t="s">
        <v>6508</v>
      </c>
      <c r="C4849" s="0" t="s">
        <v>31</v>
      </c>
      <c r="D4849" s="7" t="n">
        <v>1108</v>
      </c>
      <c r="E4849" s="8" t="n">
        <v>0.023898916967509</v>
      </c>
      <c r="F4849" s="4" t="n">
        <f aca="false">D4849*E4849</f>
        <v>26.48</v>
      </c>
      <c r="G4849" s="7" t="n">
        <v>1074</v>
      </c>
      <c r="H4849" s="9" t="n">
        <f aca="false">IF(G4849&gt;0,D4849/G4849,"")</f>
        <v>1.0316573556797</v>
      </c>
      <c r="I4849" s="10" t="n">
        <v>46315</v>
      </c>
      <c r="J4849" s="3" t="s">
        <v>628</v>
      </c>
      <c r="K4849" s="10" t="n">
        <v>46128</v>
      </c>
      <c r="L4849" s="3" t="s">
        <v>16</v>
      </c>
      <c r="M4849" s="7" t="n">
        <v>1900</v>
      </c>
      <c r="N4849" s="8" t="n">
        <v>0.0239</v>
      </c>
      <c r="O4849" s="4" t="n">
        <f aca="false">M4849*N4849</f>
        <v>45.41</v>
      </c>
    </row>
    <row r="4850" customFormat="false" ht="15" hidden="false" customHeight="false" outlineLevel="0" collapsed="false">
      <c r="A4850" s="0" t="s">
        <v>6509</v>
      </c>
      <c r="C4850" s="0" t="s">
        <v>36</v>
      </c>
      <c r="D4850" s="7" t="n">
        <v>49</v>
      </c>
      <c r="E4850" s="8" t="n">
        <v>0.539795918367347</v>
      </c>
      <c r="F4850" s="4" t="n">
        <f aca="false">D4850*E4850</f>
        <v>26.45</v>
      </c>
      <c r="G4850" s="7" t="n">
        <v>30</v>
      </c>
      <c r="H4850" s="9" t="n">
        <f aca="false">IF(G4850&gt;0,D4850/G4850,"")</f>
        <v>1.63333333333333</v>
      </c>
      <c r="I4850" s="10" t="n">
        <v>46274</v>
      </c>
      <c r="J4850" s="3" t="s">
        <v>6510</v>
      </c>
      <c r="K4850" s="10" t="n">
        <v>45239</v>
      </c>
      <c r="L4850" s="3" t="s">
        <v>14</v>
      </c>
      <c r="M4850" s="7" t="n">
        <v>500</v>
      </c>
      <c r="N4850" s="8" t="n">
        <v>0.5399</v>
      </c>
      <c r="O4850" s="4" t="n">
        <f aca="false">M4850*N4850</f>
        <v>269.95</v>
      </c>
    </row>
    <row r="4851" customFormat="false" ht="15" hidden="false" customHeight="false" outlineLevel="0" collapsed="false">
      <c r="A4851" s="0" t="s">
        <v>6511</v>
      </c>
      <c r="C4851" s="0" t="s">
        <v>340</v>
      </c>
      <c r="D4851" s="7" t="n">
        <v>41</v>
      </c>
      <c r="E4851" s="8" t="n">
        <v>0.644390243902439</v>
      </c>
      <c r="F4851" s="4" t="n">
        <f aca="false">D4851*E4851</f>
        <v>26.42</v>
      </c>
      <c r="G4851" s="7" t="n">
        <v>6</v>
      </c>
      <c r="H4851" s="9" t="n">
        <f aca="false">IF(G4851&gt;0,D4851/G4851,"")</f>
        <v>6.83333333333333</v>
      </c>
      <c r="I4851" s="10" t="n">
        <v>46288</v>
      </c>
      <c r="J4851" s="3" t="s">
        <v>6073</v>
      </c>
      <c r="K4851" s="10" t="n">
        <v>46126</v>
      </c>
      <c r="L4851" s="3" t="s">
        <v>19</v>
      </c>
      <c r="M4851" s="7" t="n">
        <v>47</v>
      </c>
      <c r="N4851" s="8" t="n">
        <v>0.6442</v>
      </c>
      <c r="O4851" s="4" t="n">
        <f aca="false">M4851*N4851</f>
        <v>30.2774</v>
      </c>
    </row>
    <row r="4852" customFormat="false" ht="15" hidden="false" customHeight="false" outlineLevel="0" collapsed="false">
      <c r="A4852" s="0" t="s">
        <v>6512</v>
      </c>
      <c r="C4852" s="0" t="s">
        <v>398</v>
      </c>
      <c r="D4852" s="7" t="n">
        <v>209</v>
      </c>
      <c r="E4852" s="8" t="n">
        <v>0.126267942583732</v>
      </c>
      <c r="F4852" s="4" t="n">
        <f aca="false">D4852*E4852</f>
        <v>26.39</v>
      </c>
      <c r="G4852" s="7" t="n">
        <v>8</v>
      </c>
      <c r="H4852" s="9" t="n">
        <f aca="false">IF(G4852&gt;0,D4852/G4852,"")</f>
        <v>26.125</v>
      </c>
      <c r="I4852" s="10" t="n">
        <v>46066</v>
      </c>
      <c r="K4852" s="10"/>
      <c r="M4852" s="7"/>
      <c r="N4852" s="8"/>
      <c r="O4852" s="4"/>
    </row>
    <row r="4853" customFormat="false" ht="15" hidden="false" customHeight="false" outlineLevel="0" collapsed="false">
      <c r="A4853" s="0" t="s">
        <v>6513</v>
      </c>
      <c r="C4853" s="0" t="s">
        <v>34</v>
      </c>
      <c r="D4853" s="7" t="n">
        <v>1062</v>
      </c>
      <c r="E4853" s="8" t="n">
        <v>0.0248116760828625</v>
      </c>
      <c r="F4853" s="4" t="n">
        <f aca="false">D4853*E4853</f>
        <v>26.35</v>
      </c>
      <c r="G4853" s="7" t="n">
        <v>160</v>
      </c>
      <c r="H4853" s="9" t="n">
        <f aca="false">IF(G4853&gt;0,D4853/G4853,"")</f>
        <v>6.6375</v>
      </c>
      <c r="I4853" s="10" t="n">
        <v>46259</v>
      </c>
      <c r="J4853" s="3" t="s">
        <v>3979</v>
      </c>
      <c r="K4853" s="10" t="n">
        <v>44286</v>
      </c>
      <c r="L4853" s="3" t="s">
        <v>19</v>
      </c>
      <c r="M4853" s="7" t="n">
        <v>1268</v>
      </c>
      <c r="N4853" s="8" t="n">
        <v>0.0248</v>
      </c>
      <c r="O4853" s="4" t="n">
        <f aca="false">M4853*N4853</f>
        <v>31.4464</v>
      </c>
    </row>
    <row r="4854" customFormat="false" ht="15" hidden="false" customHeight="false" outlineLevel="0" collapsed="false">
      <c r="A4854" s="0" t="s">
        <v>6514</v>
      </c>
      <c r="C4854" s="0" t="s">
        <v>31</v>
      </c>
      <c r="D4854" s="7" t="n">
        <v>758</v>
      </c>
      <c r="E4854" s="8" t="n">
        <v>0.0347493403693931</v>
      </c>
      <c r="F4854" s="4" t="n">
        <f aca="false">D4854*E4854</f>
        <v>26.34</v>
      </c>
      <c r="G4854" s="7" t="n">
        <v>58</v>
      </c>
      <c r="H4854" s="9" t="n">
        <f aca="false">IF(G4854&gt;0,D4854/G4854,"")</f>
        <v>13.0689655172414</v>
      </c>
      <c r="I4854" s="10" t="n">
        <v>46314</v>
      </c>
      <c r="J4854" s="3" t="s">
        <v>5828</v>
      </c>
      <c r="K4854" s="10" t="n">
        <v>45509</v>
      </c>
      <c r="L4854" s="3" t="s">
        <v>15</v>
      </c>
      <c r="M4854" s="7" t="n">
        <v>1000</v>
      </c>
      <c r="N4854" s="8" t="n">
        <v>0.03473</v>
      </c>
      <c r="O4854" s="4" t="n">
        <f aca="false">M4854*N4854</f>
        <v>34.73</v>
      </c>
    </row>
    <row r="4855" customFormat="false" ht="15" hidden="false" customHeight="false" outlineLevel="0" collapsed="false">
      <c r="A4855" s="0" t="s">
        <v>6515</v>
      </c>
      <c r="C4855" s="0" t="s">
        <v>5871</v>
      </c>
      <c r="D4855" s="7" t="n">
        <v>33</v>
      </c>
      <c r="E4855" s="8" t="n">
        <v>0.797272727272727</v>
      </c>
      <c r="F4855" s="4" t="n">
        <f aca="false">D4855*E4855</f>
        <v>26.31</v>
      </c>
      <c r="G4855" s="7" t="n">
        <v>2</v>
      </c>
      <c r="H4855" s="9" t="n">
        <f aca="false">IF(G4855&gt;0,D4855/G4855,"")</f>
        <v>16.5</v>
      </c>
      <c r="I4855" s="10" t="n">
        <v>46216</v>
      </c>
      <c r="J4855" s="3" t="s">
        <v>6484</v>
      </c>
      <c r="K4855" s="10" t="n">
        <v>44855</v>
      </c>
      <c r="L4855" s="3" t="s">
        <v>14</v>
      </c>
      <c r="M4855" s="7" t="n">
        <v>39</v>
      </c>
      <c r="N4855" s="8" t="n">
        <v>0.7972</v>
      </c>
      <c r="O4855" s="4" t="n">
        <f aca="false">M4855*N4855</f>
        <v>31.0908</v>
      </c>
    </row>
    <row r="4856" customFormat="false" ht="15" hidden="false" customHeight="false" outlineLevel="0" collapsed="false">
      <c r="A4856" s="0" t="s">
        <v>6516</v>
      </c>
      <c r="C4856" s="0" t="s">
        <v>295</v>
      </c>
      <c r="D4856" s="7" t="n">
        <v>149</v>
      </c>
      <c r="E4856" s="8" t="n">
        <v>0.176577181208054</v>
      </c>
      <c r="F4856" s="4" t="n">
        <f aca="false">D4856*E4856</f>
        <v>26.31</v>
      </c>
      <c r="G4856" s="7" t="n">
        <v>25</v>
      </c>
      <c r="H4856" s="9" t="n">
        <f aca="false">IF(G4856&gt;0,D4856/G4856,"")</f>
        <v>5.96</v>
      </c>
      <c r="I4856" s="10" t="n">
        <v>46288</v>
      </c>
      <c r="J4856" s="3" t="s">
        <v>4968</v>
      </c>
      <c r="K4856" s="10" t="n">
        <v>46251</v>
      </c>
      <c r="L4856" s="3" t="s">
        <v>15</v>
      </c>
      <c r="M4856" s="7" t="n">
        <v>174</v>
      </c>
      <c r="N4856" s="8" t="n">
        <v>0.17653</v>
      </c>
      <c r="O4856" s="4" t="n">
        <f aca="false">M4856*N4856</f>
        <v>30.71622</v>
      </c>
    </row>
    <row r="4857" customFormat="false" ht="15" hidden="false" customHeight="false" outlineLevel="0" collapsed="false">
      <c r="A4857" s="0" t="s">
        <v>6517</v>
      </c>
      <c r="C4857" s="0" t="s">
        <v>1039</v>
      </c>
      <c r="D4857" s="7" t="n">
        <v>3974</v>
      </c>
      <c r="E4857" s="8" t="n">
        <v>0.0066155007549069</v>
      </c>
      <c r="F4857" s="4" t="n">
        <f aca="false">D4857*E4857</f>
        <v>26.29</v>
      </c>
      <c r="G4857" s="7" t="n">
        <v>894</v>
      </c>
      <c r="H4857" s="9" t="n">
        <f aca="false">IF(G4857&gt;0,D4857/G4857,"")</f>
        <v>4.44519015659955</v>
      </c>
      <c r="I4857" s="10" t="n">
        <v>46224</v>
      </c>
      <c r="K4857" s="10"/>
      <c r="M4857" s="7"/>
      <c r="N4857" s="8"/>
      <c r="O4857" s="4"/>
    </row>
    <row r="4858" customFormat="false" ht="15" hidden="false" customHeight="false" outlineLevel="0" collapsed="false">
      <c r="A4858" s="0" t="s">
        <v>6518</v>
      </c>
      <c r="C4858" s="0" t="s">
        <v>31</v>
      </c>
      <c r="D4858" s="7" t="n">
        <v>9374</v>
      </c>
      <c r="E4858" s="8" t="n">
        <v>0.00280029869852784</v>
      </c>
      <c r="F4858" s="4" t="n">
        <f aca="false">D4858*E4858</f>
        <v>26.25</v>
      </c>
      <c r="G4858" s="7" t="n">
        <v>476</v>
      </c>
      <c r="H4858" s="9" t="n">
        <f aca="false">IF(G4858&gt;0,D4858/G4858,"")</f>
        <v>19.6932773109244</v>
      </c>
      <c r="I4858" s="10" t="n">
        <v>46290</v>
      </c>
      <c r="J4858" s="3" t="s">
        <v>1384</v>
      </c>
      <c r="K4858" s="10" t="n">
        <v>45672</v>
      </c>
      <c r="L4858" s="3" t="s">
        <v>16</v>
      </c>
      <c r="M4858" s="7" t="n">
        <v>10000</v>
      </c>
      <c r="N4858" s="8" t="n">
        <v>0.0028</v>
      </c>
      <c r="O4858" s="4" t="n">
        <f aca="false">M4858*N4858</f>
        <v>28</v>
      </c>
    </row>
    <row r="4859" customFormat="false" ht="15" hidden="false" customHeight="false" outlineLevel="0" collapsed="false">
      <c r="A4859" s="0" t="s">
        <v>6519</v>
      </c>
      <c r="C4859" s="0" t="s">
        <v>34</v>
      </c>
      <c r="D4859" s="7" t="n">
        <v>157</v>
      </c>
      <c r="E4859" s="8" t="n">
        <v>0.167133757961784</v>
      </c>
      <c r="F4859" s="4" t="n">
        <f aca="false">D4859*E4859</f>
        <v>26.24</v>
      </c>
      <c r="G4859" s="7" t="n">
        <v>25</v>
      </c>
      <c r="H4859" s="9" t="n">
        <f aca="false">IF(G4859&gt;0,D4859/G4859,"")</f>
        <v>6.28</v>
      </c>
      <c r="I4859" s="10" t="n">
        <v>46246</v>
      </c>
      <c r="J4859" s="3" t="s">
        <v>6520</v>
      </c>
      <c r="K4859" s="10" t="n">
        <v>44630</v>
      </c>
      <c r="L4859" s="3" t="s">
        <v>19</v>
      </c>
      <c r="M4859" s="7" t="n">
        <v>251</v>
      </c>
      <c r="N4859" s="8" t="n">
        <v>0</v>
      </c>
      <c r="O4859" s="4" t="n">
        <v>42.05</v>
      </c>
    </row>
    <row r="4860" customFormat="false" ht="15" hidden="false" customHeight="false" outlineLevel="0" collapsed="false">
      <c r="A4860" s="0" t="s">
        <v>6521</v>
      </c>
      <c r="C4860" s="0" t="s">
        <v>855</v>
      </c>
      <c r="D4860" s="7" t="n">
        <v>7792</v>
      </c>
      <c r="E4860" s="8" t="n">
        <v>0.00336242299794661</v>
      </c>
      <c r="F4860" s="4" t="n">
        <f aca="false">D4860*E4860</f>
        <v>26.2</v>
      </c>
      <c r="G4860" s="7" t="n">
        <v>213</v>
      </c>
      <c r="H4860" s="9" t="n">
        <f aca="false">IF(G4860&gt;0,D4860/G4860,"")</f>
        <v>36.5821596244131</v>
      </c>
      <c r="I4860" s="10" t="n">
        <v>46283</v>
      </c>
      <c r="J4860" s="3" t="s">
        <v>2789</v>
      </c>
      <c r="K4860" s="10" t="n">
        <v>44256</v>
      </c>
      <c r="L4860" s="3" t="s">
        <v>15</v>
      </c>
      <c r="M4860" s="7" t="n">
        <v>20300</v>
      </c>
      <c r="N4860" s="8" t="n">
        <v>0.00336</v>
      </c>
      <c r="O4860" s="4" t="n">
        <f aca="false">M4860*N4860</f>
        <v>68.208</v>
      </c>
    </row>
    <row r="4861" customFormat="false" ht="15" hidden="false" customHeight="false" outlineLevel="0" collapsed="false">
      <c r="A4861" s="0" t="s">
        <v>6522</v>
      </c>
      <c r="C4861" s="0" t="s">
        <v>31</v>
      </c>
      <c r="D4861" s="7" t="n">
        <v>214</v>
      </c>
      <c r="E4861" s="8" t="n">
        <v>0.122196261682243</v>
      </c>
      <c r="F4861" s="4" t="n">
        <f aca="false">D4861*E4861</f>
        <v>26.15</v>
      </c>
      <c r="G4861" s="7" t="n">
        <v>26</v>
      </c>
      <c r="H4861" s="9" t="n">
        <f aca="false">IF(G4861&gt;0,D4861/G4861,"")</f>
        <v>8.23076923076923</v>
      </c>
      <c r="I4861" s="10" t="n">
        <v>46129</v>
      </c>
      <c r="J4861" s="3" t="s">
        <v>6523</v>
      </c>
      <c r="K4861" s="10" t="n">
        <v>45855</v>
      </c>
      <c r="L4861" s="3" t="s">
        <v>19</v>
      </c>
      <c r="M4861" s="7" t="n">
        <v>250</v>
      </c>
      <c r="N4861" s="8" t="n">
        <v>0.1222</v>
      </c>
      <c r="O4861" s="4" t="n">
        <f aca="false">M4861*N4861</f>
        <v>30.55</v>
      </c>
    </row>
    <row r="4862" customFormat="false" ht="15" hidden="false" customHeight="false" outlineLevel="0" collapsed="false">
      <c r="A4862" s="0" t="s">
        <v>6524</v>
      </c>
      <c r="C4862" s="0" t="s">
        <v>31</v>
      </c>
      <c r="D4862" s="7" t="n">
        <v>101</v>
      </c>
      <c r="E4862" s="8" t="n">
        <v>0.258811881188119</v>
      </c>
      <c r="F4862" s="4" t="n">
        <f aca="false">D4862*E4862</f>
        <v>26.14</v>
      </c>
      <c r="G4862" s="7" t="n">
        <v>10</v>
      </c>
      <c r="H4862" s="9" t="n">
        <f aca="false">IF(G4862&gt;0,D4862/G4862,"")</f>
        <v>10.1</v>
      </c>
      <c r="I4862" s="10" t="n">
        <v>46223</v>
      </c>
      <c r="J4862" s="3" t="s">
        <v>693</v>
      </c>
      <c r="K4862" s="10" t="n">
        <v>46304</v>
      </c>
      <c r="L4862" s="3" t="s">
        <v>14</v>
      </c>
      <c r="M4862" s="7" t="n">
        <v>100</v>
      </c>
      <c r="N4862" s="8" t="n">
        <v>0.2598</v>
      </c>
      <c r="O4862" s="4" t="n">
        <f aca="false">M4862*N4862</f>
        <v>25.98</v>
      </c>
    </row>
    <row r="4863" customFormat="false" ht="15" hidden="false" customHeight="false" outlineLevel="0" collapsed="false">
      <c r="A4863" s="0" t="s">
        <v>6525</v>
      </c>
      <c r="C4863" s="0" t="s">
        <v>36</v>
      </c>
      <c r="D4863" s="7" t="n">
        <v>108</v>
      </c>
      <c r="E4863" s="8" t="n">
        <v>0.242037037037037</v>
      </c>
      <c r="F4863" s="4" t="n">
        <f aca="false">D4863*E4863</f>
        <v>26.14</v>
      </c>
      <c r="G4863" s="7" t="n">
        <v>4</v>
      </c>
      <c r="H4863" s="9" t="n">
        <f aca="false">IF(G4863&gt;0,D4863/G4863,"")</f>
        <v>27</v>
      </c>
      <c r="I4863" s="10" t="n">
        <v>46069</v>
      </c>
      <c r="J4863" s="3" t="s">
        <v>4763</v>
      </c>
      <c r="K4863" s="10" t="n">
        <v>44980</v>
      </c>
      <c r="L4863" s="3" t="s">
        <v>19</v>
      </c>
      <c r="M4863" s="7" t="n">
        <v>125</v>
      </c>
      <c r="N4863" s="8" t="n">
        <v>0.2421</v>
      </c>
      <c r="O4863" s="4" t="n">
        <f aca="false">M4863*N4863</f>
        <v>30.2625</v>
      </c>
    </row>
    <row r="4864" customFormat="false" ht="15" hidden="false" customHeight="false" outlineLevel="0" collapsed="false">
      <c r="A4864" s="0" t="s">
        <v>6526</v>
      </c>
      <c r="C4864" s="0" t="s">
        <v>36</v>
      </c>
      <c r="D4864" s="7" t="n">
        <v>39</v>
      </c>
      <c r="E4864" s="8" t="n">
        <v>0.67025641025641</v>
      </c>
      <c r="F4864" s="4" t="n">
        <f aca="false">D4864*E4864</f>
        <v>26.14</v>
      </c>
      <c r="G4864" s="7" t="n">
        <v>3</v>
      </c>
      <c r="H4864" s="9" t="n">
        <f aca="false">IF(G4864&gt;0,D4864/G4864,"")</f>
        <v>13</v>
      </c>
      <c r="I4864" s="10" t="n">
        <v>46234</v>
      </c>
      <c r="K4864" s="10"/>
      <c r="M4864" s="7"/>
      <c r="N4864" s="8"/>
      <c r="O4864" s="4"/>
    </row>
    <row r="4865" customFormat="false" ht="15" hidden="false" customHeight="false" outlineLevel="0" collapsed="false">
      <c r="A4865" s="0" t="s">
        <v>6527</v>
      </c>
      <c r="C4865" s="0" t="s">
        <v>777</v>
      </c>
      <c r="D4865" s="7" t="n">
        <v>40</v>
      </c>
      <c r="E4865" s="8" t="n">
        <v>0.65325</v>
      </c>
      <c r="F4865" s="4" t="n">
        <f aca="false">D4865*E4865</f>
        <v>26.13</v>
      </c>
      <c r="G4865" s="7" t="n">
        <v>20</v>
      </c>
      <c r="H4865" s="9" t="n">
        <f aca="false">IF(G4865&gt;0,D4865/G4865,"")</f>
        <v>2</v>
      </c>
      <c r="I4865" s="10" t="n">
        <v>46184</v>
      </c>
      <c r="J4865" s="3" t="s">
        <v>6528</v>
      </c>
      <c r="K4865" s="10" t="n">
        <v>46128</v>
      </c>
      <c r="L4865" s="3" t="s">
        <v>15</v>
      </c>
      <c r="M4865" s="7" t="n">
        <v>60</v>
      </c>
      <c r="N4865" s="8" t="n">
        <v>0.6531</v>
      </c>
      <c r="O4865" s="4" t="n">
        <f aca="false">M4865*N4865</f>
        <v>39.186</v>
      </c>
    </row>
    <row r="4866" customFormat="false" ht="15" hidden="false" customHeight="false" outlineLevel="0" collapsed="false">
      <c r="A4866" s="0" t="s">
        <v>6529</v>
      </c>
      <c r="C4866" s="0" t="s">
        <v>340</v>
      </c>
      <c r="D4866" s="7" t="n">
        <v>92</v>
      </c>
      <c r="E4866" s="8" t="n">
        <v>0.283804347826087</v>
      </c>
      <c r="F4866" s="4" t="n">
        <f aca="false">D4866*E4866</f>
        <v>26.11</v>
      </c>
      <c r="G4866" s="7" t="n">
        <v>15</v>
      </c>
      <c r="H4866" s="9" t="n">
        <f aca="false">IF(G4866&gt;0,D4866/G4866,"")</f>
        <v>6.13333333333333</v>
      </c>
      <c r="I4866" s="10" t="n">
        <v>46163</v>
      </c>
      <c r="J4866" s="3" t="s">
        <v>6530</v>
      </c>
      <c r="K4866" s="10" t="n">
        <v>46127</v>
      </c>
      <c r="L4866" s="3" t="s">
        <v>19</v>
      </c>
      <c r="M4866" s="7" t="n">
        <v>107</v>
      </c>
      <c r="N4866" s="8" t="n">
        <v>0.2838</v>
      </c>
      <c r="O4866" s="4" t="n">
        <f aca="false">M4866*N4866</f>
        <v>30.3666</v>
      </c>
    </row>
    <row r="4867" customFormat="false" ht="15" hidden="false" customHeight="false" outlineLevel="0" collapsed="false">
      <c r="A4867" s="0" t="s">
        <v>6531</v>
      </c>
      <c r="C4867" s="0" t="s">
        <v>34</v>
      </c>
      <c r="D4867" s="7" t="n">
        <v>48</v>
      </c>
      <c r="E4867" s="8" t="n">
        <v>0.54375</v>
      </c>
      <c r="F4867" s="4" t="n">
        <f aca="false">D4867*E4867</f>
        <v>26.1</v>
      </c>
      <c r="G4867" s="7" t="n">
        <v>4</v>
      </c>
      <c r="H4867" s="9" t="n">
        <f aca="false">IF(G4867&gt;0,D4867/G4867,"")</f>
        <v>12</v>
      </c>
      <c r="I4867" s="10" t="n">
        <v>46021</v>
      </c>
      <c r="J4867" s="3" t="s">
        <v>6532</v>
      </c>
      <c r="K4867" s="10" t="n">
        <v>44589</v>
      </c>
      <c r="L4867" s="3" t="s">
        <v>19</v>
      </c>
      <c r="M4867" s="7" t="n">
        <v>100</v>
      </c>
      <c r="N4867" s="8" t="n">
        <v>0.5437</v>
      </c>
      <c r="O4867" s="4" t="n">
        <f aca="false">M4867*N4867</f>
        <v>54.37</v>
      </c>
    </row>
    <row r="4868" customFormat="false" ht="15" hidden="false" customHeight="false" outlineLevel="0" collapsed="false">
      <c r="A4868" s="0" t="s">
        <v>6533</v>
      </c>
      <c r="C4868" s="0" t="s">
        <v>844</v>
      </c>
      <c r="D4868" s="7" t="n">
        <v>11</v>
      </c>
      <c r="E4868" s="8" t="n">
        <v>2.37</v>
      </c>
      <c r="F4868" s="4" t="n">
        <f aca="false">D4868*E4868</f>
        <v>26.07</v>
      </c>
      <c r="G4868" s="7" t="n">
        <v>6</v>
      </c>
      <c r="H4868" s="9" t="n">
        <f aca="false">IF(G4868&gt;0,D4868/G4868,"")</f>
        <v>1.83333333333333</v>
      </c>
      <c r="I4868" s="10" t="n">
        <v>46295</v>
      </c>
      <c r="J4868" s="3" t="s">
        <v>1877</v>
      </c>
      <c r="K4868" s="10" t="n">
        <v>45896</v>
      </c>
      <c r="L4868" s="3" t="s">
        <v>1878</v>
      </c>
      <c r="M4868" s="7" t="n">
        <v>20</v>
      </c>
      <c r="N4868" s="8" t="n">
        <v>2.37</v>
      </c>
      <c r="O4868" s="4" t="n">
        <f aca="false">M4868*N4868</f>
        <v>47.4</v>
      </c>
    </row>
    <row r="4869" customFormat="false" ht="15" hidden="false" customHeight="false" outlineLevel="0" collapsed="false">
      <c r="A4869" s="0" t="s">
        <v>6534</v>
      </c>
      <c r="C4869" s="0" t="s">
        <v>1101</v>
      </c>
      <c r="D4869" s="7" t="n">
        <v>7</v>
      </c>
      <c r="E4869" s="8" t="n">
        <v>3.72</v>
      </c>
      <c r="F4869" s="4" t="n">
        <f aca="false">D4869*E4869</f>
        <v>26.04</v>
      </c>
      <c r="G4869" s="7" t="n">
        <v>6</v>
      </c>
      <c r="H4869" s="9" t="n">
        <f aca="false">IF(G4869&gt;0,D4869/G4869,"")</f>
        <v>1.16666666666667</v>
      </c>
      <c r="I4869" s="10" t="n">
        <v>46146</v>
      </c>
      <c r="J4869" s="3" t="s">
        <v>6535</v>
      </c>
      <c r="K4869" s="10" t="n">
        <v>45734</v>
      </c>
      <c r="L4869" s="3" t="s">
        <v>834</v>
      </c>
      <c r="M4869" s="7" t="n">
        <v>25</v>
      </c>
      <c r="N4869" s="8" t="n">
        <v>3.72</v>
      </c>
      <c r="O4869" s="4" t="n">
        <f aca="false">M4869*N4869</f>
        <v>93</v>
      </c>
    </row>
    <row r="4870" customFormat="false" ht="15" hidden="false" customHeight="false" outlineLevel="0" collapsed="false">
      <c r="A4870" s="0" t="s">
        <v>6536</v>
      </c>
      <c r="C4870" s="0" t="s">
        <v>35</v>
      </c>
      <c r="D4870" s="7" t="n">
        <v>23</v>
      </c>
      <c r="E4870" s="8" t="n">
        <v>1.13173913043478</v>
      </c>
      <c r="F4870" s="4" t="n">
        <f aca="false">D4870*E4870</f>
        <v>26.03</v>
      </c>
      <c r="G4870" s="7" t="n">
        <v>5</v>
      </c>
      <c r="H4870" s="9" t="n">
        <f aca="false">IF(G4870&gt;0,D4870/G4870,"")</f>
        <v>4.6</v>
      </c>
      <c r="I4870" s="10" t="n">
        <v>46006</v>
      </c>
      <c r="J4870" s="3" t="s">
        <v>6537</v>
      </c>
      <c r="K4870" s="10" t="n">
        <v>44683</v>
      </c>
      <c r="L4870" s="3" t="s">
        <v>14</v>
      </c>
      <c r="M4870" s="7" t="n">
        <v>70</v>
      </c>
      <c r="N4870" s="8" t="n">
        <v>1.1313</v>
      </c>
      <c r="O4870" s="4" t="n">
        <f aca="false">M4870*N4870</f>
        <v>79.191</v>
      </c>
    </row>
    <row r="4871" customFormat="false" ht="15" hidden="false" customHeight="false" outlineLevel="0" collapsed="false">
      <c r="A4871" s="0" t="s">
        <v>6538</v>
      </c>
      <c r="C4871" s="0" t="s">
        <v>38</v>
      </c>
      <c r="D4871" s="7" t="n">
        <v>2660</v>
      </c>
      <c r="E4871" s="8" t="n">
        <v>0.0097781954887218</v>
      </c>
      <c r="F4871" s="4" t="n">
        <f aca="false">D4871*E4871</f>
        <v>26.01</v>
      </c>
      <c r="G4871" s="7" t="n">
        <v>2219</v>
      </c>
      <c r="H4871" s="9" t="n">
        <f aca="false">IF(G4871&gt;0,D4871/G4871,"")</f>
        <v>1.198738170347</v>
      </c>
      <c r="I4871" s="10" t="n">
        <v>46304</v>
      </c>
      <c r="J4871" s="3" t="s">
        <v>2342</v>
      </c>
      <c r="K4871" s="10" t="n">
        <v>46290</v>
      </c>
      <c r="L4871" s="3" t="s">
        <v>15</v>
      </c>
      <c r="M4871" s="7" t="n">
        <v>15700</v>
      </c>
      <c r="N4871" s="8" t="n">
        <v>0.01274</v>
      </c>
      <c r="O4871" s="4" t="n">
        <f aca="false">M4871*N4871</f>
        <v>200.018</v>
      </c>
    </row>
    <row r="4872" customFormat="false" ht="15" hidden="false" customHeight="false" outlineLevel="0" collapsed="false">
      <c r="A4872" s="0" t="s">
        <v>6539</v>
      </c>
      <c r="C4872" s="0" t="s">
        <v>33</v>
      </c>
      <c r="D4872" s="7" t="n">
        <v>552</v>
      </c>
      <c r="E4872" s="8" t="n">
        <v>0.0471014492753623</v>
      </c>
      <c r="F4872" s="4" t="n">
        <f aca="false">D4872*E4872</f>
        <v>26</v>
      </c>
      <c r="G4872" s="7" t="n">
        <v>120</v>
      </c>
      <c r="H4872" s="9" t="n">
        <f aca="false">IF(G4872&gt;0,D4872/G4872,"")</f>
        <v>4.6</v>
      </c>
      <c r="I4872" s="10" t="n">
        <v>46104</v>
      </c>
      <c r="J4872" s="3" t="s">
        <v>5694</v>
      </c>
      <c r="K4872" s="10" t="n">
        <v>44704</v>
      </c>
      <c r="L4872" s="3" t="s">
        <v>19</v>
      </c>
      <c r="M4872" s="7" t="n">
        <v>1400</v>
      </c>
      <c r="N4872" s="8" t="n">
        <v>0.0471</v>
      </c>
      <c r="O4872" s="4" t="n">
        <f aca="false">M4872*N4872</f>
        <v>65.94</v>
      </c>
    </row>
    <row r="4873" customFormat="false" ht="15" hidden="false" customHeight="false" outlineLevel="0" collapsed="false">
      <c r="A4873" s="0" t="s">
        <v>6540</v>
      </c>
      <c r="C4873" s="0" t="s">
        <v>298</v>
      </c>
      <c r="D4873" s="7" t="n">
        <v>39</v>
      </c>
      <c r="E4873" s="8" t="n">
        <v>0.666153846153846</v>
      </c>
      <c r="F4873" s="4" t="n">
        <f aca="false">D4873*E4873</f>
        <v>25.98</v>
      </c>
      <c r="G4873" s="7" t="n">
        <v>2</v>
      </c>
      <c r="H4873" s="9" t="n">
        <f aca="false">IF(G4873&gt;0,D4873/G4873,"")</f>
        <v>19.5</v>
      </c>
      <c r="I4873" s="10" t="n">
        <v>46283</v>
      </c>
      <c r="J4873" s="3" t="s">
        <v>922</v>
      </c>
      <c r="K4873" s="10" t="n">
        <v>44908</v>
      </c>
      <c r="L4873" s="3" t="s">
        <v>19</v>
      </c>
      <c r="M4873" s="7" t="n">
        <v>50</v>
      </c>
      <c r="N4873" s="8" t="n">
        <v>0.6659</v>
      </c>
      <c r="O4873" s="4" t="n">
        <f aca="false">M4873*N4873</f>
        <v>33.295</v>
      </c>
    </row>
    <row r="4874" customFormat="false" ht="15" hidden="false" customHeight="false" outlineLevel="0" collapsed="false">
      <c r="A4874" s="0" t="s">
        <v>6541</v>
      </c>
      <c r="C4874" s="0" t="s">
        <v>295</v>
      </c>
      <c r="D4874" s="7" t="n">
        <v>1110</v>
      </c>
      <c r="E4874" s="8" t="n">
        <v>0.0234054054054054</v>
      </c>
      <c r="F4874" s="4" t="n">
        <f aca="false">D4874*E4874</f>
        <v>25.98</v>
      </c>
      <c r="G4874" s="7" t="n">
        <v>727</v>
      </c>
      <c r="H4874" s="9" t="n">
        <f aca="false">IF(G4874&gt;0,D4874/G4874,"")</f>
        <v>1.52682255845942</v>
      </c>
      <c r="I4874" s="10" t="n">
        <v>46315</v>
      </c>
      <c r="J4874" s="3" t="s">
        <v>6136</v>
      </c>
      <c r="K4874" s="10" t="n">
        <v>46310</v>
      </c>
      <c r="L4874" s="3" t="s">
        <v>19</v>
      </c>
      <c r="M4874" s="7" t="n">
        <v>1330</v>
      </c>
      <c r="N4874" s="8" t="n">
        <v>0.0239</v>
      </c>
      <c r="O4874" s="4" t="n">
        <f aca="false">M4874*N4874</f>
        <v>31.787</v>
      </c>
    </row>
    <row r="4875" customFormat="false" ht="15" hidden="false" customHeight="false" outlineLevel="0" collapsed="false">
      <c r="A4875" s="0" t="s">
        <v>6542</v>
      </c>
      <c r="C4875" s="0" t="s">
        <v>1169</v>
      </c>
      <c r="D4875" s="7" t="n">
        <v>55</v>
      </c>
      <c r="E4875" s="8" t="n">
        <v>0.472</v>
      </c>
      <c r="F4875" s="4" t="n">
        <f aca="false">D4875*E4875</f>
        <v>25.96</v>
      </c>
      <c r="G4875" s="7" t="n">
        <v>6</v>
      </c>
      <c r="H4875" s="9" t="n">
        <f aca="false">IF(G4875&gt;0,D4875/G4875,"")</f>
        <v>9.16666666666667</v>
      </c>
      <c r="I4875" s="10" t="n">
        <v>46034</v>
      </c>
      <c r="J4875" s="3" t="s">
        <v>2815</v>
      </c>
      <c r="K4875" s="10" t="n">
        <v>44720</v>
      </c>
      <c r="L4875" s="3" t="s">
        <v>19</v>
      </c>
      <c r="M4875" s="7" t="n">
        <v>100</v>
      </c>
      <c r="N4875" s="8" t="n">
        <v>0.4666</v>
      </c>
      <c r="O4875" s="4" t="n">
        <f aca="false">M4875*N4875</f>
        <v>46.66</v>
      </c>
    </row>
    <row r="4876" customFormat="false" ht="15" hidden="false" customHeight="false" outlineLevel="0" collapsed="false">
      <c r="A4876" s="0" t="s">
        <v>6543</v>
      </c>
      <c r="C4876" s="0" t="s">
        <v>402</v>
      </c>
      <c r="D4876" s="7" t="n">
        <v>8</v>
      </c>
      <c r="E4876" s="8" t="n">
        <v>3.24</v>
      </c>
      <c r="F4876" s="4" t="n">
        <f aca="false">D4876*E4876</f>
        <v>25.92</v>
      </c>
      <c r="G4876" s="7" t="n">
        <v>4</v>
      </c>
      <c r="H4876" s="9" t="n">
        <f aca="false">IF(G4876&gt;0,D4876/G4876,"")</f>
        <v>2</v>
      </c>
      <c r="I4876" s="10" t="n">
        <v>46261</v>
      </c>
      <c r="K4876" s="10"/>
      <c r="M4876" s="7"/>
      <c r="N4876" s="8"/>
      <c r="O4876" s="4"/>
    </row>
    <row r="4877" customFormat="false" ht="15" hidden="false" customHeight="false" outlineLevel="0" collapsed="false">
      <c r="A4877" s="0" t="s">
        <v>6544</v>
      </c>
      <c r="C4877" s="0" t="s">
        <v>340</v>
      </c>
      <c r="D4877" s="7" t="n">
        <v>319</v>
      </c>
      <c r="E4877" s="8" t="n">
        <v>0.0812539184952978</v>
      </c>
      <c r="F4877" s="4" t="n">
        <f aca="false">D4877*E4877</f>
        <v>25.92</v>
      </c>
      <c r="G4877" s="7" t="n">
        <v>288</v>
      </c>
      <c r="H4877" s="9" t="n">
        <f aca="false">IF(G4877&gt;0,D4877/G4877,"")</f>
        <v>1.10763888888889</v>
      </c>
      <c r="I4877" s="10" t="n">
        <v>46224</v>
      </c>
      <c r="J4877" s="3" t="s">
        <v>341</v>
      </c>
      <c r="K4877" s="10" t="n">
        <v>46078</v>
      </c>
      <c r="L4877" s="3" t="s">
        <v>15</v>
      </c>
      <c r="M4877" s="7" t="n">
        <v>560</v>
      </c>
      <c r="N4877" s="8" t="n">
        <v>0.07626</v>
      </c>
      <c r="O4877" s="4" t="n">
        <f aca="false">M4877*N4877</f>
        <v>42.7056</v>
      </c>
    </row>
    <row r="4878" customFormat="false" ht="15" hidden="false" customHeight="false" outlineLevel="0" collapsed="false">
      <c r="A4878" s="0" t="s">
        <v>6545</v>
      </c>
      <c r="C4878" s="0" t="s">
        <v>34</v>
      </c>
      <c r="D4878" s="7" t="n">
        <v>778</v>
      </c>
      <c r="E4878" s="8" t="n">
        <v>0.0332904884318766</v>
      </c>
      <c r="F4878" s="4" t="n">
        <f aca="false">D4878*E4878</f>
        <v>25.9</v>
      </c>
      <c r="G4878" s="7" t="n">
        <v>100</v>
      </c>
      <c r="H4878" s="9" t="n">
        <f aca="false">IF(G4878&gt;0,D4878/G4878,"")</f>
        <v>7.78</v>
      </c>
      <c r="I4878" s="10" t="n">
        <v>46156</v>
      </c>
      <c r="J4878" s="3" t="s">
        <v>4260</v>
      </c>
      <c r="K4878" s="10" t="n">
        <v>45659</v>
      </c>
      <c r="L4878" s="3" t="s">
        <v>16</v>
      </c>
      <c r="M4878" s="7" t="n">
        <v>1000</v>
      </c>
      <c r="N4878" s="8" t="n">
        <v>0.0333</v>
      </c>
      <c r="O4878" s="4" t="n">
        <f aca="false">M4878*N4878</f>
        <v>33.3</v>
      </c>
    </row>
    <row r="4879" customFormat="false" ht="15" hidden="false" customHeight="false" outlineLevel="0" collapsed="false">
      <c r="A4879" s="0" t="s">
        <v>6546</v>
      </c>
      <c r="C4879" s="0" t="s">
        <v>32</v>
      </c>
      <c r="D4879" s="7" t="n">
        <v>15</v>
      </c>
      <c r="E4879" s="8" t="n">
        <v>1.72466666666667</v>
      </c>
      <c r="F4879" s="4" t="n">
        <f aca="false">D4879*E4879</f>
        <v>25.87</v>
      </c>
      <c r="G4879" s="7" t="n">
        <v>10</v>
      </c>
      <c r="H4879" s="9" t="n">
        <f aca="false">IF(G4879&gt;0,D4879/G4879,"")</f>
        <v>1.5</v>
      </c>
      <c r="I4879" s="10" t="n">
        <v>46223</v>
      </c>
      <c r="J4879" s="3" t="s">
        <v>2681</v>
      </c>
      <c r="K4879" s="10" t="n">
        <v>46112</v>
      </c>
      <c r="L4879" s="3" t="s">
        <v>14</v>
      </c>
      <c r="M4879" s="7" t="n">
        <v>25</v>
      </c>
      <c r="N4879" s="8" t="n">
        <v>1.7244</v>
      </c>
      <c r="O4879" s="4" t="n">
        <f aca="false">M4879*N4879</f>
        <v>43.11</v>
      </c>
    </row>
    <row r="4880" customFormat="false" ht="15" hidden="false" customHeight="false" outlineLevel="0" collapsed="false">
      <c r="A4880" s="0" t="s">
        <v>6547</v>
      </c>
      <c r="C4880" s="0" t="s">
        <v>31</v>
      </c>
      <c r="D4880" s="7" t="n">
        <v>94</v>
      </c>
      <c r="E4880" s="8" t="n">
        <v>0.275106382978723</v>
      </c>
      <c r="F4880" s="4" t="n">
        <f aca="false">D4880*E4880</f>
        <v>25.86</v>
      </c>
      <c r="G4880" s="7" t="n">
        <v>6</v>
      </c>
      <c r="H4880" s="9" t="n">
        <f aca="false">IF(G4880&gt;0,D4880/G4880,"")</f>
        <v>15.6666666666667</v>
      </c>
      <c r="I4880" s="10" t="n">
        <v>46120</v>
      </c>
      <c r="J4880" s="3" t="s">
        <v>3924</v>
      </c>
      <c r="K4880" s="10" t="n">
        <v>44988</v>
      </c>
      <c r="L4880" s="3" t="s">
        <v>14</v>
      </c>
      <c r="M4880" s="7" t="n">
        <v>100</v>
      </c>
      <c r="N4880" s="8" t="n">
        <v>0.2751</v>
      </c>
      <c r="O4880" s="4" t="n">
        <f aca="false">M4880*N4880</f>
        <v>27.51</v>
      </c>
    </row>
    <row r="4881" customFormat="false" ht="15" hidden="false" customHeight="false" outlineLevel="0" collapsed="false">
      <c r="A4881" s="0" t="s">
        <v>6548</v>
      </c>
      <c r="C4881" s="0" t="s">
        <v>298</v>
      </c>
      <c r="D4881" s="7" t="n">
        <v>26</v>
      </c>
      <c r="E4881" s="8" t="n">
        <v>0.993846153846154</v>
      </c>
      <c r="F4881" s="4" t="n">
        <f aca="false">D4881*E4881</f>
        <v>25.84</v>
      </c>
      <c r="G4881" s="7" t="n">
        <v>11</v>
      </c>
      <c r="H4881" s="9" t="n">
        <f aca="false">IF(G4881&gt;0,D4881/G4881,"")</f>
        <v>2.36363636363636</v>
      </c>
      <c r="I4881" s="10" t="n">
        <v>46253</v>
      </c>
      <c r="J4881" s="3" t="s">
        <v>2635</v>
      </c>
      <c r="K4881" s="10" t="n">
        <v>46237</v>
      </c>
      <c r="L4881" s="3" t="s">
        <v>19</v>
      </c>
      <c r="M4881" s="7" t="n">
        <v>32</v>
      </c>
      <c r="N4881" s="8" t="n">
        <v>0.9939</v>
      </c>
      <c r="O4881" s="4" t="n">
        <f aca="false">M4881*N4881</f>
        <v>31.8048</v>
      </c>
    </row>
    <row r="4882" customFormat="false" ht="15" hidden="false" customHeight="false" outlineLevel="0" collapsed="false">
      <c r="A4882" s="0" t="s">
        <v>6549</v>
      </c>
      <c r="C4882" s="0" t="s">
        <v>31</v>
      </c>
      <c r="D4882" s="7" t="n">
        <v>995</v>
      </c>
      <c r="E4882" s="8" t="n">
        <v>0.0258894472361809</v>
      </c>
      <c r="F4882" s="4" t="n">
        <f aca="false">D4882*E4882</f>
        <v>25.76</v>
      </c>
      <c r="G4882" s="7" t="n">
        <v>161</v>
      </c>
      <c r="H4882" s="9" t="n">
        <f aca="false">IF(G4882&gt;0,D4882/G4882,"")</f>
        <v>6.18012422360248</v>
      </c>
      <c r="I4882" s="10" t="n">
        <v>46241</v>
      </c>
      <c r="K4882" s="10"/>
      <c r="M4882" s="7"/>
      <c r="N4882" s="8"/>
      <c r="O4882" s="4"/>
    </row>
    <row r="4883" customFormat="false" ht="15" hidden="false" customHeight="false" outlineLevel="0" collapsed="false">
      <c r="A4883" s="0" t="s">
        <v>6550</v>
      </c>
      <c r="C4883" s="0" t="s">
        <v>2569</v>
      </c>
      <c r="D4883" s="7" t="n">
        <v>44</v>
      </c>
      <c r="E4883" s="8" t="n">
        <v>0.585227272727273</v>
      </c>
      <c r="F4883" s="4" t="n">
        <f aca="false">D4883*E4883</f>
        <v>25.75</v>
      </c>
      <c r="G4883" s="7" t="n">
        <v>39</v>
      </c>
      <c r="H4883" s="9" t="n">
        <f aca="false">IF(G4883&gt;0,D4883/G4883,"")</f>
        <v>1.12820512820513</v>
      </c>
      <c r="I4883" s="10" t="n">
        <v>46174</v>
      </c>
      <c r="J4883" s="3" t="s">
        <v>6551</v>
      </c>
      <c r="K4883" s="10" t="n">
        <v>45706</v>
      </c>
      <c r="L4883" s="3" t="s">
        <v>313</v>
      </c>
      <c r="M4883" s="7" t="n">
        <v>500</v>
      </c>
      <c r="N4883" s="8" t="n">
        <v>0.9</v>
      </c>
      <c r="O4883" s="4" t="n">
        <f aca="false">M4883*N4883</f>
        <v>450</v>
      </c>
    </row>
    <row r="4884" customFormat="false" ht="15" hidden="false" customHeight="false" outlineLevel="0" collapsed="false">
      <c r="A4884" s="0" t="s">
        <v>6552</v>
      </c>
      <c r="C4884" s="0" t="s">
        <v>118</v>
      </c>
      <c r="D4884" s="7" t="n">
        <v>92</v>
      </c>
      <c r="E4884" s="8" t="n">
        <v>0.279565217391304</v>
      </c>
      <c r="F4884" s="4" t="n">
        <f aca="false">D4884*E4884</f>
        <v>25.72</v>
      </c>
      <c r="G4884" s="7" t="n">
        <v>12</v>
      </c>
      <c r="H4884" s="9" t="n">
        <f aca="false">IF(G4884&gt;0,D4884/G4884,"")</f>
        <v>7.66666666666667</v>
      </c>
      <c r="I4884" s="10" t="n">
        <v>46078</v>
      </c>
      <c r="J4884" s="3" t="s">
        <v>3480</v>
      </c>
      <c r="K4884" s="10" t="n">
        <v>45449</v>
      </c>
      <c r="L4884" s="3" t="s">
        <v>14</v>
      </c>
      <c r="M4884" s="7" t="n">
        <v>200</v>
      </c>
      <c r="N4884" s="8" t="n">
        <v>0.2796</v>
      </c>
      <c r="O4884" s="4" t="n">
        <f aca="false">M4884*N4884</f>
        <v>55.92</v>
      </c>
    </row>
    <row r="4885" customFormat="false" ht="15" hidden="false" customHeight="false" outlineLevel="0" collapsed="false">
      <c r="A4885" s="0" t="s">
        <v>6553</v>
      </c>
      <c r="C4885" s="0" t="s">
        <v>679</v>
      </c>
      <c r="D4885" s="7" t="n">
        <v>55</v>
      </c>
      <c r="E4885" s="8" t="n">
        <v>0.467454545454546</v>
      </c>
      <c r="F4885" s="4" t="n">
        <f aca="false">D4885*E4885</f>
        <v>25.71</v>
      </c>
      <c r="G4885" s="7" t="n">
        <v>2</v>
      </c>
      <c r="H4885" s="9" t="n">
        <f aca="false">IF(G4885&gt;0,D4885/G4885,"")</f>
        <v>27.5</v>
      </c>
      <c r="I4885" s="10" t="n">
        <v>46174</v>
      </c>
      <c r="K4885" s="10"/>
      <c r="M4885" s="7"/>
      <c r="N4885" s="8"/>
      <c r="O4885" s="4"/>
    </row>
    <row r="4886" customFormat="false" ht="15" hidden="false" customHeight="false" outlineLevel="0" collapsed="false">
      <c r="A4886" s="0" t="s">
        <v>6554</v>
      </c>
      <c r="C4886" s="0" t="s">
        <v>34</v>
      </c>
      <c r="D4886" s="7" t="n">
        <v>73</v>
      </c>
      <c r="E4886" s="8" t="n">
        <v>0.352054794520548</v>
      </c>
      <c r="F4886" s="4" t="n">
        <f aca="false">D4886*E4886</f>
        <v>25.7</v>
      </c>
      <c r="G4886" s="7" t="n">
        <v>14</v>
      </c>
      <c r="H4886" s="9" t="n">
        <f aca="false">IF(G4886&gt;0,D4886/G4886,"")</f>
        <v>5.21428571428571</v>
      </c>
      <c r="I4886" s="10" t="n">
        <v>46304</v>
      </c>
      <c r="K4886" s="10"/>
      <c r="M4886" s="7"/>
      <c r="N4886" s="8"/>
      <c r="O4886" s="4"/>
    </row>
    <row r="4887" customFormat="false" ht="15" hidden="false" customHeight="false" outlineLevel="0" collapsed="false">
      <c r="A4887" s="0" t="s">
        <v>6555</v>
      </c>
      <c r="C4887" s="0" t="s">
        <v>31</v>
      </c>
      <c r="D4887" s="7" t="n">
        <v>1214</v>
      </c>
      <c r="E4887" s="8" t="n">
        <v>0.0211285008237232</v>
      </c>
      <c r="F4887" s="4" t="n">
        <f aca="false">D4887*E4887</f>
        <v>25.65</v>
      </c>
      <c r="G4887" s="7" t="n">
        <v>666</v>
      </c>
      <c r="H4887" s="9" t="n">
        <f aca="false">IF(G4887&gt;0,D4887/G4887,"")</f>
        <v>1.82282282282282</v>
      </c>
      <c r="I4887" s="10" t="n">
        <v>46288</v>
      </c>
      <c r="K4887" s="10"/>
      <c r="M4887" s="7"/>
      <c r="N4887" s="8"/>
      <c r="O4887" s="4"/>
    </row>
    <row r="4888" customFormat="false" ht="15" hidden="false" customHeight="false" outlineLevel="0" collapsed="false">
      <c r="A4888" s="0" t="s">
        <v>6556</v>
      </c>
      <c r="D4888" s="7" t="n">
        <v>18</v>
      </c>
      <c r="E4888" s="8" t="n">
        <v>1.42388888888889</v>
      </c>
      <c r="F4888" s="4" t="n">
        <f aca="false">D4888*E4888</f>
        <v>25.63</v>
      </c>
      <c r="G4888" s="7" t="n">
        <v>2</v>
      </c>
      <c r="H4888" s="9" t="n">
        <f aca="false">IF(G4888&gt;0,D4888/G4888,"")</f>
        <v>9</v>
      </c>
      <c r="I4888" s="10" t="n">
        <v>46090</v>
      </c>
      <c r="J4888" s="3" t="s">
        <v>709</v>
      </c>
      <c r="K4888" s="10" t="n">
        <v>46080</v>
      </c>
      <c r="L4888" s="3" t="s">
        <v>14</v>
      </c>
      <c r="M4888" s="7" t="n">
        <v>20</v>
      </c>
      <c r="N4888" s="8" t="n">
        <v>1.424</v>
      </c>
      <c r="O4888" s="4" t="n">
        <f aca="false">M4888*N4888</f>
        <v>28.48</v>
      </c>
    </row>
    <row r="4889" customFormat="false" ht="15" hidden="false" customHeight="false" outlineLevel="0" collapsed="false">
      <c r="A4889" s="0" t="s">
        <v>6557</v>
      </c>
      <c r="C4889" s="0" t="s">
        <v>36</v>
      </c>
      <c r="D4889" s="7" t="n">
        <v>6419</v>
      </c>
      <c r="E4889" s="8" t="n">
        <v>0.00398816014955601</v>
      </c>
      <c r="F4889" s="4" t="n">
        <f aca="false">D4889*E4889</f>
        <v>25.6</v>
      </c>
      <c r="G4889" s="7" t="n">
        <v>84</v>
      </c>
      <c r="H4889" s="9" t="n">
        <f aca="false">IF(G4889&gt;0,D4889/G4889,"")</f>
        <v>76.4166666666667</v>
      </c>
      <c r="I4889" s="10" t="n">
        <v>45996</v>
      </c>
      <c r="J4889" s="3" t="s">
        <v>3576</v>
      </c>
      <c r="K4889" s="10" t="n">
        <v>46112</v>
      </c>
      <c r="L4889" s="3" t="s">
        <v>18</v>
      </c>
      <c r="M4889" s="7" t="n">
        <v>6400</v>
      </c>
      <c r="N4889" s="8" t="n">
        <v>0.004</v>
      </c>
      <c r="O4889" s="4" t="n">
        <f aca="false">M4889*N4889</f>
        <v>25.6</v>
      </c>
    </row>
    <row r="4890" customFormat="false" ht="15" hidden="false" customHeight="false" outlineLevel="0" collapsed="false">
      <c r="A4890" s="0" t="s">
        <v>6558</v>
      </c>
      <c r="C4890" s="0" t="s">
        <v>41</v>
      </c>
      <c r="D4890" s="7" t="n">
        <v>792</v>
      </c>
      <c r="E4890" s="8" t="n">
        <v>0.0323106060606061</v>
      </c>
      <c r="F4890" s="4" t="n">
        <f aca="false">D4890*E4890</f>
        <v>25.59</v>
      </c>
      <c r="G4890" s="7" t="n">
        <v>18</v>
      </c>
      <c r="H4890" s="9" t="n">
        <f aca="false">IF(G4890&gt;0,D4890/G4890,"")</f>
        <v>44</v>
      </c>
      <c r="I4890" s="10" t="n">
        <v>46248</v>
      </c>
      <c r="J4890" s="3" t="s">
        <v>5265</v>
      </c>
      <c r="K4890" s="10" t="n">
        <v>44301</v>
      </c>
      <c r="L4890" s="3" t="s">
        <v>19</v>
      </c>
      <c r="M4890" s="7" t="n">
        <v>1000</v>
      </c>
      <c r="N4890" s="8" t="n">
        <v>0.0323</v>
      </c>
      <c r="O4890" s="4" t="n">
        <f aca="false">M4890*N4890</f>
        <v>32.3</v>
      </c>
    </row>
    <row r="4891" customFormat="false" ht="15" hidden="false" customHeight="false" outlineLevel="0" collapsed="false">
      <c r="A4891" s="0" t="s">
        <v>6559</v>
      </c>
      <c r="C4891" s="0" t="s">
        <v>33</v>
      </c>
      <c r="D4891" s="7" t="n">
        <v>12</v>
      </c>
      <c r="E4891" s="8" t="n">
        <v>2.1325</v>
      </c>
      <c r="F4891" s="4" t="n">
        <f aca="false">D4891*E4891</f>
        <v>25.59</v>
      </c>
      <c r="G4891" s="7" t="n">
        <v>4</v>
      </c>
      <c r="H4891" s="9" t="n">
        <f aca="false">IF(G4891&gt;0,D4891/G4891,"")</f>
        <v>3</v>
      </c>
      <c r="I4891" s="10" t="n">
        <v>46296</v>
      </c>
      <c r="J4891" s="3" t="s">
        <v>6208</v>
      </c>
      <c r="K4891" s="10" t="n">
        <v>46287</v>
      </c>
      <c r="L4891" s="3" t="s">
        <v>18</v>
      </c>
      <c r="M4891" s="7" t="n">
        <v>14</v>
      </c>
      <c r="N4891" s="8" t="n">
        <v>2.1319</v>
      </c>
      <c r="O4891" s="4" t="n">
        <f aca="false">M4891*N4891</f>
        <v>29.8466</v>
      </c>
    </row>
    <row r="4892" customFormat="false" ht="15" hidden="false" customHeight="false" outlineLevel="0" collapsed="false">
      <c r="A4892" s="0" t="s">
        <v>6560</v>
      </c>
      <c r="C4892" s="0" t="s">
        <v>34</v>
      </c>
      <c r="D4892" s="7" t="n">
        <v>376</v>
      </c>
      <c r="E4892" s="8" t="n">
        <v>0.0680053191489362</v>
      </c>
      <c r="F4892" s="4" t="n">
        <f aca="false">D4892*E4892</f>
        <v>25.57</v>
      </c>
      <c r="G4892" s="7" t="n">
        <v>120</v>
      </c>
      <c r="H4892" s="9" t="n">
        <f aca="false">IF(G4892&gt;0,D4892/G4892,"")</f>
        <v>3.13333333333333</v>
      </c>
      <c r="I4892" s="10" t="n">
        <v>46212</v>
      </c>
      <c r="J4892" s="3" t="s">
        <v>116</v>
      </c>
      <c r="K4892" s="10" t="n">
        <v>44294</v>
      </c>
      <c r="L4892" s="3" t="s">
        <v>19</v>
      </c>
      <c r="M4892" s="7" t="n">
        <v>1000</v>
      </c>
      <c r="N4892" s="8" t="n">
        <v>0.068</v>
      </c>
      <c r="O4892" s="4" t="n">
        <f aca="false">M4892*N4892</f>
        <v>68</v>
      </c>
    </row>
    <row r="4893" customFormat="false" ht="15" hidden="false" customHeight="false" outlineLevel="0" collapsed="false">
      <c r="A4893" s="0" t="s">
        <v>6561</v>
      </c>
      <c r="C4893" s="0" t="s">
        <v>5871</v>
      </c>
      <c r="D4893" s="7" t="n">
        <v>49</v>
      </c>
      <c r="E4893" s="8" t="n">
        <v>0.521428571428572</v>
      </c>
      <c r="F4893" s="4" t="n">
        <f aca="false">D4893*E4893</f>
        <v>25.55</v>
      </c>
      <c r="G4893" s="7" t="n">
        <v>1</v>
      </c>
      <c r="H4893" s="9" t="n">
        <f aca="false">IF(G4893&gt;0,D4893/G4893,"")</f>
        <v>49</v>
      </c>
      <c r="I4893" s="10" t="n">
        <v>46129</v>
      </c>
      <c r="J4893" s="3" t="s">
        <v>2735</v>
      </c>
      <c r="K4893" s="10" t="n">
        <v>46119</v>
      </c>
      <c r="L4893" s="3" t="s">
        <v>19</v>
      </c>
      <c r="M4893" s="7" t="n">
        <v>50</v>
      </c>
      <c r="N4893" s="8" t="n">
        <v>0.5214</v>
      </c>
      <c r="O4893" s="4" t="n">
        <f aca="false">M4893*N4893</f>
        <v>26.07</v>
      </c>
    </row>
    <row r="4894" customFormat="false" ht="15" hidden="false" customHeight="false" outlineLevel="0" collapsed="false">
      <c r="A4894" s="0" t="s">
        <v>6562</v>
      </c>
      <c r="C4894" s="0" t="s">
        <v>32</v>
      </c>
      <c r="D4894" s="7" t="n">
        <v>25</v>
      </c>
      <c r="E4894" s="8" t="n">
        <v>1.02</v>
      </c>
      <c r="F4894" s="4" t="n">
        <f aca="false">D4894*E4894</f>
        <v>25.5</v>
      </c>
      <c r="G4894" s="7" t="n">
        <v>23</v>
      </c>
      <c r="H4894" s="9" t="n">
        <f aca="false">IF(G4894&gt;0,D4894/G4894,"")</f>
        <v>1.08695652173913</v>
      </c>
      <c r="I4894" s="10" t="n">
        <v>46289</v>
      </c>
      <c r="J4894" s="3" t="s">
        <v>870</v>
      </c>
      <c r="K4894" s="10" t="n">
        <v>45464</v>
      </c>
      <c r="L4894" s="3" t="s">
        <v>18</v>
      </c>
      <c r="M4894" s="7" t="n">
        <v>130</v>
      </c>
      <c r="N4894" s="8" t="n">
        <v>1.0182</v>
      </c>
      <c r="O4894" s="4" t="n">
        <f aca="false">M4894*N4894</f>
        <v>132.366</v>
      </c>
    </row>
    <row r="4895" customFormat="false" ht="15" hidden="false" customHeight="false" outlineLevel="0" collapsed="false">
      <c r="A4895" s="0" t="s">
        <v>6563</v>
      </c>
      <c r="C4895" s="0" t="s">
        <v>741</v>
      </c>
      <c r="D4895" s="7" t="n">
        <v>62</v>
      </c>
      <c r="E4895" s="8" t="n">
        <v>0.410967741935484</v>
      </c>
      <c r="F4895" s="4" t="n">
        <f aca="false">D4895*E4895</f>
        <v>25.48</v>
      </c>
      <c r="G4895" s="7" t="n">
        <v>24</v>
      </c>
      <c r="H4895" s="9" t="n">
        <f aca="false">IF(G4895&gt;0,D4895/G4895,"")</f>
        <v>2.58333333333333</v>
      </c>
      <c r="I4895" s="10" t="n">
        <v>46009</v>
      </c>
      <c r="K4895" s="10"/>
      <c r="M4895" s="7"/>
      <c r="N4895" s="8"/>
      <c r="O4895" s="4"/>
    </row>
    <row r="4896" customFormat="false" ht="15" hidden="false" customHeight="false" outlineLevel="0" collapsed="false">
      <c r="A4896" s="0" t="s">
        <v>6564</v>
      </c>
      <c r="C4896" s="0" t="s">
        <v>36</v>
      </c>
      <c r="D4896" s="7" t="n">
        <v>71</v>
      </c>
      <c r="E4896" s="8" t="n">
        <v>0.35887323943662</v>
      </c>
      <c r="F4896" s="4" t="n">
        <f aca="false">D4896*E4896</f>
        <v>25.48</v>
      </c>
      <c r="G4896" s="7" t="n">
        <v>2</v>
      </c>
      <c r="H4896" s="9" t="n">
        <f aca="false">IF(G4896&gt;0,D4896/G4896,"")</f>
        <v>35.5</v>
      </c>
      <c r="I4896" s="10" t="n">
        <v>46021</v>
      </c>
      <c r="K4896" s="10"/>
      <c r="M4896" s="7"/>
      <c r="N4896" s="8"/>
      <c r="O4896" s="4"/>
    </row>
    <row r="4897" customFormat="false" ht="15" hidden="false" customHeight="false" outlineLevel="0" collapsed="false">
      <c r="A4897" s="0" t="s">
        <v>6565</v>
      </c>
      <c r="C4897" s="0" t="s">
        <v>34</v>
      </c>
      <c r="D4897" s="7" t="n">
        <v>23</v>
      </c>
      <c r="E4897" s="8" t="n">
        <v>1.10739130434783</v>
      </c>
      <c r="F4897" s="4" t="n">
        <f aca="false">D4897*E4897</f>
        <v>25.47</v>
      </c>
      <c r="G4897" s="7" t="n">
        <v>2</v>
      </c>
      <c r="H4897" s="9" t="n">
        <f aca="false">IF(G4897&gt;0,D4897/G4897,"")</f>
        <v>11.5</v>
      </c>
      <c r="I4897" s="10" t="n">
        <v>46216</v>
      </c>
      <c r="J4897" s="3" t="s">
        <v>6566</v>
      </c>
      <c r="K4897" s="10" t="n">
        <v>46105</v>
      </c>
      <c r="L4897" s="3" t="s">
        <v>19</v>
      </c>
      <c r="M4897" s="7" t="n">
        <v>25</v>
      </c>
      <c r="N4897" s="8" t="n">
        <v>1.1071</v>
      </c>
      <c r="O4897" s="4" t="n">
        <f aca="false">M4897*N4897</f>
        <v>27.6775</v>
      </c>
    </row>
    <row r="4898" customFormat="false" ht="15" hidden="false" customHeight="false" outlineLevel="0" collapsed="false">
      <c r="A4898" s="0" t="s">
        <v>6567</v>
      </c>
      <c r="C4898" s="0" t="s">
        <v>31</v>
      </c>
      <c r="D4898" s="7" t="n">
        <v>288</v>
      </c>
      <c r="E4898" s="8" t="n">
        <v>0.0884027777777778</v>
      </c>
      <c r="F4898" s="4" t="n">
        <f aca="false">D4898*E4898</f>
        <v>25.46</v>
      </c>
      <c r="G4898" s="7" t="n">
        <v>20</v>
      </c>
      <c r="H4898" s="9" t="n">
        <f aca="false">IF(G4898&gt;0,D4898/G4898,"")</f>
        <v>14.4</v>
      </c>
      <c r="I4898" s="10" t="n">
        <v>45971</v>
      </c>
      <c r="K4898" s="10"/>
      <c r="M4898" s="7"/>
      <c r="N4898" s="8"/>
      <c r="O4898" s="4"/>
    </row>
    <row r="4899" customFormat="false" ht="15" hidden="false" customHeight="false" outlineLevel="0" collapsed="false">
      <c r="A4899" s="0" t="s">
        <v>6568</v>
      </c>
      <c r="C4899" s="0" t="s">
        <v>34</v>
      </c>
      <c r="D4899" s="7" t="n">
        <v>4800</v>
      </c>
      <c r="E4899" s="8" t="n">
        <v>0.0053</v>
      </c>
      <c r="F4899" s="4" t="n">
        <f aca="false">D4899*E4899</f>
        <v>25.44</v>
      </c>
      <c r="G4899" s="7" t="n">
        <v>910</v>
      </c>
      <c r="H4899" s="9" t="n">
        <f aca="false">IF(G4899&gt;0,D4899/G4899,"")</f>
        <v>5.27472527472528</v>
      </c>
      <c r="I4899" s="10" t="n">
        <v>46244</v>
      </c>
      <c r="J4899" s="3" t="s">
        <v>4045</v>
      </c>
      <c r="K4899" s="10" t="n">
        <v>45587</v>
      </c>
      <c r="L4899" s="3" t="s">
        <v>16</v>
      </c>
      <c r="M4899" s="7" t="n">
        <v>6200</v>
      </c>
      <c r="N4899" s="8" t="n">
        <v>0.0053</v>
      </c>
      <c r="O4899" s="4" t="n">
        <f aca="false">M4899*N4899</f>
        <v>32.86</v>
      </c>
    </row>
    <row r="4900" customFormat="false" ht="15" hidden="false" customHeight="false" outlineLevel="0" collapsed="false">
      <c r="A4900" s="0" t="s">
        <v>6569</v>
      </c>
      <c r="C4900" s="0" t="s">
        <v>1039</v>
      </c>
      <c r="D4900" s="7" t="n">
        <v>876</v>
      </c>
      <c r="E4900" s="8" t="n">
        <v>0.0290068493150685</v>
      </c>
      <c r="F4900" s="4" t="n">
        <f aca="false">D4900*E4900</f>
        <v>25.41</v>
      </c>
      <c r="G4900" s="7" t="n">
        <v>424</v>
      </c>
      <c r="H4900" s="9" t="n">
        <f aca="false">IF(G4900&gt;0,D4900/G4900,"")</f>
        <v>2.06603773584906</v>
      </c>
      <c r="I4900" s="10" t="n">
        <v>46175</v>
      </c>
      <c r="J4900" s="3" t="s">
        <v>495</v>
      </c>
      <c r="K4900" s="10" t="n">
        <v>45925</v>
      </c>
      <c r="L4900" s="3" t="s">
        <v>16</v>
      </c>
      <c r="M4900" s="7" t="n">
        <v>1300</v>
      </c>
      <c r="N4900" s="8" t="n">
        <v>0.029</v>
      </c>
      <c r="O4900" s="4" t="n">
        <f aca="false">M4900*N4900</f>
        <v>37.7</v>
      </c>
    </row>
    <row r="4901" customFormat="false" ht="15" hidden="false" customHeight="false" outlineLevel="0" collapsed="false">
      <c r="A4901" s="0" t="s">
        <v>6570</v>
      </c>
      <c r="C4901" s="0" t="s">
        <v>31</v>
      </c>
      <c r="D4901" s="7" t="n">
        <v>858</v>
      </c>
      <c r="E4901" s="8" t="n">
        <v>0.0296037296037296</v>
      </c>
      <c r="F4901" s="4" t="n">
        <f aca="false">D4901*E4901</f>
        <v>25.4</v>
      </c>
      <c r="G4901" s="7" t="n">
        <v>142</v>
      </c>
      <c r="H4901" s="9" t="n">
        <f aca="false">IF(G4901&gt;0,D4901/G4901,"")</f>
        <v>6.04225352112676</v>
      </c>
      <c r="I4901" s="10" t="n">
        <v>46122</v>
      </c>
      <c r="J4901" s="3" t="s">
        <v>1192</v>
      </c>
      <c r="K4901" s="10" t="n">
        <v>45736</v>
      </c>
      <c r="L4901" s="3" t="s">
        <v>26</v>
      </c>
      <c r="M4901" s="7" t="n">
        <v>160</v>
      </c>
      <c r="N4901" s="8" t="n">
        <v>0.0842</v>
      </c>
      <c r="O4901" s="4" t="n">
        <f aca="false">M4901*N4901</f>
        <v>13.472</v>
      </c>
    </row>
    <row r="4902" customFormat="false" ht="15" hidden="false" customHeight="false" outlineLevel="0" collapsed="false">
      <c r="A4902" s="0" t="s">
        <v>6571</v>
      </c>
      <c r="C4902" s="0" t="s">
        <v>31</v>
      </c>
      <c r="D4902" s="7" t="n">
        <v>20</v>
      </c>
      <c r="E4902" s="8" t="n">
        <v>1.27</v>
      </c>
      <c r="F4902" s="4" t="n">
        <f aca="false">D4902*E4902</f>
        <v>25.4</v>
      </c>
      <c r="G4902" s="7" t="n">
        <v>5</v>
      </c>
      <c r="H4902" s="9" t="n">
        <f aca="false">IF(G4902&gt;0,D4902/G4902,"")</f>
        <v>4</v>
      </c>
      <c r="I4902" s="10" t="n">
        <v>46308</v>
      </c>
      <c r="J4902" s="3" t="s">
        <v>3287</v>
      </c>
      <c r="K4902" s="10" t="n">
        <v>46289</v>
      </c>
      <c r="L4902" s="3" t="s">
        <v>19</v>
      </c>
      <c r="M4902" s="7" t="n">
        <v>25</v>
      </c>
      <c r="N4902" s="8" t="n">
        <v>1.2703</v>
      </c>
      <c r="O4902" s="4" t="n">
        <f aca="false">M4902*N4902</f>
        <v>31.7575</v>
      </c>
    </row>
    <row r="4903" customFormat="false" ht="15" hidden="false" customHeight="false" outlineLevel="0" collapsed="false">
      <c r="A4903" s="0" t="s">
        <v>6572</v>
      </c>
      <c r="C4903" s="0" t="s">
        <v>36</v>
      </c>
      <c r="D4903" s="7" t="n">
        <v>229</v>
      </c>
      <c r="E4903" s="8" t="n">
        <v>0.110698689956332</v>
      </c>
      <c r="F4903" s="4" t="n">
        <f aca="false">D4903*E4903</f>
        <v>25.35</v>
      </c>
      <c r="G4903" s="7" t="n">
        <v>5</v>
      </c>
      <c r="H4903" s="9" t="n">
        <f aca="false">IF(G4903&gt;0,D4903/G4903,"")</f>
        <v>45.8</v>
      </c>
      <c r="I4903" s="10" t="n">
        <v>46090</v>
      </c>
      <c r="J4903" s="3" t="s">
        <v>5515</v>
      </c>
      <c r="K4903" s="10" t="n">
        <v>45748</v>
      </c>
      <c r="L4903" s="3" t="s">
        <v>18</v>
      </c>
      <c r="M4903" s="7" t="n">
        <v>1200</v>
      </c>
      <c r="N4903" s="8" t="n">
        <v>0.1107</v>
      </c>
      <c r="O4903" s="4" t="n">
        <f aca="false">M4903*N4903</f>
        <v>132.84</v>
      </c>
    </row>
    <row r="4904" customFormat="false" ht="15" hidden="false" customHeight="false" outlineLevel="0" collapsed="false">
      <c r="A4904" s="0" t="s">
        <v>6573</v>
      </c>
      <c r="C4904" s="0" t="s">
        <v>34</v>
      </c>
      <c r="D4904" s="7" t="n">
        <v>1361</v>
      </c>
      <c r="E4904" s="8" t="n">
        <v>0.018626010286554</v>
      </c>
      <c r="F4904" s="4" t="n">
        <f aca="false">D4904*E4904</f>
        <v>25.35</v>
      </c>
      <c r="G4904" s="7" t="n">
        <v>1096</v>
      </c>
      <c r="H4904" s="9" t="n">
        <f aca="false">IF(G4904&gt;0,D4904/G4904,"")</f>
        <v>1.24178832116788</v>
      </c>
      <c r="I4904" s="10" t="n">
        <v>46265</v>
      </c>
      <c r="J4904" s="3" t="s">
        <v>1140</v>
      </c>
      <c r="K4904" s="10" t="n">
        <v>45614</v>
      </c>
      <c r="L4904" s="3" t="s">
        <v>15</v>
      </c>
      <c r="M4904" s="7" t="n">
        <v>2480</v>
      </c>
      <c r="N4904" s="8" t="n">
        <v>0.01863</v>
      </c>
      <c r="O4904" s="4" t="n">
        <f aca="false">M4904*N4904</f>
        <v>46.2024</v>
      </c>
    </row>
    <row r="4905" customFormat="false" ht="15" hidden="false" customHeight="false" outlineLevel="0" collapsed="false">
      <c r="A4905" s="0" t="s">
        <v>6574</v>
      </c>
      <c r="C4905" s="0" t="s">
        <v>855</v>
      </c>
      <c r="D4905" s="7" t="n">
        <v>390</v>
      </c>
      <c r="E4905" s="8" t="n">
        <v>0.064948717948718</v>
      </c>
      <c r="F4905" s="4" t="n">
        <f aca="false">D4905*E4905</f>
        <v>25.33</v>
      </c>
      <c r="G4905" s="7" t="n">
        <v>50</v>
      </c>
      <c r="H4905" s="9" t="n">
        <f aca="false">IF(G4905&gt;0,D4905/G4905,"")</f>
        <v>7.8</v>
      </c>
      <c r="I4905" s="10" t="n">
        <v>46283</v>
      </c>
      <c r="J4905" s="3" t="s">
        <v>6575</v>
      </c>
      <c r="K4905" s="10" t="n">
        <v>44455</v>
      </c>
      <c r="L4905" s="3" t="s">
        <v>19</v>
      </c>
      <c r="M4905" s="7" t="n">
        <v>1017</v>
      </c>
      <c r="N4905" s="8" t="n">
        <v>0</v>
      </c>
      <c r="O4905" s="4" t="n">
        <v>67.9</v>
      </c>
    </row>
    <row r="4906" customFormat="false" ht="15" hidden="false" customHeight="false" outlineLevel="0" collapsed="false">
      <c r="A4906" s="0" t="s">
        <v>6576</v>
      </c>
      <c r="C4906" s="0" t="s">
        <v>36</v>
      </c>
      <c r="D4906" s="7" t="n">
        <v>77</v>
      </c>
      <c r="E4906" s="8" t="n">
        <v>0.328831168831169</v>
      </c>
      <c r="F4906" s="4" t="n">
        <f aca="false">D4906*E4906</f>
        <v>25.32</v>
      </c>
      <c r="G4906" s="7" t="n">
        <v>10</v>
      </c>
      <c r="H4906" s="9" t="n">
        <f aca="false">IF(G4906&gt;0,D4906/G4906,"")</f>
        <v>7.7</v>
      </c>
      <c r="I4906" s="10" t="n">
        <v>46069</v>
      </c>
      <c r="J4906" s="3" t="s">
        <v>4927</v>
      </c>
      <c r="K4906" s="10" t="n">
        <v>44949</v>
      </c>
      <c r="L4906" s="3" t="s">
        <v>14</v>
      </c>
      <c r="M4906" s="7" t="n">
        <v>100</v>
      </c>
      <c r="N4906" s="8" t="n">
        <v>0.3288</v>
      </c>
      <c r="O4906" s="4" t="n">
        <f aca="false">M4906*N4906</f>
        <v>32.88</v>
      </c>
    </row>
    <row r="4907" customFormat="false" ht="15" hidden="false" customHeight="false" outlineLevel="0" collapsed="false">
      <c r="A4907" s="0" t="s">
        <v>6577</v>
      </c>
      <c r="C4907" s="0" t="s">
        <v>31</v>
      </c>
      <c r="D4907" s="7" t="n">
        <v>12058</v>
      </c>
      <c r="E4907" s="8" t="n">
        <v>0.00209902139658318</v>
      </c>
      <c r="F4907" s="4" t="n">
        <f aca="false">D4907*E4907</f>
        <v>25.31</v>
      </c>
      <c r="G4907" s="7" t="n">
        <v>8124</v>
      </c>
      <c r="H4907" s="9" t="n">
        <f aca="false">IF(G4907&gt;0,D4907/G4907,"")</f>
        <v>1.48424421467258</v>
      </c>
      <c r="I4907" s="10" t="n">
        <v>46281</v>
      </c>
      <c r="J4907" s="3" t="s">
        <v>1448</v>
      </c>
      <c r="K4907" s="10" t="n">
        <v>45531</v>
      </c>
      <c r="L4907" s="3" t="s">
        <v>19</v>
      </c>
      <c r="M4907" s="7" t="n">
        <v>5000</v>
      </c>
      <c r="N4907" s="8" t="n">
        <v>0.0073</v>
      </c>
      <c r="O4907" s="4" t="n">
        <f aca="false">M4907*N4907</f>
        <v>36.5</v>
      </c>
    </row>
    <row r="4908" customFormat="false" ht="15" hidden="false" customHeight="false" outlineLevel="0" collapsed="false">
      <c r="A4908" s="0" t="s">
        <v>6578</v>
      </c>
      <c r="C4908" s="0" t="s">
        <v>31</v>
      </c>
      <c r="D4908" s="7" t="n">
        <v>639</v>
      </c>
      <c r="E4908" s="8" t="n">
        <v>0.0395774647887324</v>
      </c>
      <c r="F4908" s="4" t="n">
        <f aca="false">D4908*E4908</f>
        <v>25.29</v>
      </c>
      <c r="G4908" s="7" t="n">
        <v>42</v>
      </c>
      <c r="H4908" s="9" t="n">
        <f aca="false">IF(G4908&gt;0,D4908/G4908,"")</f>
        <v>15.2142857142857</v>
      </c>
      <c r="I4908" s="10" t="n">
        <v>46282</v>
      </c>
      <c r="J4908" s="3" t="s">
        <v>4045</v>
      </c>
      <c r="K4908" s="10" t="n">
        <v>45587</v>
      </c>
      <c r="L4908" s="3" t="s">
        <v>16</v>
      </c>
      <c r="M4908" s="7" t="n">
        <v>700</v>
      </c>
      <c r="N4908" s="8" t="n">
        <v>0.0396</v>
      </c>
      <c r="O4908" s="4" t="n">
        <f aca="false">M4908*N4908</f>
        <v>27.72</v>
      </c>
    </row>
    <row r="4909" customFormat="false" ht="15" hidden="false" customHeight="false" outlineLevel="0" collapsed="false">
      <c r="A4909" s="0" t="s">
        <v>6579</v>
      </c>
      <c r="C4909" s="0" t="s">
        <v>609</v>
      </c>
      <c r="D4909" s="7" t="n">
        <v>20</v>
      </c>
      <c r="E4909" s="8" t="n">
        <v>1.2645</v>
      </c>
      <c r="F4909" s="4" t="n">
        <f aca="false">D4909*E4909</f>
        <v>25.29</v>
      </c>
      <c r="G4909" s="7" t="n">
        <v>3</v>
      </c>
      <c r="H4909" s="9" t="n">
        <f aca="false">IF(G4909&gt;0,D4909/G4909,"")</f>
        <v>6.66666666666667</v>
      </c>
      <c r="I4909" s="10" t="n">
        <v>46274</v>
      </c>
      <c r="J4909" s="3" t="s">
        <v>4448</v>
      </c>
      <c r="K4909" s="10" t="n">
        <v>45827</v>
      </c>
      <c r="L4909" s="3" t="s">
        <v>14</v>
      </c>
      <c r="M4909" s="7" t="n">
        <v>25</v>
      </c>
      <c r="N4909" s="8" t="n">
        <v>1.2644</v>
      </c>
      <c r="O4909" s="4" t="n">
        <f aca="false">M4909*N4909</f>
        <v>31.61</v>
      </c>
    </row>
    <row r="4910" customFormat="false" ht="15" hidden="false" customHeight="false" outlineLevel="0" collapsed="false">
      <c r="A4910" s="0" t="s">
        <v>6580</v>
      </c>
      <c r="C4910" s="0" t="s">
        <v>1010</v>
      </c>
      <c r="D4910" s="7" t="n">
        <v>158</v>
      </c>
      <c r="E4910" s="8" t="n">
        <v>0.16</v>
      </c>
      <c r="F4910" s="4" t="n">
        <f aca="false">D4910*E4910</f>
        <v>25.28</v>
      </c>
      <c r="G4910" s="7" t="n">
        <v>20</v>
      </c>
      <c r="H4910" s="9" t="n">
        <f aca="false">IF(G4910&gt;0,D4910/G4910,"")</f>
        <v>7.9</v>
      </c>
      <c r="I4910" s="10" t="n">
        <v>46111</v>
      </c>
      <c r="K4910" s="10"/>
      <c r="M4910" s="7"/>
      <c r="N4910" s="8"/>
      <c r="O4910" s="4"/>
    </row>
    <row r="4911" customFormat="false" ht="15" hidden="false" customHeight="false" outlineLevel="0" collapsed="false">
      <c r="A4911" s="0" t="s">
        <v>6581</v>
      </c>
      <c r="C4911" s="0" t="s">
        <v>38</v>
      </c>
      <c r="D4911" s="7" t="n">
        <v>491</v>
      </c>
      <c r="E4911" s="8" t="n">
        <v>0.0513849287169043</v>
      </c>
      <c r="F4911" s="4" t="n">
        <f aca="false">D4911*E4911</f>
        <v>25.23</v>
      </c>
      <c r="G4911" s="7" t="n">
        <v>214</v>
      </c>
      <c r="H4911" s="9" t="n">
        <f aca="false">IF(G4911&gt;0,D4911/G4911,"")</f>
        <v>2.29439252336449</v>
      </c>
      <c r="I4911" s="10" t="n">
        <v>46156</v>
      </c>
      <c r="J4911" s="3" t="s">
        <v>6582</v>
      </c>
      <c r="K4911" s="10" t="n">
        <v>45022</v>
      </c>
      <c r="L4911" s="3" t="s">
        <v>14</v>
      </c>
      <c r="M4911" s="7" t="n">
        <v>1000</v>
      </c>
      <c r="N4911" s="8" t="n">
        <v>0.0514</v>
      </c>
      <c r="O4911" s="4" t="n">
        <f aca="false">M4911*N4911</f>
        <v>51.4</v>
      </c>
    </row>
    <row r="4912" customFormat="false" ht="15" hidden="false" customHeight="false" outlineLevel="0" collapsed="false">
      <c r="A4912" s="0" t="s">
        <v>6583</v>
      </c>
      <c r="C4912" s="0" t="s">
        <v>340</v>
      </c>
      <c r="D4912" s="7" t="n">
        <v>385</v>
      </c>
      <c r="E4912" s="8" t="n">
        <v>0.0654545454545455</v>
      </c>
      <c r="F4912" s="4" t="n">
        <f aca="false">D4912*E4912</f>
        <v>25.2</v>
      </c>
      <c r="G4912" s="7" t="n">
        <v>9</v>
      </c>
      <c r="H4912" s="9" t="n">
        <f aca="false">IF(G4912&gt;0,D4912/G4912,"")</f>
        <v>42.7777777777778</v>
      </c>
      <c r="I4912" s="10" t="n">
        <v>46191</v>
      </c>
      <c r="J4912" s="3" t="s">
        <v>6584</v>
      </c>
      <c r="K4912" s="10" t="n">
        <v>44760</v>
      </c>
      <c r="L4912" s="3" t="s">
        <v>19</v>
      </c>
      <c r="M4912" s="7" t="n">
        <v>452</v>
      </c>
      <c r="N4912" s="8" t="n">
        <v>0.0658</v>
      </c>
      <c r="O4912" s="4" t="n">
        <v>29.61</v>
      </c>
    </row>
    <row r="4913" customFormat="false" ht="15" hidden="false" customHeight="false" outlineLevel="0" collapsed="false">
      <c r="A4913" s="0" t="s">
        <v>6585</v>
      </c>
      <c r="C4913" s="0" t="s">
        <v>34</v>
      </c>
      <c r="D4913" s="7" t="n">
        <v>2310</v>
      </c>
      <c r="E4913" s="8" t="n">
        <v>0.0109004329004329</v>
      </c>
      <c r="F4913" s="4" t="n">
        <f aca="false">D4913*E4913</f>
        <v>25.18</v>
      </c>
      <c r="G4913" s="7" t="n">
        <v>1066</v>
      </c>
      <c r="H4913" s="9" t="n">
        <f aca="false">IF(G4913&gt;0,D4913/G4913,"")</f>
        <v>2.16697936210131</v>
      </c>
      <c r="I4913" s="10" t="n">
        <v>46311</v>
      </c>
      <c r="J4913" s="3" t="s">
        <v>2787</v>
      </c>
      <c r="K4913" s="10" t="n">
        <v>45972</v>
      </c>
      <c r="L4913" s="3" t="s">
        <v>16</v>
      </c>
      <c r="M4913" s="7" t="n">
        <v>3250</v>
      </c>
      <c r="N4913" s="8" t="n">
        <v>0.0109</v>
      </c>
      <c r="O4913" s="4" t="n">
        <f aca="false">M4913*N4913</f>
        <v>35.425</v>
      </c>
    </row>
    <row r="4914" customFormat="false" ht="15" hidden="false" customHeight="false" outlineLevel="0" collapsed="false">
      <c r="A4914" s="0" t="s">
        <v>6586</v>
      </c>
      <c r="C4914" s="0" t="s">
        <v>340</v>
      </c>
      <c r="D4914" s="7" t="n">
        <v>134</v>
      </c>
      <c r="E4914" s="8" t="n">
        <v>0.187910447761194</v>
      </c>
      <c r="F4914" s="4" t="n">
        <f aca="false">D4914*E4914</f>
        <v>25.18</v>
      </c>
      <c r="G4914" s="7" t="n">
        <v>12</v>
      </c>
      <c r="H4914" s="9" t="n">
        <f aca="false">IF(G4914&gt;0,D4914/G4914,"")</f>
        <v>11.1666666666667</v>
      </c>
      <c r="I4914" s="10" t="n">
        <v>46069</v>
      </c>
      <c r="J4914" s="3" t="s">
        <v>6041</v>
      </c>
      <c r="K4914" s="10" t="n">
        <v>45896</v>
      </c>
      <c r="L4914" s="3" t="s">
        <v>19</v>
      </c>
      <c r="M4914" s="7" t="n">
        <v>150</v>
      </c>
      <c r="N4914" s="8" t="n">
        <v>0.1879</v>
      </c>
      <c r="O4914" s="4" t="n">
        <f aca="false">M4914*N4914</f>
        <v>28.185</v>
      </c>
    </row>
    <row r="4915" customFormat="false" ht="15" hidden="false" customHeight="false" outlineLevel="0" collapsed="false">
      <c r="A4915" s="0" t="s">
        <v>6587</v>
      </c>
      <c r="C4915" s="0" t="s">
        <v>118</v>
      </c>
      <c r="D4915" s="7" t="n">
        <v>483</v>
      </c>
      <c r="E4915" s="8" t="n">
        <v>0.0520703933747412</v>
      </c>
      <c r="F4915" s="4" t="n">
        <f aca="false">D4915*E4915</f>
        <v>25.15</v>
      </c>
      <c r="G4915" s="7" t="n">
        <v>381</v>
      </c>
      <c r="H4915" s="9" t="n">
        <f aca="false">IF(G4915&gt;0,D4915/G4915,"")</f>
        <v>1.26771653543307</v>
      </c>
      <c r="I4915" s="10" t="n">
        <v>46309</v>
      </c>
      <c r="J4915" s="3" t="s">
        <v>6588</v>
      </c>
      <c r="K4915" s="10" t="n">
        <v>45748</v>
      </c>
      <c r="L4915" s="3" t="s">
        <v>14</v>
      </c>
      <c r="M4915" s="7" t="n">
        <v>1000</v>
      </c>
      <c r="N4915" s="8" t="n">
        <v>0.0521</v>
      </c>
      <c r="O4915" s="4" t="n">
        <f aca="false">M4915*N4915</f>
        <v>52.1</v>
      </c>
    </row>
    <row r="4916" customFormat="false" ht="15" hidden="false" customHeight="false" outlineLevel="0" collapsed="false">
      <c r="A4916" s="0" t="s">
        <v>6589</v>
      </c>
      <c r="C4916" s="0" t="s">
        <v>38</v>
      </c>
      <c r="D4916" s="7" t="n">
        <v>3590</v>
      </c>
      <c r="E4916" s="8" t="n">
        <v>0.007</v>
      </c>
      <c r="F4916" s="4" t="n">
        <f aca="false">D4916*E4916</f>
        <v>25.13</v>
      </c>
      <c r="G4916" s="7" t="n">
        <v>80</v>
      </c>
      <c r="H4916" s="9" t="n">
        <f aca="false">IF(G4916&gt;0,D4916/G4916,"")</f>
        <v>44.875</v>
      </c>
      <c r="I4916" s="10" t="n">
        <v>46274</v>
      </c>
      <c r="J4916" s="3" t="s">
        <v>1177</v>
      </c>
      <c r="K4916" s="10" t="n">
        <v>45719</v>
      </c>
      <c r="L4916" s="3" t="s">
        <v>18</v>
      </c>
      <c r="M4916" s="7" t="n">
        <v>3800</v>
      </c>
      <c r="N4916" s="8" t="n">
        <v>0.007</v>
      </c>
      <c r="O4916" s="4" t="n">
        <f aca="false">M4916*N4916</f>
        <v>26.6</v>
      </c>
    </row>
    <row r="4917" customFormat="false" ht="15" hidden="false" customHeight="false" outlineLevel="0" collapsed="false">
      <c r="A4917" s="0" t="s">
        <v>6590</v>
      </c>
      <c r="C4917" s="0" t="s">
        <v>855</v>
      </c>
      <c r="D4917" s="7" t="n">
        <v>939</v>
      </c>
      <c r="E4917" s="8" t="n">
        <v>0.0267199148029819</v>
      </c>
      <c r="F4917" s="4" t="n">
        <f aca="false">D4917*E4917</f>
        <v>25.09</v>
      </c>
      <c r="G4917" s="7" t="n">
        <v>14</v>
      </c>
      <c r="H4917" s="9" t="n">
        <f aca="false">IF(G4917&gt;0,D4917/G4917,"")</f>
        <v>67.0714285714286</v>
      </c>
      <c r="I4917" s="10" t="n">
        <v>46027</v>
      </c>
      <c r="J4917" s="3" t="s">
        <v>6591</v>
      </c>
      <c r="K4917" s="10" t="n">
        <v>44320</v>
      </c>
      <c r="L4917" s="3" t="s">
        <v>19</v>
      </c>
      <c r="M4917" s="7" t="n">
        <v>1000</v>
      </c>
      <c r="N4917" s="8" t="n">
        <v>0.0267</v>
      </c>
      <c r="O4917" s="4" t="n">
        <f aca="false">M4917*N4917</f>
        <v>26.7</v>
      </c>
    </row>
    <row r="4918" customFormat="false" ht="15" hidden="false" customHeight="false" outlineLevel="0" collapsed="false">
      <c r="A4918" s="0" t="s">
        <v>6592</v>
      </c>
      <c r="C4918" s="0" t="s">
        <v>40</v>
      </c>
      <c r="D4918" s="7" t="n">
        <v>468</v>
      </c>
      <c r="E4918" s="8" t="n">
        <v>0.0535042735042735</v>
      </c>
      <c r="F4918" s="4" t="n">
        <f aca="false">D4918*E4918</f>
        <v>25.04</v>
      </c>
      <c r="G4918" s="7" t="n">
        <v>15</v>
      </c>
      <c r="H4918" s="9" t="n">
        <f aca="false">IF(G4918&gt;0,D4918/G4918,"")</f>
        <v>31.2</v>
      </c>
      <c r="I4918" s="10" t="n">
        <v>46044</v>
      </c>
      <c r="K4918" s="10"/>
      <c r="M4918" s="7"/>
      <c r="N4918" s="8"/>
      <c r="O4918" s="4"/>
    </row>
    <row r="4919" customFormat="false" ht="15" hidden="false" customHeight="false" outlineLevel="0" collapsed="false">
      <c r="A4919" s="0" t="s">
        <v>6593</v>
      </c>
      <c r="C4919" s="0" t="s">
        <v>31</v>
      </c>
      <c r="D4919" s="7" t="n">
        <v>500</v>
      </c>
      <c r="E4919" s="8" t="n">
        <v>0.05</v>
      </c>
      <c r="F4919" s="4" t="n">
        <f aca="false">D4919*E4919</f>
        <v>25</v>
      </c>
      <c r="G4919" s="7" t="n">
        <v>203</v>
      </c>
      <c r="H4919" s="9" t="n">
        <f aca="false">IF(G4919&gt;0,D4919/G4919,"")</f>
        <v>2.46305418719212</v>
      </c>
      <c r="I4919" s="10" t="n">
        <v>46276</v>
      </c>
      <c r="J4919" s="3" t="s">
        <v>5646</v>
      </c>
      <c r="K4919" s="10" t="n">
        <v>46275</v>
      </c>
      <c r="L4919" s="3" t="s">
        <v>19</v>
      </c>
      <c r="M4919" s="7" t="n">
        <v>500</v>
      </c>
      <c r="N4919" s="8" t="n">
        <v>0.05</v>
      </c>
      <c r="O4919" s="4" t="n">
        <f aca="false">M4919*N4919</f>
        <v>25</v>
      </c>
    </row>
    <row r="4920" customFormat="false" ht="15" hidden="false" customHeight="false" outlineLevel="0" collapsed="false">
      <c r="A4920" s="0" t="s">
        <v>6594</v>
      </c>
      <c r="C4920" s="0" t="s">
        <v>41</v>
      </c>
      <c r="D4920" s="7" t="n">
        <v>218</v>
      </c>
      <c r="E4920" s="8" t="n">
        <v>0.114587155963303</v>
      </c>
      <c r="F4920" s="4" t="n">
        <f aca="false">D4920*E4920</f>
        <v>24.98</v>
      </c>
      <c r="G4920" s="7" t="n">
        <v>10</v>
      </c>
      <c r="H4920" s="9" t="n">
        <f aca="false">IF(G4920&gt;0,D4920/G4920,"")</f>
        <v>21.8</v>
      </c>
      <c r="I4920" s="10" t="n">
        <v>46099</v>
      </c>
      <c r="J4920" s="3" t="s">
        <v>5572</v>
      </c>
      <c r="K4920" s="10" t="n">
        <v>44342</v>
      </c>
      <c r="L4920" s="3" t="s">
        <v>19</v>
      </c>
      <c r="M4920" s="7" t="n">
        <v>250</v>
      </c>
      <c r="N4920" s="8" t="n">
        <v>0.1146</v>
      </c>
      <c r="O4920" s="4" t="n">
        <f aca="false">M4920*N4920</f>
        <v>28.65</v>
      </c>
    </row>
    <row r="4921" customFormat="false" ht="15" hidden="false" customHeight="false" outlineLevel="0" collapsed="false">
      <c r="A4921" s="0" t="s">
        <v>6595</v>
      </c>
      <c r="C4921" s="0" t="s">
        <v>715</v>
      </c>
      <c r="D4921" s="7" t="n">
        <v>3728</v>
      </c>
      <c r="E4921" s="8" t="n">
        <v>0.00670064377682403</v>
      </c>
      <c r="F4921" s="4" t="n">
        <f aca="false">D4921*E4921</f>
        <v>24.98</v>
      </c>
      <c r="G4921" s="7" t="n">
        <v>2525</v>
      </c>
      <c r="H4921" s="9" t="n">
        <f aca="false">IF(G4921&gt;0,D4921/G4921,"")</f>
        <v>1.47643564356436</v>
      </c>
      <c r="I4921" s="10" t="n">
        <v>46171</v>
      </c>
      <c r="K4921" s="10"/>
      <c r="M4921" s="7"/>
      <c r="N4921" s="8"/>
      <c r="O4921" s="4"/>
    </row>
    <row r="4922" customFormat="false" ht="15" hidden="false" customHeight="false" outlineLevel="0" collapsed="false">
      <c r="A4922" s="0" t="s">
        <v>6596</v>
      </c>
      <c r="C4922" s="0" t="s">
        <v>31</v>
      </c>
      <c r="D4922" s="7" t="n">
        <v>549</v>
      </c>
      <c r="E4922" s="8" t="n">
        <v>0.0454826958105647</v>
      </c>
      <c r="F4922" s="4" t="n">
        <f aca="false">D4922*E4922</f>
        <v>24.97</v>
      </c>
      <c r="G4922" s="7" t="n">
        <v>80</v>
      </c>
      <c r="H4922" s="9" t="n">
        <f aca="false">IF(G4922&gt;0,D4922/G4922,"")</f>
        <v>6.8625</v>
      </c>
      <c r="I4922" s="10" t="n">
        <v>46308</v>
      </c>
      <c r="J4922" s="3" t="s">
        <v>6194</v>
      </c>
      <c r="K4922" s="10" t="n">
        <v>45145</v>
      </c>
      <c r="L4922" s="3" t="s">
        <v>19</v>
      </c>
      <c r="M4922" s="7" t="n">
        <v>1000</v>
      </c>
      <c r="N4922" s="8" t="n">
        <v>0.0455</v>
      </c>
      <c r="O4922" s="4" t="n">
        <f aca="false">M4922*N4922</f>
        <v>45.5</v>
      </c>
    </row>
    <row r="4923" customFormat="false" ht="15" hidden="false" customHeight="false" outlineLevel="0" collapsed="false">
      <c r="A4923" s="0" t="s">
        <v>6597</v>
      </c>
      <c r="C4923" s="0" t="s">
        <v>32</v>
      </c>
      <c r="D4923" s="7" t="n">
        <v>8911</v>
      </c>
      <c r="E4923" s="8" t="n">
        <v>0.00279991022331949</v>
      </c>
      <c r="F4923" s="4" t="n">
        <f aca="false">D4923*E4923</f>
        <v>24.95</v>
      </c>
      <c r="G4923" s="7" t="n">
        <v>3231</v>
      </c>
      <c r="H4923" s="9" t="n">
        <f aca="false">IF(G4923&gt;0,D4923/G4923,"")</f>
        <v>2.75796966883318</v>
      </c>
      <c r="I4923" s="10" t="n">
        <v>46280</v>
      </c>
      <c r="J4923" s="3" t="s">
        <v>6119</v>
      </c>
      <c r="K4923" s="10" t="n">
        <v>44999</v>
      </c>
      <c r="L4923" s="3" t="s">
        <v>18</v>
      </c>
      <c r="M4923" s="7" t="n">
        <v>31000</v>
      </c>
      <c r="N4923" s="8" t="n">
        <v>0.0028</v>
      </c>
      <c r="O4923" s="4" t="n">
        <f aca="false">M4923*N4923</f>
        <v>86.8</v>
      </c>
    </row>
    <row r="4924" customFormat="false" ht="15" hidden="false" customHeight="false" outlineLevel="0" collapsed="false">
      <c r="A4924" s="0" t="s">
        <v>6598</v>
      </c>
      <c r="C4924" s="0" t="s">
        <v>295</v>
      </c>
      <c r="D4924" s="7" t="n">
        <v>619</v>
      </c>
      <c r="E4924" s="8" t="n">
        <v>0.0403069466882068</v>
      </c>
      <c r="F4924" s="4" t="n">
        <f aca="false">D4924*E4924</f>
        <v>24.95</v>
      </c>
      <c r="G4924" s="7" t="n">
        <v>125</v>
      </c>
      <c r="H4924" s="9" t="n">
        <f aca="false">IF(G4924&gt;0,D4924/G4924,"")</f>
        <v>4.952</v>
      </c>
      <c r="I4924" s="10" t="n">
        <v>46273</v>
      </c>
      <c r="J4924" s="3" t="s">
        <v>6599</v>
      </c>
      <c r="K4924" s="10" t="n">
        <v>45180</v>
      </c>
      <c r="L4924" s="3" t="s">
        <v>19</v>
      </c>
      <c r="M4924" s="7" t="n">
        <v>1000</v>
      </c>
      <c r="N4924" s="8" t="n">
        <v>0.0403</v>
      </c>
      <c r="O4924" s="4" t="n">
        <f aca="false">M4924*N4924</f>
        <v>40.3</v>
      </c>
    </row>
    <row r="4925" customFormat="false" ht="15" hidden="false" customHeight="false" outlineLevel="0" collapsed="false">
      <c r="A4925" s="0" t="s">
        <v>6600</v>
      </c>
      <c r="C4925" s="0" t="s">
        <v>41</v>
      </c>
      <c r="D4925" s="7" t="n">
        <v>86</v>
      </c>
      <c r="E4925" s="8" t="n">
        <v>0.29</v>
      </c>
      <c r="F4925" s="4" t="n">
        <f aca="false">D4925*E4925</f>
        <v>24.94</v>
      </c>
      <c r="G4925" s="7" t="n">
        <v>50</v>
      </c>
      <c r="H4925" s="9" t="n">
        <f aca="false">IF(G4925&gt;0,D4925/G4925,"")</f>
        <v>1.72</v>
      </c>
      <c r="I4925" s="10" t="n">
        <v>46315</v>
      </c>
      <c r="J4925" s="3" t="s">
        <v>6136</v>
      </c>
      <c r="K4925" s="10" t="n">
        <v>46310</v>
      </c>
      <c r="L4925" s="3" t="s">
        <v>19</v>
      </c>
      <c r="M4925" s="7" t="n">
        <v>97</v>
      </c>
      <c r="N4925" s="8" t="n">
        <v>0.29</v>
      </c>
      <c r="O4925" s="4" t="n">
        <f aca="false">M4925*N4925</f>
        <v>28.13</v>
      </c>
    </row>
    <row r="4926" customFormat="false" ht="15" hidden="false" customHeight="false" outlineLevel="0" collapsed="false">
      <c r="A4926" s="0" t="s">
        <v>6601</v>
      </c>
      <c r="C4926" s="0" t="s">
        <v>298</v>
      </c>
      <c r="D4926" s="7" t="n">
        <v>522</v>
      </c>
      <c r="E4926" s="8" t="n">
        <v>0.04772030651341</v>
      </c>
      <c r="F4926" s="4" t="n">
        <f aca="false">D4926*E4926</f>
        <v>24.91</v>
      </c>
      <c r="G4926" s="7" t="n">
        <v>20</v>
      </c>
      <c r="H4926" s="9" t="n">
        <f aca="false">IF(G4926&gt;0,D4926/G4926,"")</f>
        <v>26.1</v>
      </c>
      <c r="I4926" s="10" t="n">
        <v>46171</v>
      </c>
      <c r="J4926" s="3" t="s">
        <v>4116</v>
      </c>
      <c r="K4926" s="10" t="n">
        <v>45895</v>
      </c>
      <c r="L4926" s="3" t="s">
        <v>16</v>
      </c>
      <c r="M4926" s="7" t="n">
        <v>500</v>
      </c>
      <c r="N4926" s="8" t="n">
        <v>0</v>
      </c>
      <c r="O4926" s="4" t="n">
        <v>0</v>
      </c>
    </row>
    <row r="4927" customFormat="false" ht="15" hidden="false" customHeight="false" outlineLevel="0" collapsed="false">
      <c r="A4927" s="0" t="s">
        <v>6602</v>
      </c>
      <c r="C4927" s="0" t="s">
        <v>31</v>
      </c>
      <c r="D4927" s="7" t="n">
        <v>387</v>
      </c>
      <c r="E4927" s="8" t="n">
        <v>0.0643152454780362</v>
      </c>
      <c r="F4927" s="4" t="n">
        <f aca="false">D4927*E4927</f>
        <v>24.89</v>
      </c>
      <c r="G4927" s="7" t="n">
        <v>122</v>
      </c>
      <c r="H4927" s="9" t="n">
        <f aca="false">IF(G4927&gt;0,D4927/G4927,"")</f>
        <v>3.17213114754098</v>
      </c>
      <c r="I4927" s="10" t="n">
        <v>46254</v>
      </c>
      <c r="K4927" s="10"/>
      <c r="M4927" s="7"/>
      <c r="N4927" s="8"/>
      <c r="O4927" s="4"/>
    </row>
    <row r="4928" customFormat="false" ht="15" hidden="false" customHeight="false" outlineLevel="0" collapsed="false">
      <c r="A4928" s="0" t="s">
        <v>6603</v>
      </c>
      <c r="C4928" s="0" t="s">
        <v>36</v>
      </c>
      <c r="D4928" s="7" t="n">
        <v>88</v>
      </c>
      <c r="E4928" s="8" t="n">
        <v>0.282386363636364</v>
      </c>
      <c r="F4928" s="4" t="n">
        <f aca="false">D4928*E4928</f>
        <v>24.85</v>
      </c>
      <c r="G4928" s="7" t="n">
        <v>17</v>
      </c>
      <c r="H4928" s="9" t="n">
        <f aca="false">IF(G4928&gt;0,D4928/G4928,"")</f>
        <v>5.17647058823529</v>
      </c>
      <c r="I4928" s="10" t="n">
        <v>46226</v>
      </c>
      <c r="J4928" s="3" t="s">
        <v>3555</v>
      </c>
      <c r="K4928" s="10" t="n">
        <v>46219</v>
      </c>
      <c r="L4928" s="3" t="s">
        <v>18</v>
      </c>
      <c r="M4928" s="7" t="n">
        <v>90</v>
      </c>
      <c r="N4928" s="8" t="n">
        <v>0.2823</v>
      </c>
      <c r="O4928" s="4" t="n">
        <f aca="false">M4928*N4928</f>
        <v>25.407</v>
      </c>
    </row>
    <row r="4929" customFormat="false" ht="15" hidden="false" customHeight="false" outlineLevel="0" collapsed="false">
      <c r="A4929" s="0" t="s">
        <v>6604</v>
      </c>
      <c r="C4929" s="0" t="s">
        <v>340</v>
      </c>
      <c r="D4929" s="7" t="n">
        <v>1570</v>
      </c>
      <c r="E4929" s="8" t="n">
        <v>0.0158025477707006</v>
      </c>
      <c r="F4929" s="4" t="n">
        <f aca="false">D4929*E4929</f>
        <v>24.81</v>
      </c>
      <c r="G4929" s="7" t="n">
        <v>350</v>
      </c>
      <c r="H4929" s="9" t="n">
        <f aca="false">IF(G4929&gt;0,D4929/G4929,"")</f>
        <v>4.48571428571429</v>
      </c>
      <c r="I4929" s="10" t="n">
        <v>46218</v>
      </c>
      <c r="J4929" s="3" t="s">
        <v>6073</v>
      </c>
      <c r="K4929" s="10" t="n">
        <v>46126</v>
      </c>
      <c r="L4929" s="3" t="s">
        <v>19</v>
      </c>
      <c r="M4929" s="7" t="n">
        <v>1920</v>
      </c>
      <c r="N4929" s="8" t="n">
        <v>0.0158</v>
      </c>
      <c r="O4929" s="4" t="n">
        <f aca="false">M4929*N4929</f>
        <v>30.336</v>
      </c>
    </row>
    <row r="4930" customFormat="false" ht="15" hidden="false" customHeight="false" outlineLevel="0" collapsed="false">
      <c r="A4930" s="0" t="s">
        <v>6605</v>
      </c>
      <c r="D4930" s="7" t="n">
        <v>66</v>
      </c>
      <c r="E4930" s="8" t="n">
        <v>0.375606060606061</v>
      </c>
      <c r="F4930" s="4" t="n">
        <f aca="false">D4930*E4930</f>
        <v>24.79</v>
      </c>
      <c r="G4930" s="7" t="n">
        <v>10</v>
      </c>
      <c r="H4930" s="9" t="n">
        <f aca="false">IF(G4930&gt;0,D4930/G4930,"")</f>
        <v>6.6</v>
      </c>
      <c r="I4930" s="10" t="n">
        <v>46129</v>
      </c>
      <c r="J4930" s="3" t="s">
        <v>3765</v>
      </c>
      <c r="K4930" s="10" t="n">
        <v>44643</v>
      </c>
      <c r="L4930" s="3" t="s">
        <v>936</v>
      </c>
      <c r="M4930" s="7" t="n">
        <v>100</v>
      </c>
      <c r="N4930" s="8" t="n">
        <v>0.3757</v>
      </c>
      <c r="O4930" s="4" t="n">
        <f aca="false">M4930*N4930</f>
        <v>37.57</v>
      </c>
    </row>
    <row r="4931" customFormat="false" ht="15" hidden="false" customHeight="false" outlineLevel="0" collapsed="false">
      <c r="A4931" s="0" t="s">
        <v>6606</v>
      </c>
      <c r="C4931" s="0" t="s">
        <v>41</v>
      </c>
      <c r="D4931" s="7" t="n">
        <v>470</v>
      </c>
      <c r="E4931" s="8" t="n">
        <v>0.0527021276595745</v>
      </c>
      <c r="F4931" s="4" t="n">
        <f aca="false">D4931*E4931</f>
        <v>24.77</v>
      </c>
      <c r="G4931" s="7" t="n">
        <v>20</v>
      </c>
      <c r="H4931" s="9" t="n">
        <f aca="false">IF(G4931&gt;0,D4931/G4931,"")</f>
        <v>23.5</v>
      </c>
      <c r="I4931" s="10" t="n">
        <v>46254</v>
      </c>
      <c r="J4931" s="3" t="s">
        <v>1791</v>
      </c>
      <c r="K4931" s="10" t="n">
        <v>45475</v>
      </c>
      <c r="L4931" s="3" t="s">
        <v>16</v>
      </c>
      <c r="M4931" s="7" t="n">
        <v>500</v>
      </c>
      <c r="N4931" s="8" t="n">
        <v>0.0527</v>
      </c>
      <c r="O4931" s="4" t="n">
        <f aca="false">M4931*N4931</f>
        <v>26.35</v>
      </c>
    </row>
    <row r="4932" customFormat="false" ht="15" hidden="false" customHeight="false" outlineLevel="0" collapsed="false">
      <c r="A4932" s="0" t="s">
        <v>6607</v>
      </c>
      <c r="C4932" s="0" t="s">
        <v>39</v>
      </c>
      <c r="D4932" s="7" t="n">
        <v>13</v>
      </c>
      <c r="E4932" s="8" t="n">
        <v>1.90461538461539</v>
      </c>
      <c r="F4932" s="4" t="n">
        <f aca="false">D4932*E4932</f>
        <v>24.76</v>
      </c>
      <c r="G4932" s="7" t="n">
        <v>3</v>
      </c>
      <c r="H4932" s="9" t="n">
        <f aca="false">IF(G4932&gt;0,D4932/G4932,"")</f>
        <v>4.33333333333333</v>
      </c>
      <c r="I4932" s="10" t="n">
        <v>46316</v>
      </c>
      <c r="J4932" s="3" t="s">
        <v>6467</v>
      </c>
      <c r="K4932" s="10" t="n">
        <v>46310</v>
      </c>
      <c r="L4932" s="3" t="s">
        <v>18</v>
      </c>
      <c r="M4932" s="7" t="n">
        <v>16</v>
      </c>
      <c r="N4932" s="8" t="n">
        <v>1.9048</v>
      </c>
      <c r="O4932" s="4" t="n">
        <f aca="false">M4932*N4932</f>
        <v>30.4768</v>
      </c>
    </row>
    <row r="4933" customFormat="false" ht="15" hidden="false" customHeight="false" outlineLevel="0" collapsed="false">
      <c r="A4933" s="0" t="s">
        <v>6608</v>
      </c>
      <c r="C4933" s="0" t="s">
        <v>79</v>
      </c>
      <c r="D4933" s="7" t="n">
        <v>160</v>
      </c>
      <c r="E4933" s="8" t="n">
        <v>0.154625</v>
      </c>
      <c r="F4933" s="4" t="n">
        <f aca="false">D4933*E4933</f>
        <v>24.74</v>
      </c>
      <c r="G4933" s="7" t="n">
        <v>50</v>
      </c>
      <c r="H4933" s="9" t="n">
        <f aca="false">IF(G4933&gt;0,D4933/G4933,"")</f>
        <v>3.2</v>
      </c>
      <c r="I4933" s="10" t="n">
        <v>46225</v>
      </c>
      <c r="J4933" s="3" t="s">
        <v>3397</v>
      </c>
      <c r="K4933" s="10" t="n">
        <v>45434</v>
      </c>
      <c r="L4933" s="3" t="s">
        <v>19</v>
      </c>
      <c r="M4933" s="7" t="n">
        <v>250</v>
      </c>
      <c r="N4933" s="8" t="n">
        <v>0.1546</v>
      </c>
      <c r="O4933" s="4" t="n">
        <f aca="false">M4933*N4933</f>
        <v>38.65</v>
      </c>
    </row>
    <row r="4934" customFormat="false" ht="15" hidden="false" customHeight="false" outlineLevel="0" collapsed="false">
      <c r="A4934" s="0" t="s">
        <v>6609</v>
      </c>
      <c r="C4934" s="0" t="s">
        <v>34</v>
      </c>
      <c r="D4934" s="7" t="n">
        <v>773</v>
      </c>
      <c r="E4934" s="8" t="n">
        <v>0.0320051746442432</v>
      </c>
      <c r="F4934" s="4" t="n">
        <f aca="false">D4934*E4934</f>
        <v>24.74</v>
      </c>
      <c r="G4934" s="7" t="n">
        <v>180</v>
      </c>
      <c r="H4934" s="9" t="n">
        <f aca="false">IF(G4934&gt;0,D4934/G4934,"")</f>
        <v>4.29444444444444</v>
      </c>
      <c r="I4934" s="10" t="n">
        <v>46315</v>
      </c>
      <c r="J4934" s="3" t="s">
        <v>6610</v>
      </c>
      <c r="K4934" s="10" t="n">
        <v>45398</v>
      </c>
      <c r="L4934" s="3" t="s">
        <v>25</v>
      </c>
      <c r="M4934" s="7" t="n">
        <v>1110</v>
      </c>
      <c r="N4934" s="8" t="n">
        <v>0.032</v>
      </c>
      <c r="O4934" s="4" t="n">
        <f aca="false">M4934*N4934</f>
        <v>35.52</v>
      </c>
    </row>
    <row r="4935" customFormat="false" ht="15" hidden="false" customHeight="false" outlineLevel="0" collapsed="false">
      <c r="A4935" s="0" t="s">
        <v>6611</v>
      </c>
      <c r="C4935" s="0" t="s">
        <v>34</v>
      </c>
      <c r="D4935" s="7" t="n">
        <v>98</v>
      </c>
      <c r="E4935" s="8" t="n">
        <v>0.252244897959184</v>
      </c>
      <c r="F4935" s="4" t="n">
        <f aca="false">D4935*E4935</f>
        <v>24.72</v>
      </c>
      <c r="G4935" s="7" t="n">
        <v>32</v>
      </c>
      <c r="H4935" s="9" t="n">
        <f aca="false">IF(G4935&gt;0,D4935/G4935,"")</f>
        <v>3.0625</v>
      </c>
      <c r="I4935" s="10" t="n">
        <v>46157</v>
      </c>
      <c r="J4935" s="3" t="s">
        <v>620</v>
      </c>
      <c r="K4935" s="10" t="n">
        <v>46146</v>
      </c>
      <c r="L4935" s="3" t="s">
        <v>16</v>
      </c>
      <c r="M4935" s="7" t="n">
        <v>100</v>
      </c>
      <c r="N4935" s="8" t="n">
        <v>0.2204</v>
      </c>
      <c r="O4935" s="4" t="n">
        <f aca="false">M4935*N4935</f>
        <v>22.04</v>
      </c>
    </row>
    <row r="4936" customFormat="false" ht="15" hidden="false" customHeight="false" outlineLevel="0" collapsed="false">
      <c r="A4936" s="0" t="s">
        <v>6612</v>
      </c>
      <c r="C4936" s="0" t="s">
        <v>31</v>
      </c>
      <c r="D4936" s="7" t="n">
        <v>213</v>
      </c>
      <c r="E4936" s="8" t="n">
        <v>0.116009389671362</v>
      </c>
      <c r="F4936" s="4" t="n">
        <f aca="false">D4936*E4936</f>
        <v>24.71</v>
      </c>
      <c r="G4936" s="7" t="n">
        <v>14</v>
      </c>
      <c r="H4936" s="9" t="n">
        <f aca="false">IF(G4936&gt;0,D4936/G4936,"")</f>
        <v>15.2142857142857</v>
      </c>
      <c r="I4936" s="10" t="n">
        <v>46281</v>
      </c>
      <c r="J4936" s="3" t="s">
        <v>2196</v>
      </c>
      <c r="K4936" s="10" t="n">
        <v>44291</v>
      </c>
      <c r="L4936" s="3" t="s">
        <v>19</v>
      </c>
      <c r="M4936" s="7" t="n">
        <v>250</v>
      </c>
      <c r="N4936" s="8" t="n">
        <v>0.116</v>
      </c>
      <c r="O4936" s="4" t="n">
        <f aca="false">M4936*N4936</f>
        <v>29</v>
      </c>
    </row>
    <row r="4937" customFormat="false" ht="15" hidden="false" customHeight="false" outlineLevel="0" collapsed="false">
      <c r="A4937" s="0" t="s">
        <v>6613</v>
      </c>
      <c r="C4937" s="0" t="s">
        <v>31</v>
      </c>
      <c r="D4937" s="7" t="n">
        <v>782</v>
      </c>
      <c r="E4937" s="8" t="n">
        <v>0.0315984654731458</v>
      </c>
      <c r="F4937" s="4" t="n">
        <f aca="false">D4937*E4937</f>
        <v>24.71</v>
      </c>
      <c r="G4937" s="7" t="n">
        <v>15</v>
      </c>
      <c r="H4937" s="9" t="n">
        <f aca="false">IF(G4937&gt;0,D4937/G4937,"")</f>
        <v>52.1333333333333</v>
      </c>
      <c r="I4937" s="10" t="n">
        <v>46008</v>
      </c>
      <c r="K4937" s="10"/>
      <c r="M4937" s="7"/>
      <c r="N4937" s="8"/>
      <c r="O4937" s="4"/>
    </row>
    <row r="4938" customFormat="false" ht="15" hidden="false" customHeight="false" outlineLevel="0" collapsed="false">
      <c r="A4938" s="0" t="s">
        <v>6614</v>
      </c>
      <c r="C4938" s="0" t="s">
        <v>31</v>
      </c>
      <c r="D4938" s="7" t="n">
        <v>889</v>
      </c>
      <c r="E4938" s="8" t="n">
        <v>0.0277840269966254</v>
      </c>
      <c r="F4938" s="4" t="n">
        <f aca="false">D4938*E4938</f>
        <v>24.7</v>
      </c>
      <c r="G4938" s="7" t="n">
        <v>155</v>
      </c>
      <c r="H4938" s="9" t="n">
        <f aca="false">IF(G4938&gt;0,D4938/G4938,"")</f>
        <v>5.73548387096774</v>
      </c>
      <c r="I4938" s="10" t="n">
        <v>46294</v>
      </c>
      <c r="K4938" s="10"/>
      <c r="M4938" s="7"/>
      <c r="N4938" s="8"/>
      <c r="O4938" s="4"/>
    </row>
    <row r="4939" customFormat="false" ht="15" hidden="false" customHeight="false" outlineLevel="0" collapsed="false">
      <c r="A4939" s="0" t="s">
        <v>6615</v>
      </c>
      <c r="C4939" s="0" t="s">
        <v>298</v>
      </c>
      <c r="D4939" s="7" t="n">
        <v>164</v>
      </c>
      <c r="E4939" s="8" t="n">
        <v>0.150487804878049</v>
      </c>
      <c r="F4939" s="4" t="n">
        <f aca="false">D4939*E4939</f>
        <v>24.68</v>
      </c>
      <c r="G4939" s="7" t="n">
        <v>10</v>
      </c>
      <c r="H4939" s="9" t="n">
        <f aca="false">IF(G4939&gt;0,D4939/G4939,"")</f>
        <v>16.4</v>
      </c>
      <c r="I4939" s="10" t="n">
        <v>45961</v>
      </c>
      <c r="J4939" s="3" t="s">
        <v>6616</v>
      </c>
      <c r="K4939" s="10" t="n">
        <v>44830</v>
      </c>
      <c r="L4939" s="3" t="s">
        <v>19</v>
      </c>
      <c r="M4939" s="7" t="n">
        <v>281</v>
      </c>
      <c r="N4939" s="8" t="n">
        <v>0.1505</v>
      </c>
      <c r="O4939" s="4" t="n">
        <f aca="false">M4939*N4939</f>
        <v>42.2905</v>
      </c>
    </row>
    <row r="4940" customFormat="false" ht="15" hidden="false" customHeight="false" outlineLevel="0" collapsed="false">
      <c r="A4940" s="0" t="s">
        <v>6617</v>
      </c>
      <c r="C4940" s="0" t="s">
        <v>44</v>
      </c>
      <c r="D4940" s="7" t="n">
        <v>1</v>
      </c>
      <c r="E4940" s="8" t="n">
        <v>24.67</v>
      </c>
      <c r="F4940" s="4" t="n">
        <f aca="false">D4940*E4940</f>
        <v>24.67</v>
      </c>
      <c r="G4940" s="7" t="n">
        <v>1</v>
      </c>
      <c r="H4940" s="9" t="n">
        <f aca="false">IF(G4940&gt;0,D4940/G4940,"")</f>
        <v>1</v>
      </c>
      <c r="I4940" s="10" t="n">
        <v>46274</v>
      </c>
      <c r="J4940" s="3" t="s">
        <v>6618</v>
      </c>
      <c r="K4940" s="10" t="n">
        <v>44199</v>
      </c>
      <c r="L4940" s="3" t="s">
        <v>14</v>
      </c>
      <c r="M4940" s="7" t="n">
        <v>3</v>
      </c>
      <c r="N4940" s="8" t="n">
        <v>24.6694</v>
      </c>
      <c r="O4940" s="4" t="n">
        <f aca="false">M4940*N4940</f>
        <v>74.0082</v>
      </c>
    </row>
    <row r="4941" customFormat="false" ht="15" hidden="false" customHeight="false" outlineLevel="0" collapsed="false">
      <c r="A4941" s="0" t="s">
        <v>6619</v>
      </c>
      <c r="C4941" s="0" t="s">
        <v>979</v>
      </c>
      <c r="D4941" s="7" t="n">
        <v>19</v>
      </c>
      <c r="E4941" s="8" t="n">
        <v>1.29578947368421</v>
      </c>
      <c r="F4941" s="4" t="n">
        <f aca="false">D4941*E4941</f>
        <v>24.62</v>
      </c>
      <c r="G4941" s="7" t="n">
        <v>3</v>
      </c>
      <c r="H4941" s="9" t="n">
        <f aca="false">IF(G4941&gt;0,D4941/G4941,"")</f>
        <v>6.33333333333333</v>
      </c>
      <c r="I4941" s="10" t="n">
        <v>46160</v>
      </c>
      <c r="J4941" s="3" t="s">
        <v>3576</v>
      </c>
      <c r="K4941" s="10" t="n">
        <v>46112</v>
      </c>
      <c r="L4941" s="3" t="s">
        <v>18</v>
      </c>
      <c r="M4941" s="7" t="n">
        <v>22</v>
      </c>
      <c r="N4941" s="8" t="n">
        <v>1.296</v>
      </c>
      <c r="O4941" s="4" t="n">
        <f aca="false">M4941*N4941</f>
        <v>28.512</v>
      </c>
    </row>
    <row r="4942" customFormat="false" ht="15" hidden="false" customHeight="false" outlineLevel="0" collapsed="false">
      <c r="A4942" s="0" t="s">
        <v>6620</v>
      </c>
      <c r="C4942" s="0" t="s">
        <v>32</v>
      </c>
      <c r="D4942" s="7" t="n">
        <v>95</v>
      </c>
      <c r="E4942" s="8" t="n">
        <v>0.259052631578947</v>
      </c>
      <c r="F4942" s="4" t="n">
        <f aca="false">D4942*E4942</f>
        <v>24.61</v>
      </c>
      <c r="G4942" s="7" t="n">
        <v>26</v>
      </c>
      <c r="H4942" s="9" t="n">
        <f aca="false">IF(G4942&gt;0,D4942/G4942,"")</f>
        <v>3.65384615384615</v>
      </c>
      <c r="I4942" s="10" t="n">
        <v>46090</v>
      </c>
      <c r="J4942" s="3" t="s">
        <v>6621</v>
      </c>
      <c r="K4942" s="10" t="n">
        <v>44716</v>
      </c>
      <c r="L4942" s="3" t="s">
        <v>18</v>
      </c>
      <c r="M4942" s="7" t="n">
        <v>100</v>
      </c>
      <c r="N4942" s="8" t="n">
        <v>0.2556</v>
      </c>
      <c r="O4942" s="4" t="n">
        <f aca="false">M4942*N4942</f>
        <v>25.56</v>
      </c>
    </row>
    <row r="4943" customFormat="false" ht="15" hidden="false" customHeight="false" outlineLevel="0" collapsed="false">
      <c r="A4943" s="0" t="s">
        <v>6622</v>
      </c>
      <c r="C4943" s="0" t="s">
        <v>38</v>
      </c>
      <c r="D4943" s="7" t="n">
        <v>88</v>
      </c>
      <c r="E4943" s="8" t="n">
        <v>0.279431818181818</v>
      </c>
      <c r="F4943" s="4" t="n">
        <f aca="false">D4943*E4943</f>
        <v>24.59</v>
      </c>
      <c r="G4943" s="7" t="n">
        <v>10</v>
      </c>
      <c r="H4943" s="9" t="n">
        <f aca="false">IF(G4943&gt;0,D4943/G4943,"")</f>
        <v>8.8</v>
      </c>
      <c r="I4943" s="10" t="n">
        <v>46104</v>
      </c>
      <c r="J4943" s="3" t="s">
        <v>4270</v>
      </c>
      <c r="K4943" s="10" t="n">
        <v>46092</v>
      </c>
      <c r="L4943" s="3" t="s">
        <v>18</v>
      </c>
      <c r="M4943" s="7" t="n">
        <v>90</v>
      </c>
      <c r="N4943" s="8" t="n">
        <v>0.2814</v>
      </c>
      <c r="O4943" s="4" t="n">
        <f aca="false">M4943*N4943</f>
        <v>25.326</v>
      </c>
    </row>
    <row r="4944" customFormat="false" ht="15" hidden="false" customHeight="false" outlineLevel="0" collapsed="false">
      <c r="A4944" s="0" t="s">
        <v>6623</v>
      </c>
      <c r="C4944" s="0" t="s">
        <v>40</v>
      </c>
      <c r="D4944" s="7" t="n">
        <v>181</v>
      </c>
      <c r="E4944" s="8" t="n">
        <v>0.13585635359116</v>
      </c>
      <c r="F4944" s="4" t="n">
        <f aca="false">D4944*E4944</f>
        <v>24.59</v>
      </c>
      <c r="G4944" s="7" t="n">
        <v>23</v>
      </c>
      <c r="H4944" s="9" t="n">
        <f aca="false">IF(G4944&gt;0,D4944/G4944,"")</f>
        <v>7.86956521739131</v>
      </c>
      <c r="I4944" s="10" t="n">
        <v>46286</v>
      </c>
      <c r="K4944" s="10"/>
      <c r="M4944" s="7"/>
      <c r="N4944" s="8"/>
      <c r="O4944" s="4"/>
    </row>
    <row r="4945" customFormat="false" ht="15" hidden="false" customHeight="false" outlineLevel="0" collapsed="false">
      <c r="A4945" s="0" t="s">
        <v>6624</v>
      </c>
      <c r="C4945" s="0" t="s">
        <v>31</v>
      </c>
      <c r="D4945" s="7" t="n">
        <v>45</v>
      </c>
      <c r="E4945" s="8" t="n">
        <v>0.545777777777778</v>
      </c>
      <c r="F4945" s="4" t="n">
        <f aca="false">D4945*E4945</f>
        <v>24.56</v>
      </c>
      <c r="G4945" s="7" t="n">
        <v>5</v>
      </c>
      <c r="H4945" s="9" t="n">
        <f aca="false">IF(G4945&gt;0,D4945/G4945,"")</f>
        <v>9</v>
      </c>
      <c r="I4945" s="10" t="n">
        <v>46288</v>
      </c>
      <c r="J4945" s="3" t="s">
        <v>6052</v>
      </c>
      <c r="K4945" s="10" t="n">
        <v>46281</v>
      </c>
      <c r="L4945" s="3" t="s">
        <v>19</v>
      </c>
      <c r="M4945" s="7" t="n">
        <v>50</v>
      </c>
      <c r="N4945" s="8" t="n">
        <v>0.5457</v>
      </c>
      <c r="O4945" s="4" t="n">
        <f aca="false">M4945*N4945</f>
        <v>27.285</v>
      </c>
    </row>
    <row r="4946" customFormat="false" ht="15" hidden="false" customHeight="false" outlineLevel="0" collapsed="false">
      <c r="A4946" s="0" t="s">
        <v>6625</v>
      </c>
      <c r="C4946" s="0" t="s">
        <v>1039</v>
      </c>
      <c r="D4946" s="7" t="n">
        <v>2116</v>
      </c>
      <c r="E4946" s="8" t="n">
        <v>0.0116068052930057</v>
      </c>
      <c r="F4946" s="4" t="n">
        <f aca="false">D4946*E4946</f>
        <v>24.56</v>
      </c>
      <c r="G4946" s="7" t="n">
        <v>522</v>
      </c>
      <c r="H4946" s="9" t="n">
        <f aca="false">IF(G4946&gt;0,D4946/G4946,"")</f>
        <v>4.0536398467433</v>
      </c>
      <c r="I4946" s="10" t="n">
        <v>46308</v>
      </c>
      <c r="J4946" s="3" t="s">
        <v>677</v>
      </c>
      <c r="K4946" s="10" t="n">
        <v>45642</v>
      </c>
      <c r="L4946" s="3" t="s">
        <v>16</v>
      </c>
      <c r="M4946" s="7" t="n">
        <v>2797</v>
      </c>
      <c r="N4946" s="8" t="n">
        <v>0.0116</v>
      </c>
      <c r="O4946" s="4" t="n">
        <f aca="false">M4946*N4946</f>
        <v>32.4452</v>
      </c>
    </row>
    <row r="4947" customFormat="false" ht="15" hidden="false" customHeight="false" outlineLevel="0" collapsed="false">
      <c r="A4947" s="0" t="s">
        <v>6626</v>
      </c>
      <c r="C4947" s="0" t="s">
        <v>1039</v>
      </c>
      <c r="D4947" s="7" t="n">
        <v>1175</v>
      </c>
      <c r="E4947" s="8" t="n">
        <v>0.0209021276595745</v>
      </c>
      <c r="F4947" s="4" t="n">
        <f aca="false">D4947*E4947</f>
        <v>24.56</v>
      </c>
      <c r="G4947" s="7" t="n">
        <v>20</v>
      </c>
      <c r="H4947" s="9" t="n">
        <f aca="false">IF(G4947&gt;0,D4947/G4947,"")</f>
        <v>58.75</v>
      </c>
      <c r="I4947" s="10" t="n">
        <v>46098</v>
      </c>
      <c r="J4947" s="3" t="s">
        <v>6627</v>
      </c>
      <c r="K4947" s="10" t="n">
        <v>44433</v>
      </c>
      <c r="L4947" s="3" t="s">
        <v>19</v>
      </c>
      <c r="M4947" s="7" t="n">
        <v>1200</v>
      </c>
      <c r="N4947" s="8" t="n">
        <v>0.0209</v>
      </c>
      <c r="O4947" s="4" t="n">
        <f aca="false">M4947*N4947</f>
        <v>25.08</v>
      </c>
    </row>
    <row r="4948" customFormat="false" ht="15" hidden="false" customHeight="false" outlineLevel="0" collapsed="false">
      <c r="A4948" s="0" t="s">
        <v>6628</v>
      </c>
      <c r="C4948" s="0" t="s">
        <v>33</v>
      </c>
      <c r="D4948" s="7" t="n">
        <v>16</v>
      </c>
      <c r="E4948" s="8" t="n">
        <v>1.53125</v>
      </c>
      <c r="F4948" s="4" t="n">
        <f aca="false">D4948*E4948</f>
        <v>24.5</v>
      </c>
      <c r="G4948" s="7" t="n">
        <v>4</v>
      </c>
      <c r="H4948" s="9" t="n">
        <f aca="false">IF(G4948&gt;0,D4948/G4948,"")</f>
        <v>4</v>
      </c>
      <c r="I4948" s="10" t="n">
        <v>46296</v>
      </c>
      <c r="J4948" s="3" t="s">
        <v>6208</v>
      </c>
      <c r="K4948" s="10" t="n">
        <v>46287</v>
      </c>
      <c r="L4948" s="3" t="s">
        <v>18</v>
      </c>
      <c r="M4948" s="7" t="n">
        <v>20</v>
      </c>
      <c r="N4948" s="8" t="n">
        <v>1.5314</v>
      </c>
      <c r="O4948" s="4" t="n">
        <f aca="false">M4948*N4948</f>
        <v>30.628</v>
      </c>
    </row>
    <row r="4949" customFormat="false" ht="15" hidden="false" customHeight="false" outlineLevel="0" collapsed="false">
      <c r="A4949" s="0" t="s">
        <v>6629</v>
      </c>
      <c r="C4949" s="0" t="s">
        <v>118</v>
      </c>
      <c r="D4949" s="7" t="n">
        <v>55</v>
      </c>
      <c r="E4949" s="8" t="n">
        <v>0.444909090909091</v>
      </c>
      <c r="F4949" s="4" t="n">
        <f aca="false">D4949*E4949</f>
        <v>24.47</v>
      </c>
      <c r="G4949" s="7" t="n">
        <v>33</v>
      </c>
      <c r="H4949" s="9" t="n">
        <f aca="false">IF(G4949&gt;0,D4949/G4949,"")</f>
        <v>1.66666666666667</v>
      </c>
      <c r="I4949" s="10" t="n">
        <v>46150</v>
      </c>
      <c r="J4949" s="3" t="s">
        <v>6630</v>
      </c>
      <c r="K4949" s="10" t="n">
        <v>45509</v>
      </c>
      <c r="L4949" s="3" t="s">
        <v>14</v>
      </c>
      <c r="M4949" s="7" t="n">
        <v>300</v>
      </c>
      <c r="N4949" s="8" t="n">
        <v>0.445</v>
      </c>
      <c r="O4949" s="4" t="n">
        <f aca="false">M4949*N4949</f>
        <v>133.5</v>
      </c>
    </row>
    <row r="4950" customFormat="false" ht="15" hidden="false" customHeight="false" outlineLevel="0" collapsed="false">
      <c r="A4950" s="0" t="s">
        <v>6631</v>
      </c>
      <c r="C4950" s="0" t="s">
        <v>441</v>
      </c>
      <c r="D4950" s="7" t="n">
        <v>4</v>
      </c>
      <c r="E4950" s="8" t="n">
        <v>6.115</v>
      </c>
      <c r="F4950" s="4" t="n">
        <f aca="false">D4950*E4950</f>
        <v>24.46</v>
      </c>
      <c r="G4950" s="7" t="n">
        <v>1</v>
      </c>
      <c r="H4950" s="9" t="n">
        <f aca="false">IF(G4950&gt;0,D4950/G4950,"")</f>
        <v>4</v>
      </c>
      <c r="I4950" s="10" t="n">
        <v>46266</v>
      </c>
      <c r="J4950" s="3" t="s">
        <v>6632</v>
      </c>
      <c r="K4950" s="10" t="n">
        <v>46252</v>
      </c>
      <c r="L4950" s="3" t="s">
        <v>313</v>
      </c>
      <c r="M4950" s="7" t="n">
        <v>5</v>
      </c>
      <c r="N4950" s="8" t="n">
        <v>6.116</v>
      </c>
      <c r="O4950" s="4" t="n">
        <f aca="false">M4950*N4950</f>
        <v>30.58</v>
      </c>
    </row>
    <row r="4951" customFormat="false" ht="15" hidden="false" customHeight="false" outlineLevel="0" collapsed="false">
      <c r="A4951" s="0" t="s">
        <v>6633</v>
      </c>
      <c r="C4951" s="0" t="s">
        <v>360</v>
      </c>
      <c r="D4951" s="7" t="n">
        <v>646</v>
      </c>
      <c r="E4951" s="8" t="n">
        <v>0.0377863777089783</v>
      </c>
      <c r="F4951" s="4" t="n">
        <f aca="false">D4951*E4951</f>
        <v>24.41</v>
      </c>
      <c r="G4951" s="7" t="n">
        <v>100</v>
      </c>
      <c r="H4951" s="9" t="n">
        <f aca="false">IF(G4951&gt;0,D4951/G4951,"")</f>
        <v>6.46</v>
      </c>
      <c r="I4951" s="10" t="n">
        <v>46051</v>
      </c>
      <c r="J4951" s="3" t="s">
        <v>6634</v>
      </c>
      <c r="K4951" s="10" t="n">
        <v>45015</v>
      </c>
      <c r="L4951" s="3" t="s">
        <v>14</v>
      </c>
      <c r="M4951" s="7" t="n">
        <v>1000</v>
      </c>
      <c r="N4951" s="8" t="n">
        <v>0.0378</v>
      </c>
      <c r="O4951" s="4" t="n">
        <f aca="false">M4951*N4951</f>
        <v>37.8</v>
      </c>
    </row>
    <row r="4952" customFormat="false" ht="15" hidden="false" customHeight="false" outlineLevel="0" collapsed="false">
      <c r="A4952" s="0" t="s">
        <v>6635</v>
      </c>
      <c r="C4952" s="0" t="s">
        <v>31</v>
      </c>
      <c r="D4952" s="7" t="n">
        <v>122</v>
      </c>
      <c r="E4952" s="8" t="n">
        <v>0.2</v>
      </c>
      <c r="F4952" s="4" t="n">
        <f aca="false">D4952*E4952</f>
        <v>24.4</v>
      </c>
      <c r="G4952" s="7" t="n">
        <v>18</v>
      </c>
      <c r="H4952" s="9" t="n">
        <f aca="false">IF(G4952&gt;0,D4952/G4952,"")</f>
        <v>6.77777777777778</v>
      </c>
      <c r="I4952" s="10" t="n">
        <v>46251</v>
      </c>
      <c r="K4952" s="10"/>
      <c r="M4952" s="7"/>
      <c r="N4952" s="8"/>
      <c r="O4952" s="4"/>
    </row>
    <row r="4953" customFormat="false" ht="15" hidden="false" customHeight="false" outlineLevel="0" collapsed="false">
      <c r="A4953" s="0" t="s">
        <v>6636</v>
      </c>
      <c r="C4953" s="0" t="s">
        <v>118</v>
      </c>
      <c r="D4953" s="7" t="n">
        <v>81</v>
      </c>
      <c r="E4953" s="8" t="n">
        <v>0.300864197530864</v>
      </c>
      <c r="F4953" s="4" t="n">
        <f aca="false">D4953*E4953</f>
        <v>24.37</v>
      </c>
      <c r="G4953" s="7" t="n">
        <v>20</v>
      </c>
      <c r="H4953" s="9" t="n">
        <f aca="false">IF(G4953&gt;0,D4953/G4953,"")</f>
        <v>4.05</v>
      </c>
      <c r="I4953" s="10" t="n">
        <v>46315</v>
      </c>
      <c r="J4953" s="3" t="s">
        <v>6336</v>
      </c>
      <c r="K4953" s="10" t="n">
        <v>46314</v>
      </c>
      <c r="L4953" s="3" t="s">
        <v>19</v>
      </c>
      <c r="M4953" s="7" t="n">
        <v>100</v>
      </c>
      <c r="N4953" s="8" t="n">
        <v>0.3022</v>
      </c>
      <c r="O4953" s="4" t="n">
        <f aca="false">M4953*N4953</f>
        <v>30.22</v>
      </c>
    </row>
    <row r="4954" customFormat="false" ht="15" hidden="false" customHeight="false" outlineLevel="0" collapsed="false">
      <c r="A4954" s="0" t="s">
        <v>6637</v>
      </c>
      <c r="C4954" s="0" t="s">
        <v>36</v>
      </c>
      <c r="D4954" s="7" t="n">
        <v>3268</v>
      </c>
      <c r="E4954" s="8" t="n">
        <v>0.00745104039167687</v>
      </c>
      <c r="F4954" s="4" t="n">
        <f aca="false">D4954*E4954</f>
        <v>24.35</v>
      </c>
      <c r="G4954" s="7" t="n">
        <v>126</v>
      </c>
      <c r="H4954" s="9" t="n">
        <f aca="false">IF(G4954&gt;0,D4954/G4954,"")</f>
        <v>25.9365079365079</v>
      </c>
      <c r="I4954" s="10" t="n">
        <v>46142</v>
      </c>
      <c r="K4954" s="10"/>
      <c r="M4954" s="7"/>
      <c r="N4954" s="8"/>
      <c r="O4954" s="4"/>
    </row>
    <row r="4955" customFormat="false" ht="15" hidden="false" customHeight="false" outlineLevel="0" collapsed="false">
      <c r="A4955" s="0" t="s">
        <v>6638</v>
      </c>
      <c r="C4955" s="0" t="s">
        <v>5871</v>
      </c>
      <c r="D4955" s="7" t="n">
        <v>49</v>
      </c>
      <c r="E4955" s="8" t="n">
        <v>0.496530612244898</v>
      </c>
      <c r="F4955" s="4" t="n">
        <f aca="false">D4955*E4955</f>
        <v>24.33</v>
      </c>
      <c r="G4955" s="7" t="n">
        <v>1</v>
      </c>
      <c r="H4955" s="9" t="n">
        <f aca="false">IF(G4955&gt;0,D4955/G4955,"")</f>
        <v>49</v>
      </c>
      <c r="I4955" s="10" t="n">
        <v>46036</v>
      </c>
      <c r="J4955" s="3" t="s">
        <v>6639</v>
      </c>
      <c r="K4955" s="10" t="n">
        <v>46022</v>
      </c>
      <c r="L4955" s="3" t="s">
        <v>19</v>
      </c>
      <c r="M4955" s="7" t="n">
        <v>50</v>
      </c>
      <c r="N4955" s="8" t="n">
        <v>0.4966</v>
      </c>
      <c r="O4955" s="4" t="n">
        <f aca="false">M4955*N4955</f>
        <v>24.83</v>
      </c>
    </row>
    <row r="4956" customFormat="false" ht="15" hidden="false" customHeight="false" outlineLevel="0" collapsed="false">
      <c r="A4956" s="0" t="s">
        <v>6640</v>
      </c>
      <c r="C4956" s="0" t="s">
        <v>31</v>
      </c>
      <c r="D4956" s="7" t="n">
        <v>853</v>
      </c>
      <c r="E4956" s="8" t="n">
        <v>0.0284994138335287</v>
      </c>
      <c r="F4956" s="4" t="n">
        <f aca="false">D4956*E4956</f>
        <v>24.31</v>
      </c>
      <c r="G4956" s="7" t="n">
        <v>345</v>
      </c>
      <c r="H4956" s="9" t="n">
        <f aca="false">IF(G4956&gt;0,D4956/G4956,"")</f>
        <v>2.47246376811594</v>
      </c>
      <c r="I4956" s="10" t="n">
        <v>46175</v>
      </c>
      <c r="K4956" s="10"/>
      <c r="M4956" s="7"/>
      <c r="N4956" s="8"/>
      <c r="O4956" s="4"/>
    </row>
    <row r="4957" customFormat="false" ht="15" hidden="false" customHeight="false" outlineLevel="0" collapsed="false">
      <c r="A4957" s="0" t="s">
        <v>6641</v>
      </c>
      <c r="C4957" s="0" t="s">
        <v>40</v>
      </c>
      <c r="D4957" s="7" t="n">
        <v>383</v>
      </c>
      <c r="E4957" s="8" t="n">
        <v>0.0633942558746736</v>
      </c>
      <c r="F4957" s="4" t="n">
        <f aca="false">D4957*E4957</f>
        <v>24.28</v>
      </c>
      <c r="G4957" s="7" t="n">
        <v>35</v>
      </c>
      <c r="H4957" s="9" t="n">
        <f aca="false">IF(G4957&gt;0,D4957/G4957,"")</f>
        <v>10.9428571428571</v>
      </c>
      <c r="I4957" s="10" t="n">
        <v>46211</v>
      </c>
      <c r="J4957" s="3" t="s">
        <v>6642</v>
      </c>
      <c r="K4957" s="10" t="n">
        <v>45902</v>
      </c>
      <c r="L4957" s="3" t="s">
        <v>18</v>
      </c>
      <c r="M4957" s="7" t="n">
        <v>420</v>
      </c>
      <c r="N4957" s="8" t="n">
        <v>0.0634</v>
      </c>
      <c r="O4957" s="4" t="n">
        <f aca="false">M4957*N4957</f>
        <v>26.628</v>
      </c>
    </row>
    <row r="4958" customFormat="false" ht="15" hidden="false" customHeight="false" outlineLevel="0" collapsed="false">
      <c r="A4958" s="0" t="s">
        <v>6643</v>
      </c>
      <c r="C4958" s="0" t="s">
        <v>370</v>
      </c>
      <c r="D4958" s="7" t="n">
        <v>48</v>
      </c>
      <c r="E4958" s="8" t="n">
        <v>0.505833333333333</v>
      </c>
      <c r="F4958" s="4" t="n">
        <f aca="false">D4958*E4958</f>
        <v>24.28</v>
      </c>
      <c r="G4958" s="7" t="n">
        <v>44</v>
      </c>
      <c r="H4958" s="9" t="n">
        <f aca="false">IF(G4958&gt;0,D4958/G4958,"")</f>
        <v>1.09090909090909</v>
      </c>
      <c r="I4958" s="10" t="n">
        <v>46304</v>
      </c>
      <c r="J4958" s="3" t="s">
        <v>5347</v>
      </c>
      <c r="K4958" s="10" t="n">
        <v>45888</v>
      </c>
      <c r="L4958" s="3" t="s">
        <v>19</v>
      </c>
      <c r="M4958" s="7" t="n">
        <v>100</v>
      </c>
      <c r="N4958" s="8" t="n">
        <v>0.3406</v>
      </c>
      <c r="O4958" s="4" t="n">
        <f aca="false">M4958*N4958</f>
        <v>34.06</v>
      </c>
    </row>
    <row r="4959" customFormat="false" ht="15" hidden="false" customHeight="false" outlineLevel="0" collapsed="false">
      <c r="A4959" s="0" t="s">
        <v>6644</v>
      </c>
      <c r="C4959" s="0" t="s">
        <v>40</v>
      </c>
      <c r="D4959" s="7" t="n">
        <v>167</v>
      </c>
      <c r="E4959" s="8" t="n">
        <v>0.145269461077844</v>
      </c>
      <c r="F4959" s="4" t="n">
        <f aca="false">D4959*E4959</f>
        <v>24.26</v>
      </c>
      <c r="G4959" s="7" t="n">
        <v>54</v>
      </c>
      <c r="H4959" s="9" t="n">
        <f aca="false">IF(G4959&gt;0,D4959/G4959,"")</f>
        <v>3.09259259259259</v>
      </c>
      <c r="I4959" s="10" t="n">
        <v>46260</v>
      </c>
      <c r="J4959" s="3" t="s">
        <v>1414</v>
      </c>
      <c r="K4959" s="10" t="n">
        <v>46247</v>
      </c>
      <c r="L4959" s="3" t="s">
        <v>18</v>
      </c>
      <c r="M4959" s="7" t="n">
        <v>180</v>
      </c>
      <c r="N4959" s="8" t="n">
        <v>0.1453</v>
      </c>
      <c r="O4959" s="4" t="n">
        <f aca="false">M4959*N4959</f>
        <v>26.154</v>
      </c>
    </row>
    <row r="4960" customFormat="false" ht="15" hidden="false" customHeight="false" outlineLevel="0" collapsed="false">
      <c r="A4960" s="0" t="s">
        <v>6645</v>
      </c>
      <c r="C4960" s="0" t="s">
        <v>31</v>
      </c>
      <c r="D4960" s="7" t="n">
        <v>3400</v>
      </c>
      <c r="E4960" s="8" t="n">
        <v>0.00712941176470588</v>
      </c>
      <c r="F4960" s="4" t="n">
        <f aca="false">D4960*E4960</f>
        <v>24.24</v>
      </c>
      <c r="G4960" s="7" t="n">
        <v>220</v>
      </c>
      <c r="H4960" s="9" t="n">
        <f aca="false">IF(G4960&gt;0,D4960/G4960,"")</f>
        <v>15.4545454545455</v>
      </c>
      <c r="I4960" s="10" t="n">
        <v>46276</v>
      </c>
      <c r="J4960" s="3" t="s">
        <v>3706</v>
      </c>
      <c r="K4960" s="10" t="n">
        <v>46310</v>
      </c>
      <c r="L4960" s="3" t="s">
        <v>14</v>
      </c>
      <c r="M4960" s="7" t="n">
        <v>3300</v>
      </c>
      <c r="N4960" s="8" t="n">
        <v>0.0071</v>
      </c>
      <c r="O4960" s="4" t="n">
        <f aca="false">M4960*N4960</f>
        <v>23.43</v>
      </c>
    </row>
    <row r="4961" customFormat="false" ht="15" hidden="false" customHeight="false" outlineLevel="0" collapsed="false">
      <c r="A4961" s="0" t="s">
        <v>6646</v>
      </c>
      <c r="C4961" s="0" t="s">
        <v>298</v>
      </c>
      <c r="D4961" s="7" t="n">
        <v>524</v>
      </c>
      <c r="E4961" s="8" t="n">
        <v>0.0462404580152672</v>
      </c>
      <c r="F4961" s="4" t="n">
        <f aca="false">D4961*E4961</f>
        <v>24.23</v>
      </c>
      <c r="G4961" s="7" t="n">
        <v>125</v>
      </c>
      <c r="H4961" s="9" t="n">
        <f aca="false">IF(G4961&gt;0,D4961/G4961,"")</f>
        <v>4.192</v>
      </c>
      <c r="I4961" s="10" t="n">
        <v>46182</v>
      </c>
      <c r="J4961" s="3" t="s">
        <v>2379</v>
      </c>
      <c r="K4961" s="10" t="n">
        <v>45513</v>
      </c>
      <c r="L4961" s="3" t="s">
        <v>14</v>
      </c>
      <c r="M4961" s="7" t="n">
        <v>1000</v>
      </c>
      <c r="N4961" s="8" t="n">
        <v>0.0432</v>
      </c>
      <c r="O4961" s="4" t="n">
        <f aca="false">M4961*N4961</f>
        <v>43.2</v>
      </c>
    </row>
    <row r="4962" customFormat="false" ht="15" hidden="false" customHeight="false" outlineLevel="0" collapsed="false">
      <c r="A4962" s="0" t="s">
        <v>6647</v>
      </c>
      <c r="C4962" s="0" t="s">
        <v>583</v>
      </c>
      <c r="D4962" s="7" t="n">
        <v>1292</v>
      </c>
      <c r="E4962" s="8" t="n">
        <v>0.0186996904024768</v>
      </c>
      <c r="F4962" s="4" t="n">
        <f aca="false">D4962*E4962</f>
        <v>24.16</v>
      </c>
      <c r="G4962" s="7" t="n">
        <v>1207</v>
      </c>
      <c r="H4962" s="9" t="n">
        <f aca="false">IF(G4962&gt;0,D4962/G4962,"")</f>
        <v>1.07042253521127</v>
      </c>
      <c r="I4962" s="10" t="n">
        <v>46260</v>
      </c>
      <c r="J4962" s="3" t="s">
        <v>536</v>
      </c>
      <c r="K4962" s="10" t="n">
        <v>45531</v>
      </c>
      <c r="L4962" s="3" t="s">
        <v>16</v>
      </c>
      <c r="M4962" s="7" t="n">
        <v>5000</v>
      </c>
      <c r="N4962" s="8" t="n">
        <v>0.0187</v>
      </c>
      <c r="O4962" s="4" t="n">
        <f aca="false">M4962*N4962</f>
        <v>93.5</v>
      </c>
    </row>
    <row r="4963" customFormat="false" ht="15" hidden="false" customHeight="false" outlineLevel="0" collapsed="false">
      <c r="A4963" s="0" t="s">
        <v>6648</v>
      </c>
      <c r="C4963" s="0" t="s">
        <v>844</v>
      </c>
      <c r="D4963" s="7" t="n">
        <v>16</v>
      </c>
      <c r="E4963" s="8" t="n">
        <v>1.51</v>
      </c>
      <c r="F4963" s="4" t="n">
        <f aca="false">D4963*E4963</f>
        <v>24.16</v>
      </c>
      <c r="G4963" s="7" t="n">
        <v>2</v>
      </c>
      <c r="H4963" s="9" t="n">
        <f aca="false">IF(G4963&gt;0,D4963/G4963,"")</f>
        <v>8</v>
      </c>
      <c r="I4963" s="10" t="n">
        <v>46302</v>
      </c>
      <c r="J4963" s="3" t="s">
        <v>5126</v>
      </c>
      <c r="K4963" s="10" t="n">
        <v>45429</v>
      </c>
      <c r="L4963" s="3" t="s">
        <v>1878</v>
      </c>
      <c r="M4963" s="7" t="n">
        <v>50</v>
      </c>
      <c r="N4963" s="8" t="n">
        <v>1.51</v>
      </c>
      <c r="O4963" s="4" t="n">
        <f aca="false">M4963*N4963</f>
        <v>75.5</v>
      </c>
    </row>
    <row r="4964" customFormat="false" ht="15" hidden="false" customHeight="false" outlineLevel="0" collapsed="false">
      <c r="A4964" s="0" t="s">
        <v>6649</v>
      </c>
      <c r="C4964" s="0" t="s">
        <v>340</v>
      </c>
      <c r="D4964" s="7" t="n">
        <v>58</v>
      </c>
      <c r="E4964" s="8" t="n">
        <v>0.416034482758621</v>
      </c>
      <c r="F4964" s="4" t="n">
        <f aca="false">D4964*E4964</f>
        <v>24.13</v>
      </c>
      <c r="G4964" s="7" t="n">
        <v>1</v>
      </c>
      <c r="H4964" s="9" t="n">
        <f aca="false">IF(G4964&gt;0,D4964/G4964,"")</f>
        <v>58</v>
      </c>
      <c r="I4964" s="10" t="n">
        <v>46177</v>
      </c>
      <c r="J4964" s="3" t="s">
        <v>341</v>
      </c>
      <c r="K4964" s="10" t="n">
        <v>46078</v>
      </c>
      <c r="L4964" s="3" t="s">
        <v>15</v>
      </c>
      <c r="M4964" s="7" t="n">
        <v>41</v>
      </c>
      <c r="N4964" s="8" t="n">
        <v>0.34811</v>
      </c>
      <c r="O4964" s="4" t="n">
        <f aca="false">M4964*N4964</f>
        <v>14.27251</v>
      </c>
    </row>
    <row r="4965" customFormat="false" ht="15" hidden="false" customHeight="false" outlineLevel="0" collapsed="false">
      <c r="A4965" s="0" t="s">
        <v>6650</v>
      </c>
      <c r="C4965" s="0" t="s">
        <v>38</v>
      </c>
      <c r="D4965" s="7" t="n">
        <v>155</v>
      </c>
      <c r="E4965" s="8" t="n">
        <v>0.155677419354839</v>
      </c>
      <c r="F4965" s="4" t="n">
        <f aca="false">D4965*E4965</f>
        <v>24.13</v>
      </c>
      <c r="G4965" s="7" t="n">
        <v>20</v>
      </c>
      <c r="H4965" s="9" t="n">
        <f aca="false">IF(G4965&gt;0,D4965/G4965,"")</f>
        <v>7.75</v>
      </c>
      <c r="I4965" s="10" t="n">
        <v>46253</v>
      </c>
      <c r="J4965" s="3" t="s">
        <v>4270</v>
      </c>
      <c r="K4965" s="10" t="n">
        <v>46092</v>
      </c>
      <c r="L4965" s="3" t="s">
        <v>18</v>
      </c>
      <c r="M4965" s="7" t="n">
        <v>170</v>
      </c>
      <c r="N4965" s="8" t="n">
        <v>0.1546</v>
      </c>
      <c r="O4965" s="4" t="n">
        <f aca="false">M4965*N4965</f>
        <v>26.282</v>
      </c>
    </row>
    <row r="4966" customFormat="false" ht="15" hidden="false" customHeight="false" outlineLevel="0" collapsed="false">
      <c r="A4966" s="0" t="s">
        <v>6651</v>
      </c>
      <c r="C4966" s="0" t="s">
        <v>765</v>
      </c>
      <c r="D4966" s="7" t="n">
        <v>350</v>
      </c>
      <c r="E4966" s="8" t="n">
        <v>0.0688</v>
      </c>
      <c r="F4966" s="4" t="n">
        <f aca="false">D4966*E4966</f>
        <v>24.08</v>
      </c>
      <c r="G4966" s="7" t="n">
        <v>2</v>
      </c>
      <c r="H4966" s="9" t="n">
        <f aca="false">IF(G4966&gt;0,D4966/G4966,"")</f>
        <v>175</v>
      </c>
      <c r="I4966" s="10" t="n">
        <v>46128</v>
      </c>
      <c r="J4966" s="3" t="s">
        <v>628</v>
      </c>
      <c r="K4966" s="10" t="n">
        <v>46128</v>
      </c>
      <c r="L4966" s="3" t="s">
        <v>16</v>
      </c>
      <c r="M4966" s="7" t="n">
        <v>350</v>
      </c>
      <c r="N4966" s="8" t="n">
        <v>0.0688</v>
      </c>
      <c r="O4966" s="4" t="n">
        <f aca="false">M4966*N4966</f>
        <v>24.08</v>
      </c>
    </row>
    <row r="4967" customFormat="false" ht="15" hidden="false" customHeight="false" outlineLevel="0" collapsed="false">
      <c r="A4967" s="0" t="s">
        <v>6652</v>
      </c>
      <c r="C4967" s="0" t="s">
        <v>402</v>
      </c>
      <c r="D4967" s="7" t="n">
        <v>8</v>
      </c>
      <c r="E4967" s="8" t="n">
        <v>3.01</v>
      </c>
      <c r="F4967" s="4" t="n">
        <f aca="false">D4967*E4967</f>
        <v>24.08</v>
      </c>
      <c r="G4967" s="7" t="n">
        <v>3</v>
      </c>
      <c r="H4967" s="9" t="n">
        <f aca="false">IF(G4967&gt;0,D4967/G4967,"")</f>
        <v>2.66666666666667</v>
      </c>
      <c r="I4967" s="10" t="n">
        <v>46295</v>
      </c>
      <c r="K4967" s="10"/>
      <c r="M4967" s="7"/>
      <c r="N4967" s="8"/>
      <c r="O4967" s="4"/>
    </row>
    <row r="4968" customFormat="false" ht="15" hidden="false" customHeight="false" outlineLevel="0" collapsed="false">
      <c r="A4968" s="0" t="s">
        <v>6653</v>
      </c>
      <c r="C4968" s="0" t="s">
        <v>889</v>
      </c>
      <c r="D4968" s="7" t="n">
        <v>1445</v>
      </c>
      <c r="E4968" s="8" t="n">
        <v>0.0166574394463668</v>
      </c>
      <c r="F4968" s="4" t="n">
        <f aca="false">D4968*E4968</f>
        <v>24.07</v>
      </c>
      <c r="G4968" s="7" t="n">
        <v>1019</v>
      </c>
      <c r="H4968" s="9" t="n">
        <f aca="false">IF(G4968&gt;0,D4968/G4968,"")</f>
        <v>1.4180569185476</v>
      </c>
      <c r="I4968" s="10" t="n">
        <v>46119</v>
      </c>
      <c r="K4968" s="10"/>
      <c r="M4968" s="7"/>
      <c r="N4968" s="8"/>
      <c r="O4968" s="4"/>
    </row>
    <row r="4969" customFormat="false" ht="15" hidden="false" customHeight="false" outlineLevel="0" collapsed="false">
      <c r="A4969" s="0" t="s">
        <v>6654</v>
      </c>
      <c r="C4969" s="0" t="s">
        <v>31</v>
      </c>
      <c r="D4969" s="7" t="n">
        <v>8458</v>
      </c>
      <c r="E4969" s="8" t="n">
        <v>0.0028387325608891</v>
      </c>
      <c r="F4969" s="4" t="n">
        <f aca="false">D4969*E4969</f>
        <v>24.01</v>
      </c>
      <c r="G4969" s="7" t="n">
        <v>1000</v>
      </c>
      <c r="H4969" s="9" t="n">
        <f aca="false">IF(G4969&gt;0,D4969/G4969,"")</f>
        <v>8.458</v>
      </c>
      <c r="I4969" s="10" t="n">
        <v>46204</v>
      </c>
      <c r="J4969" s="3" t="s">
        <v>2535</v>
      </c>
      <c r="K4969" s="10" t="n">
        <v>45098</v>
      </c>
      <c r="L4969" s="3" t="s">
        <v>19</v>
      </c>
      <c r="M4969" s="7" t="n">
        <v>2500</v>
      </c>
      <c r="N4969" s="8" t="n">
        <v>0.0096</v>
      </c>
      <c r="O4969" s="4" t="n">
        <f aca="false">M4969*N4969</f>
        <v>24</v>
      </c>
    </row>
    <row r="4970" customFormat="false" ht="15" hidden="false" customHeight="false" outlineLevel="0" collapsed="false">
      <c r="A4970" s="0" t="s">
        <v>6655</v>
      </c>
      <c r="C4970" s="0" t="s">
        <v>285</v>
      </c>
      <c r="D4970" s="7" t="n">
        <v>12</v>
      </c>
      <c r="E4970" s="8" t="n">
        <v>2</v>
      </c>
      <c r="F4970" s="4" t="n">
        <f aca="false">D4970*E4970</f>
        <v>24</v>
      </c>
      <c r="G4970" s="7" t="n">
        <v>1</v>
      </c>
      <c r="H4970" s="9" t="n">
        <f aca="false">IF(G4970&gt;0,D4970/G4970,"")</f>
        <v>12</v>
      </c>
      <c r="I4970" s="10" t="n">
        <v>46202</v>
      </c>
      <c r="K4970" s="10"/>
      <c r="M4970" s="7"/>
      <c r="N4970" s="8"/>
      <c r="O4970" s="4"/>
    </row>
    <row r="4971" customFormat="false" ht="15" hidden="false" customHeight="false" outlineLevel="0" collapsed="false">
      <c r="A4971" s="0" t="s">
        <v>6656</v>
      </c>
      <c r="C4971" s="0" t="s">
        <v>1010</v>
      </c>
      <c r="D4971" s="7" t="n">
        <v>765</v>
      </c>
      <c r="E4971" s="8" t="n">
        <v>0.031359477124183</v>
      </c>
      <c r="F4971" s="4" t="n">
        <f aca="false">D4971*E4971</f>
        <v>23.99</v>
      </c>
      <c r="G4971" s="7" t="n">
        <v>51</v>
      </c>
      <c r="H4971" s="9" t="n">
        <f aca="false">IF(G4971&gt;0,D4971/G4971,"")</f>
        <v>15</v>
      </c>
      <c r="I4971" s="10" t="n">
        <v>46196</v>
      </c>
      <c r="J4971" s="3" t="s">
        <v>628</v>
      </c>
      <c r="K4971" s="10" t="n">
        <v>46128</v>
      </c>
      <c r="L4971" s="3" t="s">
        <v>16</v>
      </c>
      <c r="M4971" s="7" t="n">
        <v>750</v>
      </c>
      <c r="N4971" s="8" t="n">
        <v>0.0292</v>
      </c>
      <c r="O4971" s="4" t="n">
        <f aca="false">M4971*N4971</f>
        <v>21.9</v>
      </c>
    </row>
    <row r="4972" customFormat="false" ht="15" hidden="false" customHeight="false" outlineLevel="0" collapsed="false">
      <c r="A4972" s="0" t="s">
        <v>6657</v>
      </c>
      <c r="C4972" s="0" t="s">
        <v>855</v>
      </c>
      <c r="D4972" s="7" t="n">
        <v>913</v>
      </c>
      <c r="E4972" s="8" t="n">
        <v>0.0262431544359255</v>
      </c>
      <c r="F4972" s="4" t="n">
        <f aca="false">D4972*E4972</f>
        <v>23.96</v>
      </c>
      <c r="G4972" s="7" t="n">
        <v>200</v>
      </c>
      <c r="H4972" s="9" t="n">
        <f aca="false">IF(G4972&gt;0,D4972/G4972,"")</f>
        <v>4.565</v>
      </c>
      <c r="I4972" s="10" t="n">
        <v>45987</v>
      </c>
      <c r="J4972" s="3" t="s">
        <v>1942</v>
      </c>
      <c r="K4972" s="10" t="n">
        <v>44259</v>
      </c>
      <c r="L4972" s="3" t="s">
        <v>15</v>
      </c>
      <c r="M4972" s="7" t="n">
        <v>1755</v>
      </c>
      <c r="N4972" s="8" t="n">
        <v>0.02623</v>
      </c>
      <c r="O4972" s="4" t="n">
        <f aca="false">M4972*N4972</f>
        <v>46.03365</v>
      </c>
    </row>
    <row r="4973" customFormat="false" ht="15" hidden="false" customHeight="false" outlineLevel="0" collapsed="false">
      <c r="A4973" s="0" t="s">
        <v>6658</v>
      </c>
      <c r="C4973" s="0" t="s">
        <v>118</v>
      </c>
      <c r="D4973" s="7" t="n">
        <v>62</v>
      </c>
      <c r="E4973" s="8" t="n">
        <v>0.386290322580645</v>
      </c>
      <c r="F4973" s="4" t="n">
        <f aca="false">D4973*E4973</f>
        <v>23.95</v>
      </c>
      <c r="G4973" s="7" t="n">
        <v>11</v>
      </c>
      <c r="H4973" s="9" t="n">
        <f aca="false">IF(G4973&gt;0,D4973/G4973,"")</f>
        <v>5.63636363636364</v>
      </c>
      <c r="I4973" s="10" t="n">
        <v>46273</v>
      </c>
      <c r="K4973" s="10"/>
      <c r="M4973" s="7"/>
      <c r="N4973" s="8"/>
      <c r="O4973" s="4"/>
    </row>
    <row r="4974" customFormat="false" ht="15" hidden="false" customHeight="false" outlineLevel="0" collapsed="false">
      <c r="A4974" s="0" t="s">
        <v>6659</v>
      </c>
      <c r="C4974" s="0" t="s">
        <v>370</v>
      </c>
      <c r="D4974" s="7" t="n">
        <v>22</v>
      </c>
      <c r="E4974" s="8" t="n">
        <v>1.08863636363636</v>
      </c>
      <c r="F4974" s="4" t="n">
        <f aca="false">D4974*E4974</f>
        <v>23.95</v>
      </c>
      <c r="G4974" s="7" t="n">
        <v>11</v>
      </c>
      <c r="H4974" s="9" t="n">
        <f aca="false">IF(G4974&gt;0,D4974/G4974,"")</f>
        <v>2</v>
      </c>
      <c r="I4974" s="10" t="n">
        <v>46101</v>
      </c>
      <c r="J4974" s="3" t="s">
        <v>6660</v>
      </c>
      <c r="K4974" s="10" t="n">
        <v>46094</v>
      </c>
      <c r="L4974" s="3" t="s">
        <v>19</v>
      </c>
      <c r="M4974" s="7" t="n">
        <v>33</v>
      </c>
      <c r="N4974" s="8" t="n">
        <v>1.0889</v>
      </c>
      <c r="O4974" s="4" t="n">
        <f aca="false">M4974*N4974</f>
        <v>35.9337</v>
      </c>
    </row>
    <row r="4975" customFormat="false" ht="15" hidden="false" customHeight="false" outlineLevel="0" collapsed="false">
      <c r="A4975" s="0" t="s">
        <v>6661</v>
      </c>
      <c r="C4975" s="0" t="s">
        <v>38</v>
      </c>
      <c r="D4975" s="7" t="n">
        <v>178</v>
      </c>
      <c r="E4975" s="8" t="n">
        <v>0.134438202247191</v>
      </c>
      <c r="F4975" s="4" t="n">
        <f aca="false">D4975*E4975</f>
        <v>23.93</v>
      </c>
      <c r="G4975" s="7" t="n">
        <v>55</v>
      </c>
      <c r="H4975" s="9" t="n">
        <f aca="false">IF(G4975&gt;0,D4975/G4975,"")</f>
        <v>3.23636363636364</v>
      </c>
      <c r="I4975" s="10" t="n">
        <v>46301</v>
      </c>
      <c r="J4975" s="3" t="s">
        <v>6639</v>
      </c>
      <c r="K4975" s="10" t="n">
        <v>46022</v>
      </c>
      <c r="L4975" s="3" t="s">
        <v>19</v>
      </c>
      <c r="M4975" s="7" t="n">
        <v>215</v>
      </c>
      <c r="N4975" s="8" t="n">
        <v>0.1344</v>
      </c>
      <c r="O4975" s="4" t="n">
        <f aca="false">M4975*N4975</f>
        <v>28.896</v>
      </c>
    </row>
    <row r="4976" customFormat="false" ht="15" hidden="false" customHeight="false" outlineLevel="0" collapsed="false">
      <c r="A4976" s="0" t="s">
        <v>6662</v>
      </c>
      <c r="C4976" s="0" t="s">
        <v>166</v>
      </c>
      <c r="D4976" s="7" t="n">
        <v>42</v>
      </c>
      <c r="E4976" s="8" t="n">
        <v>0.56952380952381</v>
      </c>
      <c r="F4976" s="4" t="n">
        <f aca="false">D4976*E4976</f>
        <v>23.92</v>
      </c>
      <c r="G4976" s="7" t="n">
        <v>8</v>
      </c>
      <c r="H4976" s="9" t="n">
        <f aca="false">IF(G4976&gt;0,D4976/G4976,"")</f>
        <v>5.25</v>
      </c>
      <c r="I4976" s="10" t="n">
        <v>46259</v>
      </c>
      <c r="J4976" s="3" t="s">
        <v>1636</v>
      </c>
      <c r="K4976" s="10" t="n">
        <v>46252</v>
      </c>
      <c r="L4976" s="3" t="s">
        <v>19</v>
      </c>
      <c r="M4976" s="7" t="n">
        <v>50</v>
      </c>
      <c r="N4976" s="8" t="n">
        <v>0.5695</v>
      </c>
      <c r="O4976" s="4" t="n">
        <f aca="false">M4976*N4976</f>
        <v>28.475</v>
      </c>
    </row>
    <row r="4977" customFormat="false" ht="15" hidden="false" customHeight="false" outlineLevel="0" collapsed="false">
      <c r="A4977" s="0" t="s">
        <v>6663</v>
      </c>
      <c r="C4977" s="0" t="s">
        <v>40</v>
      </c>
      <c r="D4977" s="7" t="n">
        <v>59</v>
      </c>
      <c r="E4977" s="8" t="n">
        <v>0.405423728813559</v>
      </c>
      <c r="F4977" s="4" t="n">
        <f aca="false">D4977*E4977</f>
        <v>23.92</v>
      </c>
      <c r="G4977" s="7" t="n">
        <v>10</v>
      </c>
      <c r="H4977" s="9" t="n">
        <f aca="false">IF(G4977&gt;0,D4977/G4977,"")</f>
        <v>5.9</v>
      </c>
      <c r="I4977" s="10" t="n">
        <v>46211</v>
      </c>
      <c r="J4977" s="3" t="s">
        <v>1078</v>
      </c>
      <c r="K4977" s="10" t="n">
        <v>46199</v>
      </c>
      <c r="L4977" s="3" t="s">
        <v>18</v>
      </c>
      <c r="M4977" s="7" t="n">
        <v>65</v>
      </c>
      <c r="N4977" s="8" t="n">
        <v>0.4113</v>
      </c>
      <c r="O4977" s="4" t="n">
        <f aca="false">M4977*N4977</f>
        <v>26.7345</v>
      </c>
    </row>
    <row r="4978" customFormat="false" ht="15" hidden="false" customHeight="false" outlineLevel="0" collapsed="false">
      <c r="A4978" s="0" t="s">
        <v>6664</v>
      </c>
      <c r="C4978" s="0" t="s">
        <v>1039</v>
      </c>
      <c r="D4978" s="7" t="n">
        <v>2057</v>
      </c>
      <c r="E4978" s="8" t="n">
        <v>0.0116237238697132</v>
      </c>
      <c r="F4978" s="4" t="n">
        <f aca="false">D4978*E4978</f>
        <v>23.91</v>
      </c>
      <c r="G4978" s="7" t="n">
        <v>491</v>
      </c>
      <c r="H4978" s="9" t="n">
        <f aca="false">IF(G4978&gt;0,D4978/G4978,"")</f>
        <v>4.18940936863544</v>
      </c>
      <c r="I4978" s="10" t="n">
        <v>46296</v>
      </c>
      <c r="K4978" s="10"/>
      <c r="M4978" s="7"/>
      <c r="N4978" s="8"/>
      <c r="O4978" s="4"/>
    </row>
    <row r="4979" customFormat="false" ht="15" hidden="false" customHeight="false" outlineLevel="0" collapsed="false">
      <c r="A4979" s="0" t="s">
        <v>6665</v>
      </c>
      <c r="C4979" s="0" t="s">
        <v>1039</v>
      </c>
      <c r="D4979" s="7" t="n">
        <v>1284</v>
      </c>
      <c r="E4979" s="8" t="n">
        <v>0.0186059190031153</v>
      </c>
      <c r="F4979" s="4" t="n">
        <f aca="false">D4979*E4979</f>
        <v>23.89</v>
      </c>
      <c r="G4979" s="7" t="n">
        <v>716</v>
      </c>
      <c r="H4979" s="9" t="n">
        <f aca="false">IF(G4979&gt;0,D4979/G4979,"")</f>
        <v>1.79329608938547</v>
      </c>
      <c r="I4979" s="10" t="n">
        <v>46317</v>
      </c>
      <c r="J4979" s="3" t="s">
        <v>495</v>
      </c>
      <c r="K4979" s="10" t="n">
        <v>45925</v>
      </c>
      <c r="L4979" s="3" t="s">
        <v>16</v>
      </c>
      <c r="M4979" s="7" t="n">
        <v>2000</v>
      </c>
      <c r="N4979" s="8" t="n">
        <v>0.0186</v>
      </c>
      <c r="O4979" s="4" t="n">
        <f aca="false">M4979*N4979</f>
        <v>37.2</v>
      </c>
    </row>
    <row r="4980" customFormat="false" ht="15" hidden="false" customHeight="false" outlineLevel="0" collapsed="false">
      <c r="A4980" s="0" t="s">
        <v>6666</v>
      </c>
      <c r="C4980" s="0" t="s">
        <v>34</v>
      </c>
      <c r="D4980" s="7" t="n">
        <v>40</v>
      </c>
      <c r="E4980" s="8" t="n">
        <v>0.597</v>
      </c>
      <c r="F4980" s="4" t="n">
        <f aca="false">D4980*E4980</f>
        <v>23.88</v>
      </c>
      <c r="G4980" s="7" t="n">
        <v>20</v>
      </c>
      <c r="H4980" s="9" t="n">
        <f aca="false">IF(G4980&gt;0,D4980/G4980,"")</f>
        <v>2</v>
      </c>
      <c r="I4980" s="10" t="n">
        <v>46317</v>
      </c>
      <c r="J4980" s="3" t="s">
        <v>4645</v>
      </c>
      <c r="K4980" s="10" t="n">
        <v>46310</v>
      </c>
      <c r="L4980" s="3" t="s">
        <v>16</v>
      </c>
      <c r="M4980" s="7" t="n">
        <v>1250</v>
      </c>
      <c r="N4980" s="8" t="n">
        <v>0.1215</v>
      </c>
      <c r="O4980" s="4" t="n">
        <f aca="false">M4980*N4980</f>
        <v>151.875</v>
      </c>
    </row>
    <row r="4981" customFormat="false" ht="15" hidden="false" customHeight="false" outlineLevel="0" collapsed="false">
      <c r="A4981" s="0" t="s">
        <v>6667</v>
      </c>
      <c r="C4981" s="0" t="s">
        <v>398</v>
      </c>
      <c r="D4981" s="7" t="n">
        <v>1007</v>
      </c>
      <c r="E4981" s="8" t="n">
        <v>0.0236941410129096</v>
      </c>
      <c r="F4981" s="4" t="n">
        <f aca="false">D4981*E4981</f>
        <v>23.86</v>
      </c>
      <c r="G4981" s="7" t="n">
        <v>124</v>
      </c>
      <c r="H4981" s="9" t="n">
        <f aca="false">IF(G4981&gt;0,D4981/G4981,"")</f>
        <v>8.12096774193548</v>
      </c>
      <c r="I4981" s="10" t="n">
        <v>46288</v>
      </c>
      <c r="K4981" s="10"/>
      <c r="M4981" s="7"/>
      <c r="N4981" s="8"/>
      <c r="O4981" s="4"/>
    </row>
    <row r="4982" customFormat="false" ht="15" hidden="false" customHeight="false" outlineLevel="0" collapsed="false">
      <c r="A4982" s="0" t="s">
        <v>6668</v>
      </c>
      <c r="C4982" s="0" t="s">
        <v>31</v>
      </c>
      <c r="D4982" s="7" t="n">
        <v>119</v>
      </c>
      <c r="E4982" s="8" t="n">
        <v>0.200504201680672</v>
      </c>
      <c r="F4982" s="4" t="n">
        <f aca="false">D4982*E4982</f>
        <v>23.86</v>
      </c>
      <c r="G4982" s="7" t="n">
        <v>25</v>
      </c>
      <c r="H4982" s="9" t="n">
        <f aca="false">IF(G4982&gt;0,D4982/G4982,"")</f>
        <v>4.76</v>
      </c>
      <c r="I4982" s="10" t="n">
        <v>46189</v>
      </c>
      <c r="K4982" s="10"/>
      <c r="M4982" s="7"/>
      <c r="N4982" s="8"/>
      <c r="O4982" s="4"/>
    </row>
    <row r="4983" customFormat="false" ht="15" hidden="false" customHeight="false" outlineLevel="0" collapsed="false">
      <c r="A4983" s="0" t="s">
        <v>6669</v>
      </c>
      <c r="C4983" s="0" t="s">
        <v>741</v>
      </c>
      <c r="D4983" s="7" t="n">
        <v>110</v>
      </c>
      <c r="E4983" s="8" t="n">
        <v>0.216727272727273</v>
      </c>
      <c r="F4983" s="4" t="n">
        <f aca="false">D4983*E4983</f>
        <v>23.84</v>
      </c>
      <c r="G4983" s="7" t="n">
        <v>12</v>
      </c>
      <c r="H4983" s="9" t="n">
        <f aca="false">IF(G4983&gt;0,D4983/G4983,"")</f>
        <v>9.16666666666667</v>
      </c>
      <c r="I4983" s="10" t="n">
        <v>46181</v>
      </c>
      <c r="K4983" s="10"/>
      <c r="M4983" s="7"/>
      <c r="N4983" s="8"/>
      <c r="O4983" s="4"/>
    </row>
    <row r="4984" customFormat="false" ht="15" hidden="false" customHeight="false" outlineLevel="0" collapsed="false">
      <c r="A4984" s="0" t="s">
        <v>6670</v>
      </c>
      <c r="C4984" s="0" t="s">
        <v>360</v>
      </c>
      <c r="D4984" s="7" t="n">
        <v>583</v>
      </c>
      <c r="E4984" s="8" t="n">
        <v>0.0408747855917667</v>
      </c>
      <c r="F4984" s="4" t="n">
        <f aca="false">D4984*E4984</f>
        <v>23.83</v>
      </c>
      <c r="G4984" s="7" t="n">
        <v>50</v>
      </c>
      <c r="H4984" s="9" t="n">
        <f aca="false">IF(G4984&gt;0,D4984/G4984,"")</f>
        <v>11.66</v>
      </c>
      <c r="I4984" s="10" t="n">
        <v>46171</v>
      </c>
      <c r="K4984" s="10"/>
      <c r="M4984" s="7"/>
      <c r="N4984" s="8"/>
      <c r="O4984" s="4"/>
    </row>
    <row r="4985" customFormat="false" ht="15" hidden="false" customHeight="false" outlineLevel="0" collapsed="false">
      <c r="A4985" s="0" t="s">
        <v>6671</v>
      </c>
      <c r="C4985" s="0" t="s">
        <v>979</v>
      </c>
      <c r="D4985" s="7" t="n">
        <v>16</v>
      </c>
      <c r="E4985" s="8" t="n">
        <v>1.48625</v>
      </c>
      <c r="F4985" s="4" t="n">
        <f aca="false">D4985*E4985</f>
        <v>23.78</v>
      </c>
      <c r="G4985" s="7" t="n">
        <v>4</v>
      </c>
      <c r="H4985" s="9" t="n">
        <f aca="false">IF(G4985&gt;0,D4985/G4985,"")</f>
        <v>4</v>
      </c>
      <c r="I4985" s="10" t="n">
        <v>46293</v>
      </c>
      <c r="K4985" s="10"/>
      <c r="M4985" s="7"/>
      <c r="N4985" s="8"/>
      <c r="O4985" s="4"/>
    </row>
    <row r="4986" customFormat="false" ht="15" hidden="false" customHeight="false" outlineLevel="0" collapsed="false">
      <c r="A4986" s="0" t="s">
        <v>6672</v>
      </c>
      <c r="C4986" s="0" t="s">
        <v>31</v>
      </c>
      <c r="D4986" s="7" t="n">
        <v>199</v>
      </c>
      <c r="E4986" s="8" t="n">
        <v>0.119447236180905</v>
      </c>
      <c r="F4986" s="4" t="n">
        <f aca="false">D4986*E4986</f>
        <v>23.77</v>
      </c>
      <c r="G4986" s="7" t="n">
        <v>20</v>
      </c>
      <c r="H4986" s="9" t="n">
        <f aca="false">IF(G4986&gt;0,D4986/G4986,"")</f>
        <v>9.95</v>
      </c>
      <c r="I4986" s="10" t="n">
        <v>46260</v>
      </c>
      <c r="K4986" s="10"/>
      <c r="M4986" s="7"/>
      <c r="N4986" s="8"/>
      <c r="O4986" s="4"/>
    </row>
    <row r="4987" customFormat="false" ht="15" hidden="false" customHeight="false" outlineLevel="0" collapsed="false">
      <c r="A4987" s="0" t="s">
        <v>6673</v>
      </c>
      <c r="C4987" s="0" t="s">
        <v>855</v>
      </c>
      <c r="D4987" s="7" t="n">
        <v>2927</v>
      </c>
      <c r="E4987" s="8" t="n">
        <v>0.00809361120601298</v>
      </c>
      <c r="F4987" s="4" t="n">
        <f aca="false">D4987*E4987</f>
        <v>23.69</v>
      </c>
      <c r="G4987" s="7" t="n">
        <v>100</v>
      </c>
      <c r="H4987" s="9" t="n">
        <f aca="false">IF(G4987&gt;0,D4987/G4987,"")</f>
        <v>29.27</v>
      </c>
      <c r="I4987" s="10" t="n">
        <v>46177</v>
      </c>
      <c r="J4987" s="3" t="s">
        <v>5326</v>
      </c>
      <c r="K4987" s="10" t="n">
        <v>44684</v>
      </c>
      <c r="L4987" s="3" t="s">
        <v>15</v>
      </c>
      <c r="M4987" s="7" t="n">
        <v>4100</v>
      </c>
      <c r="N4987" s="8" t="n">
        <v>0.00684</v>
      </c>
      <c r="O4987" s="4" t="n">
        <f aca="false">M4987*N4987</f>
        <v>28.044</v>
      </c>
    </row>
    <row r="4988" customFormat="false" ht="15" hidden="false" customHeight="false" outlineLevel="0" collapsed="false">
      <c r="A4988" s="0" t="s">
        <v>6674</v>
      </c>
      <c r="C4988" s="0" t="s">
        <v>31</v>
      </c>
      <c r="D4988" s="7" t="n">
        <v>652</v>
      </c>
      <c r="E4988" s="8" t="n">
        <v>0.036319018404908</v>
      </c>
      <c r="F4988" s="4" t="n">
        <f aca="false">D4988*E4988</f>
        <v>23.68</v>
      </c>
      <c r="G4988" s="7" t="n">
        <v>136</v>
      </c>
      <c r="H4988" s="9" t="n">
        <f aca="false">IF(G4988&gt;0,D4988/G4988,"")</f>
        <v>4.79411764705882</v>
      </c>
      <c r="I4988" s="10" t="n">
        <v>46014</v>
      </c>
      <c r="J4988" s="3" t="s">
        <v>628</v>
      </c>
      <c r="K4988" s="10" t="n">
        <v>46128</v>
      </c>
      <c r="L4988" s="3" t="s">
        <v>16</v>
      </c>
      <c r="M4988" s="7" t="n">
        <v>630</v>
      </c>
      <c r="N4988" s="8" t="n">
        <v>0.0357</v>
      </c>
      <c r="O4988" s="4" t="n">
        <f aca="false">M4988*N4988</f>
        <v>22.491</v>
      </c>
    </row>
    <row r="4989" customFormat="false" ht="15" hidden="false" customHeight="false" outlineLevel="0" collapsed="false">
      <c r="A4989" s="0" t="s">
        <v>6675</v>
      </c>
      <c r="C4989" s="0" t="s">
        <v>40</v>
      </c>
      <c r="D4989" s="7" t="n">
        <v>735</v>
      </c>
      <c r="E4989" s="8" t="n">
        <v>0.0322040816326531</v>
      </c>
      <c r="F4989" s="4" t="n">
        <f aca="false">D4989*E4989</f>
        <v>23.67</v>
      </c>
      <c r="G4989" s="7" t="n">
        <v>75</v>
      </c>
      <c r="H4989" s="9" t="n">
        <f aca="false">IF(G4989&gt;0,D4989/G4989,"")</f>
        <v>9.8</v>
      </c>
      <c r="I4989" s="10" t="n">
        <v>46281</v>
      </c>
      <c r="J4989" s="3" t="s">
        <v>1177</v>
      </c>
      <c r="K4989" s="10" t="n">
        <v>45719</v>
      </c>
      <c r="L4989" s="3" t="s">
        <v>18</v>
      </c>
      <c r="M4989" s="7" t="n">
        <v>800</v>
      </c>
      <c r="N4989" s="8" t="n">
        <v>0.0322</v>
      </c>
      <c r="O4989" s="4" t="n">
        <f aca="false">M4989*N4989</f>
        <v>25.76</v>
      </c>
    </row>
    <row r="4990" customFormat="false" ht="15" hidden="false" customHeight="false" outlineLevel="0" collapsed="false">
      <c r="A4990" s="0" t="s">
        <v>6676</v>
      </c>
      <c r="C4990" s="0" t="s">
        <v>31</v>
      </c>
      <c r="D4990" s="7" t="n">
        <v>57</v>
      </c>
      <c r="E4990" s="8" t="n">
        <v>0.414736842105263</v>
      </c>
      <c r="F4990" s="4" t="n">
        <f aca="false">D4990*E4990</f>
        <v>23.64</v>
      </c>
      <c r="G4990" s="7" t="n">
        <v>20</v>
      </c>
      <c r="H4990" s="9" t="n">
        <f aca="false">IF(G4990&gt;0,D4990/G4990,"")</f>
        <v>2.85</v>
      </c>
      <c r="I4990" s="10" t="n">
        <v>46247</v>
      </c>
      <c r="J4990" s="3" t="s">
        <v>5340</v>
      </c>
      <c r="K4990" s="10" t="n">
        <v>44285</v>
      </c>
      <c r="L4990" s="3" t="s">
        <v>19</v>
      </c>
      <c r="M4990" s="7" t="n">
        <v>100</v>
      </c>
      <c r="N4990" s="8" t="n">
        <v>0.4147</v>
      </c>
      <c r="O4990" s="4" t="n">
        <f aca="false">M4990*N4990</f>
        <v>41.47</v>
      </c>
    </row>
    <row r="4991" customFormat="false" ht="15" hidden="false" customHeight="false" outlineLevel="0" collapsed="false">
      <c r="A4991" s="0" t="s">
        <v>6677</v>
      </c>
      <c r="C4991" s="0" t="s">
        <v>1010</v>
      </c>
      <c r="D4991" s="7" t="n">
        <v>452</v>
      </c>
      <c r="E4991" s="8" t="n">
        <v>0.0522345132743363</v>
      </c>
      <c r="F4991" s="4" t="n">
        <f aca="false">D4991*E4991</f>
        <v>23.61</v>
      </c>
      <c r="G4991" s="7" t="n">
        <v>20</v>
      </c>
      <c r="H4991" s="9" t="n">
        <f aca="false">IF(G4991&gt;0,D4991/G4991,"")</f>
        <v>22.6</v>
      </c>
      <c r="I4991" s="10" t="n">
        <v>46111</v>
      </c>
      <c r="J4991" s="3" t="s">
        <v>570</v>
      </c>
      <c r="K4991" s="10" t="n">
        <v>46106</v>
      </c>
      <c r="L4991" s="3" t="s">
        <v>16</v>
      </c>
      <c r="M4991" s="7" t="n">
        <v>500</v>
      </c>
      <c r="N4991" s="8" t="n">
        <v>0.052</v>
      </c>
      <c r="O4991" s="4" t="n">
        <f aca="false">M4991*N4991</f>
        <v>26</v>
      </c>
    </row>
    <row r="4992" customFormat="false" ht="15" hidden="false" customHeight="false" outlineLevel="0" collapsed="false">
      <c r="A4992" s="0" t="s">
        <v>6678</v>
      </c>
      <c r="C4992" s="0" t="s">
        <v>38</v>
      </c>
      <c r="D4992" s="7" t="n">
        <v>2745</v>
      </c>
      <c r="E4992" s="8" t="n">
        <v>0.00860109289617486</v>
      </c>
      <c r="F4992" s="4" t="n">
        <f aca="false">D4992*E4992</f>
        <v>23.61</v>
      </c>
      <c r="G4992" s="7" t="n">
        <v>265</v>
      </c>
      <c r="H4992" s="9" t="n">
        <f aca="false">IF(G4992&gt;0,D4992/G4992,"")</f>
        <v>10.3584905660377</v>
      </c>
      <c r="I4992" s="10" t="n">
        <v>46308</v>
      </c>
      <c r="J4992" s="3" t="s">
        <v>4391</v>
      </c>
      <c r="K4992" s="10" t="n">
        <v>45757</v>
      </c>
      <c r="L4992" s="3" t="s">
        <v>18</v>
      </c>
      <c r="M4992" s="7" t="n">
        <v>3100</v>
      </c>
      <c r="N4992" s="8" t="n">
        <v>0.0086</v>
      </c>
      <c r="O4992" s="4" t="n">
        <f aca="false">M4992*N4992</f>
        <v>26.66</v>
      </c>
    </row>
    <row r="4993" customFormat="false" ht="15" hidden="false" customHeight="false" outlineLevel="0" collapsed="false">
      <c r="A4993" s="0" t="s">
        <v>6679</v>
      </c>
      <c r="C4993" s="0" t="s">
        <v>36</v>
      </c>
      <c r="D4993" s="7" t="n">
        <v>54</v>
      </c>
      <c r="E4993" s="8" t="n">
        <v>0.436666666666667</v>
      </c>
      <c r="F4993" s="4" t="n">
        <f aca="false">D4993*E4993</f>
        <v>23.58</v>
      </c>
      <c r="G4993" s="7" t="n">
        <v>10</v>
      </c>
      <c r="H4993" s="9" t="n">
        <f aca="false">IF(G4993&gt;0,D4993/G4993,"")</f>
        <v>5.4</v>
      </c>
      <c r="I4993" s="10" t="n">
        <v>46239</v>
      </c>
      <c r="J4993" s="3" t="s">
        <v>3451</v>
      </c>
      <c r="K4993" s="10" t="n">
        <v>44252</v>
      </c>
      <c r="L4993" s="3" t="s">
        <v>19</v>
      </c>
      <c r="M4993" s="7" t="n">
        <v>115</v>
      </c>
      <c r="N4993" s="8" t="n">
        <v>0.4369</v>
      </c>
      <c r="O4993" s="4" t="n">
        <f aca="false">M4993*N4993</f>
        <v>50.2435</v>
      </c>
    </row>
    <row r="4994" customFormat="false" ht="15" hidden="false" customHeight="false" outlineLevel="0" collapsed="false">
      <c r="A4994" s="0" t="s">
        <v>6680</v>
      </c>
      <c r="C4994" s="0" t="s">
        <v>298</v>
      </c>
      <c r="D4994" s="7" t="n">
        <v>1030</v>
      </c>
      <c r="E4994" s="8" t="n">
        <v>0.0228834951456311</v>
      </c>
      <c r="F4994" s="4" t="n">
        <f aca="false">D4994*E4994</f>
        <v>23.57</v>
      </c>
      <c r="G4994" s="7" t="n">
        <v>323</v>
      </c>
      <c r="H4994" s="9" t="n">
        <f aca="false">IF(G4994&gt;0,D4994/G4994,"")</f>
        <v>3.18885448916409</v>
      </c>
      <c r="I4994" s="10" t="n">
        <v>46234</v>
      </c>
      <c r="J4994" s="3" t="s">
        <v>2162</v>
      </c>
      <c r="K4994" s="10" t="n">
        <v>44222</v>
      </c>
      <c r="L4994" s="3" t="s">
        <v>15</v>
      </c>
      <c r="M4994" s="7" t="n">
        <v>2310</v>
      </c>
      <c r="N4994" s="8" t="n">
        <v>0.0229</v>
      </c>
      <c r="O4994" s="4" t="n">
        <f aca="false">M4994*N4994</f>
        <v>52.899</v>
      </c>
    </row>
    <row r="4995" customFormat="false" ht="15" hidden="false" customHeight="false" outlineLevel="0" collapsed="false">
      <c r="A4995" s="0" t="s">
        <v>6681</v>
      </c>
      <c r="C4995" s="0" t="s">
        <v>31</v>
      </c>
      <c r="D4995" s="7" t="n">
        <v>1909</v>
      </c>
      <c r="E4995" s="8" t="n">
        <v>0.0123310633839707</v>
      </c>
      <c r="F4995" s="4" t="n">
        <f aca="false">D4995*E4995</f>
        <v>23.54</v>
      </c>
      <c r="G4995" s="7" t="n">
        <v>672</v>
      </c>
      <c r="H4995" s="9" t="n">
        <f aca="false">IF(G4995&gt;0,D4995/G4995,"")</f>
        <v>2.84077380952381</v>
      </c>
      <c r="I4995" s="10" t="n">
        <v>46297</v>
      </c>
      <c r="J4995" s="3" t="s">
        <v>6125</v>
      </c>
      <c r="K4995" s="10" t="n">
        <v>46028</v>
      </c>
      <c r="L4995" s="3" t="s">
        <v>19</v>
      </c>
      <c r="M4995" s="7" t="n">
        <v>2500</v>
      </c>
      <c r="N4995" s="8" t="n">
        <v>0.0124</v>
      </c>
      <c r="O4995" s="4" t="n">
        <f aca="false">M4995*N4995</f>
        <v>31</v>
      </c>
    </row>
    <row r="4996" customFormat="false" ht="15" hidden="false" customHeight="false" outlineLevel="0" collapsed="false">
      <c r="A4996" s="0" t="s">
        <v>6682</v>
      </c>
      <c r="C4996" s="0" t="s">
        <v>31</v>
      </c>
      <c r="D4996" s="7" t="n">
        <v>440</v>
      </c>
      <c r="E4996" s="8" t="n">
        <v>0.0535</v>
      </c>
      <c r="F4996" s="4" t="n">
        <f aca="false">D4996*E4996</f>
        <v>23.54</v>
      </c>
      <c r="G4996" s="7" t="n">
        <v>60</v>
      </c>
      <c r="H4996" s="9" t="n">
        <f aca="false">IF(G4996&gt;0,D4996/G4996,"")</f>
        <v>7.33333333333333</v>
      </c>
      <c r="I4996" s="10" t="n">
        <v>46296</v>
      </c>
      <c r="J4996" s="3" t="s">
        <v>1538</v>
      </c>
      <c r="K4996" s="10" t="n">
        <v>46196</v>
      </c>
      <c r="L4996" s="3" t="s">
        <v>19</v>
      </c>
      <c r="M4996" s="7" t="n">
        <v>500</v>
      </c>
      <c r="N4996" s="8" t="n">
        <v>0.0535</v>
      </c>
      <c r="O4996" s="4" t="n">
        <f aca="false">M4996*N4996</f>
        <v>26.75</v>
      </c>
    </row>
    <row r="4997" customFormat="false" ht="15" hidden="false" customHeight="false" outlineLevel="0" collapsed="false">
      <c r="A4997" s="0" t="s">
        <v>6683</v>
      </c>
      <c r="C4997" s="0" t="s">
        <v>40</v>
      </c>
      <c r="D4997" s="7" t="n">
        <v>348</v>
      </c>
      <c r="E4997" s="8" t="n">
        <v>0.0675862068965517</v>
      </c>
      <c r="F4997" s="4" t="n">
        <f aca="false">D4997*E4997</f>
        <v>23.52</v>
      </c>
      <c r="G4997" s="7" t="n">
        <v>267</v>
      </c>
      <c r="H4997" s="9" t="n">
        <f aca="false">IF(G4997&gt;0,D4997/G4997,"")</f>
        <v>1.30337078651685</v>
      </c>
      <c r="I4997" s="10" t="n">
        <v>46308</v>
      </c>
      <c r="J4997" s="3" t="s">
        <v>1414</v>
      </c>
      <c r="K4997" s="10" t="n">
        <v>46247</v>
      </c>
      <c r="L4997" s="3" t="s">
        <v>18</v>
      </c>
      <c r="M4997" s="7" t="n">
        <v>390</v>
      </c>
      <c r="N4997" s="8" t="n">
        <v>0.0676</v>
      </c>
      <c r="O4997" s="4" t="n">
        <f aca="false">M4997*N4997</f>
        <v>26.364</v>
      </c>
    </row>
    <row r="4998" customFormat="false" ht="15" hidden="false" customHeight="false" outlineLevel="0" collapsed="false">
      <c r="A4998" s="0" t="s">
        <v>6684</v>
      </c>
      <c r="C4998" s="0" t="s">
        <v>31</v>
      </c>
      <c r="D4998" s="7" t="n">
        <v>3732</v>
      </c>
      <c r="E4998" s="8" t="n">
        <v>0.00629957127545552</v>
      </c>
      <c r="F4998" s="4" t="n">
        <f aca="false">D4998*E4998</f>
        <v>23.51</v>
      </c>
      <c r="G4998" s="7" t="n">
        <v>97</v>
      </c>
      <c r="H4998" s="9" t="n">
        <f aca="false">IF(G4998&gt;0,D4998/G4998,"")</f>
        <v>38.4742268041237</v>
      </c>
      <c r="I4998" s="10" t="n">
        <v>46259</v>
      </c>
      <c r="J4998" s="3" t="s">
        <v>6685</v>
      </c>
      <c r="K4998" s="10" t="n">
        <v>45754</v>
      </c>
      <c r="L4998" s="3" t="s">
        <v>14</v>
      </c>
      <c r="M4998" s="7" t="n">
        <v>4000</v>
      </c>
      <c r="N4998" s="8" t="n">
        <v>0.0063</v>
      </c>
      <c r="O4998" s="4" t="n">
        <f aca="false">M4998*N4998</f>
        <v>25.2</v>
      </c>
    </row>
    <row r="4999" customFormat="false" ht="15" hidden="false" customHeight="false" outlineLevel="0" collapsed="false">
      <c r="A4999" s="0" t="s">
        <v>6686</v>
      </c>
      <c r="C4999" s="0" t="s">
        <v>31</v>
      </c>
      <c r="D4999" s="7" t="n">
        <v>4799</v>
      </c>
      <c r="E4999" s="8" t="n">
        <v>0.00488435090643884</v>
      </c>
      <c r="F4999" s="4" t="n">
        <f aca="false">D4999*E4999</f>
        <v>23.44</v>
      </c>
      <c r="G4999" s="7" t="n">
        <v>990</v>
      </c>
      <c r="H4999" s="9" t="n">
        <f aca="false">IF(G4999&gt;0,D4999/G4999,"")</f>
        <v>4.84747474747475</v>
      </c>
      <c r="I4999" s="10" t="n">
        <v>46212</v>
      </c>
      <c r="J4999" s="3" t="s">
        <v>2716</v>
      </c>
      <c r="K4999" s="10" t="n">
        <v>46160</v>
      </c>
      <c r="L4999" s="3" t="s">
        <v>16</v>
      </c>
      <c r="M4999" s="7" t="n">
        <v>5000</v>
      </c>
      <c r="N4999" s="8" t="n">
        <v>0.0047</v>
      </c>
      <c r="O4999" s="4" t="n">
        <f aca="false">M4999*N4999</f>
        <v>23.5</v>
      </c>
    </row>
    <row r="5000" customFormat="false" ht="15" hidden="false" customHeight="false" outlineLevel="0" collapsed="false">
      <c r="A5000" s="0" t="s">
        <v>6687</v>
      </c>
      <c r="C5000" s="0" t="s">
        <v>41</v>
      </c>
      <c r="D5000" s="7" t="n">
        <v>417</v>
      </c>
      <c r="E5000" s="8" t="n">
        <v>0.05621103117506</v>
      </c>
      <c r="F5000" s="4" t="n">
        <f aca="false">D5000*E5000</f>
        <v>23.44</v>
      </c>
      <c r="G5000" s="7" t="n">
        <v>20</v>
      </c>
      <c r="H5000" s="9" t="n">
        <f aca="false">IF(G5000&gt;0,D5000/G5000,"")</f>
        <v>20.85</v>
      </c>
      <c r="I5000" s="10" t="n">
        <v>46174</v>
      </c>
      <c r="J5000" s="3" t="s">
        <v>3990</v>
      </c>
      <c r="K5000" s="10" t="n">
        <v>45486</v>
      </c>
      <c r="L5000" s="3" t="s">
        <v>14</v>
      </c>
      <c r="M5000" s="7" t="n">
        <v>207</v>
      </c>
      <c r="N5000" s="8" t="n">
        <v>0.0313</v>
      </c>
      <c r="O5000" s="4" t="n">
        <f aca="false">M5000*N5000</f>
        <v>6.4791</v>
      </c>
    </row>
    <row r="5001" customFormat="false" ht="15" hidden="false" customHeight="false" outlineLevel="0" collapsed="false">
      <c r="A5001" s="0" t="s">
        <v>6688</v>
      </c>
      <c r="C5001" s="0" t="s">
        <v>34</v>
      </c>
      <c r="D5001" s="7" t="n">
        <v>12</v>
      </c>
      <c r="E5001" s="8" t="n">
        <v>1.95083333333333</v>
      </c>
      <c r="F5001" s="4" t="n">
        <f aca="false">D5001*E5001</f>
        <v>23.41</v>
      </c>
      <c r="G5001" s="7" t="n">
        <v>2</v>
      </c>
      <c r="H5001" s="9" t="n">
        <f aca="false">IF(G5001&gt;0,D5001/G5001,"")</f>
        <v>6</v>
      </c>
      <c r="I5001" s="10" t="n">
        <v>45953</v>
      </c>
      <c r="K5001" s="10"/>
      <c r="M5001" s="7"/>
      <c r="N5001" s="8"/>
      <c r="O5001" s="4"/>
    </row>
    <row r="5002" customFormat="false" ht="15" hidden="false" customHeight="false" outlineLevel="0" collapsed="false">
      <c r="A5002" s="0" t="s">
        <v>6689</v>
      </c>
      <c r="C5002" s="0" t="s">
        <v>979</v>
      </c>
      <c r="D5002" s="7" t="n">
        <v>24</v>
      </c>
      <c r="E5002" s="8" t="n">
        <v>0.974583333333333</v>
      </c>
      <c r="F5002" s="4" t="n">
        <f aca="false">D5002*E5002</f>
        <v>23.39</v>
      </c>
      <c r="G5002" s="7" t="n">
        <v>5</v>
      </c>
      <c r="H5002" s="9" t="n">
        <f aca="false">IF(G5002&gt;0,D5002/G5002,"")</f>
        <v>4.8</v>
      </c>
      <c r="I5002" s="10" t="n">
        <v>46036</v>
      </c>
      <c r="J5002" s="3" t="s">
        <v>6690</v>
      </c>
      <c r="K5002" s="10" t="n">
        <v>46027</v>
      </c>
      <c r="L5002" s="3" t="s">
        <v>18</v>
      </c>
      <c r="M5002" s="7" t="n">
        <v>29</v>
      </c>
      <c r="N5002" s="8" t="n">
        <v>0.9745</v>
      </c>
      <c r="O5002" s="4" t="n">
        <f aca="false">M5002*N5002</f>
        <v>28.2605</v>
      </c>
    </row>
    <row r="5003" customFormat="false" ht="15" hidden="false" customHeight="false" outlineLevel="0" collapsed="false">
      <c r="A5003" s="0" t="s">
        <v>6691</v>
      </c>
      <c r="C5003" s="0" t="s">
        <v>118</v>
      </c>
      <c r="D5003" s="7" t="n">
        <v>19</v>
      </c>
      <c r="E5003" s="8" t="n">
        <v>1.23052631578947</v>
      </c>
      <c r="F5003" s="4" t="n">
        <f aca="false">D5003*E5003</f>
        <v>23.38</v>
      </c>
      <c r="G5003" s="7" t="n">
        <v>6</v>
      </c>
      <c r="H5003" s="9" t="n">
        <f aca="false">IF(G5003&gt;0,D5003/G5003,"")</f>
        <v>3.16666666666667</v>
      </c>
      <c r="I5003" s="10" t="n">
        <v>46301</v>
      </c>
      <c r="J5003" s="3" t="s">
        <v>6692</v>
      </c>
      <c r="K5003" s="10" t="n">
        <v>46295</v>
      </c>
      <c r="L5003" s="3" t="s">
        <v>19</v>
      </c>
      <c r="M5003" s="7" t="n">
        <v>25</v>
      </c>
      <c r="N5003" s="8" t="n">
        <v>1.2304</v>
      </c>
      <c r="O5003" s="4" t="n">
        <f aca="false">M5003*N5003</f>
        <v>30.76</v>
      </c>
    </row>
    <row r="5004" customFormat="false" ht="15" hidden="false" customHeight="false" outlineLevel="0" collapsed="false">
      <c r="A5004" s="0" t="s">
        <v>6693</v>
      </c>
      <c r="C5004" s="0" t="s">
        <v>38</v>
      </c>
      <c r="D5004" s="7" t="n">
        <v>233</v>
      </c>
      <c r="E5004" s="8" t="n">
        <v>0.100300429184549</v>
      </c>
      <c r="F5004" s="4" t="n">
        <f aca="false">D5004*E5004</f>
        <v>23.37</v>
      </c>
      <c r="G5004" s="7" t="n">
        <v>63</v>
      </c>
      <c r="H5004" s="9" t="n">
        <f aca="false">IF(G5004&gt;0,D5004/G5004,"")</f>
        <v>3.6984126984127</v>
      </c>
      <c r="I5004" s="10" t="n">
        <v>46253</v>
      </c>
      <c r="J5004" s="3" t="s">
        <v>6582</v>
      </c>
      <c r="K5004" s="10" t="n">
        <v>45022</v>
      </c>
      <c r="L5004" s="3" t="s">
        <v>14</v>
      </c>
      <c r="M5004" s="7" t="n">
        <v>1000</v>
      </c>
      <c r="N5004" s="8" t="n">
        <v>0.1002</v>
      </c>
      <c r="O5004" s="4" t="n">
        <f aca="false">M5004*N5004</f>
        <v>100.2</v>
      </c>
    </row>
    <row r="5005" customFormat="false" ht="15" hidden="false" customHeight="false" outlineLevel="0" collapsed="false">
      <c r="A5005" s="0" t="s">
        <v>6694</v>
      </c>
      <c r="C5005" s="0" t="s">
        <v>32</v>
      </c>
      <c r="D5005" s="7" t="n">
        <v>117</v>
      </c>
      <c r="E5005" s="8" t="n">
        <v>0.19965811965812</v>
      </c>
      <c r="F5005" s="4" t="n">
        <f aca="false">D5005*E5005</f>
        <v>23.36</v>
      </c>
      <c r="G5005" s="7" t="n">
        <v>16</v>
      </c>
      <c r="H5005" s="9" t="n">
        <f aca="false">IF(G5005&gt;0,D5005/G5005,"")</f>
        <v>7.3125</v>
      </c>
      <c r="I5005" s="10" t="n">
        <v>46308</v>
      </c>
      <c r="J5005" s="3" t="s">
        <v>6695</v>
      </c>
      <c r="K5005" s="10" t="n">
        <v>45659</v>
      </c>
      <c r="L5005" s="3" t="s">
        <v>18</v>
      </c>
      <c r="M5005" s="7" t="n">
        <v>150</v>
      </c>
      <c r="N5005" s="8" t="n">
        <v>0.1997</v>
      </c>
      <c r="O5005" s="4" t="n">
        <f aca="false">M5005*N5005</f>
        <v>29.955</v>
      </c>
    </row>
    <row r="5006" customFormat="false" ht="15" hidden="false" customHeight="false" outlineLevel="0" collapsed="false">
      <c r="A5006" s="0" t="s">
        <v>6696</v>
      </c>
      <c r="C5006" s="0" t="s">
        <v>765</v>
      </c>
      <c r="D5006" s="7" t="n">
        <v>264</v>
      </c>
      <c r="E5006" s="8" t="n">
        <v>0.0884848484848485</v>
      </c>
      <c r="F5006" s="4" t="n">
        <f aca="false">D5006*E5006</f>
        <v>23.36</v>
      </c>
      <c r="G5006" s="7" t="n">
        <v>50</v>
      </c>
      <c r="H5006" s="9" t="n">
        <f aca="false">IF(G5006&gt;0,D5006/G5006,"")</f>
        <v>5.28</v>
      </c>
      <c r="I5006" s="10" t="n">
        <v>46251</v>
      </c>
      <c r="K5006" s="10"/>
      <c r="M5006" s="7"/>
      <c r="N5006" s="8"/>
      <c r="O5006" s="4"/>
    </row>
    <row r="5007" customFormat="false" ht="15" hidden="false" customHeight="false" outlineLevel="0" collapsed="false">
      <c r="A5007" s="0" t="s">
        <v>6697</v>
      </c>
      <c r="C5007" s="0" t="s">
        <v>1017</v>
      </c>
      <c r="D5007" s="7" t="n">
        <v>900</v>
      </c>
      <c r="E5007" s="8" t="n">
        <v>0.0259555555555556</v>
      </c>
      <c r="F5007" s="4" t="n">
        <f aca="false">D5007*E5007</f>
        <v>23.36</v>
      </c>
      <c r="G5007" s="7" t="n">
        <v>400</v>
      </c>
      <c r="H5007" s="9" t="n">
        <f aca="false">IF(G5007&gt;0,D5007/G5007,"")</f>
        <v>2.25</v>
      </c>
      <c r="I5007" s="10" t="n">
        <v>45961</v>
      </c>
      <c r="J5007" s="3" t="s">
        <v>1018</v>
      </c>
      <c r="K5007" s="10" t="n">
        <v>45912</v>
      </c>
      <c r="L5007" s="3" t="s">
        <v>15</v>
      </c>
      <c r="M5007" s="7" t="n">
        <v>1300</v>
      </c>
      <c r="N5007" s="8" t="n">
        <v>0.02595</v>
      </c>
      <c r="O5007" s="4" t="n">
        <f aca="false">M5007*N5007</f>
        <v>33.735</v>
      </c>
    </row>
    <row r="5008" customFormat="false" ht="15" hidden="false" customHeight="false" outlineLevel="0" collapsed="false">
      <c r="A5008" s="0" t="s">
        <v>6698</v>
      </c>
      <c r="C5008" s="0" t="s">
        <v>1039</v>
      </c>
      <c r="D5008" s="7" t="n">
        <v>1740</v>
      </c>
      <c r="E5008" s="8" t="n">
        <v>0.0133965517241379</v>
      </c>
      <c r="F5008" s="4" t="n">
        <f aca="false">D5008*E5008</f>
        <v>23.31</v>
      </c>
      <c r="G5008" s="7" t="n">
        <v>480</v>
      </c>
      <c r="H5008" s="9" t="n">
        <f aca="false">IF(G5008&gt;0,D5008/G5008,"")</f>
        <v>3.625</v>
      </c>
      <c r="I5008" s="10" t="n">
        <v>46174</v>
      </c>
      <c r="J5008" s="3" t="s">
        <v>6478</v>
      </c>
      <c r="K5008" s="10" t="n">
        <v>45940</v>
      </c>
      <c r="L5008" s="3" t="s">
        <v>19</v>
      </c>
      <c r="M5008" s="7" t="n">
        <v>2500</v>
      </c>
      <c r="N5008" s="8" t="n">
        <v>0.0134</v>
      </c>
      <c r="O5008" s="4" t="n">
        <f aca="false">M5008*N5008</f>
        <v>33.5</v>
      </c>
    </row>
    <row r="5009" customFormat="false" ht="15" hidden="false" customHeight="false" outlineLevel="0" collapsed="false">
      <c r="A5009" s="0" t="s">
        <v>6699</v>
      </c>
      <c r="C5009" s="0" t="s">
        <v>31</v>
      </c>
      <c r="D5009" s="7" t="n">
        <v>467</v>
      </c>
      <c r="E5009" s="8" t="n">
        <v>0.0498929336188437</v>
      </c>
      <c r="F5009" s="4" t="n">
        <f aca="false">D5009*E5009</f>
        <v>23.3</v>
      </c>
      <c r="G5009" s="7" t="n">
        <v>58</v>
      </c>
      <c r="H5009" s="9" t="n">
        <f aca="false">IF(G5009&gt;0,D5009/G5009,"")</f>
        <v>8.05172413793103</v>
      </c>
      <c r="I5009" s="10" t="n">
        <v>46205</v>
      </c>
      <c r="J5009" s="3" t="s">
        <v>436</v>
      </c>
      <c r="K5009" s="10" t="n">
        <v>46135</v>
      </c>
      <c r="L5009" s="3" t="s">
        <v>16</v>
      </c>
      <c r="M5009" s="7" t="n">
        <v>500</v>
      </c>
      <c r="N5009" s="8" t="n">
        <v>0.0496</v>
      </c>
      <c r="O5009" s="4" t="n">
        <f aca="false">M5009*N5009</f>
        <v>24.8</v>
      </c>
    </row>
    <row r="5010" customFormat="false" ht="15" hidden="false" customHeight="false" outlineLevel="0" collapsed="false">
      <c r="A5010" s="0" t="s">
        <v>6700</v>
      </c>
      <c r="C5010" s="0" t="s">
        <v>715</v>
      </c>
      <c r="D5010" s="7" t="n">
        <v>363</v>
      </c>
      <c r="E5010" s="8" t="n">
        <v>0.0640771349862259</v>
      </c>
      <c r="F5010" s="4" t="n">
        <f aca="false">D5010*E5010</f>
        <v>23.26</v>
      </c>
      <c r="G5010" s="7" t="n">
        <v>10</v>
      </c>
      <c r="H5010" s="9" t="n">
        <f aca="false">IF(G5010&gt;0,D5010/G5010,"")</f>
        <v>36.3</v>
      </c>
      <c r="I5010" s="10" t="n">
        <v>46107</v>
      </c>
      <c r="J5010" s="3" t="s">
        <v>2162</v>
      </c>
      <c r="K5010" s="10" t="n">
        <v>44222</v>
      </c>
      <c r="L5010" s="3" t="s">
        <v>15</v>
      </c>
      <c r="M5010" s="7" t="n">
        <v>650</v>
      </c>
      <c r="N5010" s="8" t="n">
        <v>0.06404</v>
      </c>
      <c r="O5010" s="4" t="n">
        <f aca="false">M5010*N5010</f>
        <v>41.626</v>
      </c>
    </row>
    <row r="5011" customFormat="false" ht="15" hidden="false" customHeight="false" outlineLevel="0" collapsed="false">
      <c r="A5011" s="0" t="s">
        <v>6701</v>
      </c>
      <c r="C5011" s="0" t="s">
        <v>1017</v>
      </c>
      <c r="D5011" s="7" t="n">
        <v>1670</v>
      </c>
      <c r="E5011" s="8" t="n">
        <v>0.0139281437125749</v>
      </c>
      <c r="F5011" s="4" t="n">
        <f aca="false">D5011*E5011</f>
        <v>23.26</v>
      </c>
      <c r="G5011" s="7" t="n">
        <v>50</v>
      </c>
      <c r="H5011" s="9" t="n">
        <f aca="false">IF(G5011&gt;0,D5011/G5011,"")</f>
        <v>33.4</v>
      </c>
      <c r="I5011" s="10" t="n">
        <v>46202</v>
      </c>
      <c r="J5011" s="3" t="s">
        <v>1018</v>
      </c>
      <c r="K5011" s="10" t="n">
        <v>45912</v>
      </c>
      <c r="L5011" s="3" t="s">
        <v>15</v>
      </c>
      <c r="M5011" s="7" t="n">
        <v>1720</v>
      </c>
      <c r="N5011" s="8" t="n">
        <v>0.01393</v>
      </c>
      <c r="O5011" s="4" t="n">
        <f aca="false">M5011*N5011</f>
        <v>23.9596</v>
      </c>
    </row>
    <row r="5012" customFormat="false" ht="15" hidden="false" customHeight="false" outlineLevel="0" collapsed="false">
      <c r="A5012" s="0" t="s">
        <v>6702</v>
      </c>
      <c r="C5012" s="0" t="s">
        <v>35</v>
      </c>
      <c r="D5012" s="7" t="n">
        <v>20</v>
      </c>
      <c r="E5012" s="8" t="n">
        <v>1.1625</v>
      </c>
      <c r="F5012" s="4" t="n">
        <f aca="false">D5012*E5012</f>
        <v>23.25</v>
      </c>
      <c r="G5012" s="7" t="n">
        <v>2</v>
      </c>
      <c r="H5012" s="9" t="n">
        <f aca="false">IF(G5012&gt;0,D5012/G5012,"")</f>
        <v>10</v>
      </c>
      <c r="I5012" s="10" t="n">
        <v>46147</v>
      </c>
      <c r="J5012" s="3" t="s">
        <v>4580</v>
      </c>
      <c r="K5012" s="10" t="n">
        <v>45215</v>
      </c>
      <c r="L5012" s="3" t="s">
        <v>14</v>
      </c>
      <c r="M5012" s="7" t="n">
        <v>50</v>
      </c>
      <c r="N5012" s="8" t="n">
        <v>1.1632</v>
      </c>
      <c r="O5012" s="4" t="n">
        <f aca="false">M5012*N5012</f>
        <v>58.16</v>
      </c>
    </row>
    <row r="5013" customFormat="false" ht="15" hidden="false" customHeight="false" outlineLevel="0" collapsed="false">
      <c r="A5013" s="0" t="s">
        <v>6703</v>
      </c>
      <c r="C5013" s="0" t="s">
        <v>34</v>
      </c>
      <c r="D5013" s="7" t="n">
        <v>252</v>
      </c>
      <c r="E5013" s="8" t="n">
        <v>0.0922619047619048</v>
      </c>
      <c r="F5013" s="4" t="n">
        <f aca="false">D5013*E5013</f>
        <v>23.25</v>
      </c>
      <c r="G5013" s="7" t="n">
        <v>27</v>
      </c>
      <c r="H5013" s="9" t="n">
        <f aca="false">IF(G5013&gt;0,D5013/G5013,"")</f>
        <v>9.33333333333333</v>
      </c>
      <c r="I5013" s="10" t="n">
        <v>46191</v>
      </c>
      <c r="K5013" s="10"/>
      <c r="M5013" s="7"/>
      <c r="N5013" s="8"/>
      <c r="O5013" s="4"/>
    </row>
    <row r="5014" customFormat="false" ht="15" hidden="false" customHeight="false" outlineLevel="0" collapsed="false">
      <c r="A5014" s="0" t="s">
        <v>6704</v>
      </c>
      <c r="C5014" s="0" t="s">
        <v>61</v>
      </c>
      <c r="D5014" s="7" t="n">
        <v>11</v>
      </c>
      <c r="E5014" s="8" t="n">
        <v>2.11181818181818</v>
      </c>
      <c r="F5014" s="4" t="n">
        <f aca="false">D5014*E5014</f>
        <v>23.23</v>
      </c>
      <c r="G5014" s="7" t="n">
        <v>10</v>
      </c>
      <c r="H5014" s="9" t="n">
        <f aca="false">IF(G5014&gt;0,D5014/G5014,"")</f>
        <v>1.1</v>
      </c>
      <c r="I5014" s="10" t="n">
        <v>46297</v>
      </c>
      <c r="J5014" s="3" t="s">
        <v>283</v>
      </c>
      <c r="K5014" s="10" t="n">
        <v>46287</v>
      </c>
      <c r="L5014" s="3" t="s">
        <v>14</v>
      </c>
      <c r="M5014" s="7" t="n">
        <v>152</v>
      </c>
      <c r="N5014" s="8" t="n">
        <v>2.6471</v>
      </c>
      <c r="O5014" s="4" t="n">
        <f aca="false">M5014*N5014</f>
        <v>402.3592</v>
      </c>
    </row>
    <row r="5015" customFormat="false" ht="15" hidden="false" customHeight="false" outlineLevel="0" collapsed="false">
      <c r="A5015" s="0" t="s">
        <v>6705</v>
      </c>
      <c r="C5015" s="0" t="s">
        <v>41</v>
      </c>
      <c r="D5015" s="7" t="n">
        <v>82</v>
      </c>
      <c r="E5015" s="8" t="n">
        <v>0.283292682926829</v>
      </c>
      <c r="F5015" s="4" t="n">
        <f aca="false">D5015*E5015</f>
        <v>23.23</v>
      </c>
      <c r="G5015" s="7" t="n">
        <v>16</v>
      </c>
      <c r="H5015" s="9" t="n">
        <f aca="false">IF(G5015&gt;0,D5015/G5015,"")</f>
        <v>5.125</v>
      </c>
      <c r="I5015" s="10" t="n">
        <v>46041</v>
      </c>
      <c r="J5015" s="3" t="s">
        <v>6706</v>
      </c>
      <c r="K5015" s="10" t="n">
        <v>44266</v>
      </c>
      <c r="L5015" s="3" t="s">
        <v>19</v>
      </c>
      <c r="M5015" s="7" t="n">
        <v>100</v>
      </c>
      <c r="N5015" s="8" t="n">
        <v>0.2833</v>
      </c>
      <c r="O5015" s="4" t="n">
        <f aca="false">M5015*N5015</f>
        <v>28.33</v>
      </c>
    </row>
    <row r="5016" customFormat="false" ht="15" hidden="false" customHeight="false" outlineLevel="0" collapsed="false">
      <c r="A5016" s="0" t="s">
        <v>6707</v>
      </c>
      <c r="C5016" s="0" t="s">
        <v>31</v>
      </c>
      <c r="D5016" s="7" t="n">
        <v>1320</v>
      </c>
      <c r="E5016" s="8" t="n">
        <v>0.0175909090909091</v>
      </c>
      <c r="F5016" s="4" t="n">
        <f aca="false">D5016*E5016</f>
        <v>23.22</v>
      </c>
      <c r="G5016" s="7" t="n">
        <v>42</v>
      </c>
      <c r="H5016" s="9" t="n">
        <f aca="false">IF(G5016&gt;0,D5016/G5016,"")</f>
        <v>31.4285714285714</v>
      </c>
      <c r="I5016" s="10" t="n">
        <v>46143</v>
      </c>
      <c r="J5016" s="3" t="s">
        <v>628</v>
      </c>
      <c r="K5016" s="10" t="n">
        <v>46128</v>
      </c>
      <c r="L5016" s="3" t="s">
        <v>16</v>
      </c>
      <c r="M5016" s="7" t="n">
        <v>1300</v>
      </c>
      <c r="N5016" s="8" t="n">
        <v>0.0175</v>
      </c>
      <c r="O5016" s="4" t="n">
        <f aca="false">M5016*N5016</f>
        <v>22.75</v>
      </c>
    </row>
    <row r="5017" customFormat="false" ht="15" hidden="false" customHeight="false" outlineLevel="0" collapsed="false">
      <c r="A5017" s="0" t="s">
        <v>6708</v>
      </c>
      <c r="C5017" s="0" t="s">
        <v>36</v>
      </c>
      <c r="D5017" s="7" t="n">
        <v>33</v>
      </c>
      <c r="E5017" s="8" t="n">
        <v>0.703030303030303</v>
      </c>
      <c r="F5017" s="4" t="n">
        <f aca="false">D5017*E5017</f>
        <v>23.2</v>
      </c>
      <c r="G5017" s="7" t="n">
        <v>17</v>
      </c>
      <c r="H5017" s="9" t="n">
        <f aca="false">IF(G5017&gt;0,D5017/G5017,"")</f>
        <v>1.94117647058824</v>
      </c>
      <c r="I5017" s="10" t="n">
        <v>46076</v>
      </c>
      <c r="J5017" s="3" t="s">
        <v>6709</v>
      </c>
      <c r="K5017" s="10" t="n">
        <v>46070</v>
      </c>
      <c r="L5017" s="3" t="s">
        <v>18</v>
      </c>
      <c r="M5017" s="7" t="n">
        <v>37</v>
      </c>
      <c r="N5017" s="8" t="n">
        <v>0.7029</v>
      </c>
      <c r="O5017" s="4" t="n">
        <f aca="false">M5017*N5017</f>
        <v>26.0073</v>
      </c>
    </row>
    <row r="5018" customFormat="false" ht="15" hidden="false" customHeight="false" outlineLevel="0" collapsed="false">
      <c r="A5018" s="0" t="s">
        <v>6710</v>
      </c>
      <c r="C5018" s="0" t="s">
        <v>1039</v>
      </c>
      <c r="D5018" s="7" t="n">
        <v>2466</v>
      </c>
      <c r="E5018" s="8" t="n">
        <v>0.00939578264395783</v>
      </c>
      <c r="F5018" s="4" t="n">
        <f aca="false">D5018*E5018</f>
        <v>23.17</v>
      </c>
      <c r="G5018" s="7" t="n">
        <v>400</v>
      </c>
      <c r="H5018" s="9" t="n">
        <f aca="false">IF(G5018&gt;0,D5018/G5018,"")</f>
        <v>6.165</v>
      </c>
      <c r="I5018" s="10" t="n">
        <v>46174</v>
      </c>
      <c r="K5018" s="10"/>
      <c r="M5018" s="7"/>
      <c r="N5018" s="8"/>
      <c r="O5018" s="4"/>
    </row>
    <row r="5019" customFormat="false" ht="15" hidden="false" customHeight="false" outlineLevel="0" collapsed="false">
      <c r="A5019" s="0" t="s">
        <v>6711</v>
      </c>
      <c r="C5019" s="0" t="s">
        <v>31</v>
      </c>
      <c r="D5019" s="7" t="n">
        <v>2733</v>
      </c>
      <c r="E5019" s="8" t="n">
        <v>0.00847054518843761</v>
      </c>
      <c r="F5019" s="4" t="n">
        <f aca="false">D5019*E5019</f>
        <v>23.15</v>
      </c>
      <c r="G5019" s="7" t="n">
        <v>440</v>
      </c>
      <c r="H5019" s="9" t="n">
        <f aca="false">IF(G5019&gt;0,D5019/G5019,"")</f>
        <v>6.21136363636364</v>
      </c>
      <c r="I5019" s="10" t="n">
        <v>46294</v>
      </c>
      <c r="J5019" s="3" t="s">
        <v>4528</v>
      </c>
      <c r="K5019" s="10" t="n">
        <v>45929</v>
      </c>
      <c r="L5019" s="3" t="s">
        <v>19</v>
      </c>
      <c r="M5019" s="7" t="n">
        <v>13000</v>
      </c>
      <c r="N5019" s="8" t="n">
        <v>0.008</v>
      </c>
      <c r="O5019" s="4" t="n">
        <f aca="false">M5019*N5019</f>
        <v>104</v>
      </c>
    </row>
    <row r="5020" customFormat="false" ht="15" hidden="false" customHeight="false" outlineLevel="0" collapsed="false">
      <c r="A5020" s="0" t="s">
        <v>6712</v>
      </c>
      <c r="C5020" s="0" t="s">
        <v>31</v>
      </c>
      <c r="D5020" s="7" t="n">
        <v>469</v>
      </c>
      <c r="E5020" s="8" t="n">
        <v>0.0493390191897655</v>
      </c>
      <c r="F5020" s="4" t="n">
        <f aca="false">D5020*E5020</f>
        <v>23.14</v>
      </c>
      <c r="G5020" s="7" t="n">
        <v>122</v>
      </c>
      <c r="H5020" s="9" t="n">
        <f aca="false">IF(G5020&gt;0,D5020/G5020,"")</f>
        <v>3.84426229508197</v>
      </c>
      <c r="I5020" s="10" t="n">
        <v>46315</v>
      </c>
      <c r="J5020" s="3" t="s">
        <v>2897</v>
      </c>
      <c r="K5020" s="10" t="n">
        <v>45232</v>
      </c>
      <c r="L5020" s="3" t="s">
        <v>16</v>
      </c>
      <c r="M5020" s="7" t="n">
        <v>1015</v>
      </c>
      <c r="N5020" s="8" t="n">
        <v>0.04932</v>
      </c>
      <c r="O5020" s="4" t="n">
        <f aca="false">M5020*N5020</f>
        <v>50.0598</v>
      </c>
    </row>
    <row r="5021" customFormat="false" ht="15" hidden="false" customHeight="false" outlineLevel="0" collapsed="false">
      <c r="A5021" s="0" t="s">
        <v>6713</v>
      </c>
      <c r="C5021" s="0" t="s">
        <v>32</v>
      </c>
      <c r="D5021" s="7" t="n">
        <v>136</v>
      </c>
      <c r="E5021" s="8" t="n">
        <v>0.170147058823529</v>
      </c>
      <c r="F5021" s="4" t="n">
        <f aca="false">D5021*E5021</f>
        <v>23.14</v>
      </c>
      <c r="G5021" s="7" t="n">
        <v>5</v>
      </c>
      <c r="H5021" s="9" t="n">
        <f aca="false">IF(G5021&gt;0,D5021/G5021,"")</f>
        <v>27.2</v>
      </c>
      <c r="I5021" s="10" t="n">
        <v>46154</v>
      </c>
      <c r="J5021" s="3" t="s">
        <v>6172</v>
      </c>
      <c r="K5021" s="10" t="n">
        <v>45455</v>
      </c>
      <c r="L5021" s="3" t="s">
        <v>19</v>
      </c>
      <c r="M5021" s="7" t="n">
        <v>150</v>
      </c>
      <c r="N5021" s="8" t="n">
        <v>0.1701</v>
      </c>
      <c r="O5021" s="4" t="n">
        <f aca="false">M5021*N5021</f>
        <v>25.515</v>
      </c>
    </row>
    <row r="5022" customFormat="false" ht="15" hidden="false" customHeight="false" outlineLevel="0" collapsed="false">
      <c r="A5022" s="0" t="s">
        <v>6714</v>
      </c>
      <c r="C5022" s="0" t="s">
        <v>1010</v>
      </c>
      <c r="D5022" s="7" t="n">
        <v>415</v>
      </c>
      <c r="E5022" s="8" t="n">
        <v>0.0557349397590361</v>
      </c>
      <c r="F5022" s="4" t="n">
        <f aca="false">D5022*E5022</f>
        <v>23.13</v>
      </c>
      <c r="G5022" s="7" t="n">
        <v>108</v>
      </c>
      <c r="H5022" s="9" t="n">
        <f aca="false">IF(G5022&gt;0,D5022/G5022,"")</f>
        <v>3.84259259259259</v>
      </c>
      <c r="I5022" s="10" t="n">
        <v>46314</v>
      </c>
      <c r="J5022" s="3" t="s">
        <v>570</v>
      </c>
      <c r="K5022" s="10" t="n">
        <v>46106</v>
      </c>
      <c r="L5022" s="3" t="s">
        <v>16</v>
      </c>
      <c r="M5022" s="7" t="n">
        <v>500</v>
      </c>
      <c r="N5022" s="8" t="n">
        <v>0.0538</v>
      </c>
      <c r="O5022" s="4" t="n">
        <f aca="false">M5022*N5022</f>
        <v>26.9</v>
      </c>
    </row>
    <row r="5023" customFormat="false" ht="15" hidden="false" customHeight="false" outlineLevel="0" collapsed="false">
      <c r="A5023" s="0" t="s">
        <v>6715</v>
      </c>
      <c r="C5023" s="0" t="s">
        <v>166</v>
      </c>
      <c r="D5023" s="7" t="n">
        <v>63</v>
      </c>
      <c r="E5023" s="8" t="n">
        <v>0.366984126984127</v>
      </c>
      <c r="F5023" s="4" t="n">
        <f aca="false">D5023*E5023</f>
        <v>23.12</v>
      </c>
      <c r="G5023" s="7" t="n">
        <v>2</v>
      </c>
      <c r="H5023" s="9" t="n">
        <f aca="false">IF(G5023&gt;0,D5023/G5023,"")</f>
        <v>31.5</v>
      </c>
      <c r="I5023" s="10" t="n">
        <v>46056</v>
      </c>
      <c r="K5023" s="10"/>
      <c r="M5023" s="7"/>
      <c r="N5023" s="8"/>
      <c r="O5023" s="4"/>
    </row>
    <row r="5024" customFormat="false" ht="15" hidden="false" customHeight="false" outlineLevel="0" collapsed="false">
      <c r="A5024" s="0" t="s">
        <v>6716</v>
      </c>
      <c r="C5024" s="0" t="s">
        <v>37</v>
      </c>
      <c r="D5024" s="7" t="n">
        <v>480</v>
      </c>
      <c r="E5024" s="8" t="n">
        <v>0.0481458333333333</v>
      </c>
      <c r="F5024" s="4" t="n">
        <f aca="false">D5024*E5024</f>
        <v>23.11</v>
      </c>
      <c r="G5024" s="7" t="n">
        <v>20</v>
      </c>
      <c r="H5024" s="9" t="n">
        <f aca="false">IF(G5024&gt;0,D5024/G5024,"")</f>
        <v>24</v>
      </c>
      <c r="I5024" s="10" t="n">
        <v>45967</v>
      </c>
      <c r="J5024" s="3" t="s">
        <v>6717</v>
      </c>
      <c r="K5024" s="10" t="n">
        <v>45243</v>
      </c>
      <c r="L5024" s="3" t="s">
        <v>19</v>
      </c>
      <c r="M5024" s="7" t="n">
        <v>500</v>
      </c>
      <c r="N5024" s="8" t="n">
        <v>0.04814</v>
      </c>
      <c r="O5024" s="4" t="n">
        <f aca="false">M5024*N5024</f>
        <v>24.07</v>
      </c>
    </row>
    <row r="5025" customFormat="false" ht="15" hidden="false" customHeight="false" outlineLevel="0" collapsed="false">
      <c r="A5025" s="0" t="s">
        <v>6718</v>
      </c>
      <c r="C5025" s="0" t="s">
        <v>340</v>
      </c>
      <c r="D5025" s="7" t="n">
        <v>482</v>
      </c>
      <c r="E5025" s="8" t="n">
        <v>0.0479253112033195</v>
      </c>
      <c r="F5025" s="4" t="n">
        <f aca="false">D5025*E5025</f>
        <v>23.1</v>
      </c>
      <c r="G5025" s="7" t="n">
        <v>30</v>
      </c>
      <c r="H5025" s="9" t="n">
        <f aca="false">IF(G5025&gt;0,D5025/G5025,"")</f>
        <v>16.0666666666667</v>
      </c>
      <c r="I5025" s="10" t="n">
        <v>46171</v>
      </c>
      <c r="K5025" s="10"/>
      <c r="M5025" s="7"/>
      <c r="N5025" s="8"/>
      <c r="O5025" s="4"/>
    </row>
    <row r="5026" customFormat="false" ht="15" hidden="false" customHeight="false" outlineLevel="0" collapsed="false">
      <c r="A5026" s="0" t="s">
        <v>6719</v>
      </c>
      <c r="C5026" s="0" t="s">
        <v>398</v>
      </c>
      <c r="D5026" s="7" t="n">
        <v>1460</v>
      </c>
      <c r="E5026" s="8" t="n">
        <v>0.0158219178082192</v>
      </c>
      <c r="F5026" s="4" t="n">
        <f aca="false">D5026*E5026</f>
        <v>23.1</v>
      </c>
      <c r="G5026" s="7" t="n">
        <v>82</v>
      </c>
      <c r="H5026" s="9" t="n">
        <f aca="false">IF(G5026&gt;0,D5026/G5026,"")</f>
        <v>17.8048780487805</v>
      </c>
      <c r="I5026" s="10" t="n">
        <v>46311</v>
      </c>
      <c r="K5026" s="10"/>
      <c r="M5026" s="7"/>
      <c r="N5026" s="8"/>
      <c r="O5026" s="4"/>
    </row>
    <row r="5027" customFormat="false" ht="15" hidden="false" customHeight="false" outlineLevel="0" collapsed="false">
      <c r="A5027" s="0" t="s">
        <v>6720</v>
      </c>
      <c r="C5027" s="0" t="s">
        <v>34</v>
      </c>
      <c r="D5027" s="7" t="n">
        <v>4695</v>
      </c>
      <c r="E5027" s="8" t="n">
        <v>0.00492012779552716</v>
      </c>
      <c r="F5027" s="4" t="n">
        <f aca="false">D5027*E5027</f>
        <v>23.1</v>
      </c>
      <c r="G5027" s="7" t="n">
        <v>236</v>
      </c>
      <c r="H5027" s="9" t="n">
        <f aca="false">IF(G5027&gt;0,D5027/G5027,"")</f>
        <v>19.8940677966102</v>
      </c>
      <c r="I5027" s="10" t="n">
        <v>46251</v>
      </c>
      <c r="J5027" s="3" t="s">
        <v>4230</v>
      </c>
      <c r="K5027" s="10" t="n">
        <v>44312</v>
      </c>
      <c r="L5027" s="3" t="s">
        <v>15</v>
      </c>
      <c r="M5027" s="7" t="n">
        <v>3990</v>
      </c>
      <c r="N5027" s="8" t="n">
        <v>0.00332</v>
      </c>
      <c r="O5027" s="4" t="n">
        <f aca="false">M5027*N5027</f>
        <v>13.2468</v>
      </c>
    </row>
    <row r="5028" customFormat="false" ht="15" hidden="false" customHeight="false" outlineLevel="0" collapsed="false">
      <c r="A5028" s="0" t="s">
        <v>6721</v>
      </c>
      <c r="C5028" s="0" t="s">
        <v>38</v>
      </c>
      <c r="D5028" s="7" t="n">
        <v>90</v>
      </c>
      <c r="E5028" s="8" t="n">
        <v>0.256444444444444</v>
      </c>
      <c r="F5028" s="4" t="n">
        <f aca="false">D5028*E5028</f>
        <v>23.08</v>
      </c>
      <c r="G5028" s="7" t="n">
        <v>10</v>
      </c>
      <c r="H5028" s="9" t="n">
        <f aca="false">IF(G5028&gt;0,D5028/G5028,"")</f>
        <v>9</v>
      </c>
      <c r="I5028" s="10" t="n">
        <v>46136</v>
      </c>
      <c r="J5028" s="3" t="s">
        <v>3852</v>
      </c>
      <c r="K5028" s="10" t="n">
        <v>46126</v>
      </c>
      <c r="L5028" s="3" t="s">
        <v>18</v>
      </c>
      <c r="M5028" s="7" t="n">
        <v>100</v>
      </c>
      <c r="N5028" s="8" t="n">
        <v>0.2565</v>
      </c>
      <c r="O5028" s="4" t="n">
        <f aca="false">M5028*N5028</f>
        <v>25.65</v>
      </c>
    </row>
    <row r="5029" customFormat="false" ht="15" hidden="false" customHeight="false" outlineLevel="0" collapsed="false">
      <c r="A5029" s="0" t="s">
        <v>6722</v>
      </c>
      <c r="C5029" s="0" t="s">
        <v>741</v>
      </c>
      <c r="D5029" s="7" t="n">
        <v>152</v>
      </c>
      <c r="E5029" s="8" t="n">
        <v>0.151842105263158</v>
      </c>
      <c r="F5029" s="4" t="n">
        <f aca="false">D5029*E5029</f>
        <v>23.08</v>
      </c>
      <c r="G5029" s="7" t="n">
        <v>10</v>
      </c>
      <c r="H5029" s="9" t="n">
        <f aca="false">IF(G5029&gt;0,D5029/G5029,"")</f>
        <v>15.2</v>
      </c>
      <c r="I5029" s="10" t="n">
        <v>46034</v>
      </c>
      <c r="K5029" s="10"/>
      <c r="M5029" s="7"/>
      <c r="N5029" s="8"/>
      <c r="O5029" s="4"/>
    </row>
    <row r="5030" customFormat="false" ht="15" hidden="false" customHeight="false" outlineLevel="0" collapsed="false">
      <c r="A5030" s="0" t="s">
        <v>6723</v>
      </c>
      <c r="C5030" s="0" t="s">
        <v>31</v>
      </c>
      <c r="D5030" s="7" t="n">
        <v>3692</v>
      </c>
      <c r="E5030" s="8" t="n">
        <v>0.00624052004333695</v>
      </c>
      <c r="F5030" s="4" t="n">
        <f aca="false">D5030*E5030</f>
        <v>23.04</v>
      </c>
      <c r="G5030" s="7" t="n">
        <v>882</v>
      </c>
      <c r="H5030" s="9" t="n">
        <f aca="false">IF(G5030&gt;0,D5030/G5030,"")</f>
        <v>4.1859410430839</v>
      </c>
      <c r="I5030" s="10" t="n">
        <v>46304</v>
      </c>
      <c r="J5030" s="3" t="s">
        <v>3123</v>
      </c>
      <c r="K5030" s="10" t="n">
        <v>44643</v>
      </c>
      <c r="L5030" s="3" t="s">
        <v>19</v>
      </c>
      <c r="M5030" s="7" t="n">
        <v>9763</v>
      </c>
      <c r="N5030" s="8" t="n">
        <v>0</v>
      </c>
      <c r="O5030" s="4" t="n">
        <v>168.75</v>
      </c>
    </row>
    <row r="5031" customFormat="false" ht="15" hidden="false" customHeight="false" outlineLevel="0" collapsed="false">
      <c r="A5031" s="0" t="s">
        <v>6724</v>
      </c>
      <c r="C5031" s="0" t="s">
        <v>340</v>
      </c>
      <c r="D5031" s="7" t="n">
        <v>350</v>
      </c>
      <c r="E5031" s="8" t="n">
        <v>0.0657714285714286</v>
      </c>
      <c r="F5031" s="4" t="n">
        <f aca="false">D5031*E5031</f>
        <v>23.02</v>
      </c>
      <c r="G5031" s="7" t="n">
        <v>30</v>
      </c>
      <c r="H5031" s="9" t="n">
        <f aca="false">IF(G5031&gt;0,D5031/G5031,"")</f>
        <v>11.6666666666667</v>
      </c>
      <c r="I5031" s="10" t="n">
        <v>46240</v>
      </c>
      <c r="J5031" s="3" t="s">
        <v>3545</v>
      </c>
      <c r="K5031" s="10" t="n">
        <v>45772</v>
      </c>
      <c r="L5031" s="3" t="s">
        <v>19</v>
      </c>
      <c r="M5031" s="7" t="n">
        <v>500</v>
      </c>
      <c r="N5031" s="8" t="n">
        <v>0.0658</v>
      </c>
      <c r="O5031" s="4" t="n">
        <f aca="false">M5031*N5031</f>
        <v>32.9</v>
      </c>
    </row>
    <row r="5032" customFormat="false" ht="15" hidden="false" customHeight="false" outlineLevel="0" collapsed="false">
      <c r="A5032" s="0" t="s">
        <v>6725</v>
      </c>
      <c r="C5032" s="0" t="s">
        <v>34</v>
      </c>
      <c r="D5032" s="7" t="n">
        <v>1654</v>
      </c>
      <c r="E5032" s="8" t="n">
        <v>0.0139177750906892</v>
      </c>
      <c r="F5032" s="4" t="n">
        <f aca="false">D5032*E5032</f>
        <v>23.02</v>
      </c>
      <c r="G5032" s="7" t="n">
        <v>471</v>
      </c>
      <c r="H5032" s="9" t="n">
        <f aca="false">IF(G5032&gt;0,D5032/G5032,"")</f>
        <v>3.51167728237792</v>
      </c>
      <c r="I5032" s="10" t="n">
        <v>46293</v>
      </c>
      <c r="J5032" s="3" t="s">
        <v>6726</v>
      </c>
      <c r="K5032" s="10" t="n">
        <v>45005</v>
      </c>
      <c r="L5032" s="3" t="s">
        <v>19</v>
      </c>
      <c r="M5032" s="7" t="n">
        <v>1500</v>
      </c>
      <c r="N5032" s="8" t="n">
        <v>0.0268</v>
      </c>
      <c r="O5032" s="4" t="n">
        <f aca="false">M5032*N5032</f>
        <v>40.2</v>
      </c>
    </row>
    <row r="5033" customFormat="false" ht="15" hidden="false" customHeight="false" outlineLevel="0" collapsed="false">
      <c r="A5033" s="0" t="s">
        <v>6727</v>
      </c>
      <c r="C5033" s="0" t="s">
        <v>31</v>
      </c>
      <c r="D5033" s="7" t="n">
        <v>2523</v>
      </c>
      <c r="E5033" s="8" t="n">
        <v>0.00911613158937773</v>
      </c>
      <c r="F5033" s="4" t="n">
        <f aca="false">D5033*E5033</f>
        <v>23</v>
      </c>
      <c r="G5033" s="7" t="n">
        <v>340</v>
      </c>
      <c r="H5033" s="9" t="n">
        <f aca="false">IF(G5033&gt;0,D5033/G5033,"")</f>
        <v>7.42058823529412</v>
      </c>
      <c r="I5033" s="10" t="n">
        <v>46314</v>
      </c>
      <c r="J5033" s="3" t="s">
        <v>628</v>
      </c>
      <c r="K5033" s="10" t="n">
        <v>46128</v>
      </c>
      <c r="L5033" s="3" t="s">
        <v>16</v>
      </c>
      <c r="M5033" s="7" t="n">
        <v>2600</v>
      </c>
      <c r="N5033" s="8" t="n">
        <v>0.0091</v>
      </c>
      <c r="O5033" s="4" t="n">
        <f aca="false">M5033*N5033</f>
        <v>23.66</v>
      </c>
    </row>
    <row r="5034" customFormat="false" ht="15" hidden="false" customHeight="false" outlineLevel="0" collapsed="false">
      <c r="A5034" s="0" t="s">
        <v>6728</v>
      </c>
      <c r="D5034" s="7" t="n">
        <v>7</v>
      </c>
      <c r="E5034" s="8" t="n">
        <v>3.28285714285714</v>
      </c>
      <c r="F5034" s="4" t="n">
        <f aca="false">D5034*E5034</f>
        <v>22.98</v>
      </c>
      <c r="G5034" s="7" t="n">
        <v>3</v>
      </c>
      <c r="H5034" s="9" t="n">
        <f aca="false">IF(G5034&gt;0,D5034/G5034,"")</f>
        <v>2.33333333333333</v>
      </c>
      <c r="I5034" s="10" t="n">
        <v>45960</v>
      </c>
      <c r="J5034" s="3" t="s">
        <v>2241</v>
      </c>
      <c r="K5034" s="10" t="n">
        <v>45946</v>
      </c>
      <c r="L5034" s="3" t="s">
        <v>14</v>
      </c>
      <c r="M5034" s="7" t="n">
        <v>10</v>
      </c>
      <c r="N5034" s="8" t="n">
        <v>3.283</v>
      </c>
      <c r="O5034" s="4" t="n">
        <f aca="false">M5034*N5034</f>
        <v>32.83</v>
      </c>
    </row>
    <row r="5035" customFormat="false" ht="15" hidden="false" customHeight="false" outlineLevel="0" collapsed="false">
      <c r="A5035" s="0" t="s">
        <v>6729</v>
      </c>
      <c r="C5035" s="0" t="s">
        <v>34</v>
      </c>
      <c r="D5035" s="7" t="n">
        <v>490</v>
      </c>
      <c r="E5035" s="8" t="n">
        <v>0.0468979591836735</v>
      </c>
      <c r="F5035" s="4" t="n">
        <f aca="false">D5035*E5035</f>
        <v>22.98</v>
      </c>
      <c r="G5035" s="7" t="n">
        <v>10</v>
      </c>
      <c r="H5035" s="9" t="n">
        <f aca="false">IF(G5035&gt;0,D5035/G5035,"")</f>
        <v>49</v>
      </c>
      <c r="I5035" s="10" t="n">
        <v>46209</v>
      </c>
      <c r="J5035" s="3" t="s">
        <v>1830</v>
      </c>
      <c r="K5035" s="10" t="n">
        <v>45614</v>
      </c>
      <c r="L5035" s="3" t="s">
        <v>16</v>
      </c>
      <c r="M5035" s="7" t="n">
        <v>800</v>
      </c>
      <c r="N5035" s="8" t="n">
        <v>0.0469</v>
      </c>
      <c r="O5035" s="4" t="n">
        <f aca="false">M5035*N5035</f>
        <v>37.52</v>
      </c>
    </row>
    <row r="5036" customFormat="false" ht="15" hidden="false" customHeight="false" outlineLevel="0" collapsed="false">
      <c r="A5036" s="0" t="s">
        <v>6730</v>
      </c>
      <c r="C5036" s="0" t="s">
        <v>38</v>
      </c>
      <c r="D5036" s="7" t="n">
        <v>65</v>
      </c>
      <c r="E5036" s="8" t="n">
        <v>0.353076923076923</v>
      </c>
      <c r="F5036" s="4" t="n">
        <f aca="false">D5036*E5036</f>
        <v>22.95</v>
      </c>
      <c r="G5036" s="7" t="n">
        <v>10</v>
      </c>
      <c r="H5036" s="9" t="n">
        <f aca="false">IF(G5036&gt;0,D5036/G5036,"")</f>
        <v>6.5</v>
      </c>
      <c r="I5036" s="10" t="n">
        <v>46107</v>
      </c>
      <c r="J5036" s="3" t="s">
        <v>1305</v>
      </c>
      <c r="K5036" s="10" t="n">
        <v>45266</v>
      </c>
      <c r="L5036" s="3" t="s">
        <v>19</v>
      </c>
      <c r="M5036" s="7" t="n">
        <v>82</v>
      </c>
      <c r="N5036" s="8" t="n">
        <v>0.353</v>
      </c>
      <c r="O5036" s="4" t="n">
        <f aca="false">M5036*N5036</f>
        <v>28.946</v>
      </c>
    </row>
    <row r="5037" customFormat="false" ht="15" hidden="false" customHeight="false" outlineLevel="0" collapsed="false">
      <c r="A5037" s="0" t="s">
        <v>6731</v>
      </c>
      <c r="C5037" s="0" t="s">
        <v>340</v>
      </c>
      <c r="D5037" s="7" t="n">
        <v>6203</v>
      </c>
      <c r="E5037" s="8" t="n">
        <v>0.00369982266645172</v>
      </c>
      <c r="F5037" s="4" t="n">
        <f aca="false">D5037*E5037</f>
        <v>22.95</v>
      </c>
      <c r="G5037" s="7" t="n">
        <v>100</v>
      </c>
      <c r="H5037" s="9" t="n">
        <f aca="false">IF(G5037&gt;0,D5037/G5037,"")</f>
        <v>62.03</v>
      </c>
      <c r="I5037" s="10" t="n">
        <v>46183</v>
      </c>
      <c r="J5037" s="3" t="s">
        <v>6732</v>
      </c>
      <c r="K5037" s="10" t="n">
        <v>45310</v>
      </c>
      <c r="L5037" s="3" t="s">
        <v>19</v>
      </c>
      <c r="M5037" s="7" t="n">
        <v>6803</v>
      </c>
      <c r="N5037" s="8" t="n">
        <v>0.0037</v>
      </c>
      <c r="O5037" s="4" t="n">
        <f aca="false">M5037*N5037</f>
        <v>25.1711</v>
      </c>
    </row>
    <row r="5038" customFormat="false" ht="15" hidden="false" customHeight="false" outlineLevel="0" collapsed="false">
      <c r="A5038" s="0" t="s">
        <v>6733</v>
      </c>
      <c r="C5038" s="0" t="s">
        <v>715</v>
      </c>
      <c r="D5038" s="7" t="n">
        <v>512</v>
      </c>
      <c r="E5038" s="8" t="n">
        <v>0.0448046875</v>
      </c>
      <c r="F5038" s="4" t="n">
        <f aca="false">D5038*E5038</f>
        <v>22.94</v>
      </c>
      <c r="G5038" s="7" t="n">
        <v>40</v>
      </c>
      <c r="H5038" s="9" t="n">
        <f aca="false">IF(G5038&gt;0,D5038/G5038,"")</f>
        <v>12.8</v>
      </c>
      <c r="I5038" s="10" t="n">
        <v>46084</v>
      </c>
      <c r="J5038" s="3" t="s">
        <v>1840</v>
      </c>
      <c r="K5038" s="10" t="n">
        <v>44230</v>
      </c>
      <c r="L5038" s="3" t="s">
        <v>19</v>
      </c>
      <c r="M5038" s="7" t="n">
        <v>557</v>
      </c>
      <c r="N5038" s="8" t="n">
        <v>0.0448</v>
      </c>
      <c r="O5038" s="4" t="n">
        <f aca="false">M5038*N5038</f>
        <v>24.9536</v>
      </c>
    </row>
    <row r="5039" customFormat="false" ht="15" hidden="false" customHeight="false" outlineLevel="0" collapsed="false">
      <c r="A5039" s="0" t="s">
        <v>6734</v>
      </c>
      <c r="C5039" s="0" t="s">
        <v>1010</v>
      </c>
      <c r="D5039" s="7" t="n">
        <v>149</v>
      </c>
      <c r="E5039" s="8" t="n">
        <v>0.153892617449664</v>
      </c>
      <c r="F5039" s="4" t="n">
        <f aca="false">D5039*E5039</f>
        <v>22.93</v>
      </c>
      <c r="G5039" s="7" t="n">
        <v>10</v>
      </c>
      <c r="H5039" s="9" t="n">
        <f aca="false">IF(G5039&gt;0,D5039/G5039,"")</f>
        <v>14.9</v>
      </c>
      <c r="I5039" s="10" t="n">
        <v>46111</v>
      </c>
      <c r="J5039" s="3" t="s">
        <v>570</v>
      </c>
      <c r="K5039" s="10" t="n">
        <v>46106</v>
      </c>
      <c r="L5039" s="3" t="s">
        <v>16</v>
      </c>
      <c r="M5039" s="7" t="n">
        <v>174</v>
      </c>
      <c r="N5039" s="8" t="n">
        <v>0.1539</v>
      </c>
      <c r="O5039" s="4" t="n">
        <f aca="false">M5039*N5039</f>
        <v>26.7786</v>
      </c>
    </row>
    <row r="5040" customFormat="false" ht="15" hidden="false" customHeight="false" outlineLevel="0" collapsed="false">
      <c r="A5040" s="0" t="s">
        <v>6735</v>
      </c>
      <c r="C5040" s="0" t="s">
        <v>34</v>
      </c>
      <c r="D5040" s="7" t="n">
        <v>113</v>
      </c>
      <c r="E5040" s="8" t="n">
        <v>0.20283185840708</v>
      </c>
      <c r="F5040" s="4" t="n">
        <f aca="false">D5040*E5040</f>
        <v>22.92</v>
      </c>
      <c r="G5040" s="7" t="n">
        <v>6</v>
      </c>
      <c r="H5040" s="9" t="n">
        <f aca="false">IF(G5040&gt;0,D5040/G5040,"")</f>
        <v>18.8333333333333</v>
      </c>
      <c r="I5040" s="10" t="n">
        <v>46211</v>
      </c>
      <c r="J5040" s="3" t="s">
        <v>249</v>
      </c>
      <c r="K5040" s="10" t="n">
        <v>44314</v>
      </c>
      <c r="L5040" s="3" t="s">
        <v>15</v>
      </c>
      <c r="M5040" s="7" t="n">
        <v>120</v>
      </c>
      <c r="N5040" s="8" t="n">
        <v>0.19823</v>
      </c>
      <c r="O5040" s="4" t="n">
        <f aca="false">M5040*N5040</f>
        <v>23.7876</v>
      </c>
    </row>
    <row r="5041" customFormat="false" ht="15" hidden="false" customHeight="false" outlineLevel="0" collapsed="false">
      <c r="A5041" s="0" t="s">
        <v>6736</v>
      </c>
      <c r="C5041" s="0" t="s">
        <v>765</v>
      </c>
      <c r="D5041" s="7" t="n">
        <v>109</v>
      </c>
      <c r="E5041" s="8" t="n">
        <v>0.210275229357798</v>
      </c>
      <c r="F5041" s="4" t="n">
        <f aca="false">D5041*E5041</f>
        <v>22.92</v>
      </c>
      <c r="G5041" s="7" t="n">
        <v>3</v>
      </c>
      <c r="H5041" s="9" t="n">
        <f aca="false">IF(G5041&gt;0,D5041/G5041,"")</f>
        <v>36.3333333333333</v>
      </c>
      <c r="I5041" s="10" t="n">
        <v>45981</v>
      </c>
      <c r="J5041" s="3" t="s">
        <v>2099</v>
      </c>
      <c r="K5041" s="10" t="n">
        <v>45958</v>
      </c>
      <c r="L5041" s="3" t="s">
        <v>16</v>
      </c>
      <c r="M5041" s="7" t="n">
        <v>100</v>
      </c>
      <c r="N5041" s="8" t="n">
        <v>0.2</v>
      </c>
      <c r="O5041" s="4" t="n">
        <f aca="false">M5041*N5041</f>
        <v>20</v>
      </c>
    </row>
    <row r="5042" customFormat="false" ht="15" hidden="false" customHeight="false" outlineLevel="0" collapsed="false">
      <c r="A5042" s="0" t="s">
        <v>6737</v>
      </c>
      <c r="C5042" s="0" t="s">
        <v>31</v>
      </c>
      <c r="D5042" s="7" t="n">
        <v>200</v>
      </c>
      <c r="E5042" s="8" t="n">
        <v>0.1145</v>
      </c>
      <c r="F5042" s="4" t="n">
        <f aca="false">D5042*E5042</f>
        <v>22.9</v>
      </c>
      <c r="G5042" s="7" t="n">
        <v>93</v>
      </c>
      <c r="H5042" s="9" t="n">
        <f aca="false">IF(G5042&gt;0,D5042/G5042,"")</f>
        <v>2.1505376344086</v>
      </c>
      <c r="I5042" s="10" t="n">
        <v>46289</v>
      </c>
      <c r="J5042" s="3" t="s">
        <v>5162</v>
      </c>
      <c r="K5042" s="10" t="n">
        <v>46231</v>
      </c>
      <c r="L5042" s="3" t="s">
        <v>19</v>
      </c>
      <c r="M5042" s="7" t="n">
        <v>250</v>
      </c>
      <c r="N5042" s="8" t="n">
        <v>0.1145</v>
      </c>
      <c r="O5042" s="4" t="n">
        <f aca="false">M5042*N5042</f>
        <v>28.625</v>
      </c>
    </row>
    <row r="5043" customFormat="false" ht="15" hidden="false" customHeight="false" outlineLevel="0" collapsed="false">
      <c r="A5043" s="0" t="s">
        <v>6738</v>
      </c>
      <c r="C5043" s="0" t="s">
        <v>715</v>
      </c>
      <c r="D5043" s="7" t="n">
        <v>394</v>
      </c>
      <c r="E5043" s="8" t="n">
        <v>0.0580964467005076</v>
      </c>
      <c r="F5043" s="4" t="n">
        <f aca="false">D5043*E5043</f>
        <v>22.89</v>
      </c>
      <c r="G5043" s="7" t="n">
        <v>142</v>
      </c>
      <c r="H5043" s="9" t="n">
        <f aca="false">IF(G5043&gt;0,D5043/G5043,"")</f>
        <v>2.77464788732394</v>
      </c>
      <c r="I5043" s="10" t="n">
        <v>46147</v>
      </c>
      <c r="J5043" s="3" t="s">
        <v>1545</v>
      </c>
      <c r="K5043" s="10" t="n">
        <v>45546</v>
      </c>
      <c r="L5043" s="3" t="s">
        <v>14</v>
      </c>
      <c r="M5043" s="7" t="n">
        <v>1000</v>
      </c>
      <c r="N5043" s="8" t="n">
        <v>0.0585</v>
      </c>
      <c r="O5043" s="4" t="n">
        <f aca="false">M5043*N5043</f>
        <v>58.5</v>
      </c>
    </row>
    <row r="5044" customFormat="false" ht="15" hidden="false" customHeight="false" outlineLevel="0" collapsed="false">
      <c r="A5044" s="0" t="s">
        <v>6739</v>
      </c>
      <c r="C5044" s="0" t="s">
        <v>35</v>
      </c>
      <c r="D5044" s="7" t="n">
        <v>27</v>
      </c>
      <c r="E5044" s="8" t="n">
        <v>0.847407407407407</v>
      </c>
      <c r="F5044" s="4" t="n">
        <f aca="false">D5044*E5044</f>
        <v>22.88</v>
      </c>
      <c r="G5044" s="7" t="n">
        <v>9</v>
      </c>
      <c r="H5044" s="9" t="n">
        <f aca="false">IF(G5044&gt;0,D5044/G5044,"")</f>
        <v>3</v>
      </c>
      <c r="I5044" s="10" t="n">
        <v>46057</v>
      </c>
      <c r="J5044" s="3" t="s">
        <v>3526</v>
      </c>
      <c r="K5044" s="10" t="n">
        <v>45293</v>
      </c>
      <c r="L5044" s="3" t="s">
        <v>14</v>
      </c>
      <c r="M5044" s="7" t="n">
        <v>100</v>
      </c>
      <c r="N5044" s="8" t="n">
        <v>0.8477</v>
      </c>
      <c r="O5044" s="4" t="n">
        <f aca="false">M5044*N5044</f>
        <v>84.77</v>
      </c>
    </row>
    <row r="5045" customFormat="false" ht="15" hidden="false" customHeight="false" outlineLevel="0" collapsed="false">
      <c r="A5045" s="0" t="s">
        <v>6740</v>
      </c>
      <c r="C5045" s="0" t="s">
        <v>34</v>
      </c>
      <c r="D5045" s="7" t="n">
        <v>230</v>
      </c>
      <c r="E5045" s="8" t="n">
        <v>0.0993913043478261</v>
      </c>
      <c r="F5045" s="4" t="n">
        <f aca="false">D5045*E5045</f>
        <v>22.86</v>
      </c>
      <c r="G5045" s="7" t="n">
        <v>40</v>
      </c>
      <c r="H5045" s="9" t="n">
        <f aca="false">IF(G5045&gt;0,D5045/G5045,"")</f>
        <v>5.75</v>
      </c>
      <c r="I5045" s="10" t="n">
        <v>46279</v>
      </c>
      <c r="K5045" s="10"/>
      <c r="M5045" s="7"/>
      <c r="N5045" s="8"/>
      <c r="O5045" s="4"/>
    </row>
    <row r="5046" customFormat="false" ht="15" hidden="false" customHeight="false" outlineLevel="0" collapsed="false">
      <c r="A5046" s="0" t="s">
        <v>6741</v>
      </c>
      <c r="C5046" s="0" t="s">
        <v>118</v>
      </c>
      <c r="D5046" s="7" t="n">
        <v>18</v>
      </c>
      <c r="E5046" s="8" t="n">
        <v>1.26833333333333</v>
      </c>
      <c r="F5046" s="4" t="n">
        <f aca="false">D5046*E5046</f>
        <v>22.83</v>
      </c>
      <c r="G5046" s="7" t="n">
        <v>16</v>
      </c>
      <c r="H5046" s="9" t="n">
        <f aca="false">IF(G5046&gt;0,D5046/G5046,"")</f>
        <v>1.125</v>
      </c>
      <c r="I5046" s="10" t="n">
        <v>46287</v>
      </c>
      <c r="J5046" s="3" t="s">
        <v>725</v>
      </c>
      <c r="K5046" s="10" t="n">
        <v>45523</v>
      </c>
      <c r="L5046" s="3" t="s">
        <v>14</v>
      </c>
      <c r="M5046" s="7" t="n">
        <v>50</v>
      </c>
      <c r="N5046" s="8" t="n">
        <v>1.269</v>
      </c>
      <c r="O5046" s="4" t="n">
        <f aca="false">M5046*N5046</f>
        <v>63.45</v>
      </c>
    </row>
    <row r="5047" customFormat="false" ht="15" hidden="false" customHeight="false" outlineLevel="0" collapsed="false">
      <c r="A5047" s="0" t="s">
        <v>6742</v>
      </c>
      <c r="C5047" s="0" t="s">
        <v>36</v>
      </c>
      <c r="D5047" s="7" t="n">
        <v>121</v>
      </c>
      <c r="E5047" s="8" t="n">
        <v>0.188595041322314</v>
      </c>
      <c r="F5047" s="4" t="n">
        <f aca="false">D5047*E5047</f>
        <v>22.82</v>
      </c>
      <c r="G5047" s="7" t="n">
        <v>54</v>
      </c>
      <c r="H5047" s="9" t="n">
        <f aca="false">IF(G5047&gt;0,D5047/G5047,"")</f>
        <v>2.24074074074074</v>
      </c>
      <c r="I5047" s="10" t="n">
        <v>46098</v>
      </c>
      <c r="J5047" s="3" t="s">
        <v>6743</v>
      </c>
      <c r="K5047" s="10" t="n">
        <v>44376</v>
      </c>
      <c r="L5047" s="3" t="s">
        <v>19</v>
      </c>
      <c r="M5047" s="7" t="n">
        <v>265</v>
      </c>
      <c r="N5047" s="8" t="n">
        <v>0.1886</v>
      </c>
      <c r="O5047" s="4" t="n">
        <f aca="false">M5047*N5047</f>
        <v>49.979</v>
      </c>
    </row>
    <row r="5048" customFormat="false" ht="15" hidden="false" customHeight="false" outlineLevel="0" collapsed="false">
      <c r="A5048" s="0" t="s">
        <v>6744</v>
      </c>
      <c r="C5048" s="0" t="s">
        <v>41</v>
      </c>
      <c r="D5048" s="7" t="n">
        <v>630</v>
      </c>
      <c r="E5048" s="8" t="n">
        <v>0.0362063492063492</v>
      </c>
      <c r="F5048" s="4" t="n">
        <f aca="false">D5048*E5048</f>
        <v>22.81</v>
      </c>
      <c r="G5048" s="7" t="n">
        <v>30</v>
      </c>
      <c r="H5048" s="9" t="n">
        <f aca="false">IF(G5048&gt;0,D5048/G5048,"")</f>
        <v>21</v>
      </c>
      <c r="I5048" s="10" t="n">
        <v>46202</v>
      </c>
      <c r="K5048" s="10"/>
      <c r="M5048" s="7"/>
      <c r="N5048" s="8"/>
      <c r="O5048" s="4"/>
    </row>
    <row r="5049" customFormat="false" ht="15" hidden="false" customHeight="false" outlineLevel="0" collapsed="false">
      <c r="A5049" s="0" t="s">
        <v>6745</v>
      </c>
      <c r="C5049" s="0" t="s">
        <v>2981</v>
      </c>
      <c r="D5049" s="7" t="n">
        <v>45</v>
      </c>
      <c r="E5049" s="8" t="n">
        <v>0.506</v>
      </c>
      <c r="F5049" s="4" t="n">
        <f aca="false">D5049*E5049</f>
        <v>22.77</v>
      </c>
      <c r="G5049" s="7" t="n">
        <v>5</v>
      </c>
      <c r="H5049" s="9" t="n">
        <f aca="false">IF(G5049&gt;0,D5049/G5049,"")</f>
        <v>9</v>
      </c>
      <c r="I5049" s="10" t="n">
        <v>46210</v>
      </c>
      <c r="J5049" s="3" t="s">
        <v>826</v>
      </c>
      <c r="K5049" s="10" t="n">
        <v>46199</v>
      </c>
      <c r="L5049" s="3" t="s">
        <v>14</v>
      </c>
      <c r="M5049" s="7" t="n">
        <v>50</v>
      </c>
      <c r="N5049" s="8" t="n">
        <v>0.506</v>
      </c>
      <c r="O5049" s="4" t="n">
        <f aca="false">M5049*N5049</f>
        <v>25.3</v>
      </c>
    </row>
    <row r="5050" customFormat="false" ht="15" hidden="false" customHeight="false" outlineLevel="0" collapsed="false">
      <c r="A5050" s="0" t="s">
        <v>6746</v>
      </c>
      <c r="C5050" s="0" t="s">
        <v>37</v>
      </c>
      <c r="D5050" s="7" t="n">
        <v>1362</v>
      </c>
      <c r="E5050" s="8" t="n">
        <v>0.0167033773861968</v>
      </c>
      <c r="F5050" s="4" t="n">
        <f aca="false">D5050*E5050</f>
        <v>22.75</v>
      </c>
      <c r="G5050" s="7" t="n">
        <v>125</v>
      </c>
      <c r="H5050" s="9" t="n">
        <f aca="false">IF(G5050&gt;0,D5050/G5050,"")</f>
        <v>10.896</v>
      </c>
      <c r="I5050" s="10" t="n">
        <v>46238</v>
      </c>
      <c r="J5050" s="3" t="s">
        <v>6747</v>
      </c>
      <c r="K5050" s="10" t="n">
        <v>45051</v>
      </c>
      <c r="L5050" s="3" t="s">
        <v>19</v>
      </c>
      <c r="M5050" s="7" t="n">
        <v>1812</v>
      </c>
      <c r="N5050" s="8" t="n">
        <v>0.0167</v>
      </c>
      <c r="O5050" s="4" t="n">
        <f aca="false">M5050*N5050</f>
        <v>30.2604</v>
      </c>
    </row>
    <row r="5051" customFormat="false" ht="15" hidden="false" customHeight="false" outlineLevel="0" collapsed="false">
      <c r="A5051" s="0" t="s">
        <v>6748</v>
      </c>
      <c r="C5051" s="0" t="s">
        <v>38</v>
      </c>
      <c r="D5051" s="7" t="n">
        <v>595</v>
      </c>
      <c r="E5051" s="8" t="n">
        <v>0.0382352941176471</v>
      </c>
      <c r="F5051" s="4" t="n">
        <f aca="false">D5051*E5051</f>
        <v>22.75</v>
      </c>
      <c r="G5051" s="7" t="n">
        <v>20</v>
      </c>
      <c r="H5051" s="9" t="n">
        <f aca="false">IF(G5051&gt;0,D5051/G5051,"")</f>
        <v>29.75</v>
      </c>
      <c r="I5051" s="10" t="n">
        <v>46062</v>
      </c>
      <c r="K5051" s="10"/>
      <c r="M5051" s="7"/>
      <c r="N5051" s="8"/>
      <c r="O5051" s="4"/>
    </row>
    <row r="5052" customFormat="false" ht="15" hidden="false" customHeight="false" outlineLevel="0" collapsed="false">
      <c r="A5052" s="0" t="s">
        <v>6749</v>
      </c>
      <c r="C5052" s="0" t="s">
        <v>1169</v>
      </c>
      <c r="D5052" s="7" t="n">
        <v>45</v>
      </c>
      <c r="E5052" s="8" t="n">
        <v>0.504222222222222</v>
      </c>
      <c r="F5052" s="4" t="n">
        <f aca="false">D5052*E5052</f>
        <v>22.69</v>
      </c>
      <c r="G5052" s="7" t="n">
        <v>4</v>
      </c>
      <c r="H5052" s="9" t="n">
        <f aca="false">IF(G5052&gt;0,D5052/G5052,"")</f>
        <v>11.25</v>
      </c>
      <c r="I5052" s="10" t="n">
        <v>46300</v>
      </c>
      <c r="J5052" s="3" t="s">
        <v>6194</v>
      </c>
      <c r="K5052" s="10" t="n">
        <v>45145</v>
      </c>
      <c r="L5052" s="3" t="s">
        <v>19</v>
      </c>
      <c r="M5052" s="7" t="n">
        <v>50</v>
      </c>
      <c r="N5052" s="8" t="n">
        <v>0.5042</v>
      </c>
      <c r="O5052" s="4" t="n">
        <f aca="false">M5052*N5052</f>
        <v>25.21</v>
      </c>
    </row>
    <row r="5053" customFormat="false" ht="15" hidden="false" customHeight="false" outlineLevel="0" collapsed="false">
      <c r="A5053" s="0" t="s">
        <v>6750</v>
      </c>
      <c r="C5053" s="0" t="s">
        <v>1169</v>
      </c>
      <c r="D5053" s="7" t="n">
        <v>18</v>
      </c>
      <c r="E5053" s="8" t="n">
        <v>1.26</v>
      </c>
      <c r="F5053" s="4" t="n">
        <f aca="false">D5053*E5053</f>
        <v>22.68</v>
      </c>
      <c r="G5053" s="7" t="n">
        <v>1</v>
      </c>
      <c r="H5053" s="9" t="n">
        <f aca="false">IF(G5053&gt;0,D5053/G5053,"")</f>
        <v>18</v>
      </c>
      <c r="I5053" s="10" t="n">
        <v>46146</v>
      </c>
      <c r="J5053" s="3" t="s">
        <v>80</v>
      </c>
      <c r="K5053" s="10" t="n">
        <v>44887</v>
      </c>
      <c r="L5053" s="3" t="s">
        <v>19</v>
      </c>
      <c r="M5053" s="7" t="n">
        <v>25</v>
      </c>
      <c r="N5053" s="8" t="n">
        <v>1.2578</v>
      </c>
      <c r="O5053" s="4" t="n">
        <f aca="false">M5053*N5053</f>
        <v>31.445</v>
      </c>
    </row>
    <row r="5054" customFormat="false" ht="15" hidden="false" customHeight="false" outlineLevel="0" collapsed="false">
      <c r="A5054" s="0" t="s">
        <v>6751</v>
      </c>
      <c r="C5054" s="0" t="s">
        <v>39</v>
      </c>
      <c r="D5054" s="7" t="n">
        <v>174</v>
      </c>
      <c r="E5054" s="8" t="n">
        <v>0.130172413793104</v>
      </c>
      <c r="F5054" s="4" t="n">
        <f aca="false">D5054*E5054</f>
        <v>22.65</v>
      </c>
      <c r="G5054" s="7" t="n">
        <v>30</v>
      </c>
      <c r="H5054" s="9" t="n">
        <f aca="false">IF(G5054&gt;0,D5054/G5054,"")</f>
        <v>5.8</v>
      </c>
      <c r="I5054" s="10" t="n">
        <v>45981</v>
      </c>
      <c r="K5054" s="10"/>
      <c r="M5054" s="7"/>
      <c r="N5054" s="8"/>
      <c r="O5054" s="4"/>
    </row>
    <row r="5055" customFormat="false" ht="15" hidden="false" customHeight="false" outlineLevel="0" collapsed="false">
      <c r="A5055" s="0" t="s">
        <v>6752</v>
      </c>
      <c r="C5055" s="0" t="s">
        <v>360</v>
      </c>
      <c r="D5055" s="7" t="n">
        <v>846</v>
      </c>
      <c r="E5055" s="8" t="n">
        <v>0.0267730496453901</v>
      </c>
      <c r="F5055" s="4" t="n">
        <f aca="false">D5055*E5055</f>
        <v>22.65</v>
      </c>
      <c r="G5055" s="7" t="n">
        <v>110</v>
      </c>
      <c r="H5055" s="9" t="n">
        <f aca="false">IF(G5055&gt;0,D5055/G5055,"")</f>
        <v>7.69090909090909</v>
      </c>
      <c r="I5055" s="10" t="n">
        <v>45978</v>
      </c>
      <c r="J5055" s="3" t="s">
        <v>6753</v>
      </c>
      <c r="K5055" s="10" t="n">
        <v>44953</v>
      </c>
      <c r="L5055" s="3" t="s">
        <v>14</v>
      </c>
      <c r="M5055" s="7" t="n">
        <v>1000</v>
      </c>
      <c r="N5055" s="8" t="n">
        <v>0.0259</v>
      </c>
      <c r="O5055" s="4" t="n">
        <f aca="false">M5055*N5055</f>
        <v>25.9</v>
      </c>
    </row>
    <row r="5056" customFormat="false" ht="15" hidden="false" customHeight="false" outlineLevel="0" collapsed="false">
      <c r="A5056" s="0" t="s">
        <v>6754</v>
      </c>
      <c r="C5056" s="0" t="s">
        <v>298</v>
      </c>
      <c r="D5056" s="7" t="n">
        <v>1265</v>
      </c>
      <c r="E5056" s="8" t="n">
        <v>0.017897233201581</v>
      </c>
      <c r="F5056" s="4" t="n">
        <f aca="false">D5056*E5056</f>
        <v>22.64</v>
      </c>
      <c r="G5056" s="7" t="n">
        <v>30</v>
      </c>
      <c r="H5056" s="9" t="n">
        <f aca="false">IF(G5056&gt;0,D5056/G5056,"")</f>
        <v>42.1666666666667</v>
      </c>
      <c r="I5056" s="10" t="n">
        <v>46022</v>
      </c>
      <c r="J5056" s="3" t="s">
        <v>3545</v>
      </c>
      <c r="K5056" s="10" t="n">
        <v>45772</v>
      </c>
      <c r="L5056" s="3" t="s">
        <v>19</v>
      </c>
      <c r="M5056" s="7" t="n">
        <v>1400</v>
      </c>
      <c r="N5056" s="8" t="n">
        <v>0.0179</v>
      </c>
      <c r="O5056" s="4" t="n">
        <f aca="false">M5056*N5056</f>
        <v>25.06</v>
      </c>
    </row>
    <row r="5057" customFormat="false" ht="15" hidden="false" customHeight="false" outlineLevel="0" collapsed="false">
      <c r="A5057" s="0" t="s">
        <v>6755</v>
      </c>
      <c r="C5057" s="0" t="s">
        <v>33</v>
      </c>
      <c r="D5057" s="7" t="n">
        <v>7</v>
      </c>
      <c r="E5057" s="8" t="n">
        <v>3.23</v>
      </c>
      <c r="F5057" s="4" t="n">
        <f aca="false">D5057*E5057</f>
        <v>22.61</v>
      </c>
      <c r="G5057" s="7" t="n">
        <v>2</v>
      </c>
      <c r="H5057" s="9" t="n">
        <f aca="false">IF(G5057&gt;0,D5057/G5057,"")</f>
        <v>3.5</v>
      </c>
      <c r="I5057" s="10" t="n">
        <v>45958</v>
      </c>
      <c r="J5057" s="3" t="s">
        <v>4250</v>
      </c>
      <c r="K5057" s="10" t="n">
        <v>45659</v>
      </c>
      <c r="L5057" s="3" t="s">
        <v>18</v>
      </c>
      <c r="M5057" s="7" t="n">
        <v>9</v>
      </c>
      <c r="N5057" s="8" t="n">
        <v>3.2304</v>
      </c>
      <c r="O5057" s="4" t="n">
        <f aca="false">M5057*N5057</f>
        <v>29.0736</v>
      </c>
    </row>
    <row r="5058" customFormat="false" ht="15" hidden="false" customHeight="false" outlineLevel="0" collapsed="false">
      <c r="A5058" s="0" t="s">
        <v>6756</v>
      </c>
      <c r="C5058" s="0" t="s">
        <v>295</v>
      </c>
      <c r="D5058" s="7" t="n">
        <v>440</v>
      </c>
      <c r="E5058" s="8" t="n">
        <v>0.0512727272727273</v>
      </c>
      <c r="F5058" s="4" t="n">
        <f aca="false">D5058*E5058</f>
        <v>22.56</v>
      </c>
      <c r="G5058" s="7" t="n">
        <v>121</v>
      </c>
      <c r="H5058" s="9" t="n">
        <f aca="false">IF(G5058&gt;0,D5058/G5058,"")</f>
        <v>3.63636363636364</v>
      </c>
      <c r="I5058" s="10" t="n">
        <v>46273</v>
      </c>
      <c r="J5058" s="3" t="s">
        <v>2631</v>
      </c>
      <c r="K5058" s="10" t="n">
        <v>46265</v>
      </c>
      <c r="L5058" s="3" t="s">
        <v>15</v>
      </c>
      <c r="M5058" s="7" t="n">
        <v>440</v>
      </c>
      <c r="N5058" s="8" t="n">
        <v>0.05128</v>
      </c>
      <c r="O5058" s="4" t="n">
        <f aca="false">M5058*N5058</f>
        <v>22.5632</v>
      </c>
    </row>
    <row r="5059" customFormat="false" ht="15" hidden="false" customHeight="false" outlineLevel="0" collapsed="false">
      <c r="A5059" s="0" t="s">
        <v>6757</v>
      </c>
      <c r="C5059" s="0" t="s">
        <v>34</v>
      </c>
      <c r="D5059" s="7" t="n">
        <v>12</v>
      </c>
      <c r="E5059" s="8" t="n">
        <v>1.87833333333333</v>
      </c>
      <c r="F5059" s="4" t="n">
        <f aca="false">D5059*E5059</f>
        <v>22.54</v>
      </c>
      <c r="G5059" s="7" t="n">
        <v>1</v>
      </c>
      <c r="H5059" s="9" t="n">
        <f aca="false">IF(G5059&gt;0,D5059/G5059,"")</f>
        <v>12</v>
      </c>
      <c r="I5059" s="10" t="n">
        <v>46078</v>
      </c>
      <c r="K5059" s="10"/>
      <c r="M5059" s="7"/>
      <c r="N5059" s="8"/>
      <c r="O5059" s="4"/>
    </row>
    <row r="5060" customFormat="false" ht="15" hidden="false" customHeight="false" outlineLevel="0" collapsed="false">
      <c r="A5060" s="0" t="s">
        <v>6758</v>
      </c>
      <c r="C5060" s="0" t="s">
        <v>37</v>
      </c>
      <c r="D5060" s="7" t="n">
        <v>1011</v>
      </c>
      <c r="E5060" s="8" t="n">
        <v>0.0222947576656776</v>
      </c>
      <c r="F5060" s="4" t="n">
        <f aca="false">D5060*E5060</f>
        <v>22.54</v>
      </c>
      <c r="G5060" s="7" t="n">
        <v>87</v>
      </c>
      <c r="H5060" s="9" t="n">
        <f aca="false">IF(G5060&gt;0,D5060/G5060,"")</f>
        <v>11.6206896551724</v>
      </c>
      <c r="I5060" s="10" t="n">
        <v>46315</v>
      </c>
      <c r="J5060" s="3" t="s">
        <v>6759</v>
      </c>
      <c r="K5060" s="10" t="n">
        <v>44305</v>
      </c>
      <c r="L5060" s="3" t="s">
        <v>19</v>
      </c>
      <c r="M5060" s="7" t="n">
        <v>2300</v>
      </c>
      <c r="N5060" s="8" t="n">
        <v>0.0223</v>
      </c>
      <c r="O5060" s="4" t="n">
        <f aca="false">M5060*N5060</f>
        <v>51.29</v>
      </c>
    </row>
    <row r="5061" customFormat="false" ht="15" hidden="false" customHeight="false" outlineLevel="0" collapsed="false">
      <c r="A5061" s="0" t="s">
        <v>6760</v>
      </c>
      <c r="C5061" s="0" t="s">
        <v>31</v>
      </c>
      <c r="D5061" s="7" t="n">
        <v>870</v>
      </c>
      <c r="E5061" s="8" t="n">
        <v>0.0258965517241379</v>
      </c>
      <c r="F5061" s="4" t="n">
        <f aca="false">D5061*E5061</f>
        <v>22.53</v>
      </c>
      <c r="G5061" s="7" t="n">
        <v>80</v>
      </c>
      <c r="H5061" s="9" t="n">
        <f aca="false">IF(G5061&gt;0,D5061/G5061,"")</f>
        <v>10.875</v>
      </c>
      <c r="I5061" s="10" t="n">
        <v>46293</v>
      </c>
      <c r="J5061" s="3" t="s">
        <v>628</v>
      </c>
      <c r="K5061" s="10" t="n">
        <v>46128</v>
      </c>
      <c r="L5061" s="3" t="s">
        <v>16</v>
      </c>
      <c r="M5061" s="7" t="n">
        <v>950</v>
      </c>
      <c r="N5061" s="8" t="n">
        <v>0.0259</v>
      </c>
      <c r="O5061" s="4" t="n">
        <f aca="false">M5061*N5061</f>
        <v>24.605</v>
      </c>
    </row>
    <row r="5062" customFormat="false" ht="15" hidden="false" customHeight="false" outlineLevel="0" collapsed="false">
      <c r="A5062" s="0" t="s">
        <v>6761</v>
      </c>
      <c r="C5062" s="0" t="s">
        <v>1010</v>
      </c>
      <c r="D5062" s="7" t="n">
        <v>180</v>
      </c>
      <c r="E5062" s="8" t="n">
        <v>0.125111111111111</v>
      </c>
      <c r="F5062" s="4" t="n">
        <f aca="false">D5062*E5062</f>
        <v>22.52</v>
      </c>
      <c r="G5062" s="7" t="n">
        <v>20</v>
      </c>
      <c r="H5062" s="9" t="n">
        <f aca="false">IF(G5062&gt;0,D5062/G5062,"")</f>
        <v>9</v>
      </c>
      <c r="I5062" s="10" t="n">
        <v>46001</v>
      </c>
      <c r="J5062" s="3" t="s">
        <v>296</v>
      </c>
      <c r="K5062" s="10" t="n">
        <v>45975</v>
      </c>
      <c r="L5062" s="3" t="s">
        <v>16</v>
      </c>
      <c r="M5062" s="7" t="n">
        <v>200</v>
      </c>
      <c r="N5062" s="8" t="n">
        <v>0.1251</v>
      </c>
      <c r="O5062" s="4" t="n">
        <f aca="false">M5062*N5062</f>
        <v>25.02</v>
      </c>
    </row>
    <row r="5063" customFormat="false" ht="15" hidden="false" customHeight="false" outlineLevel="0" collapsed="false">
      <c r="A5063" s="0" t="s">
        <v>6762</v>
      </c>
      <c r="C5063" s="0" t="s">
        <v>765</v>
      </c>
      <c r="D5063" s="7" t="n">
        <v>245</v>
      </c>
      <c r="E5063" s="8" t="n">
        <v>0.0918775510204082</v>
      </c>
      <c r="F5063" s="4" t="n">
        <f aca="false">D5063*E5063</f>
        <v>22.51</v>
      </c>
      <c r="G5063" s="7" t="n">
        <v>25</v>
      </c>
      <c r="H5063" s="9" t="n">
        <f aca="false">IF(G5063&gt;0,D5063/G5063,"")</f>
        <v>9.8</v>
      </c>
      <c r="I5063" s="10" t="n">
        <v>46288</v>
      </c>
      <c r="J5063" s="3" t="s">
        <v>6052</v>
      </c>
      <c r="K5063" s="10" t="n">
        <v>46281</v>
      </c>
      <c r="L5063" s="3" t="s">
        <v>19</v>
      </c>
      <c r="M5063" s="7" t="n">
        <v>250</v>
      </c>
      <c r="N5063" s="8" t="n">
        <v>0.0939</v>
      </c>
      <c r="O5063" s="4" t="n">
        <f aca="false">M5063*N5063</f>
        <v>23.475</v>
      </c>
    </row>
    <row r="5064" customFormat="false" ht="15" hidden="false" customHeight="false" outlineLevel="0" collapsed="false">
      <c r="A5064" s="0" t="s">
        <v>6763</v>
      </c>
      <c r="C5064" s="0" t="s">
        <v>40</v>
      </c>
      <c r="D5064" s="7" t="n">
        <v>11</v>
      </c>
      <c r="E5064" s="8" t="n">
        <v>2.04363636363636</v>
      </c>
      <c r="F5064" s="4" t="n">
        <f aca="false">D5064*E5064</f>
        <v>22.48</v>
      </c>
      <c r="G5064" s="7" t="n">
        <v>4</v>
      </c>
      <c r="H5064" s="9" t="n">
        <f aca="false">IF(G5064&gt;0,D5064/G5064,"")</f>
        <v>2.75</v>
      </c>
      <c r="I5064" s="10" t="n">
        <v>46008</v>
      </c>
      <c r="J5064" s="3" t="s">
        <v>4884</v>
      </c>
      <c r="K5064" s="10" t="n">
        <v>45390</v>
      </c>
      <c r="L5064" s="3" t="s">
        <v>28</v>
      </c>
      <c r="M5064" s="7" t="n">
        <v>42</v>
      </c>
      <c r="N5064" s="8" t="n">
        <v>2.0432</v>
      </c>
      <c r="O5064" s="4" t="n">
        <f aca="false">M5064*N5064</f>
        <v>85.8144</v>
      </c>
    </row>
    <row r="5065" customFormat="false" ht="15" hidden="false" customHeight="false" outlineLevel="0" collapsed="false">
      <c r="A5065" s="0" t="s">
        <v>6764</v>
      </c>
      <c r="C5065" s="0" t="s">
        <v>715</v>
      </c>
      <c r="D5065" s="7" t="n">
        <v>236</v>
      </c>
      <c r="E5065" s="8" t="n">
        <v>0.0952118644067797</v>
      </c>
      <c r="F5065" s="4" t="n">
        <f aca="false">D5065*E5065</f>
        <v>22.47</v>
      </c>
      <c r="G5065" s="7" t="n">
        <v>10</v>
      </c>
      <c r="H5065" s="9" t="n">
        <f aca="false">IF(G5065&gt;0,D5065/G5065,"")</f>
        <v>23.6</v>
      </c>
      <c r="I5065" s="10" t="n">
        <v>46021</v>
      </c>
      <c r="K5065" s="10"/>
      <c r="M5065" s="7"/>
      <c r="N5065" s="8"/>
      <c r="O5065" s="4"/>
    </row>
    <row r="5066" customFormat="false" ht="15" hidden="false" customHeight="false" outlineLevel="0" collapsed="false">
      <c r="A5066" s="0" t="s">
        <v>6765</v>
      </c>
      <c r="C5066" s="0" t="s">
        <v>979</v>
      </c>
      <c r="D5066" s="7" t="n">
        <v>79</v>
      </c>
      <c r="E5066" s="8" t="n">
        <v>0.284303797468354</v>
      </c>
      <c r="F5066" s="4" t="n">
        <f aca="false">D5066*E5066</f>
        <v>22.46</v>
      </c>
      <c r="G5066" s="7" t="n">
        <v>31</v>
      </c>
      <c r="H5066" s="9" t="n">
        <f aca="false">IF(G5066&gt;0,D5066/G5066,"")</f>
        <v>2.54838709677419</v>
      </c>
      <c r="I5066" s="10" t="n">
        <v>46107</v>
      </c>
      <c r="J5066" s="3" t="s">
        <v>6766</v>
      </c>
      <c r="K5066" s="10" t="n">
        <v>45107</v>
      </c>
      <c r="L5066" s="3" t="s">
        <v>18</v>
      </c>
      <c r="M5066" s="7" t="n">
        <v>130</v>
      </c>
      <c r="N5066" s="8" t="n">
        <v>0.2844</v>
      </c>
      <c r="O5066" s="4" t="n">
        <f aca="false">M5066*N5066</f>
        <v>36.972</v>
      </c>
    </row>
    <row r="5067" customFormat="false" ht="15" hidden="false" customHeight="false" outlineLevel="0" collapsed="false">
      <c r="A5067" s="0" t="s">
        <v>6767</v>
      </c>
      <c r="C5067" s="0" t="s">
        <v>340</v>
      </c>
      <c r="D5067" s="7" t="n">
        <v>571</v>
      </c>
      <c r="E5067" s="8" t="n">
        <v>0.0392994746059545</v>
      </c>
      <c r="F5067" s="4" t="n">
        <f aca="false">D5067*E5067</f>
        <v>22.44</v>
      </c>
      <c r="G5067" s="7" t="n">
        <v>58</v>
      </c>
      <c r="H5067" s="9" t="n">
        <f aca="false">IF(G5067&gt;0,D5067/G5067,"")</f>
        <v>9.8448275862069</v>
      </c>
      <c r="I5067" s="10" t="n">
        <v>46177</v>
      </c>
      <c r="J5067" s="3" t="s">
        <v>6768</v>
      </c>
      <c r="K5067" s="10" t="n">
        <v>45071</v>
      </c>
      <c r="L5067" s="3" t="s">
        <v>19</v>
      </c>
      <c r="M5067" s="7" t="n">
        <v>735</v>
      </c>
      <c r="N5067" s="8" t="n">
        <v>0.0393</v>
      </c>
      <c r="O5067" s="4" t="n">
        <f aca="false">M5067*N5067</f>
        <v>28.8855</v>
      </c>
    </row>
    <row r="5068" customFormat="false" ht="15" hidden="false" customHeight="false" outlineLevel="0" collapsed="false">
      <c r="A5068" s="0" t="s">
        <v>6769</v>
      </c>
      <c r="C5068" s="0" t="s">
        <v>34</v>
      </c>
      <c r="D5068" s="7" t="n">
        <v>93</v>
      </c>
      <c r="E5068" s="8" t="n">
        <v>0.241182795698925</v>
      </c>
      <c r="F5068" s="4" t="n">
        <f aca="false">D5068*E5068</f>
        <v>22.43</v>
      </c>
      <c r="G5068" s="7" t="n">
        <v>10</v>
      </c>
      <c r="H5068" s="9" t="n">
        <f aca="false">IF(G5068&gt;0,D5068/G5068,"")</f>
        <v>9.3</v>
      </c>
      <c r="I5068" s="10" t="n">
        <v>46295</v>
      </c>
      <c r="J5068" s="3" t="s">
        <v>6235</v>
      </c>
      <c r="K5068" s="10" t="n">
        <v>44210</v>
      </c>
      <c r="L5068" s="3" t="s">
        <v>19</v>
      </c>
      <c r="M5068" s="7" t="n">
        <v>108</v>
      </c>
      <c r="N5068" s="8" t="n">
        <v>0.2412</v>
      </c>
      <c r="O5068" s="4" t="n">
        <f aca="false">M5068*N5068</f>
        <v>26.0496</v>
      </c>
    </row>
    <row r="5069" customFormat="false" ht="15" hidden="false" customHeight="false" outlineLevel="0" collapsed="false">
      <c r="A5069" s="0" t="s">
        <v>6770</v>
      </c>
      <c r="C5069" s="0" t="s">
        <v>38</v>
      </c>
      <c r="D5069" s="7" t="n">
        <v>144</v>
      </c>
      <c r="E5069" s="8" t="n">
        <v>0.155694444444444</v>
      </c>
      <c r="F5069" s="4" t="n">
        <f aca="false">D5069*E5069</f>
        <v>22.42</v>
      </c>
      <c r="G5069" s="7" t="n">
        <v>12</v>
      </c>
      <c r="H5069" s="9" t="n">
        <f aca="false">IF(G5069&gt;0,D5069/G5069,"")</f>
        <v>12</v>
      </c>
      <c r="I5069" s="10" t="n">
        <v>46112</v>
      </c>
      <c r="J5069" s="3" t="s">
        <v>6172</v>
      </c>
      <c r="K5069" s="10" t="n">
        <v>45455</v>
      </c>
      <c r="L5069" s="3" t="s">
        <v>19</v>
      </c>
      <c r="M5069" s="7" t="n">
        <v>161</v>
      </c>
      <c r="N5069" s="8" t="n">
        <v>0.1557</v>
      </c>
      <c r="O5069" s="4" t="n">
        <f aca="false">M5069*N5069</f>
        <v>25.0677</v>
      </c>
    </row>
    <row r="5070" customFormat="false" ht="15" hidden="false" customHeight="false" outlineLevel="0" collapsed="false">
      <c r="A5070" s="0" t="s">
        <v>6771</v>
      </c>
      <c r="C5070" s="0" t="s">
        <v>438</v>
      </c>
      <c r="D5070" s="7" t="n">
        <v>19</v>
      </c>
      <c r="E5070" s="8" t="n">
        <v>1.18</v>
      </c>
      <c r="F5070" s="4" t="n">
        <f aca="false">D5070*E5070</f>
        <v>22.42</v>
      </c>
      <c r="G5070" s="7" t="n">
        <v>4</v>
      </c>
      <c r="H5070" s="9" t="n">
        <f aca="false">IF(G5070&gt;0,D5070/G5070,"")</f>
        <v>4.75</v>
      </c>
      <c r="I5070" s="10" t="n">
        <v>46147</v>
      </c>
      <c r="J5070" s="3" t="s">
        <v>1877</v>
      </c>
      <c r="K5070" s="10" t="n">
        <v>45896</v>
      </c>
      <c r="L5070" s="3" t="s">
        <v>1878</v>
      </c>
      <c r="M5070" s="7" t="n">
        <v>25</v>
      </c>
      <c r="N5070" s="8" t="n">
        <v>1.18</v>
      </c>
      <c r="O5070" s="4" t="n">
        <f aca="false">M5070*N5070</f>
        <v>29.5</v>
      </c>
    </row>
    <row r="5071" customFormat="false" ht="15" hidden="false" customHeight="false" outlineLevel="0" collapsed="false">
      <c r="A5071" s="0" t="s">
        <v>6772</v>
      </c>
      <c r="C5071" s="0" t="s">
        <v>31</v>
      </c>
      <c r="D5071" s="7" t="n">
        <v>1641</v>
      </c>
      <c r="E5071" s="8" t="n">
        <v>0.0136441194393662</v>
      </c>
      <c r="F5071" s="4" t="n">
        <f aca="false">D5071*E5071</f>
        <v>22.39</v>
      </c>
      <c r="G5071" s="7" t="n">
        <v>265</v>
      </c>
      <c r="H5071" s="9" t="n">
        <f aca="false">IF(G5071&gt;0,D5071/G5071,"")</f>
        <v>6.19245283018868</v>
      </c>
      <c r="I5071" s="10" t="n">
        <v>46308</v>
      </c>
      <c r="K5071" s="10"/>
      <c r="M5071" s="7"/>
      <c r="N5071" s="8"/>
      <c r="O5071" s="4"/>
    </row>
    <row r="5072" customFormat="false" ht="15" hidden="false" customHeight="false" outlineLevel="0" collapsed="false">
      <c r="A5072" s="0" t="s">
        <v>6773</v>
      </c>
      <c r="C5072" s="0" t="s">
        <v>40</v>
      </c>
      <c r="D5072" s="7" t="n">
        <v>95</v>
      </c>
      <c r="E5072" s="8" t="n">
        <v>0.235578947368421</v>
      </c>
      <c r="F5072" s="4" t="n">
        <f aca="false">D5072*E5072</f>
        <v>22.38</v>
      </c>
      <c r="G5072" s="7" t="n">
        <v>15</v>
      </c>
      <c r="H5072" s="9" t="n">
        <f aca="false">IF(G5072&gt;0,D5072/G5072,"")</f>
        <v>6.33333333333333</v>
      </c>
      <c r="I5072" s="10" t="n">
        <v>46156</v>
      </c>
      <c r="J5072" s="3" t="s">
        <v>6774</v>
      </c>
      <c r="K5072" s="10" t="n">
        <v>45447</v>
      </c>
      <c r="L5072" s="3" t="s">
        <v>18</v>
      </c>
      <c r="M5072" s="7" t="n">
        <v>110</v>
      </c>
      <c r="N5072" s="8" t="n">
        <v>0.2355</v>
      </c>
      <c r="O5072" s="4" t="n">
        <f aca="false">M5072*N5072</f>
        <v>25.905</v>
      </c>
    </row>
    <row r="5073" customFormat="false" ht="15" hidden="false" customHeight="false" outlineLevel="0" collapsed="false">
      <c r="A5073" s="0" t="s">
        <v>6775</v>
      </c>
      <c r="C5073" s="0" t="s">
        <v>33</v>
      </c>
      <c r="D5073" s="7" t="n">
        <v>89</v>
      </c>
      <c r="E5073" s="8" t="n">
        <v>0.251348314606742</v>
      </c>
      <c r="F5073" s="4" t="n">
        <f aca="false">D5073*E5073</f>
        <v>22.37</v>
      </c>
      <c r="G5073" s="7" t="n">
        <v>10</v>
      </c>
      <c r="H5073" s="9" t="n">
        <f aca="false">IF(G5073&gt;0,D5073/G5073,"")</f>
        <v>8.9</v>
      </c>
      <c r="I5073" s="10" t="n">
        <v>46202</v>
      </c>
      <c r="K5073" s="10"/>
      <c r="M5073" s="7"/>
      <c r="N5073" s="8"/>
      <c r="O5073" s="4"/>
    </row>
    <row r="5074" customFormat="false" ht="15" hidden="false" customHeight="false" outlineLevel="0" collapsed="false">
      <c r="A5074" s="0" t="s">
        <v>6776</v>
      </c>
      <c r="C5074" s="0" t="s">
        <v>360</v>
      </c>
      <c r="D5074" s="7" t="n">
        <v>1960</v>
      </c>
      <c r="E5074" s="8" t="n">
        <v>0.0114081632653061</v>
      </c>
      <c r="F5074" s="4" t="n">
        <f aca="false">D5074*E5074</f>
        <v>22.36</v>
      </c>
      <c r="G5074" s="7" t="n">
        <v>1837</v>
      </c>
      <c r="H5074" s="9" t="n">
        <f aca="false">IF(G5074&gt;0,D5074/G5074,"")</f>
        <v>1.06695699510071</v>
      </c>
      <c r="I5074" s="10" t="n">
        <v>46301</v>
      </c>
      <c r="K5074" s="10"/>
      <c r="M5074" s="7"/>
      <c r="N5074" s="8"/>
      <c r="O5074" s="4"/>
    </row>
    <row r="5075" customFormat="false" ht="15" hidden="false" customHeight="false" outlineLevel="0" collapsed="false">
      <c r="A5075" s="0" t="s">
        <v>6777</v>
      </c>
      <c r="C5075" s="0" t="s">
        <v>34</v>
      </c>
      <c r="D5075" s="7" t="n">
        <v>1344</v>
      </c>
      <c r="E5075" s="8" t="n">
        <v>0.0166071428571429</v>
      </c>
      <c r="F5075" s="4" t="n">
        <f aca="false">D5075*E5075</f>
        <v>22.32</v>
      </c>
      <c r="G5075" s="7" t="n">
        <v>145</v>
      </c>
      <c r="H5075" s="9" t="n">
        <f aca="false">IF(G5075&gt;0,D5075/G5075,"")</f>
        <v>9.26896551724138</v>
      </c>
      <c r="I5075" s="10" t="n">
        <v>46216</v>
      </c>
      <c r="J5075" s="3" t="s">
        <v>178</v>
      </c>
      <c r="K5075" s="10" t="n">
        <v>44301</v>
      </c>
      <c r="L5075" s="3" t="s">
        <v>15</v>
      </c>
      <c r="M5075" s="7" t="n">
        <v>2860</v>
      </c>
      <c r="N5075" s="8" t="n">
        <v>0.01661</v>
      </c>
      <c r="O5075" s="4" t="n">
        <f aca="false">M5075*N5075</f>
        <v>47.5046</v>
      </c>
    </row>
    <row r="5076" customFormat="false" ht="15" hidden="false" customHeight="false" outlineLevel="0" collapsed="false">
      <c r="A5076" s="0" t="s">
        <v>6778</v>
      </c>
      <c r="C5076" s="0" t="s">
        <v>31</v>
      </c>
      <c r="D5076" s="7" t="n">
        <v>2030</v>
      </c>
      <c r="E5076" s="8" t="n">
        <v>0.0109852216748769</v>
      </c>
      <c r="F5076" s="4" t="n">
        <f aca="false">D5076*E5076</f>
        <v>22.3</v>
      </c>
      <c r="G5076" s="7" t="n">
        <v>13</v>
      </c>
      <c r="H5076" s="9" t="n">
        <f aca="false">IF(G5076&gt;0,D5076/G5076,"")</f>
        <v>156.153846153846</v>
      </c>
      <c r="I5076" s="10" t="n">
        <v>46220</v>
      </c>
      <c r="J5076" s="3" t="s">
        <v>6591</v>
      </c>
      <c r="K5076" s="10" t="n">
        <v>44320</v>
      </c>
      <c r="L5076" s="3" t="s">
        <v>19</v>
      </c>
      <c r="M5076" s="7" t="n">
        <v>2500</v>
      </c>
      <c r="N5076" s="8" t="n">
        <v>0.011</v>
      </c>
      <c r="O5076" s="4" t="n">
        <f aca="false">M5076*N5076</f>
        <v>27.5</v>
      </c>
    </row>
    <row r="5077" customFormat="false" ht="15" hidden="false" customHeight="false" outlineLevel="0" collapsed="false">
      <c r="A5077" s="0" t="s">
        <v>6779</v>
      </c>
      <c r="C5077" s="0" t="s">
        <v>41</v>
      </c>
      <c r="D5077" s="7" t="n">
        <v>241</v>
      </c>
      <c r="E5077" s="8" t="n">
        <v>0.0924066390041494</v>
      </c>
      <c r="F5077" s="4" t="n">
        <f aca="false">D5077*E5077</f>
        <v>22.27</v>
      </c>
      <c r="G5077" s="7" t="n">
        <v>200</v>
      </c>
      <c r="H5077" s="9" t="n">
        <f aca="false">IF(G5077&gt;0,D5077/G5077,"")</f>
        <v>1.205</v>
      </c>
      <c r="I5077" s="10" t="n">
        <v>46099</v>
      </c>
      <c r="J5077" s="3" t="s">
        <v>3979</v>
      </c>
      <c r="K5077" s="10" t="n">
        <v>44286</v>
      </c>
      <c r="L5077" s="3" t="s">
        <v>19</v>
      </c>
      <c r="M5077" s="7" t="n">
        <v>487</v>
      </c>
      <c r="N5077" s="8" t="n">
        <v>0.0924</v>
      </c>
      <c r="O5077" s="4" t="n">
        <f aca="false">M5077*N5077</f>
        <v>44.9988</v>
      </c>
    </row>
    <row r="5078" customFormat="false" ht="15" hidden="false" customHeight="false" outlineLevel="0" collapsed="false">
      <c r="A5078" s="0" t="s">
        <v>6780</v>
      </c>
      <c r="C5078" s="0" t="s">
        <v>38</v>
      </c>
      <c r="D5078" s="7" t="n">
        <v>79</v>
      </c>
      <c r="E5078" s="8" t="n">
        <v>0.281645569620253</v>
      </c>
      <c r="F5078" s="4" t="n">
        <f aca="false">D5078*E5078</f>
        <v>22.25</v>
      </c>
      <c r="G5078" s="7" t="n">
        <v>4</v>
      </c>
      <c r="H5078" s="9" t="n">
        <f aca="false">IF(G5078&gt;0,D5078/G5078,"")</f>
        <v>19.75</v>
      </c>
      <c r="I5078" s="10" t="n">
        <v>46036</v>
      </c>
      <c r="J5078" s="3" t="s">
        <v>6781</v>
      </c>
      <c r="K5078" s="10" t="n">
        <v>44638</v>
      </c>
      <c r="L5078" s="3" t="s">
        <v>19</v>
      </c>
      <c r="M5078" s="7" t="n">
        <v>98</v>
      </c>
      <c r="N5078" s="8" t="n">
        <v>0.2815</v>
      </c>
      <c r="O5078" s="4" t="n">
        <f aca="false">M5078*N5078</f>
        <v>27.587</v>
      </c>
    </row>
    <row r="5079" customFormat="false" ht="15" hidden="false" customHeight="false" outlineLevel="0" collapsed="false">
      <c r="A5079" s="0" t="s">
        <v>6782</v>
      </c>
      <c r="C5079" s="0" t="s">
        <v>40</v>
      </c>
      <c r="D5079" s="7" t="n">
        <v>11</v>
      </c>
      <c r="E5079" s="8" t="n">
        <v>2.02181818181818</v>
      </c>
      <c r="F5079" s="4" t="n">
        <f aca="false">D5079*E5079</f>
        <v>22.24</v>
      </c>
      <c r="G5079" s="7" t="n">
        <v>3</v>
      </c>
      <c r="H5079" s="9" t="n">
        <f aca="false">IF(G5079&gt;0,D5079/G5079,"")</f>
        <v>3.66666666666667</v>
      </c>
      <c r="I5079" s="10" t="n">
        <v>46192</v>
      </c>
      <c r="J5079" s="3" t="s">
        <v>1347</v>
      </c>
      <c r="K5079" s="10" t="n">
        <v>46129</v>
      </c>
      <c r="L5079" s="3" t="s">
        <v>18</v>
      </c>
      <c r="M5079" s="7" t="n">
        <v>13</v>
      </c>
      <c r="N5079" s="8" t="n">
        <v>2.0212</v>
      </c>
      <c r="O5079" s="4" t="n">
        <f aca="false">M5079*N5079</f>
        <v>26.2756</v>
      </c>
    </row>
    <row r="5080" customFormat="false" ht="15" hidden="false" customHeight="false" outlineLevel="0" collapsed="false">
      <c r="A5080" s="0" t="s">
        <v>6783</v>
      </c>
      <c r="C5080" s="0" t="s">
        <v>741</v>
      </c>
      <c r="D5080" s="7" t="n">
        <v>85</v>
      </c>
      <c r="E5080" s="8" t="n">
        <v>0.261294117647059</v>
      </c>
      <c r="F5080" s="4" t="n">
        <f aca="false">D5080*E5080</f>
        <v>22.21</v>
      </c>
      <c r="G5080" s="7" t="n">
        <v>4</v>
      </c>
      <c r="H5080" s="9" t="n">
        <f aca="false">IF(G5080&gt;0,D5080/G5080,"")</f>
        <v>21.25</v>
      </c>
      <c r="I5080" s="10" t="n">
        <v>46190</v>
      </c>
      <c r="J5080" s="3" t="s">
        <v>3849</v>
      </c>
      <c r="K5080" s="10" t="n">
        <v>45015</v>
      </c>
      <c r="L5080" s="3" t="s">
        <v>27</v>
      </c>
      <c r="M5080" s="7" t="n">
        <v>100</v>
      </c>
      <c r="N5080" s="8" t="n">
        <v>0.2612</v>
      </c>
      <c r="O5080" s="4" t="n">
        <f aca="false">M5080*N5080</f>
        <v>26.12</v>
      </c>
    </row>
    <row r="5081" customFormat="false" ht="15" hidden="false" customHeight="false" outlineLevel="0" collapsed="false">
      <c r="A5081" s="0" t="s">
        <v>6784</v>
      </c>
      <c r="C5081" s="0" t="s">
        <v>35</v>
      </c>
      <c r="D5081" s="7" t="n">
        <v>18</v>
      </c>
      <c r="E5081" s="8" t="n">
        <v>1.23222222222222</v>
      </c>
      <c r="F5081" s="4" t="n">
        <f aca="false">D5081*E5081</f>
        <v>22.18</v>
      </c>
      <c r="G5081" s="7" t="n">
        <v>6</v>
      </c>
      <c r="H5081" s="9" t="n">
        <f aca="false">IF(G5081&gt;0,D5081/G5081,"")</f>
        <v>3</v>
      </c>
      <c r="I5081" s="10" t="n">
        <v>46220</v>
      </c>
      <c r="J5081" s="3" t="s">
        <v>5565</v>
      </c>
      <c r="K5081" s="10" t="n">
        <v>45730</v>
      </c>
      <c r="L5081" s="3" t="s">
        <v>14</v>
      </c>
      <c r="M5081" s="7" t="n">
        <v>25</v>
      </c>
      <c r="N5081" s="8" t="n">
        <v>1.232</v>
      </c>
      <c r="O5081" s="4" t="n">
        <f aca="false">M5081*N5081</f>
        <v>30.8</v>
      </c>
    </row>
    <row r="5082" customFormat="false" ht="15" hidden="false" customHeight="false" outlineLevel="0" collapsed="false">
      <c r="A5082" s="0" t="s">
        <v>6785</v>
      </c>
      <c r="C5082" s="0" t="s">
        <v>34</v>
      </c>
      <c r="D5082" s="7" t="n">
        <v>397</v>
      </c>
      <c r="E5082" s="8" t="n">
        <v>0.0558690176322418</v>
      </c>
      <c r="F5082" s="4" t="n">
        <f aca="false">D5082*E5082</f>
        <v>22.18</v>
      </c>
      <c r="G5082" s="7" t="n">
        <v>43</v>
      </c>
      <c r="H5082" s="9" t="n">
        <f aca="false">IF(G5082&gt;0,D5082/G5082,"")</f>
        <v>9.23255813953488</v>
      </c>
      <c r="I5082" s="10" t="n">
        <v>46129</v>
      </c>
      <c r="J5082" s="3" t="s">
        <v>1343</v>
      </c>
      <c r="K5082" s="10" t="n">
        <v>45583</v>
      </c>
      <c r="L5082" s="3" t="s">
        <v>16</v>
      </c>
      <c r="M5082" s="7" t="n">
        <v>1200</v>
      </c>
      <c r="N5082" s="8" t="n">
        <v>0.0559</v>
      </c>
      <c r="O5082" s="4" t="n">
        <f aca="false">M5082*N5082</f>
        <v>67.08</v>
      </c>
    </row>
    <row r="5083" customFormat="false" ht="15" hidden="false" customHeight="false" outlineLevel="0" collapsed="false">
      <c r="A5083" s="0" t="s">
        <v>6786</v>
      </c>
      <c r="C5083" s="0" t="s">
        <v>118</v>
      </c>
      <c r="D5083" s="7" t="n">
        <v>193</v>
      </c>
      <c r="E5083" s="8" t="n">
        <v>0.114766839378238</v>
      </c>
      <c r="F5083" s="4" t="n">
        <f aca="false">D5083*E5083</f>
        <v>22.15</v>
      </c>
      <c r="G5083" s="7" t="n">
        <v>4</v>
      </c>
      <c r="H5083" s="9" t="n">
        <f aca="false">IF(G5083&gt;0,D5083/G5083,"")</f>
        <v>48.25</v>
      </c>
      <c r="I5083" s="10" t="n">
        <v>46216</v>
      </c>
      <c r="J5083" s="3" t="s">
        <v>5385</v>
      </c>
      <c r="K5083" s="10" t="n">
        <v>44513</v>
      </c>
      <c r="L5083" s="3" t="s">
        <v>19</v>
      </c>
      <c r="M5083" s="7" t="n">
        <v>250</v>
      </c>
      <c r="N5083" s="8" t="n">
        <v>0.1147</v>
      </c>
      <c r="O5083" s="4" t="n">
        <f aca="false">M5083*N5083</f>
        <v>28.675</v>
      </c>
    </row>
    <row r="5084" customFormat="false" ht="15" hidden="false" customHeight="false" outlineLevel="0" collapsed="false">
      <c r="A5084" s="0" t="s">
        <v>6787</v>
      </c>
      <c r="C5084" s="0" t="s">
        <v>31</v>
      </c>
      <c r="D5084" s="7" t="n">
        <v>440</v>
      </c>
      <c r="E5084" s="8" t="n">
        <v>0.0502954545454546</v>
      </c>
      <c r="F5084" s="4" t="n">
        <f aca="false">D5084*E5084</f>
        <v>22.13</v>
      </c>
      <c r="G5084" s="7" t="n">
        <v>75</v>
      </c>
      <c r="H5084" s="9" t="n">
        <f aca="false">IF(G5084&gt;0,D5084/G5084,"")</f>
        <v>5.86666666666667</v>
      </c>
      <c r="I5084" s="10" t="n">
        <v>46314</v>
      </c>
      <c r="J5084" s="3" t="s">
        <v>4904</v>
      </c>
      <c r="K5084" s="10" t="n">
        <v>46301</v>
      </c>
      <c r="L5084" s="3" t="s">
        <v>14</v>
      </c>
      <c r="M5084" s="7" t="n">
        <v>500</v>
      </c>
      <c r="N5084" s="8" t="n">
        <v>0.0503</v>
      </c>
      <c r="O5084" s="4" t="n">
        <f aca="false">M5084*N5084</f>
        <v>25.15</v>
      </c>
    </row>
    <row r="5085" customFormat="false" ht="15" hidden="false" customHeight="false" outlineLevel="0" collapsed="false">
      <c r="A5085" s="0" t="s">
        <v>6788</v>
      </c>
      <c r="C5085" s="0" t="s">
        <v>35</v>
      </c>
      <c r="D5085" s="7" t="n">
        <v>133</v>
      </c>
      <c r="E5085" s="8" t="n">
        <v>0.166165413533835</v>
      </c>
      <c r="F5085" s="4" t="n">
        <f aca="false">D5085*E5085</f>
        <v>22.1</v>
      </c>
      <c r="G5085" s="7" t="n">
        <v>23</v>
      </c>
      <c r="H5085" s="9" t="n">
        <f aca="false">IF(G5085&gt;0,D5085/G5085,"")</f>
        <v>5.78260869565217</v>
      </c>
      <c r="I5085" s="10" t="n">
        <v>46259</v>
      </c>
      <c r="J5085" s="3" t="s">
        <v>6789</v>
      </c>
      <c r="K5085" s="10" t="n">
        <v>44657</v>
      </c>
      <c r="L5085" s="3" t="s">
        <v>20</v>
      </c>
      <c r="M5085" s="7" t="n">
        <v>306</v>
      </c>
      <c r="N5085" s="8" t="n">
        <v>0</v>
      </c>
      <c r="O5085" s="4" t="n">
        <v>52.2</v>
      </c>
    </row>
    <row r="5086" customFormat="false" ht="15" hidden="false" customHeight="false" outlineLevel="0" collapsed="false">
      <c r="A5086" s="0" t="s">
        <v>6790</v>
      </c>
      <c r="C5086" s="0" t="s">
        <v>40</v>
      </c>
      <c r="D5086" s="7" t="n">
        <v>21</v>
      </c>
      <c r="E5086" s="8" t="n">
        <v>1.05142857142857</v>
      </c>
      <c r="F5086" s="4" t="n">
        <f aca="false">D5086*E5086</f>
        <v>22.08</v>
      </c>
      <c r="G5086" s="7" t="n">
        <v>1</v>
      </c>
      <c r="H5086" s="9" t="n">
        <f aca="false">IF(G5086&gt;0,D5086/G5086,"")</f>
        <v>21</v>
      </c>
      <c r="I5086" s="10" t="n">
        <v>46192</v>
      </c>
      <c r="K5086" s="10"/>
      <c r="M5086" s="7"/>
      <c r="N5086" s="8"/>
      <c r="O5086" s="4"/>
    </row>
    <row r="5087" customFormat="false" ht="15" hidden="false" customHeight="false" outlineLevel="0" collapsed="false">
      <c r="A5087" s="0" t="s">
        <v>6791</v>
      </c>
      <c r="C5087" s="0" t="s">
        <v>34</v>
      </c>
      <c r="D5087" s="7" t="n">
        <v>55</v>
      </c>
      <c r="E5087" s="8" t="n">
        <v>0.401454545454546</v>
      </c>
      <c r="F5087" s="4" t="n">
        <f aca="false">D5087*E5087</f>
        <v>22.08</v>
      </c>
      <c r="G5087" s="7" t="n">
        <v>40</v>
      </c>
      <c r="H5087" s="9" t="n">
        <f aca="false">IF(G5087&gt;0,D5087/G5087,"")</f>
        <v>1.375</v>
      </c>
      <c r="I5087" s="10" t="n">
        <v>46248</v>
      </c>
      <c r="J5087" s="3" t="s">
        <v>3868</v>
      </c>
      <c r="K5087" s="10" t="n">
        <v>46247</v>
      </c>
      <c r="L5087" s="3" t="s">
        <v>19</v>
      </c>
      <c r="M5087" s="7" t="n">
        <v>50</v>
      </c>
      <c r="N5087" s="8" t="n">
        <v>0.4175</v>
      </c>
      <c r="O5087" s="4" t="n">
        <f aca="false">M5087*N5087</f>
        <v>20.875</v>
      </c>
    </row>
    <row r="5088" customFormat="false" ht="15" hidden="false" customHeight="false" outlineLevel="0" collapsed="false">
      <c r="A5088" s="0" t="s">
        <v>6792</v>
      </c>
      <c r="C5088" s="0" t="s">
        <v>855</v>
      </c>
      <c r="D5088" s="7" t="n">
        <v>309</v>
      </c>
      <c r="E5088" s="8" t="n">
        <v>0.0714239482200647</v>
      </c>
      <c r="F5088" s="4" t="n">
        <f aca="false">D5088*E5088</f>
        <v>22.07</v>
      </c>
      <c r="G5088" s="7" t="n">
        <v>40</v>
      </c>
      <c r="H5088" s="9" t="n">
        <f aca="false">IF(G5088&gt;0,D5088/G5088,"")</f>
        <v>7.725</v>
      </c>
      <c r="I5088" s="10" t="n">
        <v>46283</v>
      </c>
      <c r="J5088" s="3" t="s">
        <v>6793</v>
      </c>
      <c r="K5088" s="10" t="n">
        <v>44270</v>
      </c>
      <c r="L5088" s="3" t="s">
        <v>19</v>
      </c>
      <c r="M5088" s="7" t="n">
        <v>500</v>
      </c>
      <c r="N5088" s="8" t="n">
        <v>0.0714</v>
      </c>
      <c r="O5088" s="4" t="n">
        <f aca="false">M5088*N5088</f>
        <v>35.7</v>
      </c>
    </row>
    <row r="5089" customFormat="false" ht="15" hidden="false" customHeight="false" outlineLevel="0" collapsed="false">
      <c r="A5089" s="0" t="s">
        <v>6794</v>
      </c>
      <c r="C5089" s="0" t="s">
        <v>1039</v>
      </c>
      <c r="D5089" s="7" t="n">
        <v>1233</v>
      </c>
      <c r="E5089" s="8" t="n">
        <v>0.0178913219789132</v>
      </c>
      <c r="F5089" s="4" t="n">
        <f aca="false">D5089*E5089</f>
        <v>22.06</v>
      </c>
      <c r="G5089" s="7" t="n">
        <v>667</v>
      </c>
      <c r="H5089" s="9" t="n">
        <f aca="false">IF(G5089&gt;0,D5089/G5089,"")</f>
        <v>1.84857571214393</v>
      </c>
      <c r="I5089" s="10" t="n">
        <v>46308</v>
      </c>
      <c r="J5089" s="3" t="s">
        <v>495</v>
      </c>
      <c r="K5089" s="10" t="n">
        <v>45925</v>
      </c>
      <c r="L5089" s="3" t="s">
        <v>16</v>
      </c>
      <c r="M5089" s="7" t="n">
        <v>1900</v>
      </c>
      <c r="N5089" s="8" t="n">
        <v>0.0179</v>
      </c>
      <c r="O5089" s="4" t="n">
        <f aca="false">M5089*N5089</f>
        <v>34.01</v>
      </c>
    </row>
    <row r="5090" customFormat="false" ht="15" hidden="false" customHeight="false" outlineLevel="0" collapsed="false">
      <c r="A5090" s="0" t="s">
        <v>6795</v>
      </c>
      <c r="C5090" s="0" t="s">
        <v>31</v>
      </c>
      <c r="D5090" s="7" t="n">
        <v>984</v>
      </c>
      <c r="E5090" s="8" t="n">
        <v>0.0224186991869919</v>
      </c>
      <c r="F5090" s="4" t="n">
        <f aca="false">D5090*E5090</f>
        <v>22.06</v>
      </c>
      <c r="G5090" s="7" t="n">
        <v>137</v>
      </c>
      <c r="H5090" s="9" t="n">
        <f aca="false">IF(G5090&gt;0,D5090/G5090,"")</f>
        <v>7.18248175182482</v>
      </c>
      <c r="I5090" s="10" t="n">
        <v>46286</v>
      </c>
      <c r="K5090" s="10"/>
      <c r="M5090" s="7"/>
      <c r="N5090" s="8"/>
      <c r="O5090" s="4"/>
    </row>
    <row r="5091" customFormat="false" ht="15" hidden="false" customHeight="false" outlineLevel="0" collapsed="false">
      <c r="A5091" s="0" t="s">
        <v>6796</v>
      </c>
      <c r="C5091" s="0" t="s">
        <v>298</v>
      </c>
      <c r="D5091" s="7" t="n">
        <v>39</v>
      </c>
      <c r="E5091" s="8" t="n">
        <v>0.565384615384615</v>
      </c>
      <c r="F5091" s="4" t="n">
        <f aca="false">D5091*E5091</f>
        <v>22.05</v>
      </c>
      <c r="G5091" s="7" t="n">
        <v>4</v>
      </c>
      <c r="H5091" s="9" t="n">
        <f aca="false">IF(G5091&gt;0,D5091/G5091,"")</f>
        <v>9.75</v>
      </c>
      <c r="I5091" s="10" t="n">
        <v>45987</v>
      </c>
      <c r="J5091" s="3" t="s">
        <v>1461</v>
      </c>
      <c r="K5091" s="10" t="n">
        <v>45296</v>
      </c>
      <c r="L5091" s="3" t="s">
        <v>19</v>
      </c>
      <c r="M5091" s="7" t="n">
        <v>59</v>
      </c>
      <c r="N5091" s="8" t="n">
        <v>0.5653</v>
      </c>
      <c r="O5091" s="4" t="n">
        <f aca="false">M5091*N5091</f>
        <v>33.3527</v>
      </c>
    </row>
    <row r="5092" customFormat="false" ht="15" hidden="false" customHeight="false" outlineLevel="0" collapsed="false">
      <c r="A5092" s="0" t="s">
        <v>6797</v>
      </c>
      <c r="C5092" s="0" t="s">
        <v>285</v>
      </c>
      <c r="D5092" s="7" t="n">
        <v>752</v>
      </c>
      <c r="E5092" s="8" t="n">
        <v>0.0292952127659575</v>
      </c>
      <c r="F5092" s="4" t="n">
        <f aca="false">D5092*E5092</f>
        <v>22.03</v>
      </c>
      <c r="G5092" s="7" t="n">
        <v>550</v>
      </c>
      <c r="H5092" s="9" t="n">
        <f aca="false">IF(G5092&gt;0,D5092/G5092,"")</f>
        <v>1.36727272727273</v>
      </c>
      <c r="I5092" s="10" t="n">
        <v>46030</v>
      </c>
      <c r="K5092" s="10"/>
      <c r="M5092" s="7"/>
      <c r="N5092" s="8"/>
      <c r="O5092" s="4"/>
    </row>
    <row r="5093" customFormat="false" ht="15" hidden="false" customHeight="false" outlineLevel="0" collapsed="false">
      <c r="A5093" s="0" t="s">
        <v>6798</v>
      </c>
      <c r="C5093" s="0" t="s">
        <v>741</v>
      </c>
      <c r="D5093" s="7" t="n">
        <v>115</v>
      </c>
      <c r="E5093" s="8" t="n">
        <v>0.191565217391304</v>
      </c>
      <c r="F5093" s="4" t="n">
        <f aca="false">D5093*E5093</f>
        <v>22.03</v>
      </c>
      <c r="G5093" s="7" t="n">
        <v>4</v>
      </c>
      <c r="H5093" s="9" t="n">
        <f aca="false">IF(G5093&gt;0,D5093/G5093,"")</f>
        <v>28.75</v>
      </c>
      <c r="I5093" s="10" t="n">
        <v>46160</v>
      </c>
      <c r="J5093" s="3" t="s">
        <v>3849</v>
      </c>
      <c r="K5093" s="10" t="n">
        <v>45015</v>
      </c>
      <c r="L5093" s="3" t="s">
        <v>27</v>
      </c>
      <c r="M5093" s="7" t="n">
        <v>135</v>
      </c>
      <c r="N5093" s="8" t="n">
        <v>0.1916</v>
      </c>
      <c r="O5093" s="4" t="n">
        <f aca="false">M5093*N5093</f>
        <v>25.866</v>
      </c>
    </row>
    <row r="5094" customFormat="false" ht="15" hidden="false" customHeight="false" outlineLevel="0" collapsed="false">
      <c r="A5094" s="0" t="s">
        <v>6799</v>
      </c>
      <c r="C5094" s="0" t="s">
        <v>799</v>
      </c>
      <c r="D5094" s="7" t="n">
        <v>16</v>
      </c>
      <c r="E5094" s="8" t="n">
        <v>1.375625</v>
      </c>
      <c r="F5094" s="4" t="n">
        <f aca="false">D5094*E5094</f>
        <v>22.01</v>
      </c>
      <c r="G5094" s="7" t="n">
        <v>6</v>
      </c>
      <c r="H5094" s="9" t="n">
        <f aca="false">IF(G5094&gt;0,D5094/G5094,"")</f>
        <v>2.66666666666667</v>
      </c>
      <c r="I5094" s="10" t="n">
        <v>46114</v>
      </c>
      <c r="K5094" s="10"/>
      <c r="M5094" s="7"/>
      <c r="N5094" s="8"/>
      <c r="O5094" s="4"/>
    </row>
    <row r="5095" customFormat="false" ht="15" hidden="false" customHeight="false" outlineLevel="0" collapsed="false">
      <c r="A5095" s="0" t="s">
        <v>6800</v>
      </c>
      <c r="C5095" s="0" t="s">
        <v>36</v>
      </c>
      <c r="D5095" s="7" t="n">
        <v>59</v>
      </c>
      <c r="E5095" s="8" t="n">
        <v>0.373050847457627</v>
      </c>
      <c r="F5095" s="4" t="n">
        <f aca="false">D5095*E5095</f>
        <v>22.01</v>
      </c>
      <c r="G5095" s="7" t="n">
        <v>7</v>
      </c>
      <c r="H5095" s="9" t="n">
        <f aca="false">IF(G5095&gt;0,D5095/G5095,"")</f>
        <v>8.42857142857143</v>
      </c>
      <c r="I5095" s="10" t="n">
        <v>46178</v>
      </c>
      <c r="J5095" s="3" t="s">
        <v>6110</v>
      </c>
      <c r="K5095" s="10" t="n">
        <v>44999</v>
      </c>
      <c r="L5095" s="3" t="s">
        <v>19</v>
      </c>
      <c r="M5095" s="7" t="n">
        <v>81</v>
      </c>
      <c r="N5095" s="8" t="n">
        <v>0.3731</v>
      </c>
      <c r="O5095" s="4" t="n">
        <f aca="false">M5095*N5095</f>
        <v>30.2211</v>
      </c>
    </row>
    <row r="5096" customFormat="false" ht="15" hidden="false" customHeight="false" outlineLevel="0" collapsed="false">
      <c r="A5096" s="0" t="s">
        <v>6801</v>
      </c>
      <c r="C5096" s="0" t="s">
        <v>844</v>
      </c>
      <c r="D5096" s="7" t="n">
        <v>12</v>
      </c>
      <c r="E5096" s="8" t="n">
        <v>1.83</v>
      </c>
      <c r="F5096" s="4" t="n">
        <f aca="false">D5096*E5096</f>
        <v>21.96</v>
      </c>
      <c r="G5096" s="7" t="n">
        <v>6</v>
      </c>
      <c r="H5096" s="9" t="n">
        <f aca="false">IF(G5096&gt;0,D5096/G5096,"")</f>
        <v>2</v>
      </c>
      <c r="I5096" s="10" t="n">
        <v>46252</v>
      </c>
      <c r="K5096" s="10"/>
      <c r="M5096" s="7"/>
      <c r="N5096" s="8"/>
      <c r="O5096" s="4"/>
    </row>
    <row r="5097" customFormat="false" ht="15" hidden="false" customHeight="false" outlineLevel="0" collapsed="false">
      <c r="A5097" s="0" t="s">
        <v>6802</v>
      </c>
      <c r="C5097" s="0" t="s">
        <v>31</v>
      </c>
      <c r="D5097" s="7" t="n">
        <v>252</v>
      </c>
      <c r="E5097" s="8" t="n">
        <v>0.0871031746031746</v>
      </c>
      <c r="F5097" s="4" t="n">
        <f aca="false">D5097*E5097</f>
        <v>21.95</v>
      </c>
      <c r="G5097" s="7" t="n">
        <v>10</v>
      </c>
      <c r="H5097" s="9" t="n">
        <f aca="false">IF(G5097&gt;0,D5097/G5097,"")</f>
        <v>25.2</v>
      </c>
      <c r="I5097" s="10" t="n">
        <v>45953</v>
      </c>
      <c r="J5097" s="3" t="s">
        <v>1384</v>
      </c>
      <c r="K5097" s="10" t="n">
        <v>45672</v>
      </c>
      <c r="L5097" s="3" t="s">
        <v>16</v>
      </c>
      <c r="M5097" s="7" t="n">
        <v>275</v>
      </c>
      <c r="N5097" s="8" t="n">
        <v>0.0871</v>
      </c>
      <c r="O5097" s="4" t="n">
        <f aca="false">M5097*N5097</f>
        <v>23.9525</v>
      </c>
    </row>
    <row r="5098" customFormat="false" ht="15" hidden="false" customHeight="false" outlineLevel="0" collapsed="false">
      <c r="A5098" s="0" t="s">
        <v>6803</v>
      </c>
      <c r="C5098" s="0" t="s">
        <v>1010</v>
      </c>
      <c r="D5098" s="7" t="n">
        <v>19</v>
      </c>
      <c r="E5098" s="8" t="n">
        <v>1.15473684210526</v>
      </c>
      <c r="F5098" s="4" t="n">
        <f aca="false">D5098*E5098</f>
        <v>21.94</v>
      </c>
      <c r="G5098" s="7" t="n">
        <v>5</v>
      </c>
      <c r="H5098" s="9" t="n">
        <f aca="false">IF(G5098&gt;0,D5098/G5098,"")</f>
        <v>3.8</v>
      </c>
      <c r="I5098" s="10" t="n">
        <v>46254</v>
      </c>
      <c r="J5098" s="3" t="s">
        <v>4504</v>
      </c>
      <c r="K5098" s="10" t="n">
        <v>44704</v>
      </c>
      <c r="L5098" s="3" t="s">
        <v>14</v>
      </c>
      <c r="M5098" s="7" t="n">
        <v>50</v>
      </c>
      <c r="N5098" s="8" t="n">
        <v>1.155</v>
      </c>
      <c r="O5098" s="4" t="n">
        <f aca="false">M5098*N5098</f>
        <v>57.75</v>
      </c>
    </row>
    <row r="5099" customFormat="false" ht="15" hidden="false" customHeight="false" outlineLevel="0" collapsed="false">
      <c r="A5099" s="0" t="s">
        <v>6804</v>
      </c>
      <c r="C5099" s="0" t="s">
        <v>31</v>
      </c>
      <c r="D5099" s="7" t="n">
        <v>4301</v>
      </c>
      <c r="E5099" s="8" t="n">
        <v>0.00509881422924901</v>
      </c>
      <c r="F5099" s="4" t="n">
        <f aca="false">D5099*E5099</f>
        <v>21.93</v>
      </c>
      <c r="G5099" s="7" t="n">
        <v>325</v>
      </c>
      <c r="H5099" s="9" t="n">
        <f aca="false">IF(G5099&gt;0,D5099/G5099,"")</f>
        <v>13.2338461538462</v>
      </c>
      <c r="I5099" s="10" t="n">
        <v>46143</v>
      </c>
      <c r="J5099" s="3" t="s">
        <v>2951</v>
      </c>
      <c r="K5099" s="10" t="n">
        <v>44235</v>
      </c>
      <c r="L5099" s="3" t="s">
        <v>15</v>
      </c>
      <c r="M5099" s="7" t="n">
        <v>6737</v>
      </c>
      <c r="N5099" s="8" t="n">
        <v>0.0051</v>
      </c>
      <c r="O5099" s="4" t="n">
        <f aca="false">M5099*N5099</f>
        <v>34.3587</v>
      </c>
    </row>
    <row r="5100" customFormat="false" ht="15" hidden="false" customHeight="false" outlineLevel="0" collapsed="false">
      <c r="A5100" s="0" t="s">
        <v>6805</v>
      </c>
      <c r="C5100" s="0" t="s">
        <v>34</v>
      </c>
      <c r="D5100" s="7" t="n">
        <v>1583</v>
      </c>
      <c r="E5100" s="8" t="n">
        <v>0.0138471257106759</v>
      </c>
      <c r="F5100" s="4" t="n">
        <f aca="false">D5100*E5100</f>
        <v>21.92</v>
      </c>
      <c r="G5100" s="7" t="n">
        <v>931</v>
      </c>
      <c r="H5100" s="9" t="n">
        <f aca="false">IF(G5100&gt;0,D5100/G5100,"")</f>
        <v>1.70032223415682</v>
      </c>
      <c r="I5100" s="10" t="n">
        <v>46287</v>
      </c>
      <c r="J5100" s="3" t="s">
        <v>886</v>
      </c>
      <c r="K5100" s="10" t="n">
        <v>44293</v>
      </c>
      <c r="L5100" s="3" t="s">
        <v>15</v>
      </c>
      <c r="M5100" s="7" t="n">
        <v>3200</v>
      </c>
      <c r="N5100" s="8" t="n">
        <v>0.01386</v>
      </c>
      <c r="O5100" s="4" t="n">
        <f aca="false">M5100*N5100</f>
        <v>44.352</v>
      </c>
    </row>
    <row r="5101" customFormat="false" ht="15" hidden="false" customHeight="false" outlineLevel="0" collapsed="false">
      <c r="A5101" s="0" t="s">
        <v>6806</v>
      </c>
      <c r="C5101" s="0" t="s">
        <v>5255</v>
      </c>
      <c r="D5101" s="7" t="n">
        <v>49</v>
      </c>
      <c r="E5101" s="8" t="n">
        <v>0.446734693877551</v>
      </c>
      <c r="F5101" s="4" t="n">
        <f aca="false">D5101*E5101</f>
        <v>21.89</v>
      </c>
      <c r="G5101" s="7" t="n">
        <v>4</v>
      </c>
      <c r="H5101" s="9" t="n">
        <f aca="false">IF(G5101&gt;0,D5101/G5101,"")</f>
        <v>12.25</v>
      </c>
      <c r="I5101" s="10" t="n">
        <v>46265</v>
      </c>
      <c r="J5101" s="3" t="s">
        <v>1793</v>
      </c>
      <c r="K5101" s="10" t="n">
        <v>45350</v>
      </c>
      <c r="L5101" s="3" t="s">
        <v>14</v>
      </c>
      <c r="M5101" s="7" t="n">
        <v>492</v>
      </c>
      <c r="N5101" s="8" t="n">
        <v>0.4467</v>
      </c>
      <c r="O5101" s="4" t="n">
        <f aca="false">M5101*N5101</f>
        <v>219.7764</v>
      </c>
    </row>
    <row r="5102" customFormat="false" ht="15" hidden="false" customHeight="false" outlineLevel="0" collapsed="false">
      <c r="A5102" s="0" t="s">
        <v>6807</v>
      </c>
      <c r="C5102" s="0" t="s">
        <v>1010</v>
      </c>
      <c r="D5102" s="7" t="n">
        <v>33</v>
      </c>
      <c r="E5102" s="8" t="n">
        <v>0.662727272727273</v>
      </c>
      <c r="F5102" s="4" t="n">
        <f aca="false">D5102*E5102</f>
        <v>21.87</v>
      </c>
      <c r="G5102" s="7" t="n">
        <v>10</v>
      </c>
      <c r="H5102" s="9" t="n">
        <f aca="false">IF(G5102&gt;0,D5102/G5102,"")</f>
        <v>3.3</v>
      </c>
      <c r="I5102" s="10" t="n">
        <v>46111</v>
      </c>
      <c r="J5102" s="3" t="s">
        <v>123</v>
      </c>
      <c r="K5102" s="10" t="n">
        <v>44914</v>
      </c>
      <c r="L5102" s="3" t="s">
        <v>14</v>
      </c>
      <c r="M5102" s="7" t="n">
        <v>300</v>
      </c>
      <c r="N5102" s="8" t="n">
        <v>0.6628</v>
      </c>
      <c r="O5102" s="4" t="n">
        <f aca="false">M5102*N5102</f>
        <v>198.84</v>
      </c>
    </row>
    <row r="5103" customFormat="false" ht="15" hidden="false" customHeight="false" outlineLevel="0" collapsed="false">
      <c r="A5103" s="0" t="s">
        <v>6808</v>
      </c>
      <c r="C5103" s="0" t="s">
        <v>765</v>
      </c>
      <c r="D5103" s="7" t="n">
        <v>885</v>
      </c>
      <c r="E5103" s="8" t="n">
        <v>0.0247005649717514</v>
      </c>
      <c r="F5103" s="4" t="n">
        <f aca="false">D5103*E5103</f>
        <v>21.86</v>
      </c>
      <c r="G5103" s="7" t="n">
        <v>63</v>
      </c>
      <c r="H5103" s="9" t="n">
        <f aca="false">IF(G5103&gt;0,D5103/G5103,"")</f>
        <v>14.047619047619</v>
      </c>
      <c r="I5103" s="10" t="n">
        <v>46254</v>
      </c>
      <c r="J5103" s="3" t="s">
        <v>1035</v>
      </c>
      <c r="K5103" s="10" t="n">
        <v>46251</v>
      </c>
      <c r="L5103" s="3" t="s">
        <v>16</v>
      </c>
      <c r="M5103" s="7" t="n">
        <v>885</v>
      </c>
      <c r="N5103" s="8" t="n">
        <v>0.0247</v>
      </c>
      <c r="O5103" s="4" t="n">
        <f aca="false">M5103*N5103</f>
        <v>21.8595</v>
      </c>
    </row>
    <row r="5104" customFormat="false" ht="15" hidden="false" customHeight="false" outlineLevel="0" collapsed="false">
      <c r="A5104" s="0" t="s">
        <v>6809</v>
      </c>
      <c r="C5104" s="0" t="s">
        <v>360</v>
      </c>
      <c r="D5104" s="7" t="n">
        <v>188</v>
      </c>
      <c r="E5104" s="8" t="n">
        <v>0.116223404255319</v>
      </c>
      <c r="F5104" s="4" t="n">
        <f aca="false">D5104*E5104</f>
        <v>21.85</v>
      </c>
      <c r="G5104" s="7" t="n">
        <v>4</v>
      </c>
      <c r="H5104" s="9" t="n">
        <f aca="false">IF(G5104&gt;0,D5104/G5104,"")</f>
        <v>47</v>
      </c>
      <c r="I5104" s="10" t="n">
        <v>46154</v>
      </c>
      <c r="J5104" s="3" t="s">
        <v>376</v>
      </c>
      <c r="K5104" s="10" t="n">
        <v>44321</v>
      </c>
      <c r="L5104" s="3" t="s">
        <v>15</v>
      </c>
      <c r="M5104" s="7" t="n">
        <v>303</v>
      </c>
      <c r="N5104" s="8" t="n">
        <v>0.11618</v>
      </c>
      <c r="O5104" s="4" t="n">
        <f aca="false">M5104*N5104</f>
        <v>35.20254</v>
      </c>
    </row>
    <row r="5105" customFormat="false" ht="15" hidden="false" customHeight="false" outlineLevel="0" collapsed="false">
      <c r="A5105" s="0" t="s">
        <v>6810</v>
      </c>
      <c r="C5105" s="0" t="s">
        <v>715</v>
      </c>
      <c r="D5105" s="7" t="n">
        <v>2442</v>
      </c>
      <c r="E5105" s="8" t="n">
        <v>0.00893939393939394</v>
      </c>
      <c r="F5105" s="4" t="n">
        <f aca="false">D5105*E5105</f>
        <v>21.83</v>
      </c>
      <c r="G5105" s="7" t="n">
        <v>240</v>
      </c>
      <c r="H5105" s="9" t="n">
        <f aca="false">IF(G5105&gt;0,D5105/G5105,"")</f>
        <v>10.175</v>
      </c>
      <c r="I5105" s="10" t="n">
        <v>46171</v>
      </c>
      <c r="J5105" s="3" t="s">
        <v>2228</v>
      </c>
      <c r="K5105" s="10" t="n">
        <v>44328</v>
      </c>
      <c r="L5105" s="3" t="s">
        <v>15</v>
      </c>
      <c r="M5105" s="7" t="n">
        <v>9450</v>
      </c>
      <c r="N5105" s="8" t="n">
        <v>0.00888</v>
      </c>
      <c r="O5105" s="4" t="n">
        <f aca="false">M5105*N5105</f>
        <v>83.916</v>
      </c>
    </row>
    <row r="5106" customFormat="false" ht="15" hidden="false" customHeight="false" outlineLevel="0" collapsed="false">
      <c r="A5106" s="0" t="s">
        <v>6811</v>
      </c>
      <c r="C5106" s="0" t="s">
        <v>37</v>
      </c>
      <c r="D5106" s="7" t="n">
        <v>3116</v>
      </c>
      <c r="E5106" s="8" t="n">
        <v>0.00699935815147625</v>
      </c>
      <c r="F5106" s="4" t="n">
        <f aca="false">D5106*E5106</f>
        <v>21.81</v>
      </c>
      <c r="G5106" s="7" t="n">
        <v>340</v>
      </c>
      <c r="H5106" s="9" t="n">
        <f aca="false">IF(G5106&gt;0,D5106/G5106,"")</f>
        <v>9.16470588235294</v>
      </c>
      <c r="I5106" s="10" t="n">
        <v>46238</v>
      </c>
      <c r="J5106" s="3" t="s">
        <v>6812</v>
      </c>
      <c r="K5106" s="10" t="n">
        <v>44657</v>
      </c>
      <c r="L5106" s="3" t="s">
        <v>19</v>
      </c>
      <c r="M5106" s="7" t="n">
        <v>3986</v>
      </c>
      <c r="N5106" s="8" t="n">
        <v>0.007</v>
      </c>
      <c r="O5106" s="4" t="n">
        <f aca="false">M5106*N5106</f>
        <v>27.902</v>
      </c>
    </row>
    <row r="5107" customFormat="false" ht="15" hidden="false" customHeight="false" outlineLevel="0" collapsed="false">
      <c r="A5107" s="0" t="s">
        <v>6813</v>
      </c>
      <c r="C5107" s="0" t="s">
        <v>41</v>
      </c>
      <c r="D5107" s="7" t="n">
        <v>1595</v>
      </c>
      <c r="E5107" s="8" t="n">
        <v>0.0136551724137931</v>
      </c>
      <c r="F5107" s="4" t="n">
        <f aca="false">D5107*E5107</f>
        <v>21.78</v>
      </c>
      <c r="G5107" s="7" t="n">
        <v>914</v>
      </c>
      <c r="H5107" s="9" t="n">
        <f aca="false">IF(G5107&gt;0,D5107/G5107,"")</f>
        <v>1.74507658643326</v>
      </c>
      <c r="I5107" s="10" t="n">
        <v>46245</v>
      </c>
      <c r="K5107" s="10"/>
      <c r="M5107" s="7"/>
      <c r="N5107" s="8"/>
      <c r="O5107" s="4"/>
    </row>
    <row r="5108" customFormat="false" ht="15" hidden="false" customHeight="false" outlineLevel="0" collapsed="false">
      <c r="A5108" s="0" t="s">
        <v>6814</v>
      </c>
      <c r="C5108" s="0" t="s">
        <v>31</v>
      </c>
      <c r="D5108" s="7" t="n">
        <v>536</v>
      </c>
      <c r="E5108" s="8" t="n">
        <v>0.040615671641791</v>
      </c>
      <c r="F5108" s="4" t="n">
        <f aca="false">D5108*E5108</f>
        <v>21.77</v>
      </c>
      <c r="G5108" s="7" t="n">
        <v>242</v>
      </c>
      <c r="H5108" s="9" t="n">
        <f aca="false">IF(G5108&gt;0,D5108/G5108,"")</f>
        <v>2.21487603305785</v>
      </c>
      <c r="I5108" s="10" t="n">
        <v>46275</v>
      </c>
      <c r="K5108" s="10"/>
      <c r="M5108" s="7"/>
      <c r="N5108" s="8"/>
      <c r="O5108" s="4"/>
    </row>
    <row r="5109" customFormat="false" ht="15" hidden="false" customHeight="false" outlineLevel="0" collapsed="false">
      <c r="A5109" s="0" t="s">
        <v>6815</v>
      </c>
      <c r="C5109" s="0" t="s">
        <v>33</v>
      </c>
      <c r="D5109" s="7" t="n">
        <v>32</v>
      </c>
      <c r="E5109" s="8" t="n">
        <v>0.679375</v>
      </c>
      <c r="F5109" s="4" t="n">
        <f aca="false">D5109*E5109</f>
        <v>21.74</v>
      </c>
      <c r="G5109" s="7" t="n">
        <v>5</v>
      </c>
      <c r="H5109" s="9" t="n">
        <f aca="false">IF(G5109&gt;0,D5109/G5109,"")</f>
        <v>6.4</v>
      </c>
      <c r="I5109" s="10" t="n">
        <v>46022</v>
      </c>
      <c r="J5109" s="3" t="s">
        <v>6695</v>
      </c>
      <c r="K5109" s="10" t="n">
        <v>45659</v>
      </c>
      <c r="L5109" s="3" t="s">
        <v>18</v>
      </c>
      <c r="M5109" s="7" t="n">
        <v>39</v>
      </c>
      <c r="N5109" s="8" t="n">
        <v>0.6796</v>
      </c>
      <c r="O5109" s="4" t="n">
        <f aca="false">M5109*N5109</f>
        <v>26.5044</v>
      </c>
    </row>
    <row r="5110" customFormat="false" ht="15" hidden="false" customHeight="false" outlineLevel="0" collapsed="false">
      <c r="A5110" s="0" t="s">
        <v>6816</v>
      </c>
      <c r="C5110" s="0" t="s">
        <v>295</v>
      </c>
      <c r="D5110" s="7" t="n">
        <v>1781</v>
      </c>
      <c r="E5110" s="8" t="n">
        <v>0.012201010668164</v>
      </c>
      <c r="F5110" s="4" t="n">
        <f aca="false">D5110*E5110</f>
        <v>21.73</v>
      </c>
      <c r="G5110" s="7" t="n">
        <v>100</v>
      </c>
      <c r="H5110" s="9" t="n">
        <f aca="false">IF(G5110&gt;0,D5110/G5110,"")</f>
        <v>17.81</v>
      </c>
      <c r="I5110" s="10" t="n">
        <v>46231</v>
      </c>
      <c r="J5110" s="3" t="s">
        <v>6817</v>
      </c>
      <c r="K5110" s="10" t="n">
        <v>45238</v>
      </c>
      <c r="L5110" s="3" t="s">
        <v>19</v>
      </c>
      <c r="M5110" s="7" t="n">
        <v>2381</v>
      </c>
      <c r="N5110" s="8" t="n">
        <v>0.0122</v>
      </c>
      <c r="O5110" s="4" t="n">
        <f aca="false">M5110*N5110</f>
        <v>29.0482</v>
      </c>
    </row>
    <row r="5111" customFormat="false" ht="15" hidden="false" customHeight="false" outlineLevel="0" collapsed="false">
      <c r="A5111" s="0" t="s">
        <v>6818</v>
      </c>
      <c r="D5111" s="7" t="n">
        <v>62</v>
      </c>
      <c r="E5111" s="8" t="n">
        <v>0.35</v>
      </c>
      <c r="F5111" s="4" t="n">
        <f aca="false">D5111*E5111</f>
        <v>21.7</v>
      </c>
      <c r="G5111" s="7" t="n">
        <v>8</v>
      </c>
      <c r="H5111" s="9" t="n">
        <f aca="false">IF(G5111&gt;0,D5111/G5111,"")</f>
        <v>7.75</v>
      </c>
      <c r="I5111" s="10" t="n">
        <v>46133</v>
      </c>
      <c r="K5111" s="10"/>
      <c r="M5111" s="7"/>
      <c r="N5111" s="8"/>
      <c r="O5111" s="4"/>
    </row>
    <row r="5112" customFormat="false" ht="15" hidden="false" customHeight="false" outlineLevel="0" collapsed="false">
      <c r="A5112" s="0" t="s">
        <v>6819</v>
      </c>
      <c r="C5112" s="0" t="s">
        <v>31</v>
      </c>
      <c r="D5112" s="7" t="n">
        <v>580</v>
      </c>
      <c r="E5112" s="8" t="n">
        <v>0.0373965517241379</v>
      </c>
      <c r="F5112" s="4" t="n">
        <f aca="false">D5112*E5112</f>
        <v>21.69</v>
      </c>
      <c r="G5112" s="7" t="n">
        <v>346</v>
      </c>
      <c r="H5112" s="9" t="n">
        <f aca="false">IF(G5112&gt;0,D5112/G5112,"")</f>
        <v>1.67630057803468</v>
      </c>
      <c r="I5112" s="10" t="n">
        <v>46157</v>
      </c>
      <c r="J5112" s="3" t="s">
        <v>6820</v>
      </c>
      <c r="K5112" s="10" t="n">
        <v>45119</v>
      </c>
      <c r="L5112" s="3" t="s">
        <v>19</v>
      </c>
      <c r="M5112" s="7" t="n">
        <v>250</v>
      </c>
      <c r="N5112" s="8" t="n">
        <v>0.0929</v>
      </c>
      <c r="O5112" s="4" t="n">
        <f aca="false">M5112*N5112</f>
        <v>23.225</v>
      </c>
    </row>
    <row r="5113" customFormat="false" ht="15" hidden="false" customHeight="false" outlineLevel="0" collapsed="false">
      <c r="A5113" s="0" t="s">
        <v>6821</v>
      </c>
      <c r="C5113" s="0" t="s">
        <v>31</v>
      </c>
      <c r="D5113" s="7" t="n">
        <v>88</v>
      </c>
      <c r="E5113" s="8" t="n">
        <v>0.246363636363636</v>
      </c>
      <c r="F5113" s="4" t="n">
        <f aca="false">D5113*E5113</f>
        <v>21.68</v>
      </c>
      <c r="G5113" s="7" t="n">
        <v>15</v>
      </c>
      <c r="H5113" s="9" t="n">
        <f aca="false">IF(G5113&gt;0,D5113/G5113,"")</f>
        <v>5.86666666666667</v>
      </c>
      <c r="I5113" s="10" t="n">
        <v>46195</v>
      </c>
      <c r="K5113" s="10"/>
      <c r="M5113" s="7"/>
      <c r="N5113" s="8"/>
      <c r="O5113" s="4"/>
    </row>
    <row r="5114" customFormat="false" ht="15" hidden="false" customHeight="false" outlineLevel="0" collapsed="false">
      <c r="A5114" s="0" t="s">
        <v>6822</v>
      </c>
      <c r="C5114" s="0" t="s">
        <v>855</v>
      </c>
      <c r="D5114" s="7" t="n">
        <v>1790</v>
      </c>
      <c r="E5114" s="8" t="n">
        <v>0.0121005586592179</v>
      </c>
      <c r="F5114" s="4" t="n">
        <f aca="false">D5114*E5114</f>
        <v>21.66</v>
      </c>
      <c r="G5114" s="7" t="n">
        <v>50</v>
      </c>
      <c r="H5114" s="9" t="n">
        <f aca="false">IF(G5114&gt;0,D5114/G5114,"")</f>
        <v>35.8</v>
      </c>
      <c r="I5114" s="10" t="n">
        <v>46120</v>
      </c>
      <c r="K5114" s="10"/>
      <c r="M5114" s="7"/>
      <c r="N5114" s="8"/>
      <c r="O5114" s="4"/>
    </row>
    <row r="5115" customFormat="false" ht="15" hidden="false" customHeight="false" outlineLevel="0" collapsed="false">
      <c r="A5115" s="0" t="s">
        <v>6823</v>
      </c>
      <c r="C5115" s="0" t="s">
        <v>41</v>
      </c>
      <c r="D5115" s="7" t="n">
        <v>131</v>
      </c>
      <c r="E5115" s="8" t="n">
        <v>0.165267175572519</v>
      </c>
      <c r="F5115" s="4" t="n">
        <f aca="false">D5115*E5115</f>
        <v>21.65</v>
      </c>
      <c r="G5115" s="7" t="n">
        <v>2</v>
      </c>
      <c r="H5115" s="9" t="n">
        <f aca="false">IF(G5115&gt;0,D5115/G5115,"")</f>
        <v>65.5</v>
      </c>
      <c r="I5115" s="10" t="n">
        <v>46168</v>
      </c>
      <c r="J5115" s="3" t="s">
        <v>5415</v>
      </c>
      <c r="K5115" s="10" t="n">
        <v>44329</v>
      </c>
      <c r="L5115" s="3" t="s">
        <v>15</v>
      </c>
      <c r="M5115" s="7" t="n">
        <v>139</v>
      </c>
      <c r="N5115" s="8" t="n">
        <v>0.16524</v>
      </c>
      <c r="O5115" s="4" t="n">
        <f aca="false">M5115*N5115</f>
        <v>22.96836</v>
      </c>
    </row>
    <row r="5116" customFormat="false" ht="15" hidden="false" customHeight="false" outlineLevel="0" collapsed="false">
      <c r="A5116" s="0" t="s">
        <v>6824</v>
      </c>
      <c r="C5116" s="0" t="s">
        <v>38</v>
      </c>
      <c r="D5116" s="7" t="n">
        <v>115</v>
      </c>
      <c r="E5116" s="8" t="n">
        <v>0.188086956521739</v>
      </c>
      <c r="F5116" s="4" t="n">
        <f aca="false">D5116*E5116</f>
        <v>21.63</v>
      </c>
      <c r="G5116" s="7" t="n">
        <v>57</v>
      </c>
      <c r="H5116" s="9" t="n">
        <f aca="false">IF(G5116&gt;0,D5116/G5116,"")</f>
        <v>2.01754385964912</v>
      </c>
      <c r="I5116" s="10" t="n">
        <v>46269</v>
      </c>
      <c r="J5116" s="3" t="s">
        <v>4270</v>
      </c>
      <c r="K5116" s="10" t="n">
        <v>46092</v>
      </c>
      <c r="L5116" s="3" t="s">
        <v>18</v>
      </c>
      <c r="M5116" s="7" t="n">
        <v>140</v>
      </c>
      <c r="N5116" s="8" t="n">
        <v>0.188</v>
      </c>
      <c r="O5116" s="4" t="n">
        <f aca="false">M5116*N5116</f>
        <v>26.32</v>
      </c>
    </row>
    <row r="5117" customFormat="false" ht="15" hidden="false" customHeight="false" outlineLevel="0" collapsed="false">
      <c r="A5117" s="0" t="s">
        <v>6825</v>
      </c>
      <c r="C5117" s="0" t="s">
        <v>32</v>
      </c>
      <c r="D5117" s="7" t="n">
        <v>19</v>
      </c>
      <c r="E5117" s="8" t="n">
        <v>1.13736842105263</v>
      </c>
      <c r="F5117" s="4" t="n">
        <f aca="false">D5117*E5117</f>
        <v>21.61</v>
      </c>
      <c r="G5117" s="7" t="n">
        <v>2</v>
      </c>
      <c r="H5117" s="9" t="n">
        <f aca="false">IF(G5117&gt;0,D5117/G5117,"")</f>
        <v>9.5</v>
      </c>
      <c r="I5117" s="10" t="n">
        <v>46189</v>
      </c>
      <c r="J5117" s="3" t="s">
        <v>3074</v>
      </c>
      <c r="K5117" s="10" t="n">
        <v>44242</v>
      </c>
      <c r="L5117" s="3" t="s">
        <v>19</v>
      </c>
      <c r="M5117" s="7" t="n">
        <v>44</v>
      </c>
      <c r="N5117" s="8" t="n">
        <v>1.137</v>
      </c>
      <c r="O5117" s="4" t="n">
        <f aca="false">M5117*N5117</f>
        <v>50.028</v>
      </c>
    </row>
    <row r="5118" customFormat="false" ht="15" hidden="false" customHeight="false" outlineLevel="0" collapsed="false">
      <c r="A5118" s="0" t="s">
        <v>6826</v>
      </c>
      <c r="C5118" s="0" t="s">
        <v>31</v>
      </c>
      <c r="D5118" s="7" t="n">
        <v>742</v>
      </c>
      <c r="E5118" s="8" t="n">
        <v>0.0291105121293801</v>
      </c>
      <c r="F5118" s="4" t="n">
        <f aca="false">D5118*E5118</f>
        <v>21.6</v>
      </c>
      <c r="G5118" s="7" t="n">
        <v>102</v>
      </c>
      <c r="H5118" s="9" t="n">
        <f aca="false">IF(G5118&gt;0,D5118/G5118,"")</f>
        <v>7.27450980392157</v>
      </c>
      <c r="I5118" s="10" t="n">
        <v>46156</v>
      </c>
      <c r="J5118" s="3" t="s">
        <v>628</v>
      </c>
      <c r="K5118" s="10" t="n">
        <v>46128</v>
      </c>
      <c r="L5118" s="3" t="s">
        <v>16</v>
      </c>
      <c r="M5118" s="7" t="n">
        <v>770</v>
      </c>
      <c r="N5118" s="8" t="n">
        <v>0.0291</v>
      </c>
      <c r="O5118" s="4" t="n">
        <f aca="false">M5118*N5118</f>
        <v>22.407</v>
      </c>
    </row>
    <row r="5119" customFormat="false" ht="15" hidden="false" customHeight="false" outlineLevel="0" collapsed="false">
      <c r="A5119" s="0" t="s">
        <v>6827</v>
      </c>
      <c r="C5119" s="0" t="s">
        <v>33</v>
      </c>
      <c r="D5119" s="7" t="n">
        <v>11</v>
      </c>
      <c r="E5119" s="8" t="n">
        <v>1.96272727272727</v>
      </c>
      <c r="F5119" s="4" t="n">
        <f aca="false">D5119*E5119</f>
        <v>21.59</v>
      </c>
      <c r="G5119" s="7" t="n">
        <v>4</v>
      </c>
      <c r="H5119" s="9" t="n">
        <f aca="false">IF(G5119&gt;0,D5119/G5119,"")</f>
        <v>2.75</v>
      </c>
      <c r="I5119" s="10" t="n">
        <v>46296</v>
      </c>
      <c r="J5119" s="3" t="s">
        <v>4801</v>
      </c>
      <c r="K5119" s="10" t="n">
        <v>46290</v>
      </c>
      <c r="L5119" s="3" t="s">
        <v>16</v>
      </c>
      <c r="M5119" s="7" t="n">
        <v>200</v>
      </c>
      <c r="N5119" s="8" t="n">
        <v>0.693</v>
      </c>
      <c r="O5119" s="4" t="n">
        <f aca="false">M5119*N5119</f>
        <v>138.6</v>
      </c>
    </row>
    <row r="5120" customFormat="false" ht="15" hidden="false" customHeight="false" outlineLevel="0" collapsed="false">
      <c r="A5120" s="0" t="s">
        <v>6828</v>
      </c>
      <c r="C5120" s="0" t="s">
        <v>765</v>
      </c>
      <c r="D5120" s="7" t="n">
        <v>278</v>
      </c>
      <c r="E5120" s="8" t="n">
        <v>0.0775539568345324</v>
      </c>
      <c r="F5120" s="4" t="n">
        <f aca="false">D5120*E5120</f>
        <v>21.56</v>
      </c>
      <c r="G5120" s="7" t="n">
        <v>88</v>
      </c>
      <c r="H5120" s="9" t="n">
        <f aca="false">IF(G5120&gt;0,D5120/G5120,"")</f>
        <v>3.15909090909091</v>
      </c>
      <c r="I5120" s="10" t="n">
        <v>46309</v>
      </c>
      <c r="J5120" s="3" t="s">
        <v>6829</v>
      </c>
      <c r="K5120" s="10" t="n">
        <v>44652</v>
      </c>
      <c r="L5120" s="3" t="s">
        <v>14</v>
      </c>
      <c r="M5120" s="7" t="n">
        <v>434</v>
      </c>
      <c r="N5120" s="8" t="n">
        <v>0</v>
      </c>
      <c r="O5120" s="4" t="n">
        <v>33.8606</v>
      </c>
    </row>
    <row r="5121" customFormat="false" ht="15" hidden="false" customHeight="false" outlineLevel="0" collapsed="false">
      <c r="A5121" s="0" t="s">
        <v>6830</v>
      </c>
      <c r="D5121" s="7" t="n">
        <v>25</v>
      </c>
      <c r="E5121" s="8" t="n">
        <v>0.862</v>
      </c>
      <c r="F5121" s="4" t="n">
        <f aca="false">D5121*E5121</f>
        <v>21.55</v>
      </c>
      <c r="G5121" s="7" t="n">
        <v>9</v>
      </c>
      <c r="H5121" s="9" t="n">
        <f aca="false">IF(G5121&gt;0,D5121/G5121,"")</f>
        <v>2.77777777777778</v>
      </c>
      <c r="I5121" s="10" t="n">
        <v>46142</v>
      </c>
      <c r="J5121" s="3" t="s">
        <v>6831</v>
      </c>
      <c r="K5121" s="10" t="n">
        <v>44749</v>
      </c>
      <c r="L5121" s="3" t="s">
        <v>19</v>
      </c>
      <c r="M5121" s="7" t="n">
        <v>97</v>
      </c>
      <c r="N5121" s="8" t="n">
        <v>0.8621</v>
      </c>
      <c r="O5121" s="4" t="n">
        <f aca="false">M5121*N5121</f>
        <v>83.6237</v>
      </c>
    </row>
    <row r="5122" customFormat="false" ht="15" hidden="false" customHeight="false" outlineLevel="0" collapsed="false">
      <c r="A5122" s="0" t="s">
        <v>6832</v>
      </c>
      <c r="C5122" s="0" t="s">
        <v>40</v>
      </c>
      <c r="D5122" s="7" t="n">
        <v>42</v>
      </c>
      <c r="E5122" s="8" t="n">
        <v>0.512380952380952</v>
      </c>
      <c r="F5122" s="4" t="n">
        <f aca="false">D5122*E5122</f>
        <v>21.52</v>
      </c>
      <c r="G5122" s="7" t="n">
        <v>13</v>
      </c>
      <c r="H5122" s="9" t="n">
        <f aca="false">IF(G5122&gt;0,D5122/G5122,"")</f>
        <v>3.23076923076923</v>
      </c>
      <c r="I5122" s="10" t="n">
        <v>46309</v>
      </c>
      <c r="J5122" s="3" t="s">
        <v>4270</v>
      </c>
      <c r="K5122" s="10" t="n">
        <v>46092</v>
      </c>
      <c r="L5122" s="3" t="s">
        <v>18</v>
      </c>
      <c r="M5122" s="7" t="n">
        <v>52</v>
      </c>
      <c r="N5122" s="8" t="n">
        <v>0.5124</v>
      </c>
      <c r="O5122" s="4" t="n">
        <f aca="false">M5122*N5122</f>
        <v>26.6448</v>
      </c>
    </row>
    <row r="5123" customFormat="false" ht="15" hidden="false" customHeight="false" outlineLevel="0" collapsed="false">
      <c r="A5123" s="0" t="s">
        <v>6833</v>
      </c>
      <c r="C5123" s="0" t="s">
        <v>33</v>
      </c>
      <c r="D5123" s="7" t="n">
        <v>195</v>
      </c>
      <c r="E5123" s="8" t="n">
        <v>0.110307692307692</v>
      </c>
      <c r="F5123" s="4" t="n">
        <f aca="false">D5123*E5123</f>
        <v>21.51</v>
      </c>
      <c r="G5123" s="7" t="n">
        <v>46</v>
      </c>
      <c r="H5123" s="9" t="n">
        <f aca="false">IF(G5123&gt;0,D5123/G5123,"")</f>
        <v>4.23913043478261</v>
      </c>
      <c r="I5123" s="10" t="n">
        <v>46126</v>
      </c>
      <c r="K5123" s="10"/>
      <c r="M5123" s="7"/>
      <c r="N5123" s="8"/>
      <c r="O5123" s="4"/>
    </row>
    <row r="5124" customFormat="false" ht="15" hidden="false" customHeight="false" outlineLevel="0" collapsed="false">
      <c r="A5124" s="0" t="s">
        <v>6834</v>
      </c>
      <c r="C5124" s="0" t="s">
        <v>33</v>
      </c>
      <c r="D5124" s="7" t="n">
        <v>3</v>
      </c>
      <c r="E5124" s="8" t="n">
        <v>7.16666666666667</v>
      </c>
      <c r="F5124" s="4" t="n">
        <f aca="false">D5124*E5124</f>
        <v>21.5</v>
      </c>
      <c r="G5124" s="7" t="n">
        <v>1</v>
      </c>
      <c r="H5124" s="9" t="n">
        <f aca="false">IF(G5124&gt;0,D5124/G5124,"")</f>
        <v>3</v>
      </c>
      <c r="I5124" s="10" t="n">
        <v>46106</v>
      </c>
      <c r="J5124" s="3" t="s">
        <v>263</v>
      </c>
      <c r="K5124" s="10" t="n">
        <v>46094</v>
      </c>
      <c r="L5124" s="3" t="s">
        <v>18</v>
      </c>
      <c r="M5124" s="7" t="n">
        <v>4</v>
      </c>
      <c r="N5124" s="8" t="n">
        <v>7.1678</v>
      </c>
      <c r="O5124" s="4" t="n">
        <f aca="false">M5124*N5124</f>
        <v>28.6712</v>
      </c>
    </row>
    <row r="5125" customFormat="false" ht="15" hidden="false" customHeight="false" outlineLevel="0" collapsed="false">
      <c r="A5125" s="0" t="s">
        <v>6835</v>
      </c>
      <c r="D5125" s="7" t="n">
        <v>10</v>
      </c>
      <c r="E5125" s="8" t="n">
        <v>2.147</v>
      </c>
      <c r="F5125" s="4" t="n">
        <f aca="false">D5125*E5125</f>
        <v>21.47</v>
      </c>
      <c r="G5125" s="7" t="n">
        <v>1</v>
      </c>
      <c r="H5125" s="9" t="n">
        <f aca="false">IF(G5125&gt;0,D5125/G5125,"")</f>
        <v>10</v>
      </c>
      <c r="I5125" s="10" t="n">
        <v>46280</v>
      </c>
      <c r="J5125" s="3" t="s">
        <v>6836</v>
      </c>
      <c r="K5125" s="10" t="n">
        <v>44641</v>
      </c>
      <c r="L5125" s="3" t="s">
        <v>1175</v>
      </c>
      <c r="M5125" s="7" t="n">
        <v>40</v>
      </c>
      <c r="N5125" s="8" t="n">
        <v>6.7079</v>
      </c>
      <c r="O5125" s="4" t="n">
        <f aca="false">M5125*N5125</f>
        <v>268.316</v>
      </c>
    </row>
    <row r="5126" customFormat="false" ht="15" hidden="false" customHeight="false" outlineLevel="0" collapsed="false">
      <c r="A5126" s="0" t="s">
        <v>6837</v>
      </c>
      <c r="C5126" s="0" t="s">
        <v>31</v>
      </c>
      <c r="D5126" s="7" t="n">
        <v>277</v>
      </c>
      <c r="E5126" s="8" t="n">
        <v>0.0773285198555957</v>
      </c>
      <c r="F5126" s="4" t="n">
        <f aca="false">D5126*E5126</f>
        <v>21.42</v>
      </c>
      <c r="G5126" s="7" t="n">
        <v>50</v>
      </c>
      <c r="H5126" s="9" t="n">
        <f aca="false">IF(G5126&gt;0,D5126/G5126,"")</f>
        <v>5.54</v>
      </c>
      <c r="I5126" s="10" t="n">
        <v>46090</v>
      </c>
      <c r="J5126" s="3" t="s">
        <v>6838</v>
      </c>
      <c r="K5126" s="10" t="n">
        <v>44335</v>
      </c>
      <c r="L5126" s="3" t="s">
        <v>19</v>
      </c>
      <c r="M5126" s="7" t="n">
        <v>500</v>
      </c>
      <c r="N5126" s="8" t="n">
        <v>0.0774</v>
      </c>
      <c r="O5126" s="4" t="n">
        <f aca="false">M5126*N5126</f>
        <v>38.7</v>
      </c>
    </row>
    <row r="5127" customFormat="false" ht="15" hidden="false" customHeight="false" outlineLevel="0" collapsed="false">
      <c r="A5127" s="0" t="s">
        <v>6839</v>
      </c>
      <c r="C5127" s="0" t="s">
        <v>36</v>
      </c>
      <c r="D5127" s="7" t="n">
        <v>33</v>
      </c>
      <c r="E5127" s="8" t="n">
        <v>0.649090909090909</v>
      </c>
      <c r="F5127" s="4" t="n">
        <f aca="false">D5127*E5127</f>
        <v>21.42</v>
      </c>
      <c r="G5127" s="7" t="n">
        <v>6</v>
      </c>
      <c r="H5127" s="9" t="n">
        <f aca="false">IF(G5127&gt;0,D5127/G5127,"")</f>
        <v>5.5</v>
      </c>
      <c r="I5127" s="10" t="n">
        <v>46253</v>
      </c>
      <c r="K5127" s="10"/>
      <c r="M5127" s="7"/>
      <c r="N5127" s="8"/>
      <c r="O5127" s="4"/>
    </row>
    <row r="5128" customFormat="false" ht="15" hidden="false" customHeight="false" outlineLevel="0" collapsed="false">
      <c r="A5128" s="0" t="s">
        <v>6840</v>
      </c>
      <c r="C5128" s="0" t="s">
        <v>31</v>
      </c>
      <c r="D5128" s="7" t="n">
        <v>443</v>
      </c>
      <c r="E5128" s="8" t="n">
        <v>0.0483295711060948</v>
      </c>
      <c r="F5128" s="4" t="n">
        <f aca="false">D5128*E5128</f>
        <v>21.41</v>
      </c>
      <c r="G5128" s="7" t="n">
        <v>246</v>
      </c>
      <c r="H5128" s="9" t="n">
        <f aca="false">IF(G5128&gt;0,D5128/G5128,"")</f>
        <v>1.80081300813008</v>
      </c>
      <c r="I5128" s="10" t="n">
        <v>46301</v>
      </c>
      <c r="J5128" s="3" t="s">
        <v>1915</v>
      </c>
      <c r="K5128" s="10" t="n">
        <v>45736</v>
      </c>
      <c r="L5128" s="3" t="s">
        <v>19</v>
      </c>
      <c r="M5128" s="7" t="n">
        <v>78</v>
      </c>
      <c r="N5128" s="8" t="n">
        <v>0.2917</v>
      </c>
      <c r="O5128" s="4" t="n">
        <f aca="false">M5128*N5128</f>
        <v>22.7526</v>
      </c>
    </row>
    <row r="5129" customFormat="false" ht="15" hidden="false" customHeight="false" outlineLevel="0" collapsed="false">
      <c r="A5129" s="0" t="s">
        <v>6841</v>
      </c>
      <c r="C5129" s="0" t="s">
        <v>31</v>
      </c>
      <c r="D5129" s="7" t="n">
        <v>40</v>
      </c>
      <c r="E5129" s="8" t="n">
        <v>0.535</v>
      </c>
      <c r="F5129" s="4" t="n">
        <f aca="false">D5129*E5129</f>
        <v>21.4</v>
      </c>
      <c r="G5129" s="7" t="n">
        <v>10</v>
      </c>
      <c r="H5129" s="9" t="n">
        <f aca="false">IF(G5129&gt;0,D5129/G5129,"")</f>
        <v>4</v>
      </c>
      <c r="I5129" s="10" t="n">
        <v>46281</v>
      </c>
      <c r="J5129" s="3" t="s">
        <v>5646</v>
      </c>
      <c r="K5129" s="10" t="n">
        <v>46275</v>
      </c>
      <c r="L5129" s="3" t="s">
        <v>19</v>
      </c>
      <c r="M5129" s="7" t="n">
        <v>50</v>
      </c>
      <c r="N5129" s="8" t="n">
        <v>0.535</v>
      </c>
      <c r="O5129" s="4" t="n">
        <f aca="false">M5129*N5129</f>
        <v>26.75</v>
      </c>
    </row>
    <row r="5130" customFormat="false" ht="15" hidden="false" customHeight="false" outlineLevel="0" collapsed="false">
      <c r="A5130" s="0" t="s">
        <v>6842</v>
      </c>
      <c r="C5130" s="0" t="s">
        <v>340</v>
      </c>
      <c r="D5130" s="7" t="n">
        <v>300</v>
      </c>
      <c r="E5130" s="8" t="n">
        <v>0.0713333333333333</v>
      </c>
      <c r="F5130" s="4" t="n">
        <f aca="false">D5130*E5130</f>
        <v>21.4</v>
      </c>
      <c r="G5130" s="7" t="n">
        <v>166</v>
      </c>
      <c r="H5130" s="9" t="n">
        <f aca="false">IF(G5130&gt;0,D5130/G5130,"")</f>
        <v>1.80722891566265</v>
      </c>
      <c r="I5130" s="10" t="n">
        <v>46287</v>
      </c>
      <c r="J5130" s="3" t="s">
        <v>341</v>
      </c>
      <c r="K5130" s="10" t="n">
        <v>46078</v>
      </c>
      <c r="L5130" s="3" t="s">
        <v>15</v>
      </c>
      <c r="M5130" s="7" t="n">
        <v>130</v>
      </c>
      <c r="N5130" s="8" t="n">
        <v>0.05577</v>
      </c>
      <c r="O5130" s="4" t="n">
        <f aca="false">M5130*N5130</f>
        <v>7.2501</v>
      </c>
    </row>
    <row r="5131" customFormat="false" ht="15" hidden="false" customHeight="false" outlineLevel="0" collapsed="false">
      <c r="A5131" s="0" t="s">
        <v>6843</v>
      </c>
      <c r="C5131" s="0" t="s">
        <v>715</v>
      </c>
      <c r="D5131" s="7" t="n">
        <v>46</v>
      </c>
      <c r="E5131" s="8" t="n">
        <v>0.465</v>
      </c>
      <c r="F5131" s="4" t="n">
        <f aca="false">D5131*E5131</f>
        <v>21.39</v>
      </c>
      <c r="G5131" s="7" t="n">
        <v>4</v>
      </c>
      <c r="H5131" s="9" t="n">
        <f aca="false">IF(G5131&gt;0,D5131/G5131,"")</f>
        <v>11.5</v>
      </c>
      <c r="I5131" s="10" t="n">
        <v>46146</v>
      </c>
      <c r="J5131" s="3" t="s">
        <v>4927</v>
      </c>
      <c r="K5131" s="10" t="n">
        <v>44949</v>
      </c>
      <c r="L5131" s="3" t="s">
        <v>14</v>
      </c>
      <c r="M5131" s="7" t="n">
        <v>100</v>
      </c>
      <c r="N5131" s="8" t="n">
        <v>0.465</v>
      </c>
      <c r="O5131" s="4" t="n">
        <f aca="false">M5131*N5131</f>
        <v>46.5</v>
      </c>
    </row>
    <row r="5132" customFormat="false" ht="15" hidden="false" customHeight="false" outlineLevel="0" collapsed="false">
      <c r="A5132" s="0" t="s">
        <v>6844</v>
      </c>
      <c r="C5132" s="0" t="s">
        <v>39</v>
      </c>
      <c r="D5132" s="7" t="n">
        <v>96</v>
      </c>
      <c r="E5132" s="8" t="n">
        <v>0.222708333333333</v>
      </c>
      <c r="F5132" s="4" t="n">
        <f aca="false">D5132*E5132</f>
        <v>21.38</v>
      </c>
      <c r="G5132" s="7" t="n">
        <v>51</v>
      </c>
      <c r="H5132" s="9" t="n">
        <f aca="false">IF(G5132&gt;0,D5132/G5132,"")</f>
        <v>1.88235294117647</v>
      </c>
      <c r="I5132" s="10" t="n">
        <v>46238</v>
      </c>
      <c r="K5132" s="10"/>
      <c r="M5132" s="7"/>
      <c r="N5132" s="8"/>
      <c r="O5132" s="4"/>
    </row>
    <row r="5133" customFormat="false" ht="15" hidden="false" customHeight="false" outlineLevel="0" collapsed="false">
      <c r="A5133" s="0" t="s">
        <v>6845</v>
      </c>
      <c r="C5133" s="0" t="s">
        <v>31</v>
      </c>
      <c r="D5133" s="7" t="n">
        <v>246</v>
      </c>
      <c r="E5133" s="8" t="n">
        <v>0.0869105691056911</v>
      </c>
      <c r="F5133" s="4" t="n">
        <f aca="false">D5133*E5133</f>
        <v>21.38</v>
      </c>
      <c r="G5133" s="7" t="n">
        <v>4</v>
      </c>
      <c r="H5133" s="9" t="n">
        <f aca="false">IF(G5133&gt;0,D5133/G5133,"")</f>
        <v>61.5</v>
      </c>
      <c r="I5133" s="10" t="n">
        <v>46104</v>
      </c>
      <c r="J5133" s="3" t="s">
        <v>6660</v>
      </c>
      <c r="K5133" s="10" t="n">
        <v>46094</v>
      </c>
      <c r="L5133" s="3" t="s">
        <v>19</v>
      </c>
      <c r="M5133" s="7" t="n">
        <v>250</v>
      </c>
      <c r="N5133" s="8" t="n">
        <v>0.0869</v>
      </c>
      <c r="O5133" s="4" t="n">
        <f aca="false">M5133*N5133</f>
        <v>21.725</v>
      </c>
    </row>
    <row r="5134" customFormat="false" ht="15" hidden="false" customHeight="false" outlineLevel="0" collapsed="false">
      <c r="A5134" s="0" t="s">
        <v>6846</v>
      </c>
      <c r="C5134" s="0" t="s">
        <v>31</v>
      </c>
      <c r="D5134" s="7" t="n">
        <v>1162</v>
      </c>
      <c r="E5134" s="8" t="n">
        <v>0.0183993115318417</v>
      </c>
      <c r="F5134" s="4" t="n">
        <f aca="false">D5134*E5134</f>
        <v>21.38</v>
      </c>
      <c r="G5134" s="7" t="n">
        <v>17</v>
      </c>
      <c r="H5134" s="9" t="n">
        <f aca="false">IF(G5134&gt;0,D5134/G5134,"")</f>
        <v>68.3529411764706</v>
      </c>
      <c r="I5134" s="10" t="n">
        <v>46224</v>
      </c>
      <c r="J5134" s="3" t="s">
        <v>6847</v>
      </c>
      <c r="K5134" s="10" t="n">
        <v>44379</v>
      </c>
      <c r="L5134" s="3" t="s">
        <v>19</v>
      </c>
      <c r="M5134" s="7" t="n">
        <v>2000</v>
      </c>
      <c r="N5134" s="8" t="n">
        <v>0.0184</v>
      </c>
      <c r="O5134" s="4" t="n">
        <f aca="false">M5134*N5134</f>
        <v>36.8</v>
      </c>
    </row>
    <row r="5135" customFormat="false" ht="15" hidden="false" customHeight="false" outlineLevel="0" collapsed="false">
      <c r="A5135" s="0" t="s">
        <v>6848</v>
      </c>
      <c r="C5135" s="0" t="s">
        <v>36</v>
      </c>
      <c r="D5135" s="7" t="n">
        <v>27</v>
      </c>
      <c r="E5135" s="8" t="n">
        <v>0.790740740740741</v>
      </c>
      <c r="F5135" s="4" t="n">
        <f aca="false">D5135*E5135</f>
        <v>21.35</v>
      </c>
      <c r="G5135" s="7" t="n">
        <v>2</v>
      </c>
      <c r="H5135" s="9" t="n">
        <f aca="false">IF(G5135&gt;0,D5135/G5135,"")</f>
        <v>13.5</v>
      </c>
      <c r="I5135" s="10" t="n">
        <v>46238</v>
      </c>
      <c r="J5135" s="3" t="s">
        <v>188</v>
      </c>
      <c r="K5135" s="10" t="n">
        <v>45124</v>
      </c>
      <c r="L5135" s="3" t="s">
        <v>19</v>
      </c>
      <c r="M5135" s="7" t="n">
        <v>38</v>
      </c>
      <c r="N5135" s="8" t="n">
        <v>0.7904</v>
      </c>
      <c r="O5135" s="4" t="n">
        <f aca="false">M5135*N5135</f>
        <v>30.0352</v>
      </c>
    </row>
    <row r="5136" customFormat="false" ht="15" hidden="false" customHeight="false" outlineLevel="0" collapsed="false">
      <c r="A5136" s="0" t="s">
        <v>6849</v>
      </c>
      <c r="C5136" s="0" t="s">
        <v>31</v>
      </c>
      <c r="D5136" s="7" t="n">
        <v>327</v>
      </c>
      <c r="E5136" s="8" t="n">
        <v>0.0652905198776758</v>
      </c>
      <c r="F5136" s="4" t="n">
        <f aca="false">D5136*E5136</f>
        <v>21.35</v>
      </c>
      <c r="G5136" s="7" t="n">
        <v>133</v>
      </c>
      <c r="H5136" s="9" t="n">
        <f aca="false">IF(G5136&gt;0,D5136/G5136,"")</f>
        <v>2.45864661654135</v>
      </c>
      <c r="I5136" s="10" t="n">
        <v>46205</v>
      </c>
      <c r="J5136" s="3" t="s">
        <v>5993</v>
      </c>
      <c r="K5136" s="10" t="n">
        <v>44327</v>
      </c>
      <c r="L5136" s="3" t="s">
        <v>19</v>
      </c>
      <c r="M5136" s="7" t="n">
        <v>500</v>
      </c>
      <c r="N5136" s="8" t="n">
        <v>0.0653</v>
      </c>
      <c r="O5136" s="4" t="n">
        <f aca="false">M5136*N5136</f>
        <v>32.65</v>
      </c>
    </row>
    <row r="5137" customFormat="false" ht="15" hidden="false" customHeight="false" outlineLevel="0" collapsed="false">
      <c r="A5137" s="0" t="s">
        <v>6850</v>
      </c>
      <c r="C5137" s="0" t="s">
        <v>1039</v>
      </c>
      <c r="D5137" s="7" t="n">
        <v>438</v>
      </c>
      <c r="E5137" s="8" t="n">
        <v>0.0487442922374429</v>
      </c>
      <c r="F5137" s="4" t="n">
        <f aca="false">D5137*E5137</f>
        <v>21.35</v>
      </c>
      <c r="G5137" s="7" t="n">
        <v>113</v>
      </c>
      <c r="H5137" s="9" t="n">
        <f aca="false">IF(G5137&gt;0,D5137/G5137,"")</f>
        <v>3.87610619469027</v>
      </c>
      <c r="I5137" s="10" t="n">
        <v>46171</v>
      </c>
      <c r="J5137" s="3" t="s">
        <v>6851</v>
      </c>
      <c r="K5137" s="10" t="n">
        <v>45419</v>
      </c>
      <c r="L5137" s="3" t="s">
        <v>19</v>
      </c>
      <c r="M5137" s="7" t="n">
        <v>1000</v>
      </c>
      <c r="N5137" s="8" t="n">
        <v>0.0488</v>
      </c>
      <c r="O5137" s="4" t="n">
        <f aca="false">M5137*N5137</f>
        <v>48.8</v>
      </c>
    </row>
    <row r="5138" customFormat="false" ht="15" hidden="false" customHeight="false" outlineLevel="0" collapsed="false">
      <c r="A5138" s="0" t="s">
        <v>6852</v>
      </c>
      <c r="C5138" s="0" t="s">
        <v>31</v>
      </c>
      <c r="D5138" s="7" t="n">
        <v>403</v>
      </c>
      <c r="E5138" s="8" t="n">
        <v>0.0529528535980149</v>
      </c>
      <c r="F5138" s="4" t="n">
        <f aca="false">D5138*E5138</f>
        <v>21.34</v>
      </c>
      <c r="G5138" s="7" t="n">
        <v>109</v>
      </c>
      <c r="H5138" s="9" t="n">
        <f aca="false">IF(G5138&gt;0,D5138/G5138,"")</f>
        <v>3.69724770642202</v>
      </c>
      <c r="I5138" s="10" t="n">
        <v>46260</v>
      </c>
      <c r="J5138" s="3" t="s">
        <v>1192</v>
      </c>
      <c r="K5138" s="10" t="n">
        <v>45736</v>
      </c>
      <c r="L5138" s="3" t="s">
        <v>26</v>
      </c>
      <c r="M5138" s="7" t="n">
        <v>30</v>
      </c>
      <c r="N5138" s="8" t="n">
        <v>0.16666667</v>
      </c>
      <c r="O5138" s="4" t="n">
        <f aca="false">M5138*N5138</f>
        <v>5.0000001</v>
      </c>
    </row>
    <row r="5139" customFormat="false" ht="15" hidden="false" customHeight="false" outlineLevel="0" collapsed="false">
      <c r="A5139" s="0" t="s">
        <v>6853</v>
      </c>
      <c r="C5139" s="0" t="s">
        <v>31</v>
      </c>
      <c r="D5139" s="7" t="n">
        <v>400</v>
      </c>
      <c r="E5139" s="8" t="n">
        <v>0.053325</v>
      </c>
      <c r="F5139" s="4" t="n">
        <f aca="false">D5139*E5139</f>
        <v>21.33</v>
      </c>
      <c r="G5139" s="7" t="n">
        <v>58</v>
      </c>
      <c r="H5139" s="9" t="n">
        <f aca="false">IF(G5139&gt;0,D5139/G5139,"")</f>
        <v>6.89655172413793</v>
      </c>
      <c r="I5139" s="10" t="n">
        <v>46202</v>
      </c>
      <c r="J5139" s="3" t="s">
        <v>6854</v>
      </c>
      <c r="K5139" s="10" t="n">
        <v>46085</v>
      </c>
      <c r="L5139" s="3" t="s">
        <v>14</v>
      </c>
      <c r="M5139" s="7" t="n">
        <v>444</v>
      </c>
      <c r="N5139" s="8" t="n">
        <v>0.0533</v>
      </c>
      <c r="O5139" s="4" t="n">
        <f aca="false">M5139*N5139</f>
        <v>23.6652</v>
      </c>
    </row>
    <row r="5140" customFormat="false" ht="15" hidden="false" customHeight="false" outlineLevel="0" collapsed="false">
      <c r="A5140" s="0" t="s">
        <v>6855</v>
      </c>
      <c r="C5140" s="0" t="s">
        <v>34</v>
      </c>
      <c r="D5140" s="7" t="n">
        <v>79</v>
      </c>
      <c r="E5140" s="8" t="n">
        <v>0.269746835443038</v>
      </c>
      <c r="F5140" s="4" t="n">
        <f aca="false">D5140*E5140</f>
        <v>21.31</v>
      </c>
      <c r="G5140" s="7" t="n">
        <v>30</v>
      </c>
      <c r="H5140" s="9" t="n">
        <f aca="false">IF(G5140&gt;0,D5140/G5140,"")</f>
        <v>2.63333333333333</v>
      </c>
      <c r="I5140" s="10" t="n">
        <v>46192</v>
      </c>
      <c r="J5140" s="3" t="s">
        <v>572</v>
      </c>
      <c r="K5140" s="10" t="n">
        <v>46164</v>
      </c>
      <c r="L5140" s="3" t="s">
        <v>14</v>
      </c>
      <c r="M5140" s="7" t="n">
        <v>100</v>
      </c>
      <c r="N5140" s="8" t="n">
        <v>0.2698</v>
      </c>
      <c r="O5140" s="4" t="n">
        <f aca="false">M5140*N5140</f>
        <v>26.98</v>
      </c>
    </row>
    <row r="5141" customFormat="false" ht="15" hidden="false" customHeight="false" outlineLevel="0" collapsed="false">
      <c r="A5141" s="0" t="s">
        <v>6856</v>
      </c>
      <c r="C5141" s="0" t="s">
        <v>34</v>
      </c>
      <c r="D5141" s="7" t="n">
        <v>19</v>
      </c>
      <c r="E5141" s="8" t="n">
        <v>1.12</v>
      </c>
      <c r="F5141" s="4" t="n">
        <f aca="false">D5141*E5141</f>
        <v>21.28</v>
      </c>
      <c r="G5141" s="7" t="n">
        <v>6</v>
      </c>
      <c r="H5141" s="9" t="n">
        <f aca="false">IF(G5141&gt;0,D5141/G5141,"")</f>
        <v>3.16666666666667</v>
      </c>
      <c r="I5141" s="10" t="n">
        <v>46129</v>
      </c>
      <c r="J5141" s="3" t="s">
        <v>6073</v>
      </c>
      <c r="K5141" s="10" t="n">
        <v>46126</v>
      </c>
      <c r="L5141" s="3" t="s">
        <v>19</v>
      </c>
      <c r="M5141" s="7" t="n">
        <v>25</v>
      </c>
      <c r="N5141" s="8" t="n">
        <v>1.1163</v>
      </c>
      <c r="O5141" s="4" t="n">
        <f aca="false">M5141*N5141</f>
        <v>27.9075</v>
      </c>
    </row>
    <row r="5142" customFormat="false" ht="15" hidden="false" customHeight="false" outlineLevel="0" collapsed="false">
      <c r="A5142" s="0" t="s">
        <v>6857</v>
      </c>
      <c r="C5142" s="0" t="s">
        <v>34</v>
      </c>
      <c r="D5142" s="7" t="n">
        <v>141</v>
      </c>
      <c r="E5142" s="8" t="n">
        <v>0.150851063829787</v>
      </c>
      <c r="F5142" s="4" t="n">
        <f aca="false">D5142*E5142</f>
        <v>21.27</v>
      </c>
      <c r="G5142" s="7" t="n">
        <v>13</v>
      </c>
      <c r="H5142" s="9" t="n">
        <f aca="false">IF(G5142&gt;0,D5142/G5142,"")</f>
        <v>10.8461538461538</v>
      </c>
      <c r="I5142" s="10" t="n">
        <v>46273</v>
      </c>
      <c r="J5142" s="3" t="s">
        <v>929</v>
      </c>
      <c r="K5142" s="10" t="n">
        <v>44327</v>
      </c>
      <c r="L5142" s="3" t="s">
        <v>15</v>
      </c>
      <c r="M5142" s="7" t="n">
        <v>300</v>
      </c>
      <c r="N5142" s="8" t="n">
        <v>0.1507</v>
      </c>
      <c r="O5142" s="4" t="n">
        <f aca="false">M5142*N5142</f>
        <v>45.21</v>
      </c>
    </row>
    <row r="5143" customFormat="false" ht="15" hidden="false" customHeight="false" outlineLevel="0" collapsed="false">
      <c r="A5143" s="0" t="s">
        <v>6858</v>
      </c>
      <c r="C5143" s="0" t="s">
        <v>1039</v>
      </c>
      <c r="D5143" s="7" t="n">
        <v>5450</v>
      </c>
      <c r="E5143" s="8" t="n">
        <v>0.00389908256880734</v>
      </c>
      <c r="F5143" s="4" t="n">
        <f aca="false">D5143*E5143</f>
        <v>21.25</v>
      </c>
      <c r="G5143" s="7" t="n">
        <v>1162</v>
      </c>
      <c r="H5143" s="9" t="n">
        <f aca="false">IF(G5143&gt;0,D5143/G5143,"")</f>
        <v>4.69018932874355</v>
      </c>
      <c r="I5143" s="10" t="n">
        <v>46314</v>
      </c>
      <c r="J5143" s="3" t="s">
        <v>2739</v>
      </c>
      <c r="K5143" s="10" t="n">
        <v>46142</v>
      </c>
      <c r="L5143" s="3" t="s">
        <v>16</v>
      </c>
      <c r="M5143" s="7" t="n">
        <v>6000</v>
      </c>
      <c r="N5143" s="8" t="n">
        <v>0.0039</v>
      </c>
      <c r="O5143" s="4" t="n">
        <f aca="false">M5143*N5143</f>
        <v>23.4</v>
      </c>
    </row>
    <row r="5144" customFormat="false" ht="15" hidden="false" customHeight="false" outlineLevel="0" collapsed="false">
      <c r="A5144" s="0" t="s">
        <v>6859</v>
      </c>
      <c r="C5144" s="0" t="s">
        <v>295</v>
      </c>
      <c r="D5144" s="7" t="n">
        <v>1000</v>
      </c>
      <c r="E5144" s="8" t="n">
        <v>0.0212</v>
      </c>
      <c r="F5144" s="4" t="n">
        <f aca="false">D5144*E5144</f>
        <v>21.2</v>
      </c>
      <c r="G5144" s="7" t="n">
        <v>500</v>
      </c>
      <c r="H5144" s="9" t="n">
        <f aca="false">IF(G5144&gt;0,D5144/G5144,"")</f>
        <v>2</v>
      </c>
      <c r="I5144" s="10" t="n">
        <v>46063</v>
      </c>
      <c r="J5144" s="3" t="s">
        <v>2417</v>
      </c>
      <c r="K5144" s="10" t="n">
        <v>46049</v>
      </c>
      <c r="L5144" s="3" t="s">
        <v>19</v>
      </c>
      <c r="M5144" s="7" t="n">
        <v>1500</v>
      </c>
      <c r="N5144" s="8" t="n">
        <v>0.0212</v>
      </c>
      <c r="O5144" s="4" t="n">
        <f aca="false">M5144*N5144</f>
        <v>31.8</v>
      </c>
    </row>
    <row r="5145" customFormat="false" ht="15" hidden="false" customHeight="false" outlineLevel="0" collapsed="false">
      <c r="A5145" s="0" t="s">
        <v>6860</v>
      </c>
      <c r="C5145" s="0" t="s">
        <v>441</v>
      </c>
      <c r="D5145" s="7" t="n">
        <v>1</v>
      </c>
      <c r="E5145" s="8" t="n">
        <v>21.16</v>
      </c>
      <c r="F5145" s="4" t="n">
        <f aca="false">D5145*E5145</f>
        <v>21.16</v>
      </c>
      <c r="G5145" s="7" t="n">
        <v>1</v>
      </c>
      <c r="H5145" s="9" t="n">
        <f aca="false">IF(G5145&gt;0,D5145/G5145,"")</f>
        <v>1</v>
      </c>
      <c r="I5145" s="10" t="n">
        <v>46051</v>
      </c>
      <c r="J5145" s="3" t="s">
        <v>6861</v>
      </c>
      <c r="K5145" s="10" t="n">
        <v>46027</v>
      </c>
      <c r="L5145" s="3" t="s">
        <v>313</v>
      </c>
      <c r="M5145" s="7" t="n">
        <v>2</v>
      </c>
      <c r="N5145" s="8" t="n">
        <v>21.16</v>
      </c>
      <c r="O5145" s="4" t="n">
        <f aca="false">M5145*N5145</f>
        <v>42.32</v>
      </c>
    </row>
    <row r="5146" customFormat="false" ht="15" hidden="false" customHeight="false" outlineLevel="0" collapsed="false">
      <c r="A5146" s="0" t="s">
        <v>6862</v>
      </c>
      <c r="C5146" s="0" t="s">
        <v>979</v>
      </c>
      <c r="D5146" s="7" t="n">
        <v>279</v>
      </c>
      <c r="E5146" s="8" t="n">
        <v>0.0758064516129032</v>
      </c>
      <c r="F5146" s="4" t="n">
        <f aca="false">D5146*E5146</f>
        <v>21.15</v>
      </c>
      <c r="G5146" s="7" t="n">
        <v>228</v>
      </c>
      <c r="H5146" s="9" t="n">
        <f aca="false">IF(G5146&gt;0,D5146/G5146,"")</f>
        <v>1.22368421052632</v>
      </c>
      <c r="I5146" s="10" t="n">
        <v>46315</v>
      </c>
      <c r="K5146" s="10"/>
      <c r="M5146" s="7"/>
      <c r="N5146" s="8"/>
      <c r="O5146" s="4"/>
    </row>
    <row r="5147" customFormat="false" ht="15" hidden="false" customHeight="false" outlineLevel="0" collapsed="false">
      <c r="A5147" s="0" t="s">
        <v>6863</v>
      </c>
      <c r="C5147" s="0" t="s">
        <v>39</v>
      </c>
      <c r="D5147" s="7" t="n">
        <v>11</v>
      </c>
      <c r="E5147" s="8" t="n">
        <v>1.92181818181818</v>
      </c>
      <c r="F5147" s="4" t="n">
        <f aca="false">D5147*E5147</f>
        <v>21.14</v>
      </c>
      <c r="G5147" s="7" t="n">
        <v>2</v>
      </c>
      <c r="H5147" s="9" t="n">
        <f aca="false">IF(G5147&gt;0,D5147/G5147,"")</f>
        <v>5.5</v>
      </c>
      <c r="I5147" s="10" t="n">
        <v>46048</v>
      </c>
      <c r="J5147" s="3" t="s">
        <v>4250</v>
      </c>
      <c r="K5147" s="10" t="n">
        <v>45659</v>
      </c>
      <c r="L5147" s="3" t="s">
        <v>18</v>
      </c>
      <c r="M5147" s="7" t="n">
        <v>13</v>
      </c>
      <c r="N5147" s="8" t="n">
        <v>1.9214</v>
      </c>
      <c r="O5147" s="4" t="n">
        <f aca="false">M5147*N5147</f>
        <v>24.9782</v>
      </c>
    </row>
    <row r="5148" customFormat="false" ht="15" hidden="false" customHeight="false" outlineLevel="0" collapsed="false">
      <c r="A5148" s="0" t="s">
        <v>6864</v>
      </c>
      <c r="C5148" s="0" t="s">
        <v>1010</v>
      </c>
      <c r="D5148" s="7" t="n">
        <v>168</v>
      </c>
      <c r="E5148" s="8" t="n">
        <v>0.12577380952381</v>
      </c>
      <c r="F5148" s="4" t="n">
        <f aca="false">D5148*E5148</f>
        <v>21.13</v>
      </c>
      <c r="G5148" s="7" t="n">
        <v>7</v>
      </c>
      <c r="H5148" s="9" t="n">
        <f aca="false">IF(G5148&gt;0,D5148/G5148,"")</f>
        <v>24</v>
      </c>
      <c r="I5148" s="10" t="n">
        <v>46237</v>
      </c>
      <c r="K5148" s="10"/>
      <c r="M5148" s="7"/>
      <c r="N5148" s="8"/>
      <c r="O5148" s="4"/>
    </row>
    <row r="5149" customFormat="false" ht="15" hidden="false" customHeight="false" outlineLevel="0" collapsed="false">
      <c r="A5149" s="0" t="s">
        <v>6865</v>
      </c>
      <c r="C5149" s="0" t="s">
        <v>41</v>
      </c>
      <c r="D5149" s="7" t="n">
        <v>2851</v>
      </c>
      <c r="E5149" s="8" t="n">
        <v>0.00740091196071554</v>
      </c>
      <c r="F5149" s="4" t="n">
        <f aca="false">D5149*E5149</f>
        <v>21.1</v>
      </c>
      <c r="G5149" s="7" t="n">
        <v>560</v>
      </c>
      <c r="H5149" s="9" t="n">
        <f aca="false">IF(G5149&gt;0,D5149/G5149,"")</f>
        <v>5.09107142857143</v>
      </c>
      <c r="I5149" s="10" t="n">
        <v>46107</v>
      </c>
      <c r="J5149" s="3" t="s">
        <v>1651</v>
      </c>
      <c r="K5149" s="10" t="n">
        <v>46069</v>
      </c>
      <c r="L5149" s="3" t="s">
        <v>16</v>
      </c>
      <c r="M5149" s="7" t="n">
        <v>2938</v>
      </c>
      <c r="N5149" s="8" t="n">
        <v>0.0074</v>
      </c>
      <c r="O5149" s="4" t="n">
        <f aca="false">M5149*N5149</f>
        <v>21.7412</v>
      </c>
    </row>
    <row r="5150" customFormat="false" ht="15" hidden="false" customHeight="false" outlineLevel="0" collapsed="false">
      <c r="A5150" s="0" t="s">
        <v>6866</v>
      </c>
      <c r="C5150" s="0" t="s">
        <v>31</v>
      </c>
      <c r="D5150" s="7" t="n">
        <v>344</v>
      </c>
      <c r="E5150" s="8" t="n">
        <v>0.06125</v>
      </c>
      <c r="F5150" s="4" t="n">
        <f aca="false">D5150*E5150</f>
        <v>21.07</v>
      </c>
      <c r="G5150" s="7" t="n">
        <v>8</v>
      </c>
      <c r="H5150" s="9" t="n">
        <f aca="false">IF(G5150&gt;0,D5150/G5150,"")</f>
        <v>43</v>
      </c>
      <c r="I5150" s="10" t="n">
        <v>45986</v>
      </c>
      <c r="J5150" s="3" t="s">
        <v>2267</v>
      </c>
      <c r="K5150" s="10" t="n">
        <v>45946</v>
      </c>
      <c r="L5150" s="3" t="s">
        <v>16</v>
      </c>
      <c r="M5150" s="7" t="n">
        <v>350</v>
      </c>
      <c r="N5150" s="8" t="n">
        <v>0.0595</v>
      </c>
      <c r="O5150" s="4" t="n">
        <f aca="false">M5150*N5150</f>
        <v>20.825</v>
      </c>
    </row>
    <row r="5151" customFormat="false" ht="15" hidden="false" customHeight="false" outlineLevel="0" collapsed="false">
      <c r="A5151" s="0" t="s">
        <v>6867</v>
      </c>
      <c r="C5151" s="0" t="s">
        <v>118</v>
      </c>
      <c r="D5151" s="7" t="n">
        <v>71</v>
      </c>
      <c r="E5151" s="8" t="n">
        <v>0.296760563380282</v>
      </c>
      <c r="F5151" s="4" t="n">
        <f aca="false">D5151*E5151</f>
        <v>21.07</v>
      </c>
      <c r="G5151" s="7" t="n">
        <v>26</v>
      </c>
      <c r="H5151" s="9" t="n">
        <f aca="false">IF(G5151&gt;0,D5151/G5151,"")</f>
        <v>2.73076923076923</v>
      </c>
      <c r="I5151" s="10" t="n">
        <v>46287</v>
      </c>
      <c r="J5151" s="3" t="s">
        <v>341</v>
      </c>
      <c r="K5151" s="10" t="n">
        <v>46078</v>
      </c>
      <c r="L5151" s="3" t="s">
        <v>15</v>
      </c>
      <c r="M5151" s="7" t="n">
        <v>89</v>
      </c>
      <c r="N5151" s="8" t="n">
        <v>0.29665</v>
      </c>
      <c r="O5151" s="4" t="n">
        <f aca="false">M5151*N5151</f>
        <v>26.40185</v>
      </c>
    </row>
    <row r="5152" customFormat="false" ht="15" hidden="false" customHeight="false" outlineLevel="0" collapsed="false">
      <c r="A5152" s="0" t="s">
        <v>6868</v>
      </c>
      <c r="C5152" s="0" t="s">
        <v>34</v>
      </c>
      <c r="D5152" s="7" t="n">
        <v>69</v>
      </c>
      <c r="E5152" s="8" t="n">
        <v>0.305217391304348</v>
      </c>
      <c r="F5152" s="4" t="n">
        <f aca="false">D5152*E5152</f>
        <v>21.06</v>
      </c>
      <c r="G5152" s="7" t="n">
        <v>20</v>
      </c>
      <c r="H5152" s="9" t="n">
        <f aca="false">IF(G5152&gt;0,D5152/G5152,"")</f>
        <v>3.45</v>
      </c>
      <c r="I5152" s="10" t="n">
        <v>46293</v>
      </c>
      <c r="K5152" s="10"/>
      <c r="M5152" s="7"/>
      <c r="N5152" s="8"/>
      <c r="O5152" s="4"/>
    </row>
    <row r="5153" customFormat="false" ht="15" hidden="false" customHeight="false" outlineLevel="0" collapsed="false">
      <c r="A5153" s="0" t="s">
        <v>6869</v>
      </c>
      <c r="C5153" s="0" t="s">
        <v>295</v>
      </c>
      <c r="D5153" s="7" t="n">
        <v>92</v>
      </c>
      <c r="E5153" s="8" t="n">
        <v>0.228913043478261</v>
      </c>
      <c r="F5153" s="4" t="n">
        <f aca="false">D5153*E5153</f>
        <v>21.06</v>
      </c>
      <c r="G5153" s="7" t="n">
        <v>12</v>
      </c>
      <c r="H5153" s="9" t="n">
        <f aca="false">IF(G5153&gt;0,D5153/G5153,"")</f>
        <v>7.66666666666667</v>
      </c>
      <c r="I5153" s="10" t="n">
        <v>46014</v>
      </c>
      <c r="K5153" s="10"/>
      <c r="M5153" s="7"/>
      <c r="N5153" s="8"/>
      <c r="O5153" s="4"/>
    </row>
    <row r="5154" customFormat="false" ht="15" hidden="false" customHeight="false" outlineLevel="0" collapsed="false">
      <c r="A5154" s="0" t="s">
        <v>6870</v>
      </c>
      <c r="C5154" s="0" t="s">
        <v>1039</v>
      </c>
      <c r="D5154" s="7" t="n">
        <v>6000</v>
      </c>
      <c r="E5154" s="8" t="n">
        <v>0.0035</v>
      </c>
      <c r="F5154" s="4" t="n">
        <f aca="false">D5154*E5154</f>
        <v>21</v>
      </c>
      <c r="G5154" s="7" t="n">
        <v>214</v>
      </c>
      <c r="H5154" s="9" t="n">
        <f aca="false">IF(G5154&gt;0,D5154/G5154,"")</f>
        <v>28.0373831775701</v>
      </c>
      <c r="I5154" s="10" t="n">
        <v>46143</v>
      </c>
      <c r="J5154" s="3" t="s">
        <v>620</v>
      </c>
      <c r="K5154" s="10" t="n">
        <v>46146</v>
      </c>
      <c r="L5154" s="3" t="s">
        <v>16</v>
      </c>
      <c r="M5154" s="7" t="n">
        <v>6000</v>
      </c>
      <c r="N5154" s="8" t="n">
        <v>0.0035</v>
      </c>
      <c r="O5154" s="4" t="n">
        <f aca="false">M5154*N5154</f>
        <v>21</v>
      </c>
    </row>
    <row r="5155" customFormat="false" ht="15" hidden="false" customHeight="false" outlineLevel="0" collapsed="false">
      <c r="A5155" s="0" t="s">
        <v>6871</v>
      </c>
      <c r="C5155" s="0" t="s">
        <v>118</v>
      </c>
      <c r="D5155" s="7" t="n">
        <v>440</v>
      </c>
      <c r="E5155" s="8" t="n">
        <v>0.0476818181818182</v>
      </c>
      <c r="F5155" s="4" t="n">
        <f aca="false">D5155*E5155</f>
        <v>20.98</v>
      </c>
      <c r="G5155" s="7" t="n">
        <v>227</v>
      </c>
      <c r="H5155" s="9" t="n">
        <f aca="false">IF(G5155&gt;0,D5155/G5155,"")</f>
        <v>1.93832599118943</v>
      </c>
      <c r="I5155" s="10" t="n">
        <v>46241</v>
      </c>
      <c r="J5155" s="3" t="s">
        <v>4632</v>
      </c>
      <c r="K5155" s="10" t="n">
        <v>45552</v>
      </c>
      <c r="L5155" s="3" t="s">
        <v>16</v>
      </c>
      <c r="M5155" s="7" t="n">
        <v>1133</v>
      </c>
      <c r="N5155" s="8" t="n">
        <v>0.0477</v>
      </c>
      <c r="O5155" s="4" t="n">
        <f aca="false">M5155*N5155</f>
        <v>54.0441</v>
      </c>
    </row>
    <row r="5156" customFormat="false" ht="15" hidden="false" customHeight="false" outlineLevel="0" collapsed="false">
      <c r="A5156" s="0" t="s">
        <v>6872</v>
      </c>
      <c r="C5156" s="0" t="s">
        <v>715</v>
      </c>
      <c r="D5156" s="7" t="n">
        <v>702</v>
      </c>
      <c r="E5156" s="8" t="n">
        <v>0.0298717948717949</v>
      </c>
      <c r="F5156" s="4" t="n">
        <f aca="false">D5156*E5156</f>
        <v>20.97</v>
      </c>
      <c r="G5156" s="7" t="n">
        <v>242</v>
      </c>
      <c r="H5156" s="9" t="n">
        <f aca="false">IF(G5156&gt;0,D5156/G5156,"")</f>
        <v>2.90082644628099</v>
      </c>
      <c r="I5156" s="10" t="n">
        <v>46147</v>
      </c>
      <c r="J5156" s="3" t="s">
        <v>376</v>
      </c>
      <c r="K5156" s="10" t="n">
        <v>44321</v>
      </c>
      <c r="L5156" s="3" t="s">
        <v>15</v>
      </c>
      <c r="M5156" s="7" t="n">
        <v>2680</v>
      </c>
      <c r="N5156" s="8" t="n">
        <v>0.02988</v>
      </c>
      <c r="O5156" s="4" t="n">
        <f aca="false">M5156*N5156</f>
        <v>80.0784</v>
      </c>
    </row>
    <row r="5157" customFormat="false" ht="15" hidden="false" customHeight="false" outlineLevel="0" collapsed="false">
      <c r="A5157" s="0" t="s">
        <v>6873</v>
      </c>
      <c r="D5157" s="7" t="n">
        <v>12</v>
      </c>
      <c r="E5157" s="8" t="n">
        <v>1.7475</v>
      </c>
      <c r="F5157" s="4" t="n">
        <f aca="false">D5157*E5157</f>
        <v>20.97</v>
      </c>
      <c r="G5157" s="7" t="n">
        <v>4</v>
      </c>
      <c r="H5157" s="9" t="n">
        <f aca="false">IF(G5157&gt;0,D5157/G5157,"")</f>
        <v>3</v>
      </c>
      <c r="I5157" s="10" t="n">
        <v>46003</v>
      </c>
      <c r="J5157" s="3" t="s">
        <v>802</v>
      </c>
      <c r="K5157" s="10" t="n">
        <v>45824</v>
      </c>
      <c r="L5157" s="3" t="s">
        <v>14</v>
      </c>
      <c r="M5157" s="7" t="n">
        <v>20</v>
      </c>
      <c r="N5157" s="8" t="n">
        <v>1.7475</v>
      </c>
      <c r="O5157" s="4" t="n">
        <f aca="false">M5157*N5157</f>
        <v>34.95</v>
      </c>
    </row>
    <row r="5158" customFormat="false" ht="15" hidden="false" customHeight="false" outlineLevel="0" collapsed="false">
      <c r="A5158" s="0" t="s">
        <v>6874</v>
      </c>
      <c r="C5158" s="0" t="s">
        <v>31</v>
      </c>
      <c r="D5158" s="7" t="n">
        <v>198</v>
      </c>
      <c r="E5158" s="8" t="n">
        <v>0.105757575757576</v>
      </c>
      <c r="F5158" s="4" t="n">
        <f aca="false">D5158*E5158</f>
        <v>20.94</v>
      </c>
      <c r="G5158" s="7" t="n">
        <v>42</v>
      </c>
      <c r="H5158" s="9" t="n">
        <f aca="false">IF(G5158&gt;0,D5158/G5158,"")</f>
        <v>4.71428571428571</v>
      </c>
      <c r="I5158" s="10" t="n">
        <v>46146</v>
      </c>
      <c r="J5158" s="3" t="s">
        <v>6875</v>
      </c>
      <c r="K5158" s="10" t="n">
        <v>44624</v>
      </c>
      <c r="L5158" s="3" t="s">
        <v>14</v>
      </c>
      <c r="M5158" s="7" t="n">
        <v>365</v>
      </c>
      <c r="N5158" s="8" t="n">
        <v>0.1057</v>
      </c>
      <c r="O5158" s="4" t="n">
        <f aca="false">M5158*N5158</f>
        <v>38.5805</v>
      </c>
    </row>
    <row r="5159" customFormat="false" ht="15" hidden="false" customHeight="false" outlineLevel="0" collapsed="false">
      <c r="A5159" s="0" t="s">
        <v>6876</v>
      </c>
      <c r="C5159" s="0" t="s">
        <v>34</v>
      </c>
      <c r="D5159" s="7" t="n">
        <v>381</v>
      </c>
      <c r="E5159" s="8" t="n">
        <v>0.0549081364829396</v>
      </c>
      <c r="F5159" s="4" t="n">
        <f aca="false">D5159*E5159</f>
        <v>20.92</v>
      </c>
      <c r="G5159" s="7" t="n">
        <v>225</v>
      </c>
      <c r="H5159" s="9" t="n">
        <f aca="false">IF(G5159&gt;0,D5159/G5159,"")</f>
        <v>1.69333333333333</v>
      </c>
      <c r="I5159" s="10" t="n">
        <v>46246</v>
      </c>
      <c r="J5159" s="3" t="s">
        <v>3385</v>
      </c>
      <c r="K5159" s="10" t="n">
        <v>45595</v>
      </c>
      <c r="L5159" s="3" t="s">
        <v>16</v>
      </c>
      <c r="M5159" s="7" t="n">
        <v>680</v>
      </c>
      <c r="N5159" s="8" t="n">
        <v>0.0549</v>
      </c>
      <c r="O5159" s="4" t="n">
        <f aca="false">M5159*N5159</f>
        <v>37.332</v>
      </c>
    </row>
    <row r="5160" customFormat="false" ht="15" hidden="false" customHeight="false" outlineLevel="0" collapsed="false">
      <c r="A5160" s="0" t="s">
        <v>6877</v>
      </c>
      <c r="C5160" s="0" t="s">
        <v>31</v>
      </c>
      <c r="D5160" s="7" t="n">
        <v>105</v>
      </c>
      <c r="E5160" s="8" t="n">
        <v>0.199047619047619</v>
      </c>
      <c r="F5160" s="4" t="n">
        <f aca="false">D5160*E5160</f>
        <v>20.9</v>
      </c>
      <c r="G5160" s="7" t="n">
        <v>11</v>
      </c>
      <c r="H5160" s="9" t="n">
        <f aca="false">IF(G5160&gt;0,D5160/G5160,"")</f>
        <v>9.54545454545455</v>
      </c>
      <c r="I5160" s="10" t="n">
        <v>46078</v>
      </c>
      <c r="J5160" s="3" t="s">
        <v>3717</v>
      </c>
      <c r="K5160" s="10" t="n">
        <v>45236</v>
      </c>
      <c r="L5160" s="3" t="s">
        <v>19</v>
      </c>
      <c r="M5160" s="7" t="n">
        <v>324</v>
      </c>
      <c r="N5160" s="8" t="n">
        <v>0.1991</v>
      </c>
      <c r="O5160" s="4" t="n">
        <f aca="false">M5160*N5160</f>
        <v>64.5084</v>
      </c>
    </row>
    <row r="5161" customFormat="false" ht="15" hidden="false" customHeight="false" outlineLevel="0" collapsed="false">
      <c r="A5161" s="0" t="s">
        <v>6878</v>
      </c>
      <c r="C5161" s="0" t="s">
        <v>31</v>
      </c>
      <c r="D5161" s="7" t="n">
        <v>222</v>
      </c>
      <c r="E5161" s="8" t="n">
        <v>0.0941441441441441</v>
      </c>
      <c r="F5161" s="4" t="n">
        <f aca="false">D5161*E5161</f>
        <v>20.9</v>
      </c>
      <c r="G5161" s="7" t="n">
        <v>35</v>
      </c>
      <c r="H5161" s="9" t="n">
        <f aca="false">IF(G5161&gt;0,D5161/G5161,"")</f>
        <v>6.34285714285714</v>
      </c>
      <c r="I5161" s="10" t="n">
        <v>46104</v>
      </c>
      <c r="J5161" s="3" t="s">
        <v>6879</v>
      </c>
      <c r="K5161" s="10" t="n">
        <v>45956</v>
      </c>
      <c r="L5161" s="3" t="s">
        <v>19</v>
      </c>
      <c r="M5161" s="7" t="n">
        <v>250</v>
      </c>
      <c r="N5161" s="8" t="n">
        <v>0.0926</v>
      </c>
      <c r="O5161" s="4" t="n">
        <f aca="false">M5161*N5161</f>
        <v>23.15</v>
      </c>
    </row>
    <row r="5162" customFormat="false" ht="15" hidden="false" customHeight="false" outlineLevel="0" collapsed="false">
      <c r="A5162" s="0" t="s">
        <v>6880</v>
      </c>
      <c r="C5162" s="0" t="s">
        <v>34</v>
      </c>
      <c r="D5162" s="7" t="n">
        <v>510</v>
      </c>
      <c r="E5162" s="8" t="n">
        <v>0.0409019607843137</v>
      </c>
      <c r="F5162" s="4" t="n">
        <f aca="false">D5162*E5162</f>
        <v>20.86</v>
      </c>
      <c r="G5162" s="7" t="n">
        <v>30</v>
      </c>
      <c r="H5162" s="9" t="n">
        <f aca="false">IF(G5162&gt;0,D5162/G5162,"")</f>
        <v>17</v>
      </c>
      <c r="I5162" s="10" t="n">
        <v>46076</v>
      </c>
      <c r="J5162" s="3" t="s">
        <v>1107</v>
      </c>
      <c r="K5162" s="10" t="n">
        <v>46035</v>
      </c>
      <c r="L5162" s="3" t="s">
        <v>16</v>
      </c>
      <c r="M5162" s="7" t="n">
        <v>520</v>
      </c>
      <c r="N5162" s="8" t="n">
        <v>0.0386</v>
      </c>
      <c r="O5162" s="4" t="n">
        <f aca="false">M5162*N5162</f>
        <v>20.072</v>
      </c>
    </row>
    <row r="5163" customFormat="false" ht="15" hidden="false" customHeight="false" outlineLevel="0" collapsed="false">
      <c r="A5163" s="0" t="s">
        <v>6881</v>
      </c>
      <c r="C5163" s="0" t="s">
        <v>34</v>
      </c>
      <c r="D5163" s="7" t="n">
        <v>52</v>
      </c>
      <c r="E5163" s="8" t="n">
        <v>0.400961538461539</v>
      </c>
      <c r="F5163" s="4" t="n">
        <f aca="false">D5163*E5163</f>
        <v>20.85</v>
      </c>
      <c r="G5163" s="7" t="n">
        <v>29</v>
      </c>
      <c r="H5163" s="9" t="n">
        <f aca="false">IF(G5163&gt;0,D5163/G5163,"")</f>
        <v>1.79310344827586</v>
      </c>
      <c r="I5163" s="10" t="n">
        <v>46304</v>
      </c>
      <c r="J5163" s="3" t="s">
        <v>414</v>
      </c>
      <c r="K5163" s="10" t="n">
        <v>44351</v>
      </c>
      <c r="L5163" s="3" t="s">
        <v>19</v>
      </c>
      <c r="M5163" s="7" t="n">
        <v>250</v>
      </c>
      <c r="N5163" s="8" t="n">
        <v>0.4009</v>
      </c>
      <c r="O5163" s="4" t="n">
        <f aca="false">M5163*N5163</f>
        <v>100.225</v>
      </c>
    </row>
    <row r="5164" customFormat="false" ht="15" hidden="false" customHeight="false" outlineLevel="0" collapsed="false">
      <c r="A5164" s="0" t="s">
        <v>6882</v>
      </c>
      <c r="C5164" s="0" t="s">
        <v>34</v>
      </c>
      <c r="D5164" s="7" t="n">
        <v>506</v>
      </c>
      <c r="E5164" s="8" t="n">
        <v>0.0411067193675889</v>
      </c>
      <c r="F5164" s="4" t="n">
        <f aca="false">D5164*E5164</f>
        <v>20.8</v>
      </c>
      <c r="G5164" s="7" t="n">
        <v>50</v>
      </c>
      <c r="H5164" s="9" t="n">
        <f aca="false">IF(G5164&gt;0,D5164/G5164,"")</f>
        <v>10.12</v>
      </c>
      <c r="I5164" s="10" t="n">
        <v>46238</v>
      </c>
      <c r="J5164" s="3" t="s">
        <v>2780</v>
      </c>
      <c r="K5164" s="10" t="n">
        <v>46043</v>
      </c>
      <c r="L5164" s="3" t="s">
        <v>16</v>
      </c>
      <c r="M5164" s="7" t="n">
        <v>550</v>
      </c>
      <c r="N5164" s="8" t="n">
        <v>0.0372</v>
      </c>
      <c r="O5164" s="4" t="n">
        <f aca="false">M5164*N5164</f>
        <v>20.46</v>
      </c>
    </row>
    <row r="5165" customFormat="false" ht="15" hidden="false" customHeight="false" outlineLevel="0" collapsed="false">
      <c r="A5165" s="0" t="s">
        <v>6883</v>
      </c>
      <c r="C5165" s="0" t="s">
        <v>1039</v>
      </c>
      <c r="D5165" s="7" t="n">
        <v>1242</v>
      </c>
      <c r="E5165" s="8" t="n">
        <v>0.0167391304347826</v>
      </c>
      <c r="F5165" s="4" t="n">
        <f aca="false">D5165*E5165</f>
        <v>20.79</v>
      </c>
      <c r="G5165" s="7" t="n">
        <v>274</v>
      </c>
      <c r="H5165" s="9" t="n">
        <f aca="false">IF(G5165&gt;0,D5165/G5165,"")</f>
        <v>4.53284671532847</v>
      </c>
      <c r="I5165" s="10" t="n">
        <v>46189</v>
      </c>
      <c r="J5165" s="3" t="s">
        <v>3590</v>
      </c>
      <c r="K5165" s="10" t="n">
        <v>45967</v>
      </c>
      <c r="L5165" s="3" t="s">
        <v>16</v>
      </c>
      <c r="M5165" s="7" t="n">
        <v>1500</v>
      </c>
      <c r="N5165" s="8" t="n">
        <v>0.01673</v>
      </c>
      <c r="O5165" s="4" t="n">
        <f aca="false">M5165*N5165</f>
        <v>25.095</v>
      </c>
    </row>
    <row r="5166" customFormat="false" ht="15" hidden="false" customHeight="false" outlineLevel="0" collapsed="false">
      <c r="A5166" s="0" t="s">
        <v>6884</v>
      </c>
      <c r="C5166" s="0" t="s">
        <v>298</v>
      </c>
      <c r="D5166" s="7" t="n">
        <v>195</v>
      </c>
      <c r="E5166" s="8" t="n">
        <v>0.106461538461539</v>
      </c>
      <c r="F5166" s="4" t="n">
        <f aca="false">D5166*E5166</f>
        <v>20.76</v>
      </c>
      <c r="G5166" s="7" t="n">
        <v>4</v>
      </c>
      <c r="H5166" s="9" t="n">
        <f aca="false">IF(G5166&gt;0,D5166/G5166,"")</f>
        <v>48.75</v>
      </c>
      <c r="I5166" s="10" t="n">
        <v>46147</v>
      </c>
      <c r="J5166" s="3" t="s">
        <v>75</v>
      </c>
      <c r="K5166" s="10" t="n">
        <v>44385</v>
      </c>
      <c r="L5166" s="3" t="s">
        <v>15</v>
      </c>
      <c r="M5166" s="7" t="n">
        <v>230</v>
      </c>
      <c r="N5166" s="8" t="n">
        <v>0.1063</v>
      </c>
      <c r="O5166" s="4" t="n">
        <f aca="false">M5166*N5166</f>
        <v>24.449</v>
      </c>
    </row>
    <row r="5167" customFormat="false" ht="15" hidden="false" customHeight="false" outlineLevel="0" collapsed="false">
      <c r="A5167" s="0" t="s">
        <v>6885</v>
      </c>
      <c r="C5167" s="0" t="s">
        <v>715</v>
      </c>
      <c r="D5167" s="7" t="n">
        <v>1574</v>
      </c>
      <c r="E5167" s="8" t="n">
        <v>0.0131829733163914</v>
      </c>
      <c r="F5167" s="4" t="n">
        <f aca="false">D5167*E5167</f>
        <v>20.75</v>
      </c>
      <c r="G5167" s="7" t="n">
        <v>1040</v>
      </c>
      <c r="H5167" s="9" t="n">
        <f aca="false">IF(G5167&gt;0,D5167/G5167,"")</f>
        <v>1.51346153846154</v>
      </c>
      <c r="I5167" s="10" t="n">
        <v>46269</v>
      </c>
      <c r="J5167" s="3" t="s">
        <v>6627</v>
      </c>
      <c r="K5167" s="10" t="n">
        <v>44433</v>
      </c>
      <c r="L5167" s="3" t="s">
        <v>19</v>
      </c>
      <c r="M5167" s="7" t="n">
        <v>8613</v>
      </c>
      <c r="N5167" s="8" t="n">
        <v>0.0132</v>
      </c>
      <c r="O5167" s="4" t="n">
        <f aca="false">M5167*N5167</f>
        <v>113.6916</v>
      </c>
    </row>
    <row r="5168" customFormat="false" ht="15" hidden="false" customHeight="false" outlineLevel="0" collapsed="false">
      <c r="A5168" s="0" t="s">
        <v>6886</v>
      </c>
      <c r="C5168" s="0" t="s">
        <v>31</v>
      </c>
      <c r="D5168" s="7" t="n">
        <v>1885</v>
      </c>
      <c r="E5168" s="8" t="n">
        <v>0.0110079575596817</v>
      </c>
      <c r="F5168" s="4" t="n">
        <f aca="false">D5168*E5168</f>
        <v>20.75</v>
      </c>
      <c r="G5168" s="7" t="n">
        <v>387</v>
      </c>
      <c r="H5168" s="9" t="n">
        <f aca="false">IF(G5168&gt;0,D5168/G5168,"")</f>
        <v>4.87080103359173</v>
      </c>
      <c r="I5168" s="10" t="n">
        <v>46315</v>
      </c>
      <c r="K5168" s="10"/>
      <c r="M5168" s="7"/>
      <c r="N5168" s="8"/>
      <c r="O5168" s="4"/>
    </row>
    <row r="5169" customFormat="false" ht="15" hidden="false" customHeight="false" outlineLevel="0" collapsed="false">
      <c r="A5169" s="0" t="s">
        <v>6887</v>
      </c>
      <c r="C5169" s="0" t="s">
        <v>41</v>
      </c>
      <c r="D5169" s="7" t="n">
        <v>4116</v>
      </c>
      <c r="E5169" s="8" t="n">
        <v>0.00504130223517979</v>
      </c>
      <c r="F5169" s="4" t="n">
        <f aca="false">D5169*E5169</f>
        <v>20.75</v>
      </c>
      <c r="G5169" s="7" t="n">
        <v>36</v>
      </c>
      <c r="H5169" s="9" t="n">
        <f aca="false">IF(G5169&gt;0,D5169/G5169,"")</f>
        <v>114.333333333333</v>
      </c>
      <c r="I5169" s="10" t="n">
        <v>46266</v>
      </c>
      <c r="J5169" s="3" t="s">
        <v>2162</v>
      </c>
      <c r="K5169" s="10" t="n">
        <v>44222</v>
      </c>
      <c r="L5169" s="3" t="s">
        <v>15</v>
      </c>
      <c r="M5169" s="7" t="n">
        <v>4500</v>
      </c>
      <c r="N5169" s="8" t="n">
        <v>0.00504</v>
      </c>
      <c r="O5169" s="4" t="n">
        <f aca="false">M5169*N5169</f>
        <v>22.68</v>
      </c>
    </row>
    <row r="5170" customFormat="false" ht="15" hidden="false" customHeight="false" outlineLevel="0" collapsed="false">
      <c r="A5170" s="0" t="s">
        <v>6888</v>
      </c>
      <c r="C5170" s="0" t="s">
        <v>37</v>
      </c>
      <c r="D5170" s="7" t="n">
        <v>333</v>
      </c>
      <c r="E5170" s="8" t="n">
        <v>0.0622222222222222</v>
      </c>
      <c r="F5170" s="4" t="n">
        <f aca="false">D5170*E5170</f>
        <v>20.72</v>
      </c>
      <c r="G5170" s="7" t="n">
        <v>20</v>
      </c>
      <c r="H5170" s="9" t="n">
        <f aca="false">IF(G5170&gt;0,D5170/G5170,"")</f>
        <v>16.65</v>
      </c>
      <c r="I5170" s="10" t="n">
        <v>45967</v>
      </c>
      <c r="J5170" s="3" t="s">
        <v>5814</v>
      </c>
      <c r="K5170" s="10" t="n">
        <v>44250</v>
      </c>
      <c r="L5170" s="3" t="s">
        <v>19</v>
      </c>
      <c r="M5170" s="7" t="n">
        <v>805</v>
      </c>
      <c r="N5170" s="8" t="n">
        <v>0.0622</v>
      </c>
      <c r="O5170" s="4" t="n">
        <f aca="false">M5170*N5170</f>
        <v>50.071</v>
      </c>
    </row>
    <row r="5171" customFormat="false" ht="15" hidden="false" customHeight="false" outlineLevel="0" collapsed="false">
      <c r="A5171" s="0" t="s">
        <v>6889</v>
      </c>
      <c r="C5171" s="0" t="s">
        <v>31</v>
      </c>
      <c r="D5171" s="7" t="n">
        <v>192</v>
      </c>
      <c r="E5171" s="8" t="n">
        <v>0.107708333333333</v>
      </c>
      <c r="F5171" s="4" t="n">
        <f aca="false">D5171*E5171</f>
        <v>20.68</v>
      </c>
      <c r="G5171" s="7" t="n">
        <v>16</v>
      </c>
      <c r="H5171" s="9" t="n">
        <f aca="false">IF(G5171&gt;0,D5171/G5171,"")</f>
        <v>12</v>
      </c>
      <c r="I5171" s="10" t="n">
        <v>46003</v>
      </c>
      <c r="J5171" s="3" t="s">
        <v>6172</v>
      </c>
      <c r="K5171" s="10" t="n">
        <v>45455</v>
      </c>
      <c r="L5171" s="3" t="s">
        <v>19</v>
      </c>
      <c r="M5171" s="7" t="n">
        <v>250</v>
      </c>
      <c r="N5171" s="8" t="n">
        <v>0.1077</v>
      </c>
      <c r="O5171" s="4" t="n">
        <f aca="false">M5171*N5171</f>
        <v>26.925</v>
      </c>
    </row>
    <row r="5172" customFormat="false" ht="15" hidden="false" customHeight="false" outlineLevel="0" collapsed="false">
      <c r="A5172" s="0" t="s">
        <v>6890</v>
      </c>
      <c r="C5172" s="0" t="s">
        <v>31</v>
      </c>
      <c r="D5172" s="7" t="n">
        <v>253</v>
      </c>
      <c r="E5172" s="8" t="n">
        <v>0.081699604743083</v>
      </c>
      <c r="F5172" s="4" t="n">
        <f aca="false">D5172*E5172</f>
        <v>20.67</v>
      </c>
      <c r="G5172" s="7" t="n">
        <v>107</v>
      </c>
      <c r="H5172" s="9" t="n">
        <f aca="false">IF(G5172&gt;0,D5172/G5172,"")</f>
        <v>2.36448598130841</v>
      </c>
      <c r="I5172" s="10" t="n">
        <v>46073</v>
      </c>
      <c r="J5172" s="3" t="s">
        <v>2780</v>
      </c>
      <c r="K5172" s="10" t="n">
        <v>46043</v>
      </c>
      <c r="L5172" s="3" t="s">
        <v>16</v>
      </c>
      <c r="M5172" s="7" t="n">
        <v>255</v>
      </c>
      <c r="N5172" s="8" t="n">
        <v>0.0796</v>
      </c>
      <c r="O5172" s="4" t="n">
        <f aca="false">M5172*N5172</f>
        <v>20.298</v>
      </c>
    </row>
    <row r="5173" customFormat="false" ht="15" hidden="false" customHeight="false" outlineLevel="0" collapsed="false">
      <c r="A5173" s="0" t="s">
        <v>6891</v>
      </c>
      <c r="C5173" s="0" t="s">
        <v>1802</v>
      </c>
      <c r="D5173" s="7" t="n">
        <v>4</v>
      </c>
      <c r="E5173" s="8" t="n">
        <v>5.1675</v>
      </c>
      <c r="F5173" s="4" t="n">
        <f aca="false">D5173*E5173</f>
        <v>20.67</v>
      </c>
      <c r="G5173" s="7" t="n">
        <v>3</v>
      </c>
      <c r="H5173" s="9" t="n">
        <f aca="false">IF(G5173&gt;0,D5173/G5173,"")</f>
        <v>1.33333333333333</v>
      </c>
      <c r="I5173" s="10" t="n">
        <v>46150</v>
      </c>
      <c r="J5173" s="3" t="s">
        <v>1974</v>
      </c>
      <c r="K5173" s="10" t="n">
        <v>45287</v>
      </c>
      <c r="L5173" s="3" t="s">
        <v>14</v>
      </c>
      <c r="M5173" s="7" t="n">
        <v>20</v>
      </c>
      <c r="N5173" s="8" t="n">
        <v>5.1675</v>
      </c>
      <c r="O5173" s="4" t="n">
        <f aca="false">M5173*N5173</f>
        <v>103.35</v>
      </c>
    </row>
    <row r="5174" customFormat="false" ht="15" hidden="false" customHeight="false" outlineLevel="0" collapsed="false">
      <c r="A5174" s="0" t="s">
        <v>6892</v>
      </c>
      <c r="C5174" s="0" t="s">
        <v>370</v>
      </c>
      <c r="D5174" s="7" t="n">
        <v>45</v>
      </c>
      <c r="E5174" s="8" t="n">
        <v>0.459333333333333</v>
      </c>
      <c r="F5174" s="4" t="n">
        <f aca="false">D5174*E5174</f>
        <v>20.67</v>
      </c>
      <c r="G5174" s="7" t="n">
        <v>16</v>
      </c>
      <c r="H5174" s="9" t="n">
        <f aca="false">IF(G5174&gt;0,D5174/G5174,"")</f>
        <v>2.8125</v>
      </c>
      <c r="I5174" s="10" t="n">
        <v>46181</v>
      </c>
      <c r="K5174" s="10"/>
      <c r="M5174" s="7"/>
      <c r="N5174" s="8"/>
      <c r="O5174" s="4"/>
    </row>
    <row r="5175" customFormat="false" ht="15" hidden="false" customHeight="false" outlineLevel="0" collapsed="false">
      <c r="A5175" s="0" t="s">
        <v>6893</v>
      </c>
      <c r="C5175" s="0" t="s">
        <v>298</v>
      </c>
      <c r="D5175" s="7" t="n">
        <v>17</v>
      </c>
      <c r="E5175" s="8" t="n">
        <v>1.21529411764706</v>
      </c>
      <c r="F5175" s="4" t="n">
        <f aca="false">D5175*E5175</f>
        <v>20.66</v>
      </c>
      <c r="G5175" s="7" t="n">
        <v>6</v>
      </c>
      <c r="H5175" s="9" t="n">
        <f aca="false">IF(G5175&gt;0,D5175/G5175,"")</f>
        <v>2.83333333333333</v>
      </c>
      <c r="I5175" s="10" t="n">
        <v>45978</v>
      </c>
      <c r="J5175" s="3" t="s">
        <v>6894</v>
      </c>
      <c r="K5175" s="10" t="n">
        <v>45272</v>
      </c>
      <c r="L5175" s="3" t="s">
        <v>19</v>
      </c>
      <c r="M5175" s="7" t="n">
        <v>27</v>
      </c>
      <c r="N5175" s="8" t="n">
        <v>1.215</v>
      </c>
      <c r="O5175" s="4" t="n">
        <f aca="false">M5175*N5175</f>
        <v>32.805</v>
      </c>
    </row>
    <row r="5176" customFormat="false" ht="15" hidden="false" customHeight="false" outlineLevel="0" collapsed="false">
      <c r="A5176" s="0" t="s">
        <v>6895</v>
      </c>
      <c r="C5176" s="0" t="s">
        <v>31</v>
      </c>
      <c r="D5176" s="7" t="n">
        <v>788</v>
      </c>
      <c r="E5176" s="8" t="n">
        <v>0.0262055837563452</v>
      </c>
      <c r="F5176" s="4" t="n">
        <f aca="false">D5176*E5176</f>
        <v>20.65</v>
      </c>
      <c r="G5176" s="7" t="n">
        <v>266</v>
      </c>
      <c r="H5176" s="9" t="n">
        <f aca="false">IF(G5176&gt;0,D5176/G5176,"")</f>
        <v>2.96240601503759</v>
      </c>
      <c r="I5176" s="10" t="n">
        <v>46261</v>
      </c>
      <c r="J5176" s="3" t="s">
        <v>6896</v>
      </c>
      <c r="K5176" s="10" t="n">
        <v>46044</v>
      </c>
      <c r="L5176" s="3" t="s">
        <v>19</v>
      </c>
      <c r="M5176" s="7" t="n">
        <v>1000</v>
      </c>
      <c r="N5176" s="8" t="n">
        <v>0.0262</v>
      </c>
      <c r="O5176" s="4" t="n">
        <f aca="false">M5176*N5176</f>
        <v>26.2</v>
      </c>
    </row>
    <row r="5177" customFormat="false" ht="15" hidden="false" customHeight="false" outlineLevel="0" collapsed="false">
      <c r="A5177" s="0" t="s">
        <v>6897</v>
      </c>
      <c r="C5177" s="0" t="s">
        <v>31</v>
      </c>
      <c r="D5177" s="7" t="n">
        <v>494</v>
      </c>
      <c r="E5177" s="8" t="n">
        <v>0.0418016194331984</v>
      </c>
      <c r="F5177" s="4" t="n">
        <f aca="false">D5177*E5177</f>
        <v>20.65</v>
      </c>
      <c r="G5177" s="7" t="n">
        <v>350</v>
      </c>
      <c r="H5177" s="9" t="n">
        <f aca="false">IF(G5177&gt;0,D5177/G5177,"")</f>
        <v>1.41142857142857</v>
      </c>
      <c r="I5177" s="10" t="n">
        <v>46308</v>
      </c>
      <c r="J5177" s="3" t="s">
        <v>2719</v>
      </c>
      <c r="K5177" s="10" t="n">
        <v>46049</v>
      </c>
      <c r="L5177" s="3" t="s">
        <v>16</v>
      </c>
      <c r="M5177" s="7" t="n">
        <v>844</v>
      </c>
      <c r="N5177" s="8" t="n">
        <v>0.0418</v>
      </c>
      <c r="O5177" s="4" t="n">
        <f aca="false">M5177*N5177</f>
        <v>35.2792</v>
      </c>
    </row>
    <row r="5178" customFormat="false" ht="15" hidden="false" customHeight="false" outlineLevel="0" collapsed="false">
      <c r="A5178" s="0" t="s">
        <v>6898</v>
      </c>
      <c r="D5178" s="7" t="n">
        <v>26</v>
      </c>
      <c r="E5178" s="8" t="n">
        <v>0.792692307692308</v>
      </c>
      <c r="F5178" s="4" t="n">
        <f aca="false">D5178*E5178</f>
        <v>20.61</v>
      </c>
      <c r="G5178" s="7" t="n">
        <v>4</v>
      </c>
      <c r="H5178" s="9" t="n">
        <f aca="false">IF(G5178&gt;0,D5178/G5178,"")</f>
        <v>6.5</v>
      </c>
      <c r="I5178" s="10" t="n">
        <v>46267</v>
      </c>
      <c r="J5178" s="3" t="s">
        <v>6899</v>
      </c>
      <c r="K5178" s="10" t="n">
        <v>45520</v>
      </c>
      <c r="L5178" s="3" t="s">
        <v>936</v>
      </c>
      <c r="M5178" s="7" t="n">
        <v>100</v>
      </c>
      <c r="N5178" s="8" t="n">
        <v>0.7928</v>
      </c>
      <c r="O5178" s="4" t="n">
        <f aca="false">M5178*N5178</f>
        <v>79.28</v>
      </c>
    </row>
    <row r="5179" customFormat="false" ht="15" hidden="false" customHeight="false" outlineLevel="0" collapsed="false">
      <c r="A5179" s="0" t="s">
        <v>6900</v>
      </c>
      <c r="C5179" s="0" t="s">
        <v>36</v>
      </c>
      <c r="D5179" s="7" t="n">
        <v>172</v>
      </c>
      <c r="E5179" s="8" t="n">
        <v>0.119825581395349</v>
      </c>
      <c r="F5179" s="4" t="n">
        <f aca="false">D5179*E5179</f>
        <v>20.61</v>
      </c>
      <c r="G5179" s="7" t="n">
        <v>64</v>
      </c>
      <c r="H5179" s="9" t="n">
        <f aca="false">IF(G5179&gt;0,D5179/G5179,"")</f>
        <v>2.6875</v>
      </c>
      <c r="I5179" s="10" t="n">
        <v>46052</v>
      </c>
      <c r="J5179" s="3" t="s">
        <v>6901</v>
      </c>
      <c r="K5179" s="10" t="n">
        <v>46038</v>
      </c>
      <c r="L5179" s="3" t="s">
        <v>18</v>
      </c>
      <c r="M5179" s="7" t="n">
        <v>220</v>
      </c>
      <c r="N5179" s="8" t="n">
        <v>0.1198</v>
      </c>
      <c r="O5179" s="4" t="n">
        <f aca="false">M5179*N5179</f>
        <v>26.356</v>
      </c>
    </row>
    <row r="5180" customFormat="false" ht="15" hidden="false" customHeight="false" outlineLevel="0" collapsed="false">
      <c r="A5180" s="0" t="s">
        <v>6902</v>
      </c>
      <c r="C5180" s="0" t="s">
        <v>32</v>
      </c>
      <c r="D5180" s="7" t="n">
        <v>15</v>
      </c>
      <c r="E5180" s="8" t="n">
        <v>1.37266666666667</v>
      </c>
      <c r="F5180" s="4" t="n">
        <f aca="false">D5180*E5180</f>
        <v>20.59</v>
      </c>
      <c r="G5180" s="7" t="n">
        <v>5</v>
      </c>
      <c r="H5180" s="9" t="n">
        <f aca="false">IF(G5180&gt;0,D5180/G5180,"")</f>
        <v>3</v>
      </c>
      <c r="I5180" s="10" t="n">
        <v>45986</v>
      </c>
      <c r="J5180" s="3" t="s">
        <v>2977</v>
      </c>
      <c r="K5180" s="10" t="n">
        <v>45876</v>
      </c>
      <c r="L5180" s="3" t="s">
        <v>18</v>
      </c>
      <c r="M5180" s="7" t="n">
        <v>22</v>
      </c>
      <c r="N5180" s="8" t="n">
        <v>1.3723</v>
      </c>
      <c r="O5180" s="4" t="n">
        <f aca="false">M5180*N5180</f>
        <v>30.1906</v>
      </c>
    </row>
    <row r="5181" customFormat="false" ht="15" hidden="false" customHeight="false" outlineLevel="0" collapsed="false">
      <c r="A5181" s="0" t="s">
        <v>6903</v>
      </c>
      <c r="C5181" s="0" t="s">
        <v>31</v>
      </c>
      <c r="D5181" s="7" t="n">
        <v>150</v>
      </c>
      <c r="E5181" s="8" t="n">
        <v>0.1372</v>
      </c>
      <c r="F5181" s="4" t="n">
        <f aca="false">D5181*E5181</f>
        <v>20.58</v>
      </c>
      <c r="G5181" s="7" t="n">
        <v>21</v>
      </c>
      <c r="H5181" s="9" t="n">
        <f aca="false">IF(G5181&gt;0,D5181/G5181,"")</f>
        <v>7.14285714285714</v>
      </c>
      <c r="I5181" s="10" t="n">
        <v>46196</v>
      </c>
      <c r="J5181" s="3" t="s">
        <v>628</v>
      </c>
      <c r="K5181" s="10" t="n">
        <v>46128</v>
      </c>
      <c r="L5181" s="3" t="s">
        <v>16</v>
      </c>
      <c r="M5181" s="7" t="n">
        <v>165</v>
      </c>
      <c r="N5181" s="8" t="n">
        <v>0.1372</v>
      </c>
      <c r="O5181" s="4" t="n">
        <f aca="false">M5181*N5181</f>
        <v>22.638</v>
      </c>
    </row>
    <row r="5182" customFormat="false" ht="15" hidden="false" customHeight="false" outlineLevel="0" collapsed="false">
      <c r="A5182" s="0" t="s">
        <v>6904</v>
      </c>
      <c r="C5182" s="0" t="s">
        <v>34</v>
      </c>
      <c r="D5182" s="7" t="n">
        <v>633</v>
      </c>
      <c r="E5182" s="8" t="n">
        <v>0.0324960505529226</v>
      </c>
      <c r="F5182" s="4" t="n">
        <f aca="false">D5182*E5182</f>
        <v>20.57</v>
      </c>
      <c r="G5182" s="7" t="n">
        <v>560</v>
      </c>
      <c r="H5182" s="9" t="n">
        <f aca="false">IF(G5182&gt;0,D5182/G5182,"")</f>
        <v>1.13035714285714</v>
      </c>
      <c r="I5182" s="10" t="n">
        <v>46294</v>
      </c>
      <c r="K5182" s="10"/>
      <c r="M5182" s="7"/>
      <c r="N5182" s="8"/>
      <c r="O5182" s="4"/>
    </row>
    <row r="5183" customFormat="false" ht="15" hidden="false" customHeight="false" outlineLevel="0" collapsed="false">
      <c r="A5183" s="0" t="s">
        <v>6905</v>
      </c>
      <c r="C5183" s="0" t="s">
        <v>33</v>
      </c>
      <c r="D5183" s="7" t="n">
        <v>8</v>
      </c>
      <c r="E5183" s="8" t="n">
        <v>2.56625</v>
      </c>
      <c r="F5183" s="4" t="n">
        <f aca="false">D5183*E5183</f>
        <v>20.53</v>
      </c>
      <c r="G5183" s="7" t="n">
        <v>4</v>
      </c>
      <c r="H5183" s="9" t="n">
        <f aca="false">IF(G5183&gt;0,D5183/G5183,"")</f>
        <v>2</v>
      </c>
      <c r="I5183" s="10" t="n">
        <v>46296</v>
      </c>
      <c r="J5183" s="3" t="s">
        <v>6208</v>
      </c>
      <c r="K5183" s="10" t="n">
        <v>46287</v>
      </c>
      <c r="L5183" s="3" t="s">
        <v>18</v>
      </c>
      <c r="M5183" s="7" t="n">
        <v>12</v>
      </c>
      <c r="N5183" s="8" t="n">
        <v>2.5664</v>
      </c>
      <c r="O5183" s="4" t="n">
        <f aca="false">M5183*N5183</f>
        <v>30.7968</v>
      </c>
    </row>
    <row r="5184" customFormat="false" ht="15" hidden="false" customHeight="false" outlineLevel="0" collapsed="false">
      <c r="A5184" s="0" t="s">
        <v>6906</v>
      </c>
      <c r="C5184" s="0" t="s">
        <v>31</v>
      </c>
      <c r="D5184" s="7" t="n">
        <v>2064</v>
      </c>
      <c r="E5184" s="8" t="n">
        <v>0.00994186046511628</v>
      </c>
      <c r="F5184" s="4" t="n">
        <f aca="false">D5184*E5184</f>
        <v>20.52</v>
      </c>
      <c r="G5184" s="7" t="n">
        <v>2036</v>
      </c>
      <c r="H5184" s="9" t="n">
        <f aca="false">IF(G5184&gt;0,D5184/G5184,"")</f>
        <v>1.01375245579568</v>
      </c>
      <c r="I5184" s="10" t="n">
        <v>46302</v>
      </c>
      <c r="K5184" s="10"/>
      <c r="M5184" s="7"/>
      <c r="N5184" s="8"/>
      <c r="O5184" s="4"/>
    </row>
    <row r="5185" customFormat="false" ht="15" hidden="false" customHeight="false" outlineLevel="0" collapsed="false">
      <c r="A5185" s="0" t="s">
        <v>6907</v>
      </c>
      <c r="C5185" s="0" t="s">
        <v>31</v>
      </c>
      <c r="D5185" s="7" t="n">
        <v>5417</v>
      </c>
      <c r="E5185" s="8" t="n">
        <v>0.00378622853978217</v>
      </c>
      <c r="F5185" s="4" t="n">
        <f aca="false">D5185*E5185</f>
        <v>20.51</v>
      </c>
      <c r="G5185" s="7" t="n">
        <v>684</v>
      </c>
      <c r="H5185" s="9" t="n">
        <f aca="false">IF(G5185&gt;0,D5185/G5185,"")</f>
        <v>7.91959064327485</v>
      </c>
      <c r="I5185" s="10" t="n">
        <v>46287</v>
      </c>
      <c r="K5185" s="10"/>
      <c r="M5185" s="7"/>
      <c r="N5185" s="8"/>
      <c r="O5185" s="4"/>
    </row>
    <row r="5186" customFormat="false" ht="15" hidden="false" customHeight="false" outlineLevel="0" collapsed="false">
      <c r="A5186" s="0" t="s">
        <v>6908</v>
      </c>
      <c r="C5186" s="0" t="s">
        <v>370</v>
      </c>
      <c r="D5186" s="7" t="n">
        <v>59</v>
      </c>
      <c r="E5186" s="8" t="n">
        <v>0.347627118644068</v>
      </c>
      <c r="F5186" s="4" t="n">
        <f aca="false">D5186*E5186</f>
        <v>20.51</v>
      </c>
      <c r="G5186" s="7" t="n">
        <v>30</v>
      </c>
      <c r="H5186" s="9" t="n">
        <f aca="false">IF(G5186&gt;0,D5186/G5186,"")</f>
        <v>1.96666666666667</v>
      </c>
      <c r="I5186" s="10" t="n">
        <v>46240</v>
      </c>
      <c r="J5186" s="3" t="s">
        <v>1861</v>
      </c>
      <c r="K5186" s="10" t="n">
        <v>44801</v>
      </c>
      <c r="L5186" s="3" t="s">
        <v>19</v>
      </c>
      <c r="M5186" s="7" t="n">
        <v>101</v>
      </c>
      <c r="N5186" s="8" t="n">
        <v>0</v>
      </c>
      <c r="O5186" s="4" t="n">
        <v>35.36</v>
      </c>
    </row>
    <row r="5187" customFormat="false" ht="15" hidden="false" customHeight="false" outlineLevel="0" collapsed="false">
      <c r="A5187" s="0" t="s">
        <v>6909</v>
      </c>
      <c r="C5187" s="0" t="s">
        <v>31</v>
      </c>
      <c r="D5187" s="7" t="n">
        <v>868</v>
      </c>
      <c r="E5187" s="8" t="n">
        <v>0.0236290322580645</v>
      </c>
      <c r="F5187" s="4" t="n">
        <f aca="false">D5187*E5187</f>
        <v>20.51</v>
      </c>
      <c r="G5187" s="7" t="n">
        <v>367</v>
      </c>
      <c r="H5187" s="9" t="n">
        <f aca="false">IF(G5187&gt;0,D5187/G5187,"")</f>
        <v>2.36512261580381</v>
      </c>
      <c r="I5187" s="10" t="n">
        <v>46218</v>
      </c>
      <c r="J5187" s="3" t="s">
        <v>478</v>
      </c>
      <c r="K5187" s="10" t="n">
        <v>46185</v>
      </c>
      <c r="L5187" s="3" t="s">
        <v>16</v>
      </c>
      <c r="M5187" s="7" t="n">
        <v>850</v>
      </c>
      <c r="N5187" s="8" t="n">
        <v>0.0237</v>
      </c>
      <c r="O5187" s="4" t="n">
        <f aca="false">M5187*N5187</f>
        <v>20.145</v>
      </c>
    </row>
    <row r="5188" customFormat="false" ht="15" hidden="false" customHeight="false" outlineLevel="0" collapsed="false">
      <c r="A5188" s="0" t="s">
        <v>6910</v>
      </c>
      <c r="C5188" s="0" t="s">
        <v>1039</v>
      </c>
      <c r="D5188" s="7" t="n">
        <v>40</v>
      </c>
      <c r="E5188" s="8" t="n">
        <v>0.5125</v>
      </c>
      <c r="F5188" s="4" t="n">
        <f aca="false">D5188*E5188</f>
        <v>20.5</v>
      </c>
      <c r="G5188" s="7" t="n">
        <v>7</v>
      </c>
      <c r="H5188" s="9" t="n">
        <f aca="false">IF(G5188&gt;0,D5188/G5188,"")</f>
        <v>5.71428571428571</v>
      </c>
      <c r="I5188" s="10" t="n">
        <v>46066</v>
      </c>
      <c r="J5188" s="3" t="s">
        <v>6911</v>
      </c>
      <c r="K5188" s="10" t="n">
        <v>44441</v>
      </c>
      <c r="L5188" s="3" t="s">
        <v>19</v>
      </c>
      <c r="M5188" s="7" t="n">
        <v>50</v>
      </c>
      <c r="N5188" s="8" t="n">
        <v>0.5125</v>
      </c>
      <c r="O5188" s="4" t="n">
        <f aca="false">M5188*N5188</f>
        <v>25.625</v>
      </c>
    </row>
    <row r="5189" customFormat="false" ht="15" hidden="false" customHeight="false" outlineLevel="0" collapsed="false">
      <c r="A5189" s="0" t="s">
        <v>6912</v>
      </c>
      <c r="C5189" s="0" t="s">
        <v>340</v>
      </c>
      <c r="D5189" s="7" t="n">
        <v>2223</v>
      </c>
      <c r="E5189" s="8" t="n">
        <v>0.00919928025191183</v>
      </c>
      <c r="F5189" s="4" t="n">
        <f aca="false">D5189*E5189</f>
        <v>20.45</v>
      </c>
      <c r="G5189" s="7" t="n">
        <v>865</v>
      </c>
      <c r="H5189" s="9" t="n">
        <f aca="false">IF(G5189&gt;0,D5189/G5189,"")</f>
        <v>2.56994219653179</v>
      </c>
      <c r="I5189" s="10" t="n">
        <v>46304</v>
      </c>
      <c r="J5189" s="3" t="s">
        <v>6913</v>
      </c>
      <c r="K5189" s="10" t="n">
        <v>45279</v>
      </c>
      <c r="L5189" s="3" t="s">
        <v>19</v>
      </c>
      <c r="M5189" s="7" t="n">
        <v>3125</v>
      </c>
      <c r="N5189" s="8" t="n">
        <v>0.0092</v>
      </c>
      <c r="O5189" s="4" t="n">
        <f aca="false">M5189*N5189</f>
        <v>28.75</v>
      </c>
    </row>
    <row r="5190" customFormat="false" ht="15" hidden="false" customHeight="false" outlineLevel="0" collapsed="false">
      <c r="A5190" s="0" t="s">
        <v>6914</v>
      </c>
      <c r="C5190" s="0" t="s">
        <v>1039</v>
      </c>
      <c r="D5190" s="7" t="n">
        <v>1549</v>
      </c>
      <c r="E5190" s="8" t="n">
        <v>0.0131956100710136</v>
      </c>
      <c r="F5190" s="4" t="n">
        <f aca="false">D5190*E5190</f>
        <v>20.44</v>
      </c>
      <c r="G5190" s="7" t="n">
        <v>274</v>
      </c>
      <c r="H5190" s="9" t="n">
        <f aca="false">IF(G5190&gt;0,D5190/G5190,"")</f>
        <v>5.65328467153285</v>
      </c>
      <c r="I5190" s="10" t="n">
        <v>46171</v>
      </c>
      <c r="J5190" s="3" t="s">
        <v>2844</v>
      </c>
      <c r="K5190" s="10" t="n">
        <v>45839</v>
      </c>
      <c r="L5190" s="3" t="s">
        <v>16</v>
      </c>
      <c r="M5190" s="7" t="n">
        <v>2000</v>
      </c>
      <c r="N5190" s="8" t="n">
        <v>0.0132</v>
      </c>
      <c r="O5190" s="4" t="n">
        <f aca="false">M5190*N5190</f>
        <v>26.4</v>
      </c>
    </row>
    <row r="5191" customFormat="false" ht="15" hidden="false" customHeight="false" outlineLevel="0" collapsed="false">
      <c r="A5191" s="0" t="s">
        <v>6915</v>
      </c>
      <c r="C5191" s="0" t="s">
        <v>295</v>
      </c>
      <c r="D5191" s="7" t="n">
        <v>73</v>
      </c>
      <c r="E5191" s="8" t="n">
        <v>0.28</v>
      </c>
      <c r="F5191" s="4" t="n">
        <f aca="false">D5191*E5191</f>
        <v>20.44</v>
      </c>
      <c r="G5191" s="7" t="n">
        <v>64</v>
      </c>
      <c r="H5191" s="9" t="n">
        <f aca="false">IF(G5191&gt;0,D5191/G5191,"")</f>
        <v>1.140625</v>
      </c>
      <c r="I5191" s="10" t="n">
        <v>46118</v>
      </c>
      <c r="K5191" s="10"/>
      <c r="M5191" s="7"/>
      <c r="N5191" s="8"/>
      <c r="O5191" s="4"/>
    </row>
    <row r="5192" customFormat="false" ht="15" hidden="false" customHeight="false" outlineLevel="0" collapsed="false">
      <c r="A5192" s="0" t="s">
        <v>6916</v>
      </c>
      <c r="C5192" s="0" t="s">
        <v>34</v>
      </c>
      <c r="D5192" s="7" t="n">
        <v>1583</v>
      </c>
      <c r="E5192" s="8" t="n">
        <v>0.0128995578016425</v>
      </c>
      <c r="F5192" s="4" t="n">
        <f aca="false">D5192*E5192</f>
        <v>20.42</v>
      </c>
      <c r="G5192" s="7" t="n">
        <v>700</v>
      </c>
      <c r="H5192" s="9" t="n">
        <f aca="false">IF(G5192&gt;0,D5192/G5192,"")</f>
        <v>2.26142857142857</v>
      </c>
      <c r="I5192" s="10" t="n">
        <v>46247</v>
      </c>
      <c r="J5192" s="3" t="s">
        <v>366</v>
      </c>
      <c r="K5192" s="10" t="n">
        <v>45721</v>
      </c>
      <c r="L5192" s="3" t="s">
        <v>16</v>
      </c>
      <c r="M5192" s="7" t="n">
        <v>2383</v>
      </c>
      <c r="N5192" s="8" t="n">
        <v>0.0129</v>
      </c>
      <c r="O5192" s="4" t="n">
        <f aca="false">M5192*N5192</f>
        <v>30.7407</v>
      </c>
    </row>
    <row r="5193" customFormat="false" ht="15" hidden="false" customHeight="false" outlineLevel="0" collapsed="false">
      <c r="A5193" s="0" t="s">
        <v>6917</v>
      </c>
      <c r="C5193" s="0" t="s">
        <v>31</v>
      </c>
      <c r="D5193" s="7" t="n">
        <v>49</v>
      </c>
      <c r="E5193" s="8" t="n">
        <v>0.416530612244898</v>
      </c>
      <c r="F5193" s="4" t="n">
        <f aca="false">D5193*E5193</f>
        <v>20.41</v>
      </c>
      <c r="G5193" s="7" t="n">
        <v>5</v>
      </c>
      <c r="H5193" s="9" t="n">
        <f aca="false">IF(G5193&gt;0,D5193/G5193,"")</f>
        <v>9.8</v>
      </c>
      <c r="I5193" s="10" t="n">
        <v>46175</v>
      </c>
      <c r="J5193" s="3" t="s">
        <v>6918</v>
      </c>
      <c r="K5193" s="10" t="n">
        <v>44939</v>
      </c>
      <c r="L5193" s="3" t="s">
        <v>19</v>
      </c>
      <c r="M5193" s="7" t="n">
        <v>100</v>
      </c>
      <c r="N5193" s="8" t="n">
        <v>0.4164</v>
      </c>
      <c r="O5193" s="4" t="n">
        <f aca="false">M5193*N5193</f>
        <v>41.64</v>
      </c>
    </row>
    <row r="5194" customFormat="false" ht="15" hidden="false" customHeight="false" outlineLevel="0" collapsed="false">
      <c r="A5194" s="0" t="s">
        <v>6919</v>
      </c>
      <c r="C5194" s="0" t="s">
        <v>715</v>
      </c>
      <c r="D5194" s="7" t="n">
        <v>141</v>
      </c>
      <c r="E5194" s="8" t="n">
        <v>0.144609929078014</v>
      </c>
      <c r="F5194" s="4" t="n">
        <f aca="false">D5194*E5194</f>
        <v>20.39</v>
      </c>
      <c r="G5194" s="7" t="n">
        <v>10</v>
      </c>
      <c r="H5194" s="9" t="n">
        <f aca="false">IF(G5194&gt;0,D5194/G5194,"")</f>
        <v>14.1</v>
      </c>
      <c r="I5194" s="10" t="n">
        <v>46168</v>
      </c>
      <c r="K5194" s="10"/>
      <c r="M5194" s="7"/>
      <c r="N5194" s="8"/>
      <c r="O5194" s="4"/>
    </row>
    <row r="5195" customFormat="false" ht="15" hidden="false" customHeight="false" outlineLevel="0" collapsed="false">
      <c r="A5195" s="0" t="s">
        <v>6920</v>
      </c>
      <c r="C5195" s="0" t="s">
        <v>31</v>
      </c>
      <c r="D5195" s="7" t="n">
        <v>108</v>
      </c>
      <c r="E5195" s="8" t="n">
        <v>0.188796296296296</v>
      </c>
      <c r="F5195" s="4" t="n">
        <f aca="false">D5195*E5195</f>
        <v>20.39</v>
      </c>
      <c r="G5195" s="7" t="n">
        <v>4</v>
      </c>
      <c r="H5195" s="9" t="n">
        <f aca="false">IF(G5195&gt;0,D5195/G5195,"")</f>
        <v>27</v>
      </c>
      <c r="I5195" s="10" t="n">
        <v>46021</v>
      </c>
      <c r="K5195" s="10"/>
      <c r="M5195" s="7"/>
      <c r="N5195" s="8"/>
      <c r="O5195" s="4"/>
    </row>
    <row r="5196" customFormat="false" ht="15" hidden="false" customHeight="false" outlineLevel="0" collapsed="false">
      <c r="A5196" s="0" t="s">
        <v>6921</v>
      </c>
      <c r="C5196" s="0" t="s">
        <v>38</v>
      </c>
      <c r="D5196" s="7" t="n">
        <v>630</v>
      </c>
      <c r="E5196" s="8" t="n">
        <v>0.0323015873015873</v>
      </c>
      <c r="F5196" s="4" t="n">
        <f aca="false">D5196*E5196</f>
        <v>20.35</v>
      </c>
      <c r="G5196" s="7" t="n">
        <v>112</v>
      </c>
      <c r="H5196" s="9" t="n">
        <f aca="false">IF(G5196&gt;0,D5196/G5196,"")</f>
        <v>5.625</v>
      </c>
      <c r="I5196" s="10" t="n">
        <v>46244</v>
      </c>
      <c r="J5196" s="3" t="s">
        <v>1630</v>
      </c>
      <c r="K5196" s="10" t="n">
        <v>45448</v>
      </c>
      <c r="L5196" s="3" t="s">
        <v>19</v>
      </c>
      <c r="M5196" s="7" t="n">
        <v>773</v>
      </c>
      <c r="N5196" s="8" t="n">
        <v>0.0323</v>
      </c>
      <c r="O5196" s="4" t="n">
        <f aca="false">M5196*N5196</f>
        <v>24.9679</v>
      </c>
    </row>
    <row r="5197" customFormat="false" ht="15" hidden="false" customHeight="false" outlineLevel="0" collapsed="false">
      <c r="A5197" s="0" t="s">
        <v>6922</v>
      </c>
      <c r="C5197" s="0" t="s">
        <v>979</v>
      </c>
      <c r="D5197" s="7" t="n">
        <v>65</v>
      </c>
      <c r="E5197" s="8" t="n">
        <v>0.313076923076923</v>
      </c>
      <c r="F5197" s="4" t="n">
        <f aca="false">D5197*E5197</f>
        <v>20.35</v>
      </c>
      <c r="G5197" s="7" t="n">
        <v>58</v>
      </c>
      <c r="H5197" s="9" t="n">
        <f aca="false">IF(G5197&gt;0,D5197/G5197,"")</f>
        <v>1.12068965517241</v>
      </c>
      <c r="I5197" s="10" t="n">
        <v>46147</v>
      </c>
      <c r="J5197" s="3" t="s">
        <v>5009</v>
      </c>
      <c r="K5197" s="10" t="n">
        <v>45098</v>
      </c>
      <c r="L5197" s="3" t="s">
        <v>18</v>
      </c>
      <c r="M5197" s="7" t="n">
        <v>210</v>
      </c>
      <c r="N5197" s="8" t="n">
        <v>0.3132</v>
      </c>
      <c r="O5197" s="4" t="n">
        <f aca="false">M5197*N5197</f>
        <v>65.772</v>
      </c>
    </row>
    <row r="5198" customFormat="false" ht="15" hidden="false" customHeight="false" outlineLevel="0" collapsed="false">
      <c r="A5198" s="0" t="s">
        <v>6923</v>
      </c>
      <c r="C5198" s="0" t="s">
        <v>31</v>
      </c>
      <c r="D5198" s="7" t="n">
        <v>685</v>
      </c>
      <c r="E5198" s="8" t="n">
        <v>0.0297080291970803</v>
      </c>
      <c r="F5198" s="4" t="n">
        <f aca="false">D5198*E5198</f>
        <v>20.35</v>
      </c>
      <c r="G5198" s="7" t="n">
        <v>179</v>
      </c>
      <c r="H5198" s="9" t="n">
        <f aca="false">IF(G5198&gt;0,D5198/G5198,"")</f>
        <v>3.8268156424581</v>
      </c>
      <c r="I5198" s="10" t="n">
        <v>46224</v>
      </c>
      <c r="J5198" s="3" t="s">
        <v>1343</v>
      </c>
      <c r="K5198" s="10" t="n">
        <v>45583</v>
      </c>
      <c r="L5198" s="3" t="s">
        <v>16</v>
      </c>
      <c r="M5198" s="7" t="n">
        <v>1544</v>
      </c>
      <c r="N5198" s="8" t="n">
        <v>0.0297</v>
      </c>
      <c r="O5198" s="4" t="n">
        <f aca="false">M5198*N5198</f>
        <v>45.8568</v>
      </c>
    </row>
    <row r="5199" customFormat="false" ht="15" hidden="false" customHeight="false" outlineLevel="0" collapsed="false">
      <c r="A5199" s="0" t="s">
        <v>6924</v>
      </c>
      <c r="C5199" s="0" t="s">
        <v>37</v>
      </c>
      <c r="D5199" s="7" t="n">
        <v>975</v>
      </c>
      <c r="E5199" s="8" t="n">
        <v>0.0208307692307692</v>
      </c>
      <c r="F5199" s="4" t="n">
        <f aca="false">D5199*E5199</f>
        <v>20.31</v>
      </c>
      <c r="G5199" s="7" t="n">
        <v>71</v>
      </c>
      <c r="H5199" s="9" t="n">
        <f aca="false">IF(G5199&gt;0,D5199/G5199,"")</f>
        <v>13.7323943661972</v>
      </c>
      <c r="I5199" s="10" t="n">
        <v>46248</v>
      </c>
      <c r="J5199" s="3" t="s">
        <v>178</v>
      </c>
      <c r="K5199" s="10" t="n">
        <v>44301</v>
      </c>
      <c r="L5199" s="3" t="s">
        <v>15</v>
      </c>
      <c r="M5199" s="7" t="n">
        <v>1310</v>
      </c>
      <c r="N5199" s="8" t="n">
        <v>0.02084</v>
      </c>
      <c r="O5199" s="4" t="n">
        <f aca="false">M5199*N5199</f>
        <v>27.3004</v>
      </c>
    </row>
    <row r="5200" customFormat="false" ht="15" hidden="false" customHeight="false" outlineLevel="0" collapsed="false">
      <c r="A5200" s="0" t="s">
        <v>6925</v>
      </c>
      <c r="C5200" s="0" t="s">
        <v>31</v>
      </c>
      <c r="D5200" s="7" t="n">
        <v>97</v>
      </c>
      <c r="E5200" s="8" t="n">
        <v>0.209278350515464</v>
      </c>
      <c r="F5200" s="4" t="n">
        <f aca="false">D5200*E5200</f>
        <v>20.3</v>
      </c>
      <c r="G5200" s="7" t="n">
        <v>47</v>
      </c>
      <c r="H5200" s="9" t="n">
        <f aca="false">IF(G5200&gt;0,D5200/G5200,"")</f>
        <v>2.06382978723404</v>
      </c>
      <c r="I5200" s="10" t="n">
        <v>46286</v>
      </c>
      <c r="K5200" s="10"/>
      <c r="M5200" s="7"/>
      <c r="N5200" s="8"/>
      <c r="O5200" s="4"/>
    </row>
    <row r="5201" customFormat="false" ht="15" hidden="false" customHeight="false" outlineLevel="0" collapsed="false">
      <c r="A5201" s="0" t="s">
        <v>6926</v>
      </c>
      <c r="C5201" s="0" t="s">
        <v>34</v>
      </c>
      <c r="D5201" s="7" t="n">
        <v>2276</v>
      </c>
      <c r="E5201" s="8" t="n">
        <v>0.00890158172231986</v>
      </c>
      <c r="F5201" s="4" t="n">
        <f aca="false">D5201*E5201</f>
        <v>20.26</v>
      </c>
      <c r="G5201" s="7" t="n">
        <v>254</v>
      </c>
      <c r="H5201" s="9" t="n">
        <f aca="false">IF(G5201&gt;0,D5201/G5201,"")</f>
        <v>8.96062992125984</v>
      </c>
      <c r="I5201" s="10" t="n">
        <v>46294</v>
      </c>
      <c r="J5201" s="3" t="s">
        <v>2780</v>
      </c>
      <c r="K5201" s="10" t="n">
        <v>46043</v>
      </c>
      <c r="L5201" s="3" t="s">
        <v>16</v>
      </c>
      <c r="M5201" s="7" t="n">
        <v>2500</v>
      </c>
      <c r="N5201" s="8" t="n">
        <v>0.0089</v>
      </c>
      <c r="O5201" s="4" t="n">
        <f aca="false">M5201*N5201</f>
        <v>22.25</v>
      </c>
    </row>
    <row r="5202" customFormat="false" ht="15" hidden="false" customHeight="false" outlineLevel="0" collapsed="false">
      <c r="A5202" s="0" t="s">
        <v>6927</v>
      </c>
      <c r="C5202" s="0" t="s">
        <v>43</v>
      </c>
      <c r="D5202" s="7" t="n">
        <v>18</v>
      </c>
      <c r="E5202" s="8" t="n">
        <v>1.12222222222222</v>
      </c>
      <c r="F5202" s="4" t="n">
        <f aca="false">D5202*E5202</f>
        <v>20.2</v>
      </c>
      <c r="G5202" s="7" t="n">
        <v>3</v>
      </c>
      <c r="H5202" s="9" t="n">
        <f aca="false">IF(G5202&gt;0,D5202/G5202,"")</f>
        <v>6</v>
      </c>
      <c r="I5202" s="10" t="n">
        <v>46219</v>
      </c>
      <c r="K5202" s="10"/>
      <c r="M5202" s="7"/>
      <c r="N5202" s="8"/>
      <c r="O5202" s="4"/>
    </row>
    <row r="5203" customFormat="false" ht="15" hidden="false" customHeight="false" outlineLevel="0" collapsed="false">
      <c r="A5203" s="0" t="s">
        <v>6928</v>
      </c>
      <c r="C5203" s="0" t="s">
        <v>31</v>
      </c>
      <c r="D5203" s="7" t="n">
        <v>326</v>
      </c>
      <c r="E5203" s="8" t="n">
        <v>0.0619325153374233</v>
      </c>
      <c r="F5203" s="4" t="n">
        <f aca="false">D5203*E5203</f>
        <v>20.19</v>
      </c>
      <c r="G5203" s="7" t="n">
        <v>100</v>
      </c>
      <c r="H5203" s="9" t="n">
        <f aca="false">IF(G5203&gt;0,D5203/G5203,"")</f>
        <v>3.26</v>
      </c>
      <c r="I5203" s="10" t="n">
        <v>46237</v>
      </c>
      <c r="J5203" s="3" t="s">
        <v>6487</v>
      </c>
      <c r="K5203" s="10" t="n">
        <v>44742</v>
      </c>
      <c r="L5203" s="3" t="s">
        <v>19</v>
      </c>
      <c r="M5203" s="7" t="n">
        <v>708</v>
      </c>
      <c r="N5203" s="8" t="n">
        <v>0</v>
      </c>
      <c r="O5203" s="4" t="n">
        <v>43.9838</v>
      </c>
    </row>
    <row r="5204" customFormat="false" ht="15" hidden="false" customHeight="false" outlineLevel="0" collapsed="false">
      <c r="A5204" s="0" t="s">
        <v>6929</v>
      </c>
      <c r="C5204" s="0" t="s">
        <v>31</v>
      </c>
      <c r="D5204" s="7" t="n">
        <v>367</v>
      </c>
      <c r="E5204" s="8" t="n">
        <v>0.0550136239782016</v>
      </c>
      <c r="F5204" s="4" t="n">
        <f aca="false">D5204*E5204</f>
        <v>20.19</v>
      </c>
      <c r="G5204" s="7" t="n">
        <v>20</v>
      </c>
      <c r="H5204" s="9" t="n">
        <f aca="false">IF(G5204&gt;0,D5204/G5204,"")</f>
        <v>18.35</v>
      </c>
      <c r="I5204" s="10" t="n">
        <v>46316</v>
      </c>
      <c r="J5204" s="3" t="s">
        <v>693</v>
      </c>
      <c r="K5204" s="10" t="n">
        <v>46304</v>
      </c>
      <c r="L5204" s="3" t="s">
        <v>14</v>
      </c>
      <c r="M5204" s="7" t="n">
        <v>387</v>
      </c>
      <c r="N5204" s="8" t="n">
        <v>0.055</v>
      </c>
      <c r="O5204" s="4" t="n">
        <f aca="false">M5204*N5204</f>
        <v>21.285</v>
      </c>
    </row>
    <row r="5205" customFormat="false" ht="15" hidden="false" customHeight="false" outlineLevel="0" collapsed="false">
      <c r="A5205" s="0" t="s">
        <v>6930</v>
      </c>
      <c r="C5205" s="0" t="s">
        <v>38</v>
      </c>
      <c r="D5205" s="7" t="n">
        <v>55</v>
      </c>
      <c r="E5205" s="8" t="n">
        <v>0.367090909090909</v>
      </c>
      <c r="F5205" s="4" t="n">
        <f aca="false">D5205*E5205</f>
        <v>20.19</v>
      </c>
      <c r="G5205" s="7" t="n">
        <v>15</v>
      </c>
      <c r="H5205" s="9" t="n">
        <f aca="false">IF(G5205&gt;0,D5205/G5205,"")</f>
        <v>3.66666666666667</v>
      </c>
      <c r="I5205" s="10" t="n">
        <v>46183</v>
      </c>
      <c r="J5205" s="3" t="s">
        <v>4270</v>
      </c>
      <c r="K5205" s="10" t="n">
        <v>46092</v>
      </c>
      <c r="L5205" s="3" t="s">
        <v>18</v>
      </c>
      <c r="M5205" s="7" t="n">
        <v>70</v>
      </c>
      <c r="N5205" s="8" t="n">
        <v>0.3671</v>
      </c>
      <c r="O5205" s="4" t="n">
        <f aca="false">M5205*N5205</f>
        <v>25.697</v>
      </c>
    </row>
    <row r="5206" customFormat="false" ht="15" hidden="false" customHeight="false" outlineLevel="0" collapsed="false">
      <c r="A5206" s="0" t="s">
        <v>6931</v>
      </c>
      <c r="C5206" s="0" t="s">
        <v>39</v>
      </c>
      <c r="D5206" s="7" t="n">
        <v>118</v>
      </c>
      <c r="E5206" s="8" t="n">
        <v>0.171101694915254</v>
      </c>
      <c r="F5206" s="4" t="n">
        <f aca="false">D5206*E5206</f>
        <v>20.19</v>
      </c>
      <c r="G5206" s="7" t="n">
        <v>8</v>
      </c>
      <c r="H5206" s="9" t="n">
        <f aca="false">IF(G5206&gt;0,D5206/G5206,"")</f>
        <v>14.75</v>
      </c>
      <c r="I5206" s="10" t="n">
        <v>46156</v>
      </c>
      <c r="J5206" s="3" t="s">
        <v>4250</v>
      </c>
      <c r="K5206" s="10" t="n">
        <v>45659</v>
      </c>
      <c r="L5206" s="3" t="s">
        <v>18</v>
      </c>
      <c r="M5206" s="7" t="n">
        <v>140</v>
      </c>
      <c r="N5206" s="8" t="n">
        <v>0.1711</v>
      </c>
      <c r="O5206" s="4" t="n">
        <f aca="false">M5206*N5206</f>
        <v>23.954</v>
      </c>
    </row>
    <row r="5207" customFormat="false" ht="15" hidden="false" customHeight="false" outlineLevel="0" collapsed="false">
      <c r="A5207" s="0" t="s">
        <v>6932</v>
      </c>
      <c r="C5207" s="0" t="s">
        <v>979</v>
      </c>
      <c r="D5207" s="7" t="n">
        <v>16</v>
      </c>
      <c r="E5207" s="8" t="n">
        <v>1.26125</v>
      </c>
      <c r="F5207" s="4" t="n">
        <f aca="false">D5207*E5207</f>
        <v>20.18</v>
      </c>
      <c r="G5207" s="7" t="n">
        <v>7</v>
      </c>
      <c r="H5207" s="9" t="n">
        <f aca="false">IF(G5207&gt;0,D5207/G5207,"")</f>
        <v>2.28571428571429</v>
      </c>
      <c r="I5207" s="10" t="n">
        <v>46225</v>
      </c>
      <c r="J5207" s="3" t="s">
        <v>3576</v>
      </c>
      <c r="K5207" s="10" t="n">
        <v>46112</v>
      </c>
      <c r="L5207" s="3" t="s">
        <v>18</v>
      </c>
      <c r="M5207" s="7" t="n">
        <v>23</v>
      </c>
      <c r="N5207" s="8" t="n">
        <v>1.2614</v>
      </c>
      <c r="O5207" s="4" t="n">
        <f aca="false">M5207*N5207</f>
        <v>29.0122</v>
      </c>
    </row>
    <row r="5208" customFormat="false" ht="15" hidden="false" customHeight="false" outlineLevel="0" collapsed="false">
      <c r="A5208" s="0" t="s">
        <v>6933</v>
      </c>
      <c r="C5208" s="0" t="s">
        <v>31</v>
      </c>
      <c r="D5208" s="7" t="n">
        <v>339</v>
      </c>
      <c r="E5208" s="8" t="n">
        <v>0.0594985250737463</v>
      </c>
      <c r="F5208" s="4" t="n">
        <f aca="false">D5208*E5208</f>
        <v>20.17</v>
      </c>
      <c r="G5208" s="7" t="n">
        <v>15</v>
      </c>
      <c r="H5208" s="9" t="n">
        <f aca="false">IF(G5208&gt;0,D5208/G5208,"")</f>
        <v>22.6</v>
      </c>
      <c r="I5208" s="10" t="n">
        <v>46314</v>
      </c>
      <c r="J5208" s="3" t="s">
        <v>1846</v>
      </c>
      <c r="K5208" s="10" t="n">
        <v>46288</v>
      </c>
      <c r="L5208" s="3" t="s">
        <v>16</v>
      </c>
      <c r="M5208" s="7" t="n">
        <v>354</v>
      </c>
      <c r="N5208" s="8" t="n">
        <v>0.0595</v>
      </c>
      <c r="O5208" s="4" t="n">
        <f aca="false">M5208*N5208</f>
        <v>21.063</v>
      </c>
    </row>
    <row r="5209" customFormat="false" ht="15" hidden="false" customHeight="false" outlineLevel="0" collapsed="false">
      <c r="A5209" s="0" t="s">
        <v>6934</v>
      </c>
      <c r="C5209" s="0" t="s">
        <v>31</v>
      </c>
      <c r="D5209" s="7" t="n">
        <v>2822</v>
      </c>
      <c r="E5209" s="8" t="n">
        <v>0.00714386959603118</v>
      </c>
      <c r="F5209" s="4" t="n">
        <f aca="false">D5209*E5209</f>
        <v>20.16</v>
      </c>
      <c r="G5209" s="7" t="n">
        <v>432</v>
      </c>
      <c r="H5209" s="9" t="n">
        <f aca="false">IF(G5209&gt;0,D5209/G5209,"")</f>
        <v>6.53240740740741</v>
      </c>
      <c r="I5209" s="10" t="n">
        <v>46142</v>
      </c>
      <c r="J5209" s="3" t="s">
        <v>2716</v>
      </c>
      <c r="K5209" s="10" t="n">
        <v>46160</v>
      </c>
      <c r="L5209" s="3" t="s">
        <v>16</v>
      </c>
      <c r="M5209" s="7" t="n">
        <v>2800</v>
      </c>
      <c r="N5209" s="8" t="n">
        <v>0.0072</v>
      </c>
      <c r="O5209" s="4" t="n">
        <f aca="false">M5209*N5209</f>
        <v>20.16</v>
      </c>
    </row>
    <row r="5210" customFormat="false" ht="15" hidden="false" customHeight="false" outlineLevel="0" collapsed="false">
      <c r="A5210" s="0" t="s">
        <v>6935</v>
      </c>
      <c r="D5210" s="7" t="n">
        <v>295</v>
      </c>
      <c r="E5210" s="8" t="n">
        <v>0.0683050847457627</v>
      </c>
      <c r="F5210" s="4" t="n">
        <f aca="false">D5210*E5210</f>
        <v>20.15</v>
      </c>
      <c r="G5210" s="7" t="n">
        <v>5</v>
      </c>
      <c r="H5210" s="9" t="n">
        <f aca="false">IF(G5210&gt;0,D5210/G5210,"")</f>
        <v>59</v>
      </c>
      <c r="I5210" s="10" t="n">
        <v>46107</v>
      </c>
      <c r="J5210" s="3" t="s">
        <v>1651</v>
      </c>
      <c r="K5210" s="10" t="n">
        <v>46069</v>
      </c>
      <c r="L5210" s="3" t="s">
        <v>16</v>
      </c>
      <c r="M5210" s="7" t="n">
        <v>300</v>
      </c>
      <c r="N5210" s="8" t="n">
        <v>0.0683</v>
      </c>
      <c r="O5210" s="4" t="n">
        <f aca="false">M5210*N5210</f>
        <v>20.49</v>
      </c>
    </row>
    <row r="5211" customFormat="false" ht="15" hidden="false" customHeight="false" outlineLevel="0" collapsed="false">
      <c r="A5211" s="0" t="s">
        <v>6936</v>
      </c>
      <c r="C5211" s="0" t="s">
        <v>118</v>
      </c>
      <c r="D5211" s="7" t="n">
        <v>715</v>
      </c>
      <c r="E5211" s="8" t="n">
        <v>0.0281398601398601</v>
      </c>
      <c r="F5211" s="4" t="n">
        <f aca="false">D5211*E5211</f>
        <v>20.12</v>
      </c>
      <c r="G5211" s="7" t="n">
        <v>285</v>
      </c>
      <c r="H5211" s="9" t="n">
        <f aca="false">IF(G5211&gt;0,D5211/G5211,"")</f>
        <v>2.50877192982456</v>
      </c>
      <c r="I5211" s="10" t="n">
        <v>46294</v>
      </c>
      <c r="J5211" s="3" t="s">
        <v>6937</v>
      </c>
      <c r="K5211" s="10" t="n">
        <v>44515</v>
      </c>
      <c r="L5211" s="3" t="s">
        <v>16</v>
      </c>
      <c r="M5211" s="7" t="n">
        <v>2334</v>
      </c>
      <c r="N5211" s="8" t="n">
        <v>0.0281</v>
      </c>
      <c r="O5211" s="4" t="n">
        <f aca="false">M5211*N5211</f>
        <v>65.5854</v>
      </c>
    </row>
    <row r="5212" customFormat="false" ht="15" hidden="false" customHeight="false" outlineLevel="0" collapsed="false">
      <c r="A5212" s="0" t="s">
        <v>6938</v>
      </c>
      <c r="C5212" s="0" t="s">
        <v>33</v>
      </c>
      <c r="D5212" s="7" t="n">
        <v>17</v>
      </c>
      <c r="E5212" s="8" t="n">
        <v>1.18352941176471</v>
      </c>
      <c r="F5212" s="4" t="n">
        <f aca="false">D5212*E5212</f>
        <v>20.12</v>
      </c>
      <c r="G5212" s="7" t="n">
        <v>4</v>
      </c>
      <c r="H5212" s="9" t="n">
        <f aca="false">IF(G5212&gt;0,D5212/G5212,"")</f>
        <v>4.25</v>
      </c>
      <c r="I5212" s="10" t="n">
        <v>46052</v>
      </c>
      <c r="J5212" s="3" t="s">
        <v>5089</v>
      </c>
      <c r="K5212" s="10" t="n">
        <v>46043</v>
      </c>
      <c r="L5212" s="3" t="s">
        <v>18</v>
      </c>
      <c r="M5212" s="7" t="n">
        <v>21</v>
      </c>
      <c r="N5212" s="8" t="n">
        <v>1.1836</v>
      </c>
      <c r="O5212" s="4" t="n">
        <f aca="false">M5212*N5212</f>
        <v>24.8556</v>
      </c>
    </row>
    <row r="5213" customFormat="false" ht="15" hidden="false" customHeight="false" outlineLevel="0" collapsed="false">
      <c r="A5213" s="0" t="s">
        <v>6939</v>
      </c>
      <c r="C5213" s="0" t="s">
        <v>31</v>
      </c>
      <c r="D5213" s="7" t="n">
        <v>153</v>
      </c>
      <c r="E5213" s="8" t="n">
        <v>0.131503267973856</v>
      </c>
      <c r="F5213" s="4" t="n">
        <f aca="false">D5213*E5213</f>
        <v>20.12</v>
      </c>
      <c r="G5213" s="7" t="n">
        <v>58</v>
      </c>
      <c r="H5213" s="9" t="n">
        <f aca="false">IF(G5213&gt;0,D5213/G5213,"")</f>
        <v>2.63793103448276</v>
      </c>
      <c r="I5213" s="10" t="n">
        <v>46247</v>
      </c>
      <c r="K5213" s="10"/>
      <c r="M5213" s="7"/>
      <c r="N5213" s="8"/>
      <c r="O5213" s="4"/>
    </row>
    <row r="5214" customFormat="false" ht="15" hidden="false" customHeight="false" outlineLevel="0" collapsed="false">
      <c r="A5214" s="0" t="s">
        <v>6940</v>
      </c>
      <c r="C5214" s="0" t="s">
        <v>31</v>
      </c>
      <c r="D5214" s="7" t="n">
        <v>1093</v>
      </c>
      <c r="E5214" s="8" t="n">
        <v>0.0184080512351327</v>
      </c>
      <c r="F5214" s="4" t="n">
        <f aca="false">D5214*E5214</f>
        <v>20.12</v>
      </c>
      <c r="G5214" s="7" t="n">
        <v>246</v>
      </c>
      <c r="H5214" s="9" t="n">
        <f aca="false">IF(G5214&gt;0,D5214/G5214,"")</f>
        <v>4.44308943089431</v>
      </c>
      <c r="I5214" s="10" t="n">
        <v>46286</v>
      </c>
      <c r="J5214" s="3" t="s">
        <v>1986</v>
      </c>
      <c r="K5214" s="10" t="n">
        <v>46052</v>
      </c>
      <c r="L5214" s="3" t="s">
        <v>16</v>
      </c>
      <c r="M5214" s="7" t="n">
        <v>1239</v>
      </c>
      <c r="N5214" s="8" t="n">
        <v>0.0184</v>
      </c>
      <c r="O5214" s="4" t="n">
        <f aca="false">M5214*N5214</f>
        <v>22.7976</v>
      </c>
    </row>
    <row r="5215" customFormat="false" ht="15" hidden="false" customHeight="false" outlineLevel="0" collapsed="false">
      <c r="A5215" s="0" t="s">
        <v>6941</v>
      </c>
      <c r="C5215" s="0" t="s">
        <v>31</v>
      </c>
      <c r="D5215" s="7" t="n">
        <v>397</v>
      </c>
      <c r="E5215" s="8" t="n">
        <v>0.0506297229219144</v>
      </c>
      <c r="F5215" s="4" t="n">
        <f aca="false">D5215*E5215</f>
        <v>20.1</v>
      </c>
      <c r="G5215" s="7" t="n">
        <v>13</v>
      </c>
      <c r="H5215" s="9" t="n">
        <f aca="false">IF(G5215&gt;0,D5215/G5215,"")</f>
        <v>30.5384615384615</v>
      </c>
      <c r="I5215" s="10" t="n">
        <v>46065</v>
      </c>
      <c r="J5215" s="3" t="s">
        <v>6139</v>
      </c>
      <c r="K5215" s="10" t="n">
        <v>45058</v>
      </c>
      <c r="L5215" s="3" t="s">
        <v>19</v>
      </c>
      <c r="M5215" s="7" t="n">
        <v>500</v>
      </c>
      <c r="N5215" s="8" t="n">
        <v>0.0506</v>
      </c>
      <c r="O5215" s="4" t="n">
        <f aca="false">M5215*N5215</f>
        <v>25.3</v>
      </c>
    </row>
    <row r="5216" customFormat="false" ht="15" hidden="false" customHeight="false" outlineLevel="0" collapsed="false">
      <c r="A5216" s="0" t="s">
        <v>6942</v>
      </c>
      <c r="C5216" s="0" t="s">
        <v>41</v>
      </c>
      <c r="D5216" s="7" t="n">
        <v>980</v>
      </c>
      <c r="E5216" s="8" t="n">
        <v>0.0205</v>
      </c>
      <c r="F5216" s="4" t="n">
        <f aca="false">D5216*E5216</f>
        <v>20.09</v>
      </c>
      <c r="G5216" s="7" t="n">
        <v>10</v>
      </c>
      <c r="H5216" s="9" t="n">
        <f aca="false">IF(G5216&gt;0,D5216/G5216,"")</f>
        <v>98</v>
      </c>
      <c r="I5216" s="10" t="n">
        <v>46041</v>
      </c>
      <c r="J5216" s="3" t="s">
        <v>1868</v>
      </c>
      <c r="K5216" s="10" t="n">
        <v>45132</v>
      </c>
      <c r="L5216" s="3" t="s">
        <v>19</v>
      </c>
      <c r="M5216" s="7" t="n">
        <v>1100</v>
      </c>
      <c r="N5216" s="8" t="n">
        <v>0.0205</v>
      </c>
      <c r="O5216" s="4" t="n">
        <f aca="false">M5216*N5216</f>
        <v>22.55</v>
      </c>
    </row>
    <row r="5217" customFormat="false" ht="15" hidden="false" customHeight="false" outlineLevel="0" collapsed="false">
      <c r="A5217" s="0" t="s">
        <v>6943</v>
      </c>
      <c r="C5217" s="0" t="s">
        <v>31</v>
      </c>
      <c r="D5217" s="7" t="n">
        <v>2438</v>
      </c>
      <c r="E5217" s="8" t="n">
        <v>0.00823625922887613</v>
      </c>
      <c r="F5217" s="4" t="n">
        <f aca="false">D5217*E5217</f>
        <v>20.08</v>
      </c>
      <c r="G5217" s="7" t="n">
        <v>2045</v>
      </c>
      <c r="H5217" s="9" t="n">
        <f aca="false">IF(G5217&gt;0,D5217/G5217,"")</f>
        <v>1.1921760391198</v>
      </c>
      <c r="I5217" s="10" t="n">
        <v>46233</v>
      </c>
      <c r="J5217" s="3" t="s">
        <v>2739</v>
      </c>
      <c r="K5217" s="10" t="n">
        <v>46142</v>
      </c>
      <c r="L5217" s="3" t="s">
        <v>16</v>
      </c>
      <c r="M5217" s="7" t="n">
        <v>2434</v>
      </c>
      <c r="N5217" s="8" t="n">
        <v>0.008216</v>
      </c>
      <c r="O5217" s="4" t="n">
        <f aca="false">M5217*N5217</f>
        <v>19.997744</v>
      </c>
    </row>
    <row r="5218" customFormat="false" ht="15" hidden="false" customHeight="false" outlineLevel="0" collapsed="false">
      <c r="A5218" s="0" t="s">
        <v>6944</v>
      </c>
      <c r="C5218" s="0" t="s">
        <v>855</v>
      </c>
      <c r="D5218" s="7" t="n">
        <v>520</v>
      </c>
      <c r="E5218" s="8" t="n">
        <v>0.0385961538461539</v>
      </c>
      <c r="F5218" s="4" t="n">
        <f aca="false">D5218*E5218</f>
        <v>20.07</v>
      </c>
      <c r="G5218" s="7" t="n">
        <v>18</v>
      </c>
      <c r="H5218" s="9" t="n">
        <f aca="false">IF(G5218&gt;0,D5218/G5218,"")</f>
        <v>28.8888888888889</v>
      </c>
      <c r="I5218" s="10" t="n">
        <v>46143</v>
      </c>
      <c r="J5218" s="3" t="s">
        <v>2739</v>
      </c>
      <c r="K5218" s="10" t="n">
        <v>46142</v>
      </c>
      <c r="L5218" s="3" t="s">
        <v>16</v>
      </c>
      <c r="M5218" s="7" t="n">
        <v>520</v>
      </c>
      <c r="N5218" s="8" t="n">
        <v>0.0386</v>
      </c>
      <c r="O5218" s="4" t="n">
        <f aca="false">M5218*N5218</f>
        <v>20.072</v>
      </c>
    </row>
    <row r="5219" customFormat="false" ht="15" hidden="false" customHeight="false" outlineLevel="0" collapsed="false">
      <c r="A5219" s="0" t="s">
        <v>6945</v>
      </c>
      <c r="C5219" s="0" t="s">
        <v>34</v>
      </c>
      <c r="D5219" s="7" t="n">
        <v>299</v>
      </c>
      <c r="E5219" s="8" t="n">
        <v>0.067056856187291</v>
      </c>
      <c r="F5219" s="4" t="n">
        <f aca="false">D5219*E5219</f>
        <v>20.05</v>
      </c>
      <c r="G5219" s="7" t="n">
        <v>42</v>
      </c>
      <c r="H5219" s="9" t="n">
        <f aca="false">IF(G5219&gt;0,D5219/G5219,"")</f>
        <v>7.11904761904762</v>
      </c>
      <c r="I5219" s="10" t="n">
        <v>46233</v>
      </c>
      <c r="J5219" s="3" t="s">
        <v>3013</v>
      </c>
      <c r="K5219" s="10" t="n">
        <v>45343</v>
      </c>
      <c r="L5219" s="3" t="s">
        <v>15</v>
      </c>
      <c r="M5219" s="7" t="n">
        <v>870</v>
      </c>
      <c r="N5219" s="8" t="n">
        <v>0.06701</v>
      </c>
      <c r="O5219" s="4" t="n">
        <f aca="false">M5219*N5219</f>
        <v>58.2987</v>
      </c>
    </row>
    <row r="5220" customFormat="false" ht="15" hidden="false" customHeight="false" outlineLevel="0" collapsed="false">
      <c r="A5220" s="0" t="s">
        <v>6946</v>
      </c>
      <c r="C5220" s="0" t="s">
        <v>34</v>
      </c>
      <c r="D5220" s="7" t="n">
        <v>483</v>
      </c>
      <c r="E5220" s="8" t="n">
        <v>0.0415113871635611</v>
      </c>
      <c r="F5220" s="4" t="n">
        <f aca="false">D5220*E5220</f>
        <v>20.05</v>
      </c>
      <c r="G5220" s="7" t="n">
        <v>60</v>
      </c>
      <c r="H5220" s="9" t="n">
        <f aca="false">IF(G5220&gt;0,D5220/G5220,"")</f>
        <v>8.05</v>
      </c>
      <c r="I5220" s="10" t="n">
        <v>46218</v>
      </c>
      <c r="J5220" s="3" t="s">
        <v>3293</v>
      </c>
      <c r="K5220" s="10" t="n">
        <v>46209</v>
      </c>
      <c r="L5220" s="3" t="s">
        <v>19</v>
      </c>
      <c r="M5220" s="7" t="n">
        <v>500</v>
      </c>
      <c r="N5220" s="8" t="n">
        <v>0.0419</v>
      </c>
      <c r="O5220" s="4" t="n">
        <f aca="false">M5220*N5220</f>
        <v>20.95</v>
      </c>
    </row>
    <row r="5221" customFormat="false" ht="15" hidden="false" customHeight="false" outlineLevel="0" collapsed="false">
      <c r="A5221" s="0" t="s">
        <v>6947</v>
      </c>
      <c r="C5221" s="0" t="s">
        <v>34</v>
      </c>
      <c r="D5221" s="7" t="n">
        <v>765</v>
      </c>
      <c r="E5221" s="8" t="n">
        <v>0.0261960784313726</v>
      </c>
      <c r="F5221" s="4" t="n">
        <f aca="false">D5221*E5221</f>
        <v>20.04</v>
      </c>
      <c r="G5221" s="7" t="n">
        <v>165</v>
      </c>
      <c r="H5221" s="9" t="n">
        <f aca="false">IF(G5221&gt;0,D5221/G5221,"")</f>
        <v>4.63636363636364</v>
      </c>
      <c r="I5221" s="10" t="n">
        <v>46087</v>
      </c>
      <c r="J5221" s="3" t="s">
        <v>628</v>
      </c>
      <c r="K5221" s="10" t="n">
        <v>46128</v>
      </c>
      <c r="L5221" s="3" t="s">
        <v>16</v>
      </c>
      <c r="M5221" s="7" t="n">
        <v>765</v>
      </c>
      <c r="N5221" s="8" t="n">
        <v>0.0262</v>
      </c>
      <c r="O5221" s="4" t="n">
        <f aca="false">M5221*N5221</f>
        <v>20.043</v>
      </c>
    </row>
    <row r="5222" customFormat="false" ht="15" hidden="false" customHeight="false" outlineLevel="0" collapsed="false">
      <c r="A5222" s="0" t="s">
        <v>6948</v>
      </c>
      <c r="C5222" s="0" t="s">
        <v>118</v>
      </c>
      <c r="D5222" s="7" t="n">
        <v>30</v>
      </c>
      <c r="E5222" s="8" t="n">
        <v>0.667333333333333</v>
      </c>
      <c r="F5222" s="4" t="n">
        <f aca="false">D5222*E5222</f>
        <v>20.02</v>
      </c>
      <c r="G5222" s="7" t="n">
        <v>18</v>
      </c>
      <c r="H5222" s="9" t="n">
        <f aca="false">IF(G5222&gt;0,D5222/G5222,"")</f>
        <v>1.66666666666667</v>
      </c>
      <c r="I5222" s="10" t="n">
        <v>46133</v>
      </c>
      <c r="J5222" s="3" t="s">
        <v>2117</v>
      </c>
      <c r="K5222" s="10" t="n">
        <v>45232</v>
      </c>
      <c r="L5222" s="3" t="s">
        <v>14</v>
      </c>
      <c r="M5222" s="7" t="n">
        <v>100</v>
      </c>
      <c r="N5222" s="8" t="n">
        <v>0.6674</v>
      </c>
      <c r="O5222" s="4" t="n">
        <f aca="false">M5222*N5222</f>
        <v>66.74</v>
      </c>
    </row>
    <row r="5223" customFormat="false" ht="15" hidden="false" customHeight="false" outlineLevel="0" collapsed="false">
      <c r="A5223" s="0" t="s">
        <v>6949</v>
      </c>
      <c r="C5223" s="0" t="s">
        <v>37</v>
      </c>
      <c r="D5223" s="7" t="n">
        <v>2707</v>
      </c>
      <c r="E5223" s="8" t="n">
        <v>0.00739564093091984</v>
      </c>
      <c r="F5223" s="4" t="n">
        <f aca="false">D5223*E5223</f>
        <v>20.02</v>
      </c>
      <c r="G5223" s="7" t="n">
        <v>1140</v>
      </c>
      <c r="H5223" s="9" t="n">
        <f aca="false">IF(G5223&gt;0,D5223/G5223,"")</f>
        <v>2.37456140350877</v>
      </c>
      <c r="I5223" s="10" t="n">
        <v>46310</v>
      </c>
      <c r="J5223" s="3" t="s">
        <v>6812</v>
      </c>
      <c r="K5223" s="10" t="n">
        <v>44657</v>
      </c>
      <c r="L5223" s="3" t="s">
        <v>19</v>
      </c>
      <c r="M5223" s="7" t="n">
        <v>3992</v>
      </c>
      <c r="N5223" s="8" t="n">
        <v>0.0074</v>
      </c>
      <c r="O5223" s="4" t="n">
        <f aca="false">M5223*N5223</f>
        <v>29.5408</v>
      </c>
    </row>
    <row r="5224" customFormat="false" ht="15" hidden="false" customHeight="false" outlineLevel="0" collapsed="false">
      <c r="A5224" s="0" t="s">
        <v>6950</v>
      </c>
      <c r="C5224" s="0" t="s">
        <v>799</v>
      </c>
      <c r="D5224" s="7" t="n">
        <v>7</v>
      </c>
      <c r="E5224" s="8" t="n">
        <v>2.85571428571429</v>
      </c>
      <c r="F5224" s="4" t="n">
        <f aca="false">D5224*E5224</f>
        <v>19.99</v>
      </c>
      <c r="G5224" s="7" t="n">
        <v>7</v>
      </c>
      <c r="H5224" s="9" t="n">
        <f aca="false">IF(G5224&gt;0,D5224/G5224,"")</f>
        <v>1</v>
      </c>
      <c r="I5224" s="10" t="n">
        <v>46287</v>
      </c>
      <c r="J5224" s="3" t="s">
        <v>5486</v>
      </c>
      <c r="K5224" s="10" t="n">
        <v>44979</v>
      </c>
      <c r="L5224" s="3" t="s">
        <v>14</v>
      </c>
      <c r="M5224" s="7" t="n">
        <v>25</v>
      </c>
      <c r="N5224" s="8" t="n">
        <v>2.8572</v>
      </c>
      <c r="O5224" s="4" t="n">
        <f aca="false">M5224*N5224</f>
        <v>71.43</v>
      </c>
    </row>
    <row r="5225" customFormat="false" ht="15" hidden="false" customHeight="false" outlineLevel="0" collapsed="false">
      <c r="A5225" s="0" t="s">
        <v>6951</v>
      </c>
      <c r="C5225" s="0" t="s">
        <v>38</v>
      </c>
      <c r="D5225" s="7" t="n">
        <v>4435</v>
      </c>
      <c r="E5225" s="8" t="n">
        <v>0.00450056369785795</v>
      </c>
      <c r="F5225" s="4" t="n">
        <f aca="false">D5225*E5225</f>
        <v>19.96</v>
      </c>
      <c r="G5225" s="7" t="n">
        <v>300</v>
      </c>
      <c r="H5225" s="9" t="n">
        <f aca="false">IF(G5225&gt;0,D5225/G5225,"")</f>
        <v>14.7833333333333</v>
      </c>
      <c r="I5225" s="10" t="n">
        <v>46304</v>
      </c>
      <c r="J5225" s="3" t="s">
        <v>6952</v>
      </c>
      <c r="K5225" s="10" t="n">
        <v>45089</v>
      </c>
      <c r="L5225" s="3" t="s">
        <v>19</v>
      </c>
      <c r="M5225" s="7" t="n">
        <v>6410</v>
      </c>
      <c r="N5225" s="8" t="n">
        <v>0.0045</v>
      </c>
      <c r="O5225" s="4" t="n">
        <f aca="false">M5225*N5225</f>
        <v>28.845</v>
      </c>
    </row>
    <row r="5226" customFormat="false" ht="15" hidden="false" customHeight="false" outlineLevel="0" collapsed="false">
      <c r="A5226" s="0" t="s">
        <v>6953</v>
      </c>
      <c r="C5226" s="0" t="s">
        <v>31</v>
      </c>
      <c r="D5226" s="7" t="n">
        <v>523</v>
      </c>
      <c r="E5226" s="8" t="n">
        <v>0.0381453154875717</v>
      </c>
      <c r="F5226" s="4" t="n">
        <f aca="false">D5226*E5226</f>
        <v>19.95</v>
      </c>
      <c r="G5226" s="7" t="n">
        <v>127</v>
      </c>
      <c r="H5226" s="9" t="n">
        <f aca="false">IF(G5226&gt;0,D5226/G5226,"")</f>
        <v>4.11811023622047</v>
      </c>
      <c r="I5226" s="10" t="n">
        <v>46309</v>
      </c>
      <c r="K5226" s="10"/>
      <c r="M5226" s="7"/>
      <c r="N5226" s="8"/>
      <c r="O5226" s="4"/>
    </row>
    <row r="5227" customFormat="false" ht="15" hidden="false" customHeight="false" outlineLevel="0" collapsed="false">
      <c r="A5227" s="0" t="s">
        <v>6954</v>
      </c>
      <c r="C5227" s="0" t="s">
        <v>34</v>
      </c>
      <c r="D5227" s="7" t="n">
        <v>124</v>
      </c>
      <c r="E5227" s="8" t="n">
        <v>0.160806451612903</v>
      </c>
      <c r="F5227" s="4" t="n">
        <f aca="false">D5227*E5227</f>
        <v>19.94</v>
      </c>
      <c r="G5227" s="7" t="n">
        <v>12</v>
      </c>
      <c r="H5227" s="9" t="n">
        <f aca="false">IF(G5227&gt;0,D5227/G5227,"")</f>
        <v>10.3333333333333</v>
      </c>
      <c r="I5227" s="10" t="n">
        <v>46154</v>
      </c>
      <c r="K5227" s="10"/>
      <c r="M5227" s="7"/>
      <c r="N5227" s="8"/>
      <c r="O5227" s="4"/>
    </row>
    <row r="5228" customFormat="false" ht="15" hidden="false" customHeight="false" outlineLevel="0" collapsed="false">
      <c r="A5228" s="0" t="s">
        <v>6955</v>
      </c>
      <c r="C5228" s="0" t="s">
        <v>31</v>
      </c>
      <c r="D5228" s="7" t="n">
        <v>336</v>
      </c>
      <c r="E5228" s="8" t="n">
        <v>0.0593154761904762</v>
      </c>
      <c r="F5228" s="4" t="n">
        <f aca="false">D5228*E5228</f>
        <v>19.93</v>
      </c>
      <c r="G5228" s="7" t="n">
        <v>15</v>
      </c>
      <c r="H5228" s="9" t="n">
        <f aca="false">IF(G5228&gt;0,D5228/G5228,"")</f>
        <v>22.4</v>
      </c>
      <c r="I5228" s="10" t="n">
        <v>46189</v>
      </c>
      <c r="J5228" s="3" t="s">
        <v>5119</v>
      </c>
      <c r="K5228" s="10" t="n">
        <v>46164</v>
      </c>
      <c r="L5228" s="3" t="s">
        <v>16</v>
      </c>
      <c r="M5228" s="7" t="n">
        <v>350</v>
      </c>
      <c r="N5228" s="8" t="n">
        <v>0.0577</v>
      </c>
      <c r="O5228" s="4" t="n">
        <f aca="false">M5228*N5228</f>
        <v>20.195</v>
      </c>
    </row>
    <row r="5229" customFormat="false" ht="15" hidden="false" customHeight="false" outlineLevel="0" collapsed="false">
      <c r="A5229" s="0" t="s">
        <v>6956</v>
      </c>
      <c r="C5229" s="0" t="s">
        <v>36</v>
      </c>
      <c r="D5229" s="7" t="n">
        <v>37</v>
      </c>
      <c r="E5229" s="8" t="n">
        <v>0.538108108108108</v>
      </c>
      <c r="F5229" s="4" t="n">
        <f aca="false">D5229*E5229</f>
        <v>19.91</v>
      </c>
      <c r="G5229" s="7" t="n">
        <v>2</v>
      </c>
      <c r="H5229" s="9" t="n">
        <f aca="false">IF(G5229&gt;0,D5229/G5229,"")</f>
        <v>18.5</v>
      </c>
      <c r="I5229" s="10" t="n">
        <v>46202</v>
      </c>
      <c r="K5229" s="10"/>
      <c r="M5229" s="7"/>
      <c r="N5229" s="8"/>
      <c r="O5229" s="4"/>
    </row>
    <row r="5230" customFormat="false" ht="15" hidden="false" customHeight="false" outlineLevel="0" collapsed="false">
      <c r="A5230" s="0" t="s">
        <v>6957</v>
      </c>
      <c r="C5230" s="0" t="s">
        <v>1169</v>
      </c>
      <c r="D5230" s="7" t="n">
        <v>122</v>
      </c>
      <c r="E5230" s="8" t="n">
        <v>0.162950819672131</v>
      </c>
      <c r="F5230" s="4" t="n">
        <f aca="false">D5230*E5230</f>
        <v>19.88</v>
      </c>
      <c r="G5230" s="7" t="n">
        <v>105</v>
      </c>
      <c r="H5230" s="9" t="n">
        <f aca="false">IF(G5230&gt;0,D5230/G5230,"")</f>
        <v>1.16190476190476</v>
      </c>
      <c r="I5230" s="10" t="n">
        <v>46314</v>
      </c>
      <c r="J5230" s="3" t="s">
        <v>2903</v>
      </c>
      <c r="K5230" s="10" t="n">
        <v>44301</v>
      </c>
      <c r="L5230" s="3" t="s">
        <v>21</v>
      </c>
      <c r="M5230" s="7" t="n">
        <v>650</v>
      </c>
      <c r="N5230" s="8" t="n">
        <v>0.163</v>
      </c>
      <c r="O5230" s="4" t="n">
        <f aca="false">M5230*N5230</f>
        <v>105.95</v>
      </c>
    </row>
    <row r="5231" customFormat="false" ht="15" hidden="false" customHeight="false" outlineLevel="0" collapsed="false">
      <c r="A5231" s="0" t="s">
        <v>6958</v>
      </c>
      <c r="C5231" s="0" t="s">
        <v>855</v>
      </c>
      <c r="D5231" s="7" t="n">
        <v>435</v>
      </c>
      <c r="E5231" s="8" t="n">
        <v>0.0457011494252874</v>
      </c>
      <c r="F5231" s="4" t="n">
        <f aca="false">D5231*E5231</f>
        <v>19.88</v>
      </c>
      <c r="G5231" s="7" t="n">
        <v>65</v>
      </c>
      <c r="H5231" s="9" t="n">
        <f aca="false">IF(G5231&gt;0,D5231/G5231,"")</f>
        <v>6.69230769230769</v>
      </c>
      <c r="I5231" s="10" t="n">
        <v>46157</v>
      </c>
      <c r="J5231" s="3" t="s">
        <v>620</v>
      </c>
      <c r="K5231" s="10" t="n">
        <v>46146</v>
      </c>
      <c r="L5231" s="3" t="s">
        <v>16</v>
      </c>
      <c r="M5231" s="7" t="n">
        <v>500</v>
      </c>
      <c r="N5231" s="8" t="n">
        <v>0.0457</v>
      </c>
      <c r="O5231" s="4" t="n">
        <f aca="false">M5231*N5231</f>
        <v>22.85</v>
      </c>
    </row>
    <row r="5232" customFormat="false" ht="15" hidden="false" customHeight="false" outlineLevel="0" collapsed="false">
      <c r="A5232" s="0" t="s">
        <v>6959</v>
      </c>
      <c r="C5232" s="0" t="s">
        <v>34</v>
      </c>
      <c r="D5232" s="7" t="n">
        <v>8</v>
      </c>
      <c r="E5232" s="8" t="n">
        <v>2.485</v>
      </c>
      <c r="F5232" s="4" t="n">
        <f aca="false">D5232*E5232</f>
        <v>19.88</v>
      </c>
      <c r="G5232" s="7" t="n">
        <v>5</v>
      </c>
      <c r="H5232" s="9" t="n">
        <f aca="false">IF(G5232&gt;0,D5232/G5232,"")</f>
        <v>1.6</v>
      </c>
      <c r="I5232" s="10" t="n">
        <v>46139</v>
      </c>
      <c r="J5232" s="3" t="s">
        <v>6105</v>
      </c>
      <c r="K5232" s="10" t="n">
        <v>46070</v>
      </c>
      <c r="L5232" s="3" t="s">
        <v>19</v>
      </c>
      <c r="M5232" s="7" t="n">
        <v>10</v>
      </c>
      <c r="N5232" s="8" t="n">
        <v>2.4852</v>
      </c>
      <c r="O5232" s="4" t="n">
        <f aca="false">M5232*N5232</f>
        <v>24.852</v>
      </c>
    </row>
    <row r="5233" customFormat="false" ht="15" hidden="false" customHeight="false" outlineLevel="0" collapsed="false">
      <c r="A5233" s="0" t="s">
        <v>6960</v>
      </c>
      <c r="C5233" s="0" t="s">
        <v>34</v>
      </c>
      <c r="D5233" s="7" t="n">
        <v>94</v>
      </c>
      <c r="E5233" s="8" t="n">
        <v>0.211382978723404</v>
      </c>
      <c r="F5233" s="4" t="n">
        <f aca="false">D5233*E5233</f>
        <v>19.87</v>
      </c>
      <c r="G5233" s="7" t="n">
        <v>6</v>
      </c>
      <c r="H5233" s="9" t="n">
        <f aca="false">IF(G5233&gt;0,D5233/G5233,"")</f>
        <v>15.6666666666667</v>
      </c>
      <c r="I5233" s="10" t="n">
        <v>46157</v>
      </c>
      <c r="J5233" s="3" t="s">
        <v>620</v>
      </c>
      <c r="K5233" s="10" t="n">
        <v>46146</v>
      </c>
      <c r="L5233" s="3" t="s">
        <v>16</v>
      </c>
      <c r="M5233" s="7" t="n">
        <v>100</v>
      </c>
      <c r="N5233" s="8" t="n">
        <v>0.2114</v>
      </c>
      <c r="O5233" s="4" t="n">
        <f aca="false">M5233*N5233</f>
        <v>21.14</v>
      </c>
    </row>
    <row r="5234" customFormat="false" ht="15" hidden="false" customHeight="false" outlineLevel="0" collapsed="false">
      <c r="A5234" s="0" t="s">
        <v>6961</v>
      </c>
      <c r="C5234" s="0" t="s">
        <v>31</v>
      </c>
      <c r="D5234" s="7" t="n">
        <v>76</v>
      </c>
      <c r="E5234" s="8" t="n">
        <v>0.261315789473684</v>
      </c>
      <c r="F5234" s="4" t="n">
        <f aca="false">D5234*E5234</f>
        <v>19.86</v>
      </c>
      <c r="G5234" s="7" t="n">
        <v>24</v>
      </c>
      <c r="H5234" s="9" t="n">
        <f aca="false">IF(G5234&gt;0,D5234/G5234,"")</f>
        <v>3.16666666666667</v>
      </c>
      <c r="I5234" s="10" t="n">
        <v>46252</v>
      </c>
      <c r="J5234" s="3" t="s">
        <v>1574</v>
      </c>
      <c r="K5234" s="10" t="n">
        <v>46062</v>
      </c>
      <c r="L5234" s="3" t="s">
        <v>19</v>
      </c>
      <c r="M5234" s="7" t="n">
        <v>100</v>
      </c>
      <c r="N5234" s="8" t="n">
        <v>0.2613</v>
      </c>
      <c r="O5234" s="4" t="n">
        <f aca="false">M5234*N5234</f>
        <v>26.13</v>
      </c>
    </row>
    <row r="5235" customFormat="false" ht="15" hidden="false" customHeight="false" outlineLevel="0" collapsed="false">
      <c r="A5235" s="0" t="s">
        <v>6962</v>
      </c>
      <c r="C5235" s="0" t="s">
        <v>31</v>
      </c>
      <c r="D5235" s="7" t="n">
        <v>169</v>
      </c>
      <c r="E5235" s="8" t="n">
        <v>0.117514792899408</v>
      </c>
      <c r="F5235" s="4" t="n">
        <f aca="false">D5235*E5235</f>
        <v>19.86</v>
      </c>
      <c r="G5235" s="7" t="n">
        <v>43</v>
      </c>
      <c r="H5235" s="9" t="n">
        <f aca="false">IF(G5235&gt;0,D5235/G5235,"")</f>
        <v>3.93023255813953</v>
      </c>
      <c r="I5235" s="10" t="n">
        <v>46065</v>
      </c>
      <c r="J5235" s="3" t="s">
        <v>4632</v>
      </c>
      <c r="K5235" s="10" t="n">
        <v>45552</v>
      </c>
      <c r="L5235" s="3" t="s">
        <v>16</v>
      </c>
      <c r="M5235" s="7" t="n">
        <v>288</v>
      </c>
      <c r="N5235" s="8" t="n">
        <v>0.0694444</v>
      </c>
      <c r="O5235" s="4" t="n">
        <f aca="false">M5235*N5235</f>
        <v>19.9999872</v>
      </c>
    </row>
    <row r="5236" customFormat="false" ht="15" hidden="false" customHeight="false" outlineLevel="0" collapsed="false">
      <c r="A5236" s="0" t="s">
        <v>6963</v>
      </c>
      <c r="C5236" s="0" t="s">
        <v>765</v>
      </c>
      <c r="D5236" s="7" t="n">
        <v>992</v>
      </c>
      <c r="E5236" s="8" t="n">
        <v>0.02</v>
      </c>
      <c r="F5236" s="4" t="n">
        <f aca="false">D5236*E5236</f>
        <v>19.84</v>
      </c>
      <c r="G5236" s="7" t="n">
        <v>119</v>
      </c>
      <c r="H5236" s="9" t="n">
        <f aca="false">IF(G5236&gt;0,D5236/G5236,"")</f>
        <v>8.33613445378151</v>
      </c>
      <c r="I5236" s="10" t="n">
        <v>46300</v>
      </c>
      <c r="K5236" s="10"/>
      <c r="M5236" s="7"/>
      <c r="N5236" s="8"/>
      <c r="O5236" s="4"/>
    </row>
    <row r="5237" customFormat="false" ht="15" hidden="false" customHeight="false" outlineLevel="0" collapsed="false">
      <c r="A5237" s="0" t="s">
        <v>6964</v>
      </c>
      <c r="C5237" s="0" t="s">
        <v>38</v>
      </c>
      <c r="D5237" s="7" t="n">
        <v>449</v>
      </c>
      <c r="E5237" s="8" t="n">
        <v>0.044097995545657</v>
      </c>
      <c r="F5237" s="4" t="n">
        <f aca="false">D5237*E5237</f>
        <v>19.8</v>
      </c>
      <c r="G5237" s="7" t="n">
        <v>11</v>
      </c>
      <c r="H5237" s="9" t="n">
        <f aca="false">IF(G5237&gt;0,D5237/G5237,"")</f>
        <v>40.8181818181818</v>
      </c>
      <c r="I5237" s="10" t="n">
        <v>46176</v>
      </c>
      <c r="J5237" s="3" t="s">
        <v>4397</v>
      </c>
      <c r="K5237" s="10" t="n">
        <v>44628</v>
      </c>
      <c r="L5237" s="3" t="s">
        <v>14</v>
      </c>
      <c r="M5237" s="7" t="n">
        <v>313</v>
      </c>
      <c r="N5237" s="8" t="n">
        <v>0.0508</v>
      </c>
      <c r="O5237" s="4" t="n">
        <v>15.24</v>
      </c>
    </row>
    <row r="5238" customFormat="false" ht="15" hidden="false" customHeight="false" outlineLevel="0" collapsed="false">
      <c r="A5238" s="0" t="s">
        <v>6965</v>
      </c>
      <c r="C5238" s="0" t="s">
        <v>38</v>
      </c>
      <c r="D5238" s="7" t="n">
        <v>842</v>
      </c>
      <c r="E5238" s="8" t="n">
        <v>0.0235035629453682</v>
      </c>
      <c r="F5238" s="4" t="n">
        <f aca="false">D5238*E5238</f>
        <v>19.79</v>
      </c>
      <c r="G5238" s="7" t="n">
        <v>253</v>
      </c>
      <c r="H5238" s="9" t="n">
        <f aca="false">IF(G5238&gt;0,D5238/G5238,"")</f>
        <v>3.32806324110672</v>
      </c>
      <c r="I5238" s="10" t="n">
        <v>46266</v>
      </c>
      <c r="J5238" s="3" t="s">
        <v>2506</v>
      </c>
      <c r="K5238" s="10" t="n">
        <v>45911</v>
      </c>
      <c r="L5238" s="3" t="s">
        <v>18</v>
      </c>
      <c r="M5238" s="7" t="n">
        <v>1100</v>
      </c>
      <c r="N5238" s="8" t="n">
        <v>0.0235</v>
      </c>
      <c r="O5238" s="4" t="n">
        <f aca="false">M5238*N5238</f>
        <v>25.85</v>
      </c>
    </row>
    <row r="5239" customFormat="false" ht="15" hidden="false" customHeight="false" outlineLevel="0" collapsed="false">
      <c r="A5239" s="0" t="s">
        <v>6966</v>
      </c>
      <c r="C5239" s="0" t="s">
        <v>31</v>
      </c>
      <c r="D5239" s="7" t="n">
        <v>245</v>
      </c>
      <c r="E5239" s="8" t="n">
        <v>0.080734693877551</v>
      </c>
      <c r="F5239" s="4" t="n">
        <f aca="false">D5239*E5239</f>
        <v>19.78</v>
      </c>
      <c r="G5239" s="7" t="n">
        <v>5</v>
      </c>
      <c r="H5239" s="9" t="n">
        <f aca="false">IF(G5239&gt;0,D5239/G5239,"")</f>
        <v>49</v>
      </c>
      <c r="I5239" s="10" t="n">
        <v>46073</v>
      </c>
      <c r="J5239" s="3" t="s">
        <v>2780</v>
      </c>
      <c r="K5239" s="10" t="n">
        <v>46043</v>
      </c>
      <c r="L5239" s="3" t="s">
        <v>16</v>
      </c>
      <c r="M5239" s="7" t="n">
        <v>250</v>
      </c>
      <c r="N5239" s="8" t="n">
        <v>0.0807</v>
      </c>
      <c r="O5239" s="4" t="n">
        <f aca="false">M5239*N5239</f>
        <v>20.175</v>
      </c>
    </row>
    <row r="5240" customFormat="false" ht="15" hidden="false" customHeight="false" outlineLevel="0" collapsed="false">
      <c r="A5240" s="0" t="s">
        <v>6967</v>
      </c>
      <c r="C5240" s="0" t="s">
        <v>31</v>
      </c>
      <c r="D5240" s="7" t="n">
        <v>219</v>
      </c>
      <c r="E5240" s="8" t="n">
        <v>0.0902739726027397</v>
      </c>
      <c r="F5240" s="4" t="n">
        <f aca="false">D5240*E5240</f>
        <v>19.77</v>
      </c>
      <c r="G5240" s="7" t="n">
        <v>41</v>
      </c>
      <c r="H5240" s="9" t="n">
        <f aca="false">IF(G5240&gt;0,D5240/G5240,"")</f>
        <v>5.34146341463415</v>
      </c>
      <c r="I5240" s="10" t="n">
        <v>46147</v>
      </c>
      <c r="J5240" s="3" t="s">
        <v>436</v>
      </c>
      <c r="K5240" s="10" t="n">
        <v>46135</v>
      </c>
      <c r="L5240" s="3" t="s">
        <v>16</v>
      </c>
      <c r="M5240" s="7" t="n">
        <v>250</v>
      </c>
      <c r="N5240" s="8" t="n">
        <v>0.0824</v>
      </c>
      <c r="O5240" s="4" t="n">
        <f aca="false">M5240*N5240</f>
        <v>20.6</v>
      </c>
    </row>
    <row r="5241" customFormat="false" ht="15" hidden="false" customHeight="false" outlineLevel="0" collapsed="false">
      <c r="A5241" s="0" t="s">
        <v>6968</v>
      </c>
      <c r="C5241" s="0" t="s">
        <v>1010</v>
      </c>
      <c r="D5241" s="7" t="n">
        <v>170</v>
      </c>
      <c r="E5241" s="8" t="n">
        <v>0.116235294117647</v>
      </c>
      <c r="F5241" s="4" t="n">
        <f aca="false">D5241*E5241</f>
        <v>19.76</v>
      </c>
      <c r="G5241" s="7" t="n">
        <v>20</v>
      </c>
      <c r="H5241" s="9" t="n">
        <f aca="false">IF(G5241&gt;0,D5241/G5241,"")</f>
        <v>8.5</v>
      </c>
      <c r="I5241" s="10" t="n">
        <v>46111</v>
      </c>
      <c r="K5241" s="10"/>
      <c r="M5241" s="7"/>
      <c r="N5241" s="8"/>
      <c r="O5241" s="4"/>
    </row>
    <row r="5242" customFormat="false" ht="15" hidden="false" customHeight="false" outlineLevel="0" collapsed="false">
      <c r="A5242" s="0" t="s">
        <v>6969</v>
      </c>
      <c r="C5242" s="0" t="s">
        <v>31</v>
      </c>
      <c r="D5242" s="7" t="n">
        <v>617</v>
      </c>
      <c r="E5242" s="8" t="n">
        <v>0.0320097244732577</v>
      </c>
      <c r="F5242" s="4" t="n">
        <f aca="false">D5242*E5242</f>
        <v>19.75</v>
      </c>
      <c r="G5242" s="7" t="n">
        <v>31</v>
      </c>
      <c r="H5242" s="9" t="n">
        <f aca="false">IF(G5242&gt;0,D5242/G5242,"")</f>
        <v>19.9032258064516</v>
      </c>
      <c r="I5242" s="10" t="n">
        <v>46084</v>
      </c>
      <c r="K5242" s="10"/>
      <c r="M5242" s="7"/>
      <c r="N5242" s="8"/>
      <c r="O5242" s="4"/>
    </row>
    <row r="5243" customFormat="false" ht="15" hidden="false" customHeight="false" outlineLevel="0" collapsed="false">
      <c r="A5243" s="0" t="s">
        <v>6970</v>
      </c>
      <c r="C5243" s="0" t="s">
        <v>31</v>
      </c>
      <c r="D5243" s="7" t="n">
        <v>1795</v>
      </c>
      <c r="E5243" s="8" t="n">
        <v>0.0109972144846797</v>
      </c>
      <c r="F5243" s="4" t="n">
        <f aca="false">D5243*E5243</f>
        <v>19.74</v>
      </c>
      <c r="G5243" s="7" t="n">
        <v>692</v>
      </c>
      <c r="H5243" s="9" t="n">
        <f aca="false">IF(G5243&gt;0,D5243/G5243,"")</f>
        <v>2.59393063583815</v>
      </c>
      <c r="I5243" s="10" t="n">
        <v>46308</v>
      </c>
      <c r="J5243" s="3" t="s">
        <v>3385</v>
      </c>
      <c r="K5243" s="10" t="n">
        <v>45595</v>
      </c>
      <c r="L5243" s="3" t="s">
        <v>16</v>
      </c>
      <c r="M5243" s="7" t="n">
        <v>4683</v>
      </c>
      <c r="N5243" s="8" t="n">
        <v>0.011</v>
      </c>
      <c r="O5243" s="4" t="n">
        <f aca="false">M5243*N5243</f>
        <v>51.513</v>
      </c>
    </row>
    <row r="5244" customFormat="false" ht="15" hidden="false" customHeight="false" outlineLevel="0" collapsed="false">
      <c r="A5244" s="0" t="s">
        <v>6971</v>
      </c>
      <c r="C5244" s="0" t="s">
        <v>31</v>
      </c>
      <c r="D5244" s="7" t="n">
        <v>177</v>
      </c>
      <c r="E5244" s="8" t="n">
        <v>0.111525423728814</v>
      </c>
      <c r="F5244" s="4" t="n">
        <f aca="false">D5244*E5244</f>
        <v>19.74</v>
      </c>
      <c r="G5244" s="7" t="n">
        <v>10</v>
      </c>
      <c r="H5244" s="9" t="n">
        <f aca="false">IF(G5244&gt;0,D5244/G5244,"")</f>
        <v>17.7</v>
      </c>
      <c r="I5244" s="10" t="n">
        <v>46107</v>
      </c>
      <c r="J5244" s="3" t="s">
        <v>6972</v>
      </c>
      <c r="K5244" s="10" t="n">
        <v>45085</v>
      </c>
      <c r="L5244" s="3" t="s">
        <v>19</v>
      </c>
      <c r="M5244" s="7" t="n">
        <v>250</v>
      </c>
      <c r="N5244" s="8" t="n">
        <v>0.1115</v>
      </c>
      <c r="O5244" s="4" t="n">
        <f aca="false">M5244*N5244</f>
        <v>27.875</v>
      </c>
    </row>
    <row r="5245" customFormat="false" ht="15" hidden="false" customHeight="false" outlineLevel="0" collapsed="false">
      <c r="A5245" s="0" t="s">
        <v>6973</v>
      </c>
      <c r="C5245" s="0" t="s">
        <v>609</v>
      </c>
      <c r="D5245" s="7" t="n">
        <v>16</v>
      </c>
      <c r="E5245" s="8" t="n">
        <v>1.23375</v>
      </c>
      <c r="F5245" s="4" t="n">
        <f aca="false">D5245*E5245</f>
        <v>19.74</v>
      </c>
      <c r="G5245" s="7" t="n">
        <v>4</v>
      </c>
      <c r="H5245" s="9" t="n">
        <f aca="false">IF(G5245&gt;0,D5245/G5245,"")</f>
        <v>4</v>
      </c>
      <c r="I5245" s="10" t="n">
        <v>46304</v>
      </c>
      <c r="J5245" s="3" t="s">
        <v>763</v>
      </c>
      <c r="K5245" s="10" t="n">
        <v>46231</v>
      </c>
      <c r="L5245" s="3" t="s">
        <v>14</v>
      </c>
      <c r="M5245" s="7" t="n">
        <v>20</v>
      </c>
      <c r="N5245" s="8" t="n">
        <v>1.234</v>
      </c>
      <c r="O5245" s="4" t="n">
        <f aca="false">M5245*N5245</f>
        <v>24.68</v>
      </c>
    </row>
    <row r="5246" customFormat="false" ht="15" hidden="false" customHeight="false" outlineLevel="0" collapsed="false">
      <c r="A5246" s="0" t="s">
        <v>6974</v>
      </c>
      <c r="C5246" s="0" t="s">
        <v>34</v>
      </c>
      <c r="D5246" s="7" t="n">
        <v>255</v>
      </c>
      <c r="E5246" s="8" t="n">
        <v>0.0773725490196078</v>
      </c>
      <c r="F5246" s="4" t="n">
        <f aca="false">D5246*E5246</f>
        <v>19.73</v>
      </c>
      <c r="G5246" s="7" t="n">
        <v>32</v>
      </c>
      <c r="H5246" s="9" t="n">
        <f aca="false">IF(G5246&gt;0,D5246/G5246,"")</f>
        <v>7.96875</v>
      </c>
      <c r="I5246" s="10" t="n">
        <v>46275</v>
      </c>
      <c r="J5246" s="3" t="s">
        <v>2662</v>
      </c>
      <c r="K5246" s="10" t="n">
        <v>46190</v>
      </c>
      <c r="L5246" s="3" t="s">
        <v>16</v>
      </c>
      <c r="M5246" s="7" t="n">
        <v>260</v>
      </c>
      <c r="N5246" s="8" t="n">
        <v>0.0774</v>
      </c>
      <c r="O5246" s="4" t="n">
        <f aca="false">M5246*N5246</f>
        <v>20.124</v>
      </c>
    </row>
    <row r="5247" customFormat="false" ht="15" hidden="false" customHeight="false" outlineLevel="0" collapsed="false">
      <c r="A5247" s="0" t="s">
        <v>6975</v>
      </c>
      <c r="C5247" s="0" t="s">
        <v>31</v>
      </c>
      <c r="D5247" s="7" t="n">
        <v>1659</v>
      </c>
      <c r="E5247" s="8" t="n">
        <v>0.0118806509945751</v>
      </c>
      <c r="F5247" s="4" t="n">
        <f aca="false">D5247*E5247</f>
        <v>19.71</v>
      </c>
      <c r="G5247" s="7" t="n">
        <v>595</v>
      </c>
      <c r="H5247" s="9" t="n">
        <f aca="false">IF(G5247&gt;0,D5247/G5247,"")</f>
        <v>2.78823529411765</v>
      </c>
      <c r="I5247" s="10" t="n">
        <v>46314</v>
      </c>
      <c r="J5247" s="3" t="s">
        <v>302</v>
      </c>
      <c r="K5247" s="10" t="n">
        <v>45520</v>
      </c>
      <c r="L5247" s="3" t="s">
        <v>15</v>
      </c>
      <c r="M5247" s="7" t="n">
        <v>2360</v>
      </c>
      <c r="N5247" s="8" t="n">
        <v>0.01188</v>
      </c>
      <c r="O5247" s="4" t="n">
        <f aca="false">M5247*N5247</f>
        <v>28.0368</v>
      </c>
    </row>
    <row r="5248" customFormat="false" ht="15" hidden="false" customHeight="false" outlineLevel="0" collapsed="false">
      <c r="A5248" s="0" t="s">
        <v>6976</v>
      </c>
      <c r="C5248" s="0" t="s">
        <v>41</v>
      </c>
      <c r="D5248" s="7" t="n">
        <v>866</v>
      </c>
      <c r="E5248" s="8" t="n">
        <v>0.0227367205542725</v>
      </c>
      <c r="F5248" s="4" t="n">
        <f aca="false">D5248*E5248</f>
        <v>19.69</v>
      </c>
      <c r="G5248" s="7" t="n">
        <v>75</v>
      </c>
      <c r="H5248" s="9" t="n">
        <f aca="false">IF(G5248&gt;0,D5248/G5248,"")</f>
        <v>11.5466666666667</v>
      </c>
      <c r="I5248" s="10" t="n">
        <v>46244</v>
      </c>
      <c r="J5248" s="3" t="s">
        <v>2282</v>
      </c>
      <c r="K5248" s="10" t="n">
        <v>44361</v>
      </c>
      <c r="L5248" s="3" t="s">
        <v>16</v>
      </c>
      <c r="M5248" s="7" t="n">
        <v>1309</v>
      </c>
      <c r="N5248" s="8" t="n">
        <v>0.0228</v>
      </c>
      <c r="O5248" s="4" t="n">
        <f aca="false">M5248*N5248</f>
        <v>29.8452</v>
      </c>
    </row>
    <row r="5249" customFormat="false" ht="15" hidden="false" customHeight="false" outlineLevel="0" collapsed="false">
      <c r="A5249" s="0" t="s">
        <v>6977</v>
      </c>
      <c r="C5249" s="0" t="s">
        <v>38</v>
      </c>
      <c r="D5249" s="7" t="n">
        <v>115</v>
      </c>
      <c r="E5249" s="8" t="n">
        <v>0.171130434782609</v>
      </c>
      <c r="F5249" s="4" t="n">
        <f aca="false">D5249*E5249</f>
        <v>19.68</v>
      </c>
      <c r="G5249" s="7" t="n">
        <v>10</v>
      </c>
      <c r="H5249" s="9" t="n">
        <f aca="false">IF(G5249&gt;0,D5249/G5249,"")</f>
        <v>11.5</v>
      </c>
      <c r="I5249" s="10" t="n">
        <v>46094</v>
      </c>
      <c r="K5249" s="10"/>
      <c r="M5249" s="7"/>
      <c r="N5249" s="8"/>
      <c r="O5249" s="4"/>
    </row>
    <row r="5250" customFormat="false" ht="15" hidden="false" customHeight="false" outlineLevel="0" collapsed="false">
      <c r="A5250" s="0" t="s">
        <v>6978</v>
      </c>
      <c r="C5250" s="0" t="s">
        <v>31</v>
      </c>
      <c r="D5250" s="7" t="n">
        <v>312</v>
      </c>
      <c r="E5250" s="8" t="n">
        <v>0.0630128205128205</v>
      </c>
      <c r="F5250" s="4" t="n">
        <f aca="false">D5250*E5250</f>
        <v>19.66</v>
      </c>
      <c r="G5250" s="7" t="n">
        <v>8</v>
      </c>
      <c r="H5250" s="9" t="n">
        <f aca="false">IF(G5250&gt;0,D5250/G5250,"")</f>
        <v>39</v>
      </c>
      <c r="I5250" s="10" t="n">
        <v>46122</v>
      </c>
      <c r="J5250" s="3" t="s">
        <v>2303</v>
      </c>
      <c r="K5250" s="10" t="n">
        <v>46098</v>
      </c>
      <c r="L5250" s="3" t="s">
        <v>16</v>
      </c>
      <c r="M5250" s="7" t="n">
        <v>320</v>
      </c>
      <c r="N5250" s="8" t="n">
        <v>0.063</v>
      </c>
      <c r="O5250" s="4" t="n">
        <f aca="false">M5250*N5250</f>
        <v>20.16</v>
      </c>
    </row>
    <row r="5251" customFormat="false" ht="15" hidden="false" customHeight="false" outlineLevel="0" collapsed="false">
      <c r="A5251" s="0" t="s">
        <v>6979</v>
      </c>
      <c r="C5251" s="0" t="s">
        <v>1169</v>
      </c>
      <c r="D5251" s="7" t="n">
        <v>39</v>
      </c>
      <c r="E5251" s="8" t="n">
        <v>0.503333333333333</v>
      </c>
      <c r="F5251" s="4" t="n">
        <f aca="false">D5251*E5251</f>
        <v>19.63</v>
      </c>
      <c r="G5251" s="7" t="n">
        <v>25</v>
      </c>
      <c r="H5251" s="9" t="n">
        <f aca="false">IF(G5251&gt;0,D5251/G5251,"")</f>
        <v>1.56</v>
      </c>
      <c r="I5251" s="10" t="n">
        <v>46056</v>
      </c>
      <c r="J5251" s="3" t="s">
        <v>1298</v>
      </c>
      <c r="K5251" s="10" t="n">
        <v>44910</v>
      </c>
      <c r="L5251" s="3" t="s">
        <v>14</v>
      </c>
      <c r="M5251" s="7" t="n">
        <v>100</v>
      </c>
      <c r="N5251" s="8" t="n">
        <v>0.5031</v>
      </c>
      <c r="O5251" s="4" t="n">
        <f aca="false">M5251*N5251</f>
        <v>50.31</v>
      </c>
    </row>
    <row r="5252" customFormat="false" ht="15" hidden="false" customHeight="false" outlineLevel="0" collapsed="false">
      <c r="A5252" s="0" t="s">
        <v>6980</v>
      </c>
      <c r="C5252" s="0" t="s">
        <v>37</v>
      </c>
      <c r="D5252" s="7" t="n">
        <v>519</v>
      </c>
      <c r="E5252" s="8" t="n">
        <v>0.0378034682080925</v>
      </c>
      <c r="F5252" s="4" t="n">
        <f aca="false">D5252*E5252</f>
        <v>19.62</v>
      </c>
      <c r="G5252" s="7" t="n">
        <v>20</v>
      </c>
      <c r="H5252" s="9" t="n">
        <f aca="false">IF(G5252&gt;0,D5252/G5252,"")</f>
        <v>25.95</v>
      </c>
      <c r="I5252" s="10" t="n">
        <v>45967</v>
      </c>
      <c r="J5252" s="3" t="s">
        <v>6981</v>
      </c>
      <c r="K5252" s="10" t="n">
        <v>44407</v>
      </c>
      <c r="L5252" s="3" t="s">
        <v>19</v>
      </c>
      <c r="M5252" s="7" t="n">
        <v>715</v>
      </c>
      <c r="N5252" s="8" t="n">
        <v>0.0378</v>
      </c>
      <c r="O5252" s="4" t="n">
        <f aca="false">M5252*N5252</f>
        <v>27.027</v>
      </c>
    </row>
    <row r="5253" customFormat="false" ht="15" hidden="false" customHeight="false" outlineLevel="0" collapsed="false">
      <c r="A5253" s="0" t="s">
        <v>6982</v>
      </c>
      <c r="C5253" s="0" t="s">
        <v>462</v>
      </c>
      <c r="D5253" s="7" t="n">
        <v>129</v>
      </c>
      <c r="E5253" s="8" t="n">
        <v>0.152015503875969</v>
      </c>
      <c r="F5253" s="4" t="n">
        <f aca="false">D5253*E5253</f>
        <v>19.61</v>
      </c>
      <c r="G5253" s="7" t="n">
        <v>6</v>
      </c>
      <c r="H5253" s="9" t="n">
        <f aca="false">IF(G5253&gt;0,D5253/G5253,"")</f>
        <v>21.5</v>
      </c>
      <c r="I5253" s="10" t="n">
        <v>46275</v>
      </c>
      <c r="K5253" s="10"/>
      <c r="M5253" s="7"/>
      <c r="N5253" s="8"/>
      <c r="O5253" s="4"/>
    </row>
    <row r="5254" customFormat="false" ht="15" hidden="false" customHeight="false" outlineLevel="0" collapsed="false">
      <c r="A5254" s="0" t="s">
        <v>6983</v>
      </c>
      <c r="C5254" s="0" t="s">
        <v>31</v>
      </c>
      <c r="D5254" s="7" t="n">
        <v>237</v>
      </c>
      <c r="E5254" s="8" t="n">
        <v>0.0827004219409283</v>
      </c>
      <c r="F5254" s="4" t="n">
        <f aca="false">D5254*E5254</f>
        <v>19.6</v>
      </c>
      <c r="G5254" s="7" t="n">
        <v>5</v>
      </c>
      <c r="H5254" s="9" t="n">
        <f aca="false">IF(G5254&gt;0,D5254/G5254,"")</f>
        <v>47.4</v>
      </c>
      <c r="I5254" s="10" t="n">
        <v>46073</v>
      </c>
      <c r="J5254" s="3" t="s">
        <v>2780</v>
      </c>
      <c r="K5254" s="10" t="n">
        <v>46043</v>
      </c>
      <c r="L5254" s="3" t="s">
        <v>16</v>
      </c>
      <c r="M5254" s="7" t="n">
        <v>242</v>
      </c>
      <c r="N5254" s="8" t="n">
        <v>0.0827</v>
      </c>
      <c r="O5254" s="4" t="n">
        <f aca="false">M5254*N5254</f>
        <v>20.0134</v>
      </c>
    </row>
    <row r="5255" customFormat="false" ht="15" hidden="false" customHeight="false" outlineLevel="0" collapsed="false">
      <c r="A5255" s="0" t="s">
        <v>6984</v>
      </c>
      <c r="C5255" s="0" t="s">
        <v>31</v>
      </c>
      <c r="D5255" s="7" t="n">
        <v>137</v>
      </c>
      <c r="E5255" s="8" t="n">
        <v>0.142992700729927</v>
      </c>
      <c r="F5255" s="4" t="n">
        <f aca="false">D5255*E5255</f>
        <v>19.59</v>
      </c>
      <c r="G5255" s="7" t="n">
        <v>107</v>
      </c>
      <c r="H5255" s="9" t="n">
        <f aca="false">IF(G5255&gt;0,D5255/G5255,"")</f>
        <v>1.2803738317757</v>
      </c>
      <c r="I5255" s="10" t="n">
        <v>46218</v>
      </c>
      <c r="J5255" s="3" t="s">
        <v>347</v>
      </c>
      <c r="K5255" s="10" t="n">
        <v>46210</v>
      </c>
      <c r="L5255" s="3" t="s">
        <v>14</v>
      </c>
      <c r="M5255" s="7" t="n">
        <v>169</v>
      </c>
      <c r="N5255" s="8" t="n">
        <v>0.1489</v>
      </c>
      <c r="O5255" s="4" t="n">
        <f aca="false">M5255*N5255</f>
        <v>25.1641</v>
      </c>
    </row>
    <row r="5256" customFormat="false" ht="15" hidden="false" customHeight="false" outlineLevel="0" collapsed="false">
      <c r="A5256" s="0" t="s">
        <v>6985</v>
      </c>
      <c r="C5256" s="0" t="s">
        <v>4363</v>
      </c>
      <c r="D5256" s="7" t="n">
        <v>5</v>
      </c>
      <c r="E5256" s="8" t="n">
        <v>3.91</v>
      </c>
      <c r="F5256" s="4" t="n">
        <f aca="false">D5256*E5256</f>
        <v>19.55</v>
      </c>
      <c r="G5256" s="7" t="n">
        <v>5</v>
      </c>
      <c r="H5256" s="9" t="n">
        <f aca="false">IF(G5256&gt;0,D5256/G5256,"")</f>
        <v>1</v>
      </c>
      <c r="I5256" s="10" t="n">
        <v>46259</v>
      </c>
      <c r="J5256" s="3" t="s">
        <v>6986</v>
      </c>
      <c r="K5256" s="10" t="n">
        <v>46259</v>
      </c>
      <c r="L5256" s="3" t="s">
        <v>4365</v>
      </c>
      <c r="M5256" s="7" t="n">
        <v>5</v>
      </c>
      <c r="N5256" s="8" t="n">
        <v>3.91</v>
      </c>
      <c r="O5256" s="4" t="n">
        <f aca="false">M5256*N5256</f>
        <v>19.55</v>
      </c>
    </row>
    <row r="5257" customFormat="false" ht="15" hidden="false" customHeight="false" outlineLevel="0" collapsed="false">
      <c r="A5257" s="0" t="s">
        <v>6987</v>
      </c>
      <c r="C5257" s="0" t="s">
        <v>855</v>
      </c>
      <c r="D5257" s="7" t="n">
        <v>347</v>
      </c>
      <c r="E5257" s="8" t="n">
        <v>0.0562824207492795</v>
      </c>
      <c r="F5257" s="4" t="n">
        <f aca="false">D5257*E5257</f>
        <v>19.53</v>
      </c>
      <c r="G5257" s="7" t="n">
        <v>4</v>
      </c>
      <c r="H5257" s="9" t="n">
        <f aca="false">IF(G5257&gt;0,D5257/G5257,"")</f>
        <v>86.75</v>
      </c>
      <c r="I5257" s="10" t="n">
        <v>46104</v>
      </c>
      <c r="K5257" s="10"/>
      <c r="M5257" s="7"/>
      <c r="N5257" s="8"/>
      <c r="O5257" s="4"/>
    </row>
    <row r="5258" customFormat="false" ht="15" hidden="false" customHeight="false" outlineLevel="0" collapsed="false">
      <c r="A5258" s="0" t="s">
        <v>6988</v>
      </c>
      <c r="C5258" s="0" t="s">
        <v>31</v>
      </c>
      <c r="D5258" s="7" t="n">
        <v>646</v>
      </c>
      <c r="E5258" s="8" t="n">
        <v>0.0302321981424149</v>
      </c>
      <c r="F5258" s="4" t="n">
        <f aca="false">D5258*E5258</f>
        <v>19.53</v>
      </c>
      <c r="G5258" s="7" t="n">
        <v>32</v>
      </c>
      <c r="H5258" s="9" t="n">
        <f aca="false">IF(G5258&gt;0,D5258/G5258,"")</f>
        <v>20.1875</v>
      </c>
      <c r="I5258" s="10" t="n">
        <v>46084</v>
      </c>
      <c r="J5258" s="3" t="s">
        <v>2385</v>
      </c>
      <c r="K5258" s="10" t="n">
        <v>45629</v>
      </c>
      <c r="L5258" s="3" t="s">
        <v>16</v>
      </c>
      <c r="M5258" s="7" t="n">
        <v>665</v>
      </c>
      <c r="N5258" s="8" t="n">
        <v>0.0301</v>
      </c>
      <c r="O5258" s="4" t="n">
        <f aca="false">M5258*N5258</f>
        <v>20.0165</v>
      </c>
    </row>
    <row r="5259" customFormat="false" ht="15" hidden="false" customHeight="false" outlineLevel="0" collapsed="false">
      <c r="A5259" s="0" t="s">
        <v>6989</v>
      </c>
      <c r="C5259" s="0" t="s">
        <v>855</v>
      </c>
      <c r="D5259" s="7" t="n">
        <v>223</v>
      </c>
      <c r="E5259" s="8" t="n">
        <v>0.0875336322869955</v>
      </c>
      <c r="F5259" s="4" t="n">
        <f aca="false">D5259*E5259</f>
        <v>19.52</v>
      </c>
      <c r="G5259" s="7" t="n">
        <v>2</v>
      </c>
      <c r="H5259" s="9" t="n">
        <f aca="false">IF(G5259&gt;0,D5259/G5259,"")</f>
        <v>111.5</v>
      </c>
      <c r="I5259" s="10" t="n">
        <v>46041</v>
      </c>
      <c r="J5259" s="3" t="s">
        <v>6990</v>
      </c>
      <c r="K5259" s="10" t="n">
        <v>44259</v>
      </c>
      <c r="L5259" s="3" t="s">
        <v>19</v>
      </c>
      <c r="M5259" s="7" t="n">
        <v>250</v>
      </c>
      <c r="N5259" s="8" t="n">
        <v>0.0876</v>
      </c>
      <c r="O5259" s="4" t="n">
        <f aca="false">M5259*N5259</f>
        <v>21.9</v>
      </c>
    </row>
    <row r="5260" customFormat="false" ht="15" hidden="false" customHeight="false" outlineLevel="0" collapsed="false">
      <c r="A5260" s="0" t="s">
        <v>6991</v>
      </c>
      <c r="C5260" s="0" t="s">
        <v>1010</v>
      </c>
      <c r="D5260" s="7" t="n">
        <v>200</v>
      </c>
      <c r="E5260" s="8" t="n">
        <v>0.09755</v>
      </c>
      <c r="F5260" s="4" t="n">
        <f aca="false">D5260*E5260</f>
        <v>19.51</v>
      </c>
      <c r="G5260" s="7" t="n">
        <v>5</v>
      </c>
      <c r="H5260" s="9" t="n">
        <f aca="false">IF(G5260&gt;0,D5260/G5260,"")</f>
        <v>40</v>
      </c>
      <c r="I5260" s="10" t="n">
        <v>46195</v>
      </c>
      <c r="J5260" s="3" t="s">
        <v>2502</v>
      </c>
      <c r="K5260" s="10" t="n">
        <v>46175</v>
      </c>
      <c r="L5260" s="3" t="s">
        <v>16</v>
      </c>
      <c r="M5260" s="7" t="n">
        <v>205</v>
      </c>
      <c r="N5260" s="8" t="n">
        <v>0.09756097</v>
      </c>
      <c r="O5260" s="4" t="n">
        <f aca="false">M5260*N5260</f>
        <v>19.99999885</v>
      </c>
    </row>
    <row r="5261" customFormat="false" ht="15" hidden="false" customHeight="false" outlineLevel="0" collapsed="false">
      <c r="A5261" s="0" t="s">
        <v>6992</v>
      </c>
      <c r="C5261" s="0" t="s">
        <v>34</v>
      </c>
      <c r="D5261" s="7" t="n">
        <v>485</v>
      </c>
      <c r="E5261" s="8" t="n">
        <v>0.0401649484536083</v>
      </c>
      <c r="F5261" s="4" t="n">
        <f aca="false">D5261*E5261</f>
        <v>19.48</v>
      </c>
      <c r="G5261" s="7" t="n">
        <v>20</v>
      </c>
      <c r="H5261" s="9" t="n">
        <f aca="false">IF(G5261&gt;0,D5261/G5261,"")</f>
        <v>24.25</v>
      </c>
      <c r="I5261" s="10" t="n">
        <v>46073</v>
      </c>
      <c r="J5261" s="3" t="s">
        <v>2719</v>
      </c>
      <c r="K5261" s="10" t="n">
        <v>46049</v>
      </c>
      <c r="L5261" s="3" t="s">
        <v>16</v>
      </c>
      <c r="M5261" s="7" t="n">
        <v>500</v>
      </c>
      <c r="N5261" s="8" t="n">
        <v>0.04</v>
      </c>
      <c r="O5261" s="4" t="n">
        <f aca="false">M5261*N5261</f>
        <v>20</v>
      </c>
    </row>
    <row r="5262" customFormat="false" ht="15" hidden="false" customHeight="false" outlineLevel="0" collapsed="false">
      <c r="A5262" s="0" t="s">
        <v>6993</v>
      </c>
      <c r="C5262" s="0" t="s">
        <v>40</v>
      </c>
      <c r="D5262" s="7" t="n">
        <v>18</v>
      </c>
      <c r="E5262" s="8" t="n">
        <v>1.08111111111111</v>
      </c>
      <c r="F5262" s="4" t="n">
        <f aca="false">D5262*E5262</f>
        <v>19.46</v>
      </c>
      <c r="G5262" s="7" t="n">
        <v>7</v>
      </c>
      <c r="H5262" s="9" t="n">
        <f aca="false">IF(G5262&gt;0,D5262/G5262,"")</f>
        <v>2.57142857142857</v>
      </c>
      <c r="I5262" s="10" t="n">
        <v>46211</v>
      </c>
      <c r="J5262" s="3" t="s">
        <v>1078</v>
      </c>
      <c r="K5262" s="10" t="n">
        <v>46199</v>
      </c>
      <c r="L5262" s="3" t="s">
        <v>18</v>
      </c>
      <c r="M5262" s="7" t="n">
        <v>25</v>
      </c>
      <c r="N5262" s="8" t="n">
        <v>1.0811</v>
      </c>
      <c r="O5262" s="4" t="n">
        <f aca="false">M5262*N5262</f>
        <v>27.0275</v>
      </c>
    </row>
    <row r="5263" customFormat="false" ht="15" hidden="false" customHeight="false" outlineLevel="0" collapsed="false">
      <c r="A5263" s="0" t="s">
        <v>6994</v>
      </c>
      <c r="C5263" s="0" t="s">
        <v>1101</v>
      </c>
      <c r="D5263" s="7" t="n">
        <v>5</v>
      </c>
      <c r="E5263" s="8" t="n">
        <v>3.89</v>
      </c>
      <c r="F5263" s="4" t="n">
        <f aca="false">D5263*E5263</f>
        <v>19.45</v>
      </c>
      <c r="G5263" s="7" t="n">
        <v>5</v>
      </c>
      <c r="H5263" s="9" t="n">
        <f aca="false">IF(G5263&gt;0,D5263/G5263,"")</f>
        <v>1</v>
      </c>
      <c r="I5263" s="10" t="n">
        <v>46178</v>
      </c>
      <c r="J5263" s="3" t="s">
        <v>6995</v>
      </c>
      <c r="K5263" s="10" t="n">
        <v>45325</v>
      </c>
      <c r="L5263" s="3" t="s">
        <v>1103</v>
      </c>
      <c r="M5263" s="7" t="n">
        <v>25</v>
      </c>
      <c r="N5263" s="8" t="n">
        <v>3.89</v>
      </c>
      <c r="O5263" s="4" t="n">
        <f aca="false">M5263*N5263</f>
        <v>97.25</v>
      </c>
    </row>
    <row r="5264" customFormat="false" ht="15" hidden="false" customHeight="false" outlineLevel="0" collapsed="false">
      <c r="A5264" s="0" t="s">
        <v>6996</v>
      </c>
      <c r="C5264" s="0" t="s">
        <v>34</v>
      </c>
      <c r="D5264" s="7" t="n">
        <v>485</v>
      </c>
      <c r="E5264" s="8" t="n">
        <v>0.0401030927835052</v>
      </c>
      <c r="F5264" s="4" t="n">
        <f aca="false">D5264*E5264</f>
        <v>19.45</v>
      </c>
      <c r="G5264" s="7" t="n">
        <v>15</v>
      </c>
      <c r="H5264" s="9" t="n">
        <f aca="false">IF(G5264&gt;0,D5264/G5264,"")</f>
        <v>32.3333333333333</v>
      </c>
      <c r="I5264" s="10" t="n">
        <v>46286</v>
      </c>
      <c r="J5264" s="3" t="s">
        <v>628</v>
      </c>
      <c r="K5264" s="10" t="n">
        <v>46128</v>
      </c>
      <c r="L5264" s="3" t="s">
        <v>16</v>
      </c>
      <c r="M5264" s="7" t="n">
        <v>500</v>
      </c>
      <c r="N5264" s="8" t="n">
        <v>0.0401</v>
      </c>
      <c r="O5264" s="4" t="n">
        <f aca="false">M5264*N5264</f>
        <v>20.05</v>
      </c>
    </row>
    <row r="5265" customFormat="false" ht="15" hidden="false" customHeight="false" outlineLevel="0" collapsed="false">
      <c r="A5265" s="0" t="s">
        <v>6997</v>
      </c>
      <c r="D5265" s="7" t="n">
        <v>36</v>
      </c>
      <c r="E5265" s="8" t="n">
        <v>0.54</v>
      </c>
      <c r="F5265" s="4" t="n">
        <f aca="false">D5265*E5265</f>
        <v>19.44</v>
      </c>
      <c r="G5265" s="7" t="n">
        <v>12</v>
      </c>
      <c r="H5265" s="9" t="n">
        <f aca="false">IF(G5265&gt;0,D5265/G5265,"")</f>
        <v>3</v>
      </c>
      <c r="I5265" s="10" t="n">
        <v>46147</v>
      </c>
      <c r="K5265" s="10"/>
      <c r="M5265" s="7"/>
      <c r="N5265" s="8"/>
      <c r="O5265" s="4"/>
    </row>
    <row r="5266" customFormat="false" ht="15" hidden="false" customHeight="false" outlineLevel="0" collapsed="false">
      <c r="A5266" s="0" t="s">
        <v>6998</v>
      </c>
      <c r="C5266" s="0" t="s">
        <v>1039</v>
      </c>
      <c r="D5266" s="7" t="n">
        <v>200</v>
      </c>
      <c r="E5266" s="8" t="n">
        <v>0.0972</v>
      </c>
      <c r="F5266" s="4" t="n">
        <f aca="false">D5266*E5266</f>
        <v>19.44</v>
      </c>
      <c r="G5266" s="7" t="n">
        <v>46</v>
      </c>
      <c r="H5266" s="9" t="n">
        <f aca="false">IF(G5266&gt;0,D5266/G5266,"")</f>
        <v>4.34782608695652</v>
      </c>
      <c r="I5266" s="10" t="n">
        <v>46190</v>
      </c>
      <c r="J5266" s="3" t="s">
        <v>5119</v>
      </c>
      <c r="K5266" s="10" t="n">
        <v>46164</v>
      </c>
      <c r="L5266" s="3" t="s">
        <v>16</v>
      </c>
      <c r="M5266" s="7" t="n">
        <v>215</v>
      </c>
      <c r="N5266" s="8" t="n">
        <v>0.0972</v>
      </c>
      <c r="O5266" s="4" t="n">
        <f aca="false">M5266*N5266</f>
        <v>20.898</v>
      </c>
    </row>
    <row r="5267" customFormat="false" ht="15" hidden="false" customHeight="false" outlineLevel="0" collapsed="false">
      <c r="A5267" s="0" t="s">
        <v>6999</v>
      </c>
      <c r="C5267" s="0" t="s">
        <v>31</v>
      </c>
      <c r="D5267" s="7" t="n">
        <v>150</v>
      </c>
      <c r="E5267" s="8" t="n">
        <v>0.1296</v>
      </c>
      <c r="F5267" s="4" t="n">
        <f aca="false">D5267*E5267</f>
        <v>19.44</v>
      </c>
      <c r="G5267" s="7" t="n">
        <v>20</v>
      </c>
      <c r="H5267" s="9" t="n">
        <f aca="false">IF(G5267&gt;0,D5267/G5267,"")</f>
        <v>7.5</v>
      </c>
      <c r="I5267" s="10" t="n">
        <v>46118</v>
      </c>
      <c r="J5267" s="3" t="s">
        <v>1023</v>
      </c>
      <c r="K5267" s="10" t="n">
        <v>44666</v>
      </c>
      <c r="L5267" s="3" t="s">
        <v>25</v>
      </c>
      <c r="M5267" s="7" t="n">
        <v>1006</v>
      </c>
      <c r="N5267" s="8" t="n">
        <v>0.135</v>
      </c>
      <c r="O5267" s="4" t="n">
        <v>135</v>
      </c>
    </row>
    <row r="5268" customFormat="false" ht="15" hidden="false" customHeight="false" outlineLevel="0" collapsed="false">
      <c r="A5268" s="0" t="s">
        <v>7000</v>
      </c>
      <c r="C5268" s="0" t="s">
        <v>31</v>
      </c>
      <c r="D5268" s="7" t="n">
        <v>148</v>
      </c>
      <c r="E5268" s="8" t="n">
        <v>0.131351351351351</v>
      </c>
      <c r="F5268" s="4" t="n">
        <f aca="false">D5268*E5268</f>
        <v>19.44</v>
      </c>
      <c r="G5268" s="7" t="n">
        <v>32</v>
      </c>
      <c r="H5268" s="9" t="n">
        <f aca="false">IF(G5268&gt;0,D5268/G5268,"")</f>
        <v>4.625</v>
      </c>
      <c r="I5268" s="10" t="n">
        <v>46107</v>
      </c>
      <c r="J5268" s="3" t="s">
        <v>6366</v>
      </c>
      <c r="K5268" s="10" t="n">
        <v>44274</v>
      </c>
      <c r="L5268" s="3" t="s">
        <v>19</v>
      </c>
      <c r="M5268" s="7" t="n">
        <v>250</v>
      </c>
      <c r="N5268" s="8" t="n">
        <v>0.1313</v>
      </c>
      <c r="O5268" s="4" t="n">
        <f aca="false">M5268*N5268</f>
        <v>32.825</v>
      </c>
    </row>
    <row r="5269" customFormat="false" ht="15" hidden="false" customHeight="false" outlineLevel="0" collapsed="false">
      <c r="A5269" s="0" t="s">
        <v>7001</v>
      </c>
      <c r="C5269" s="0" t="s">
        <v>34</v>
      </c>
      <c r="D5269" s="7" t="n">
        <v>68</v>
      </c>
      <c r="E5269" s="8" t="n">
        <v>0.285735294117647</v>
      </c>
      <c r="F5269" s="4" t="n">
        <f aca="false">D5269*E5269</f>
        <v>19.43</v>
      </c>
      <c r="G5269" s="7" t="n">
        <v>2</v>
      </c>
      <c r="H5269" s="9" t="n">
        <f aca="false">IF(G5269&gt;0,D5269/G5269,"")</f>
        <v>34</v>
      </c>
      <c r="I5269" s="10" t="n">
        <v>46150</v>
      </c>
      <c r="J5269" s="3" t="s">
        <v>570</v>
      </c>
      <c r="K5269" s="10" t="n">
        <v>46106</v>
      </c>
      <c r="L5269" s="3" t="s">
        <v>16</v>
      </c>
      <c r="M5269" s="7" t="n">
        <v>70</v>
      </c>
      <c r="N5269" s="8" t="n">
        <v>0.285714</v>
      </c>
      <c r="O5269" s="4" t="n">
        <f aca="false">M5269*N5269</f>
        <v>19.99998</v>
      </c>
    </row>
    <row r="5270" customFormat="false" ht="15" hidden="false" customHeight="false" outlineLevel="0" collapsed="false">
      <c r="A5270" s="0" t="s">
        <v>7002</v>
      </c>
      <c r="D5270" s="7" t="n">
        <v>460</v>
      </c>
      <c r="E5270" s="8" t="n">
        <v>0.0421086956521739</v>
      </c>
      <c r="F5270" s="4" t="n">
        <f aca="false">D5270*E5270</f>
        <v>19.37</v>
      </c>
      <c r="G5270" s="7" t="n">
        <v>40</v>
      </c>
      <c r="H5270" s="9" t="n">
        <f aca="false">IF(G5270&gt;0,D5270/G5270,"")</f>
        <v>11.5</v>
      </c>
      <c r="I5270" s="10" t="n">
        <v>46091</v>
      </c>
      <c r="J5270" s="3" t="s">
        <v>90</v>
      </c>
      <c r="K5270" s="10" t="n">
        <v>46055</v>
      </c>
      <c r="L5270" s="3" t="s">
        <v>16</v>
      </c>
      <c r="M5270" s="7" t="n">
        <v>500</v>
      </c>
      <c r="N5270" s="8" t="n">
        <v>0.0421</v>
      </c>
      <c r="O5270" s="4" t="n">
        <f aca="false">M5270*N5270</f>
        <v>21.05</v>
      </c>
    </row>
    <row r="5271" customFormat="false" ht="15" hidden="false" customHeight="false" outlineLevel="0" collapsed="false">
      <c r="A5271" s="0" t="s">
        <v>7003</v>
      </c>
      <c r="C5271" s="0" t="s">
        <v>462</v>
      </c>
      <c r="D5271" s="7" t="n">
        <v>548</v>
      </c>
      <c r="E5271" s="8" t="n">
        <v>0.0353102189781022</v>
      </c>
      <c r="F5271" s="4" t="n">
        <f aca="false">D5271*E5271</f>
        <v>19.35</v>
      </c>
      <c r="G5271" s="7" t="n">
        <v>144</v>
      </c>
      <c r="H5271" s="9" t="n">
        <f aca="false">IF(G5271&gt;0,D5271/G5271,"")</f>
        <v>3.80555555555556</v>
      </c>
      <c r="I5271" s="10" t="n">
        <v>46314</v>
      </c>
      <c r="J5271" s="3" t="s">
        <v>7004</v>
      </c>
      <c r="K5271" s="10" t="n">
        <v>44729</v>
      </c>
      <c r="L5271" s="3" t="s">
        <v>16</v>
      </c>
      <c r="M5271" s="7" t="n">
        <v>982</v>
      </c>
      <c r="N5271" s="8" t="n">
        <v>0.0353</v>
      </c>
      <c r="O5271" s="4" t="n">
        <f aca="false">M5271*N5271</f>
        <v>34.6646</v>
      </c>
    </row>
    <row r="5272" customFormat="false" ht="15" hidden="false" customHeight="false" outlineLevel="0" collapsed="false">
      <c r="A5272" s="0" t="s">
        <v>7005</v>
      </c>
      <c r="C5272" s="0" t="s">
        <v>34</v>
      </c>
      <c r="D5272" s="7" t="n">
        <v>956</v>
      </c>
      <c r="E5272" s="8" t="n">
        <v>0.0202092050209205</v>
      </c>
      <c r="F5272" s="4" t="n">
        <f aca="false">D5272*E5272</f>
        <v>19.32</v>
      </c>
      <c r="G5272" s="7" t="n">
        <v>770</v>
      </c>
      <c r="H5272" s="9" t="n">
        <f aca="false">IF(G5272&gt;0,D5272/G5272,"")</f>
        <v>1.24155844155844</v>
      </c>
      <c r="I5272" s="10" t="n">
        <v>46258</v>
      </c>
      <c r="J5272" s="3" t="s">
        <v>410</v>
      </c>
      <c r="K5272" s="10" t="n">
        <v>46303</v>
      </c>
      <c r="L5272" s="3" t="s">
        <v>16</v>
      </c>
      <c r="M5272" s="7" t="n">
        <v>7500</v>
      </c>
      <c r="N5272" s="8" t="n">
        <v>0.0202</v>
      </c>
      <c r="O5272" s="4" t="n">
        <f aca="false">M5272*N5272</f>
        <v>151.5</v>
      </c>
    </row>
    <row r="5273" customFormat="false" ht="15" hidden="false" customHeight="false" outlineLevel="0" collapsed="false">
      <c r="A5273" s="0" t="s">
        <v>7006</v>
      </c>
      <c r="C5273" s="0" t="s">
        <v>1039</v>
      </c>
      <c r="D5273" s="7" t="n">
        <v>2858</v>
      </c>
      <c r="E5273" s="8" t="n">
        <v>0.00675997200839748</v>
      </c>
      <c r="F5273" s="4" t="n">
        <f aca="false">D5273*E5273</f>
        <v>19.32</v>
      </c>
      <c r="G5273" s="7" t="n">
        <v>647</v>
      </c>
      <c r="H5273" s="9" t="n">
        <f aca="false">IF(G5273&gt;0,D5273/G5273,"")</f>
        <v>4.41731066460587</v>
      </c>
      <c r="I5273" s="10" t="n">
        <v>46280</v>
      </c>
      <c r="J5273" s="3" t="s">
        <v>478</v>
      </c>
      <c r="K5273" s="10" t="n">
        <v>46185</v>
      </c>
      <c r="L5273" s="3" t="s">
        <v>16</v>
      </c>
      <c r="M5273" s="7" t="n">
        <v>2958</v>
      </c>
      <c r="N5273" s="8" t="n">
        <v>0.006761</v>
      </c>
      <c r="O5273" s="4" t="n">
        <f aca="false">M5273*N5273</f>
        <v>19.999038</v>
      </c>
    </row>
    <row r="5274" customFormat="false" ht="15" hidden="false" customHeight="false" outlineLevel="0" collapsed="false">
      <c r="A5274" s="0" t="s">
        <v>7007</v>
      </c>
      <c r="C5274" s="0" t="s">
        <v>31</v>
      </c>
      <c r="D5274" s="7" t="n">
        <v>7490</v>
      </c>
      <c r="E5274" s="8" t="n">
        <v>0.00257943925233645</v>
      </c>
      <c r="F5274" s="4" t="n">
        <f aca="false">D5274*E5274</f>
        <v>19.32</v>
      </c>
      <c r="G5274" s="7" t="n">
        <v>1005</v>
      </c>
      <c r="H5274" s="9" t="n">
        <f aca="false">IF(G5274&gt;0,D5274/G5274,"")</f>
        <v>7.45273631840796</v>
      </c>
      <c r="I5274" s="10" t="n">
        <v>46266</v>
      </c>
      <c r="J5274" s="3" t="s">
        <v>2263</v>
      </c>
      <c r="K5274" s="10" t="n">
        <v>45630</v>
      </c>
      <c r="L5274" s="3" t="s">
        <v>15</v>
      </c>
      <c r="M5274" s="7" t="n">
        <v>8740</v>
      </c>
      <c r="N5274" s="8" t="n">
        <v>0.00258</v>
      </c>
      <c r="O5274" s="4" t="n">
        <f aca="false">M5274*N5274</f>
        <v>22.5492</v>
      </c>
    </row>
    <row r="5275" customFormat="false" ht="15" hidden="false" customHeight="false" outlineLevel="0" collapsed="false">
      <c r="A5275" s="0" t="s">
        <v>7008</v>
      </c>
      <c r="C5275" s="0" t="s">
        <v>35</v>
      </c>
      <c r="D5275" s="7" t="n">
        <v>76</v>
      </c>
      <c r="E5275" s="8" t="n">
        <v>0.253947368421053</v>
      </c>
      <c r="F5275" s="4" t="n">
        <f aca="false">D5275*E5275</f>
        <v>19.3</v>
      </c>
      <c r="G5275" s="7" t="n">
        <v>2</v>
      </c>
      <c r="H5275" s="9" t="n">
        <f aca="false">IF(G5275&gt;0,D5275/G5275,"")</f>
        <v>38</v>
      </c>
      <c r="I5275" s="10" t="n">
        <v>46209</v>
      </c>
      <c r="J5275" s="3" t="s">
        <v>1349</v>
      </c>
      <c r="K5275" s="10" t="n">
        <v>44215</v>
      </c>
      <c r="L5275" s="3" t="s">
        <v>20</v>
      </c>
      <c r="M5275" s="7" t="n">
        <v>345</v>
      </c>
      <c r="N5275" s="8" t="n">
        <v>0.254</v>
      </c>
      <c r="O5275" s="4" t="n">
        <v>85.53</v>
      </c>
    </row>
    <row r="5276" customFormat="false" ht="15" hidden="false" customHeight="false" outlineLevel="0" collapsed="false">
      <c r="A5276" s="0" t="s">
        <v>7009</v>
      </c>
      <c r="C5276" s="0" t="s">
        <v>31</v>
      </c>
      <c r="D5276" s="7" t="n">
        <v>286</v>
      </c>
      <c r="E5276" s="8" t="n">
        <v>0.0674825174825175</v>
      </c>
      <c r="F5276" s="4" t="n">
        <f aca="false">D5276*E5276</f>
        <v>19.3</v>
      </c>
      <c r="G5276" s="7" t="n">
        <v>28</v>
      </c>
      <c r="H5276" s="9" t="n">
        <f aca="false">IF(G5276&gt;0,D5276/G5276,"")</f>
        <v>10.2142857142857</v>
      </c>
      <c r="I5276" s="10" t="n">
        <v>46044</v>
      </c>
      <c r="K5276" s="10"/>
      <c r="M5276" s="7"/>
      <c r="N5276" s="8"/>
      <c r="O5276" s="4"/>
    </row>
    <row r="5277" customFormat="false" ht="15" hidden="false" customHeight="false" outlineLevel="0" collapsed="false">
      <c r="A5277" s="0" t="s">
        <v>7010</v>
      </c>
      <c r="C5277" s="0" t="s">
        <v>31</v>
      </c>
      <c r="D5277" s="7" t="n">
        <v>173</v>
      </c>
      <c r="E5277" s="8" t="n">
        <v>0.11150289017341</v>
      </c>
      <c r="F5277" s="4" t="n">
        <f aca="false">D5277*E5277</f>
        <v>19.29</v>
      </c>
      <c r="G5277" s="7" t="n">
        <v>46</v>
      </c>
      <c r="H5277" s="9" t="n">
        <f aca="false">IF(G5277&gt;0,D5277/G5277,"")</f>
        <v>3.76086956521739</v>
      </c>
      <c r="I5277" s="10" t="n">
        <v>46177</v>
      </c>
      <c r="J5277" s="3" t="s">
        <v>7011</v>
      </c>
      <c r="K5277" s="10" t="n">
        <v>45805</v>
      </c>
      <c r="L5277" s="3" t="s">
        <v>19</v>
      </c>
      <c r="M5277" s="7" t="n">
        <v>250</v>
      </c>
      <c r="N5277" s="8" t="n">
        <v>0.1115</v>
      </c>
      <c r="O5277" s="4" t="n">
        <f aca="false">M5277*N5277</f>
        <v>27.875</v>
      </c>
    </row>
    <row r="5278" customFormat="false" ht="15" hidden="false" customHeight="false" outlineLevel="0" collapsed="false">
      <c r="A5278" s="0" t="s">
        <v>7012</v>
      </c>
      <c r="C5278" s="0" t="s">
        <v>1039</v>
      </c>
      <c r="D5278" s="7" t="n">
        <v>1589</v>
      </c>
      <c r="E5278" s="8" t="n">
        <v>0.0121082441787288</v>
      </c>
      <c r="F5278" s="4" t="n">
        <f aca="false">D5278*E5278</f>
        <v>19.24</v>
      </c>
      <c r="G5278" s="7" t="n">
        <v>380</v>
      </c>
      <c r="H5278" s="9" t="n">
        <f aca="false">IF(G5278&gt;0,D5278/G5278,"")</f>
        <v>4.18157894736842</v>
      </c>
      <c r="I5278" s="10" t="n">
        <v>46174</v>
      </c>
      <c r="J5278" s="3" t="s">
        <v>7011</v>
      </c>
      <c r="K5278" s="10" t="n">
        <v>45805</v>
      </c>
      <c r="L5278" s="3" t="s">
        <v>19</v>
      </c>
      <c r="M5278" s="7" t="n">
        <v>2500</v>
      </c>
      <c r="N5278" s="8" t="n">
        <v>0.0121</v>
      </c>
      <c r="O5278" s="4" t="n">
        <f aca="false">M5278*N5278</f>
        <v>30.25</v>
      </c>
    </row>
    <row r="5279" customFormat="false" ht="15" hidden="false" customHeight="false" outlineLevel="0" collapsed="false">
      <c r="A5279" s="0" t="s">
        <v>7013</v>
      </c>
      <c r="C5279" s="0" t="s">
        <v>41</v>
      </c>
      <c r="D5279" s="7" t="n">
        <v>2396</v>
      </c>
      <c r="E5279" s="8" t="n">
        <v>0.00802170283806344</v>
      </c>
      <c r="F5279" s="4" t="n">
        <f aca="false">D5279*E5279</f>
        <v>19.22</v>
      </c>
      <c r="G5279" s="7" t="n">
        <v>330</v>
      </c>
      <c r="H5279" s="9" t="n">
        <f aca="false">IF(G5279&gt;0,D5279/G5279,"")</f>
        <v>7.26060606060606</v>
      </c>
      <c r="I5279" s="10" t="n">
        <v>46279</v>
      </c>
      <c r="J5279" s="3" t="s">
        <v>4805</v>
      </c>
      <c r="K5279" s="10" t="n">
        <v>44608</v>
      </c>
      <c r="L5279" s="3" t="s">
        <v>15</v>
      </c>
      <c r="M5279" s="7" t="n">
        <v>3690</v>
      </c>
      <c r="N5279" s="8" t="n">
        <v>0</v>
      </c>
      <c r="O5279" s="4" t="n">
        <v>29.784</v>
      </c>
    </row>
    <row r="5280" customFormat="false" ht="15" hidden="false" customHeight="false" outlineLevel="0" collapsed="false">
      <c r="A5280" s="0" t="s">
        <v>7014</v>
      </c>
      <c r="C5280" s="0" t="s">
        <v>765</v>
      </c>
      <c r="D5280" s="7" t="n">
        <v>23</v>
      </c>
      <c r="E5280" s="8" t="n">
        <v>0.835217391304348</v>
      </c>
      <c r="F5280" s="4" t="n">
        <f aca="false">D5280*E5280</f>
        <v>19.21</v>
      </c>
      <c r="G5280" s="7" t="n">
        <v>3</v>
      </c>
      <c r="H5280" s="9" t="n">
        <f aca="false">IF(G5280&gt;0,D5280/G5280,"")</f>
        <v>7.66666666666667</v>
      </c>
      <c r="I5280" s="10" t="n">
        <v>46150</v>
      </c>
      <c r="J5280" s="3" t="s">
        <v>4419</v>
      </c>
      <c r="K5280" s="10" t="n">
        <v>46141</v>
      </c>
      <c r="L5280" s="3" t="s">
        <v>14</v>
      </c>
      <c r="M5280" s="7" t="n">
        <v>25</v>
      </c>
      <c r="N5280" s="8" t="n">
        <v>0.8352</v>
      </c>
      <c r="O5280" s="4" t="n">
        <f aca="false">M5280*N5280</f>
        <v>20.88</v>
      </c>
    </row>
    <row r="5281" customFormat="false" ht="15" hidden="false" customHeight="false" outlineLevel="0" collapsed="false">
      <c r="A5281" s="0" t="s">
        <v>7015</v>
      </c>
      <c r="C5281" s="0" t="s">
        <v>1039</v>
      </c>
      <c r="D5281" s="7" t="n">
        <v>131</v>
      </c>
      <c r="E5281" s="8" t="n">
        <v>0.146564885496183</v>
      </c>
      <c r="F5281" s="4" t="n">
        <f aca="false">D5281*E5281</f>
        <v>19.2</v>
      </c>
      <c r="G5281" s="7" t="n">
        <v>10</v>
      </c>
      <c r="H5281" s="9" t="n">
        <f aca="false">IF(G5281&gt;0,D5281/G5281,"")</f>
        <v>13.1</v>
      </c>
      <c r="I5281" s="10" t="n">
        <v>46210</v>
      </c>
      <c r="K5281" s="10"/>
      <c r="M5281" s="7"/>
      <c r="N5281" s="8"/>
      <c r="O5281" s="4"/>
    </row>
    <row r="5282" customFormat="false" ht="15" hidden="false" customHeight="false" outlineLevel="0" collapsed="false">
      <c r="A5282" s="0" t="s">
        <v>7016</v>
      </c>
      <c r="C5282" s="0" t="s">
        <v>765</v>
      </c>
      <c r="D5282" s="7" t="n">
        <v>482</v>
      </c>
      <c r="E5282" s="8" t="n">
        <v>0.0398132780082988</v>
      </c>
      <c r="F5282" s="4" t="n">
        <f aca="false">D5282*E5282</f>
        <v>19.19</v>
      </c>
      <c r="G5282" s="7" t="n">
        <v>24</v>
      </c>
      <c r="H5282" s="9" t="n">
        <f aca="false">IF(G5282&gt;0,D5282/G5282,"")</f>
        <v>20.0833333333333</v>
      </c>
      <c r="I5282" s="10" t="n">
        <v>46006</v>
      </c>
      <c r="K5282" s="10"/>
      <c r="M5282" s="7"/>
      <c r="N5282" s="8"/>
      <c r="O5282" s="4"/>
    </row>
    <row r="5283" customFormat="false" ht="15" hidden="false" customHeight="false" outlineLevel="0" collapsed="false">
      <c r="A5283" s="0" t="s">
        <v>7017</v>
      </c>
      <c r="C5283" s="0" t="s">
        <v>34</v>
      </c>
      <c r="D5283" s="7" t="n">
        <v>884</v>
      </c>
      <c r="E5283" s="8" t="n">
        <v>0.0216968325791855</v>
      </c>
      <c r="F5283" s="4" t="n">
        <f aca="false">D5283*E5283</f>
        <v>19.18</v>
      </c>
      <c r="G5283" s="7" t="n">
        <v>300</v>
      </c>
      <c r="H5283" s="9" t="n">
        <f aca="false">IF(G5283&gt;0,D5283/G5283,"")</f>
        <v>2.94666666666667</v>
      </c>
      <c r="I5283" s="10" t="n">
        <v>46273</v>
      </c>
      <c r="J5283" s="3" t="s">
        <v>2043</v>
      </c>
      <c r="K5283" s="10" t="n">
        <v>46104</v>
      </c>
      <c r="L5283" s="3" t="s">
        <v>16</v>
      </c>
      <c r="M5283" s="7" t="n">
        <v>1000</v>
      </c>
      <c r="N5283" s="8" t="n">
        <v>0.0217</v>
      </c>
      <c r="O5283" s="4" t="n">
        <f aca="false">M5283*N5283</f>
        <v>21.7</v>
      </c>
    </row>
    <row r="5284" customFormat="false" ht="15" hidden="false" customHeight="false" outlineLevel="0" collapsed="false">
      <c r="A5284" s="0" t="s">
        <v>7018</v>
      </c>
      <c r="C5284" s="0" t="s">
        <v>34</v>
      </c>
      <c r="D5284" s="7" t="n">
        <v>525</v>
      </c>
      <c r="E5284" s="8" t="n">
        <v>0.0365142857142857</v>
      </c>
      <c r="F5284" s="4" t="n">
        <f aca="false">D5284*E5284</f>
        <v>19.17</v>
      </c>
      <c r="G5284" s="7" t="n">
        <v>49</v>
      </c>
      <c r="H5284" s="9" t="n">
        <f aca="false">IF(G5284&gt;0,D5284/G5284,"")</f>
        <v>10.7142857142857</v>
      </c>
      <c r="I5284" s="10" t="n">
        <v>46237</v>
      </c>
      <c r="J5284" s="3" t="s">
        <v>628</v>
      </c>
      <c r="K5284" s="10" t="n">
        <v>46128</v>
      </c>
      <c r="L5284" s="3" t="s">
        <v>16</v>
      </c>
      <c r="M5284" s="7" t="n">
        <v>550</v>
      </c>
      <c r="N5284" s="8" t="n">
        <v>0.0365</v>
      </c>
      <c r="O5284" s="4" t="n">
        <f aca="false">M5284*N5284</f>
        <v>20.075</v>
      </c>
    </row>
    <row r="5285" customFormat="false" ht="15" hidden="false" customHeight="false" outlineLevel="0" collapsed="false">
      <c r="A5285" s="0" t="s">
        <v>7019</v>
      </c>
      <c r="C5285" s="0" t="s">
        <v>34</v>
      </c>
      <c r="D5285" s="7" t="n">
        <v>93</v>
      </c>
      <c r="E5285" s="8" t="n">
        <v>0.206129032258065</v>
      </c>
      <c r="F5285" s="4" t="n">
        <f aca="false">D5285*E5285</f>
        <v>19.17</v>
      </c>
      <c r="G5285" s="7" t="n">
        <v>12</v>
      </c>
      <c r="H5285" s="9" t="n">
        <f aca="false">IF(G5285&gt;0,D5285/G5285,"")</f>
        <v>7.75</v>
      </c>
      <c r="I5285" s="10" t="n">
        <v>46099</v>
      </c>
      <c r="J5285" s="3" t="s">
        <v>2215</v>
      </c>
      <c r="K5285" s="10" t="n">
        <v>44943</v>
      </c>
      <c r="L5285" s="3" t="s">
        <v>16</v>
      </c>
      <c r="M5285" s="7" t="n">
        <v>136</v>
      </c>
      <c r="N5285" s="8" t="n">
        <v>0.2061</v>
      </c>
      <c r="O5285" s="4" t="n">
        <f aca="false">M5285*N5285</f>
        <v>28.0296</v>
      </c>
    </row>
    <row r="5286" customFormat="false" ht="15" hidden="false" customHeight="false" outlineLevel="0" collapsed="false">
      <c r="A5286" s="0" t="s">
        <v>7020</v>
      </c>
      <c r="C5286" s="0" t="s">
        <v>1039</v>
      </c>
      <c r="D5286" s="7" t="n">
        <v>2767</v>
      </c>
      <c r="E5286" s="8" t="n">
        <v>0.00691362486447416</v>
      </c>
      <c r="F5286" s="4" t="n">
        <f aca="false">D5286*E5286</f>
        <v>19.13</v>
      </c>
      <c r="G5286" s="7" t="n">
        <v>452</v>
      </c>
      <c r="H5286" s="9" t="n">
        <f aca="false">IF(G5286&gt;0,D5286/G5286,"")</f>
        <v>6.1216814159292</v>
      </c>
      <c r="I5286" s="10" t="n">
        <v>46175</v>
      </c>
      <c r="K5286" s="10"/>
      <c r="M5286" s="7"/>
      <c r="N5286" s="8"/>
      <c r="O5286" s="4"/>
    </row>
    <row r="5287" customFormat="false" ht="15" hidden="false" customHeight="false" outlineLevel="0" collapsed="false">
      <c r="A5287" s="0" t="s">
        <v>7021</v>
      </c>
      <c r="C5287" s="0" t="s">
        <v>31</v>
      </c>
      <c r="D5287" s="7" t="n">
        <v>5413</v>
      </c>
      <c r="E5287" s="8" t="n">
        <v>0.00353223720672455</v>
      </c>
      <c r="F5287" s="4" t="n">
        <f aca="false">D5287*E5287</f>
        <v>19.12</v>
      </c>
      <c r="G5287" s="7" t="n">
        <v>891</v>
      </c>
      <c r="H5287" s="9" t="n">
        <f aca="false">IF(G5287&gt;0,D5287/G5287,"")</f>
        <v>6.07519640852974</v>
      </c>
      <c r="I5287" s="10" t="n">
        <v>46311</v>
      </c>
      <c r="J5287" s="3" t="s">
        <v>2294</v>
      </c>
      <c r="K5287" s="10" t="n">
        <v>46220</v>
      </c>
      <c r="L5287" s="3" t="s">
        <v>15</v>
      </c>
      <c r="M5287" s="7" t="n">
        <v>5250</v>
      </c>
      <c r="N5287" s="8" t="n">
        <v>0.0034</v>
      </c>
      <c r="O5287" s="4" t="n">
        <f aca="false">M5287*N5287</f>
        <v>17.85</v>
      </c>
    </row>
    <row r="5288" customFormat="false" ht="15" hidden="false" customHeight="false" outlineLevel="0" collapsed="false">
      <c r="A5288" s="0" t="s">
        <v>7022</v>
      </c>
      <c r="C5288" s="0" t="s">
        <v>3463</v>
      </c>
      <c r="D5288" s="7" t="n">
        <v>47</v>
      </c>
      <c r="E5288" s="8" t="n">
        <v>0.406595744680851</v>
      </c>
      <c r="F5288" s="4" t="n">
        <f aca="false">D5288*E5288</f>
        <v>19.11</v>
      </c>
      <c r="G5288" s="7" t="n">
        <v>32</v>
      </c>
      <c r="H5288" s="9" t="n">
        <f aca="false">IF(G5288&gt;0,D5288/G5288,"")</f>
        <v>1.46875</v>
      </c>
      <c r="I5288" s="10" t="n">
        <v>46304</v>
      </c>
      <c r="J5288" s="3" t="s">
        <v>6136</v>
      </c>
      <c r="K5288" s="10" t="n">
        <v>46310</v>
      </c>
      <c r="L5288" s="3" t="s">
        <v>19</v>
      </c>
      <c r="M5288" s="7" t="n">
        <v>73</v>
      </c>
      <c r="N5288" s="8" t="n">
        <v>0.4067</v>
      </c>
      <c r="O5288" s="4" t="n">
        <f aca="false">M5288*N5288</f>
        <v>29.6891</v>
      </c>
    </row>
    <row r="5289" customFormat="false" ht="15" hidden="false" customHeight="false" outlineLevel="0" collapsed="false">
      <c r="A5289" s="0" t="s">
        <v>7023</v>
      </c>
      <c r="C5289" s="0" t="s">
        <v>295</v>
      </c>
      <c r="D5289" s="7" t="n">
        <v>135</v>
      </c>
      <c r="E5289" s="8" t="n">
        <v>0.141481481481482</v>
      </c>
      <c r="F5289" s="4" t="n">
        <f aca="false">D5289*E5289</f>
        <v>19.1</v>
      </c>
      <c r="G5289" s="7" t="n">
        <v>20</v>
      </c>
      <c r="H5289" s="9" t="n">
        <f aca="false">IF(G5289&gt;0,D5289/G5289,"")</f>
        <v>6.75</v>
      </c>
      <c r="I5289" s="10" t="n">
        <v>46121</v>
      </c>
      <c r="J5289" s="3" t="s">
        <v>5458</v>
      </c>
      <c r="K5289" s="10" t="n">
        <v>45450</v>
      </c>
      <c r="L5289" s="3" t="s">
        <v>19</v>
      </c>
      <c r="M5289" s="7" t="n">
        <v>177</v>
      </c>
      <c r="N5289" s="8" t="n">
        <v>0.1415</v>
      </c>
      <c r="O5289" s="4" t="n">
        <f aca="false">M5289*N5289</f>
        <v>25.0455</v>
      </c>
    </row>
    <row r="5290" customFormat="false" ht="15" hidden="false" customHeight="false" outlineLevel="0" collapsed="false">
      <c r="A5290" s="0" t="s">
        <v>7024</v>
      </c>
      <c r="C5290" s="0" t="s">
        <v>31</v>
      </c>
      <c r="D5290" s="7" t="n">
        <v>139</v>
      </c>
      <c r="E5290" s="8" t="n">
        <v>0.136978417266187</v>
      </c>
      <c r="F5290" s="4" t="n">
        <f aca="false">D5290*E5290</f>
        <v>19.04</v>
      </c>
      <c r="G5290" s="7" t="n">
        <v>7</v>
      </c>
      <c r="H5290" s="9" t="n">
        <f aca="false">IF(G5290&gt;0,D5290/G5290,"")</f>
        <v>19.8571428571429</v>
      </c>
      <c r="I5290" s="10" t="n">
        <v>46150</v>
      </c>
      <c r="J5290" s="3" t="s">
        <v>2321</v>
      </c>
      <c r="K5290" s="10" t="n">
        <v>46094</v>
      </c>
      <c r="L5290" s="3" t="s">
        <v>16</v>
      </c>
      <c r="M5290" s="7" t="n">
        <v>146</v>
      </c>
      <c r="N5290" s="8" t="n">
        <v>0.136986</v>
      </c>
      <c r="O5290" s="4" t="n">
        <f aca="false">M5290*N5290</f>
        <v>19.999956</v>
      </c>
    </row>
    <row r="5291" customFormat="false" ht="15" hidden="false" customHeight="false" outlineLevel="0" collapsed="false">
      <c r="A5291" s="0" t="s">
        <v>7025</v>
      </c>
      <c r="C5291" s="0" t="s">
        <v>31</v>
      </c>
      <c r="D5291" s="7" t="n">
        <v>138</v>
      </c>
      <c r="E5291" s="8" t="n">
        <v>0.137898550724638</v>
      </c>
      <c r="F5291" s="4" t="n">
        <f aca="false">D5291*E5291</f>
        <v>19.03</v>
      </c>
      <c r="G5291" s="7" t="n">
        <v>21</v>
      </c>
      <c r="H5291" s="9" t="n">
        <f aca="false">IF(G5291&gt;0,D5291/G5291,"")</f>
        <v>6.57142857142857</v>
      </c>
      <c r="I5291" s="10" t="n">
        <v>46189</v>
      </c>
      <c r="J5291" s="3" t="s">
        <v>2502</v>
      </c>
      <c r="K5291" s="10" t="n">
        <v>46175</v>
      </c>
      <c r="L5291" s="3" t="s">
        <v>16</v>
      </c>
      <c r="M5291" s="7" t="n">
        <v>153</v>
      </c>
      <c r="N5291" s="8" t="n">
        <v>0.1312</v>
      </c>
      <c r="O5291" s="4" t="n">
        <f aca="false">M5291*N5291</f>
        <v>20.0736</v>
      </c>
    </row>
    <row r="5292" customFormat="false" ht="15" hidden="false" customHeight="false" outlineLevel="0" collapsed="false">
      <c r="A5292" s="0" t="s">
        <v>7026</v>
      </c>
      <c r="C5292" s="0" t="s">
        <v>34</v>
      </c>
      <c r="D5292" s="7" t="n">
        <v>779</v>
      </c>
      <c r="E5292" s="8" t="n">
        <v>0.024390243902439</v>
      </c>
      <c r="F5292" s="4" t="n">
        <f aca="false">D5292*E5292</f>
        <v>19</v>
      </c>
      <c r="G5292" s="7" t="n">
        <v>108</v>
      </c>
      <c r="H5292" s="9" t="n">
        <f aca="false">IF(G5292&gt;0,D5292/G5292,"")</f>
        <v>7.21296296296296</v>
      </c>
      <c r="I5292" s="10" t="n">
        <v>46150</v>
      </c>
      <c r="J5292" s="3" t="s">
        <v>1986</v>
      </c>
      <c r="K5292" s="10" t="n">
        <v>46052</v>
      </c>
      <c r="L5292" s="3" t="s">
        <v>16</v>
      </c>
      <c r="M5292" s="7" t="n">
        <v>887</v>
      </c>
      <c r="N5292" s="8" t="n">
        <v>0.0244</v>
      </c>
      <c r="O5292" s="4" t="n">
        <f aca="false">M5292*N5292</f>
        <v>21.6428</v>
      </c>
    </row>
    <row r="5293" customFormat="false" ht="15" hidden="false" customHeight="false" outlineLevel="0" collapsed="false">
      <c r="A5293" s="0" t="s">
        <v>7027</v>
      </c>
      <c r="C5293" s="0" t="s">
        <v>40</v>
      </c>
      <c r="D5293" s="7" t="n">
        <v>294</v>
      </c>
      <c r="E5293" s="8" t="n">
        <v>0.0645918367346939</v>
      </c>
      <c r="F5293" s="4" t="n">
        <f aca="false">D5293*E5293</f>
        <v>18.99</v>
      </c>
      <c r="G5293" s="7" t="n">
        <v>121</v>
      </c>
      <c r="H5293" s="9" t="n">
        <f aca="false">IF(G5293&gt;0,D5293/G5293,"")</f>
        <v>2.4297520661157</v>
      </c>
      <c r="I5293" s="10" t="n">
        <v>46205</v>
      </c>
      <c r="J5293" s="3" t="s">
        <v>4270</v>
      </c>
      <c r="K5293" s="10" t="n">
        <v>46092</v>
      </c>
      <c r="L5293" s="3" t="s">
        <v>18</v>
      </c>
      <c r="M5293" s="7" t="n">
        <v>410</v>
      </c>
      <c r="N5293" s="8" t="n">
        <v>0.0646</v>
      </c>
      <c r="O5293" s="4" t="n">
        <f aca="false">M5293*N5293</f>
        <v>26.486</v>
      </c>
    </row>
    <row r="5294" customFormat="false" ht="15" hidden="false" customHeight="false" outlineLevel="0" collapsed="false">
      <c r="A5294" s="0" t="s">
        <v>7028</v>
      </c>
      <c r="C5294" s="0" t="s">
        <v>118</v>
      </c>
      <c r="D5294" s="7" t="n">
        <v>211</v>
      </c>
      <c r="E5294" s="8" t="n">
        <v>0.09</v>
      </c>
      <c r="F5294" s="4" t="n">
        <f aca="false">D5294*E5294</f>
        <v>18.99</v>
      </c>
      <c r="G5294" s="7" t="n">
        <v>40</v>
      </c>
      <c r="H5294" s="9" t="n">
        <f aca="false">IF(G5294&gt;0,D5294/G5294,"")</f>
        <v>5.275</v>
      </c>
      <c r="I5294" s="10" t="n">
        <v>46133</v>
      </c>
      <c r="K5294" s="10"/>
      <c r="M5294" s="7"/>
      <c r="N5294" s="8"/>
      <c r="O5294" s="4"/>
    </row>
    <row r="5295" customFormat="false" ht="15" hidden="false" customHeight="false" outlineLevel="0" collapsed="false">
      <c r="A5295" s="0" t="s">
        <v>7029</v>
      </c>
      <c r="C5295" s="0" t="s">
        <v>39</v>
      </c>
      <c r="D5295" s="7" t="n">
        <v>650</v>
      </c>
      <c r="E5295" s="8" t="n">
        <v>0.0292</v>
      </c>
      <c r="F5295" s="4" t="n">
        <f aca="false">D5295*E5295</f>
        <v>18.98</v>
      </c>
      <c r="G5295" s="7" t="n">
        <v>125</v>
      </c>
      <c r="H5295" s="9" t="n">
        <f aca="false">IF(G5295&gt;0,D5295/G5295,"")</f>
        <v>5.2</v>
      </c>
      <c r="I5295" s="10" t="n">
        <v>46254</v>
      </c>
      <c r="J5295" s="3" t="s">
        <v>6695</v>
      </c>
      <c r="K5295" s="10" t="n">
        <v>45659</v>
      </c>
      <c r="L5295" s="3" t="s">
        <v>18</v>
      </c>
      <c r="M5295" s="7" t="n">
        <v>1000</v>
      </c>
      <c r="N5295" s="8" t="n">
        <v>0.0292</v>
      </c>
      <c r="O5295" s="4" t="n">
        <f aca="false">M5295*N5295</f>
        <v>29.2</v>
      </c>
    </row>
    <row r="5296" customFormat="false" ht="15" hidden="false" customHeight="false" outlineLevel="0" collapsed="false">
      <c r="A5296" s="0" t="s">
        <v>7030</v>
      </c>
      <c r="C5296" s="0" t="s">
        <v>33</v>
      </c>
      <c r="D5296" s="7" t="n">
        <v>2315</v>
      </c>
      <c r="E5296" s="8" t="n">
        <v>0.00819870410367171</v>
      </c>
      <c r="F5296" s="4" t="n">
        <f aca="false">D5296*E5296</f>
        <v>18.98</v>
      </c>
      <c r="G5296" s="7" t="n">
        <v>600</v>
      </c>
      <c r="H5296" s="9" t="n">
        <f aca="false">IF(G5296&gt;0,D5296/G5296,"")</f>
        <v>3.85833333333333</v>
      </c>
      <c r="I5296" s="10" t="n">
        <v>46274</v>
      </c>
      <c r="J5296" s="3" t="s">
        <v>3790</v>
      </c>
      <c r="K5296" s="10" t="n">
        <v>45609</v>
      </c>
      <c r="L5296" s="3" t="s">
        <v>18</v>
      </c>
      <c r="M5296" s="7" t="n">
        <v>3700</v>
      </c>
      <c r="N5296" s="8" t="n">
        <v>0.0082</v>
      </c>
      <c r="O5296" s="4" t="n">
        <f aca="false">M5296*N5296</f>
        <v>30.34</v>
      </c>
    </row>
    <row r="5297" customFormat="false" ht="15" hidden="false" customHeight="false" outlineLevel="0" collapsed="false">
      <c r="A5297" s="0" t="s">
        <v>7031</v>
      </c>
      <c r="C5297" s="0" t="s">
        <v>741</v>
      </c>
      <c r="D5297" s="7" t="n">
        <v>135</v>
      </c>
      <c r="E5297" s="8" t="n">
        <v>0.140444444444445</v>
      </c>
      <c r="F5297" s="4" t="n">
        <f aca="false">D5297*E5297</f>
        <v>18.96</v>
      </c>
      <c r="G5297" s="7" t="n">
        <v>14</v>
      </c>
      <c r="H5297" s="9" t="n">
        <f aca="false">IF(G5297&gt;0,D5297/G5297,"")</f>
        <v>9.64285714285714</v>
      </c>
      <c r="I5297" s="10" t="n">
        <v>46202</v>
      </c>
      <c r="K5297" s="10"/>
      <c r="M5297" s="7"/>
      <c r="N5297" s="8"/>
      <c r="O5297" s="4"/>
    </row>
    <row r="5298" customFormat="false" ht="15" hidden="false" customHeight="false" outlineLevel="0" collapsed="false">
      <c r="A5298" s="0" t="s">
        <v>7032</v>
      </c>
      <c r="C5298" s="0" t="s">
        <v>1017</v>
      </c>
      <c r="D5298" s="7" t="n">
        <v>280</v>
      </c>
      <c r="E5298" s="8" t="n">
        <v>0.0677142857142857</v>
      </c>
      <c r="F5298" s="4" t="n">
        <f aca="false">D5298*E5298</f>
        <v>18.96</v>
      </c>
      <c r="G5298" s="7" t="n">
        <v>10</v>
      </c>
      <c r="H5298" s="9" t="n">
        <f aca="false">IF(G5298&gt;0,D5298/G5298,"")</f>
        <v>28</v>
      </c>
      <c r="I5298" s="10" t="n">
        <v>46294</v>
      </c>
      <c r="J5298" s="3" t="s">
        <v>341</v>
      </c>
      <c r="K5298" s="10" t="n">
        <v>46078</v>
      </c>
      <c r="L5298" s="3" t="s">
        <v>15</v>
      </c>
      <c r="M5298" s="7" t="n">
        <v>290</v>
      </c>
      <c r="N5298" s="8" t="n">
        <v>0.06773</v>
      </c>
      <c r="O5298" s="4" t="n">
        <f aca="false">M5298*N5298</f>
        <v>19.6417</v>
      </c>
    </row>
    <row r="5299" customFormat="false" ht="15" hidden="false" customHeight="false" outlineLevel="0" collapsed="false">
      <c r="A5299" s="0" t="s">
        <v>7033</v>
      </c>
      <c r="C5299" s="0" t="s">
        <v>298</v>
      </c>
      <c r="D5299" s="7" t="n">
        <v>120</v>
      </c>
      <c r="E5299" s="8" t="n">
        <v>0.157916666666667</v>
      </c>
      <c r="F5299" s="4" t="n">
        <f aca="false">D5299*E5299</f>
        <v>18.95</v>
      </c>
      <c r="G5299" s="7" t="n">
        <v>80</v>
      </c>
      <c r="H5299" s="9" t="n">
        <f aca="false">IF(G5299&gt;0,D5299/G5299,"")</f>
        <v>1.5</v>
      </c>
      <c r="I5299" s="10" t="n">
        <v>46286</v>
      </c>
      <c r="J5299" s="3" t="s">
        <v>1196</v>
      </c>
      <c r="K5299" s="10" t="n">
        <v>45940</v>
      </c>
      <c r="L5299" s="3" t="s">
        <v>14</v>
      </c>
      <c r="M5299" s="7" t="n">
        <v>200</v>
      </c>
      <c r="N5299" s="8" t="n">
        <v>0.1579</v>
      </c>
      <c r="O5299" s="4" t="n">
        <f aca="false">M5299*N5299</f>
        <v>31.58</v>
      </c>
    </row>
    <row r="5300" customFormat="false" ht="15" hidden="false" customHeight="false" outlineLevel="0" collapsed="false">
      <c r="A5300" s="0" t="s">
        <v>7034</v>
      </c>
      <c r="C5300" s="0" t="s">
        <v>285</v>
      </c>
      <c r="D5300" s="7" t="n">
        <v>2953</v>
      </c>
      <c r="E5300" s="8" t="n">
        <v>0.00641720284456485</v>
      </c>
      <c r="F5300" s="4" t="n">
        <f aca="false">D5300*E5300</f>
        <v>18.95</v>
      </c>
      <c r="G5300" s="7" t="n">
        <v>365</v>
      </c>
      <c r="H5300" s="9" t="n">
        <f aca="false">IF(G5300&gt;0,D5300/G5300,"")</f>
        <v>8.09041095890411</v>
      </c>
      <c r="I5300" s="10" t="n">
        <v>46129</v>
      </c>
      <c r="K5300" s="10"/>
      <c r="M5300" s="7"/>
      <c r="N5300" s="8"/>
      <c r="O5300" s="4"/>
    </row>
    <row r="5301" customFormat="false" ht="15" hidden="false" customHeight="false" outlineLevel="0" collapsed="false">
      <c r="A5301" s="0" t="s">
        <v>7035</v>
      </c>
      <c r="C5301" s="0" t="s">
        <v>41</v>
      </c>
      <c r="D5301" s="7" t="n">
        <v>32</v>
      </c>
      <c r="E5301" s="8" t="n">
        <v>0.5921875</v>
      </c>
      <c r="F5301" s="4" t="n">
        <f aca="false">D5301*E5301</f>
        <v>18.95</v>
      </c>
      <c r="G5301" s="7" t="n">
        <v>2</v>
      </c>
      <c r="H5301" s="9" t="n">
        <f aca="false">IF(G5301&gt;0,D5301/G5301,"")</f>
        <v>16</v>
      </c>
      <c r="I5301" s="10" t="n">
        <v>46216</v>
      </c>
      <c r="J5301" s="3" t="s">
        <v>7036</v>
      </c>
      <c r="K5301" s="10" t="n">
        <v>44343</v>
      </c>
      <c r="L5301" s="3" t="s">
        <v>19</v>
      </c>
      <c r="M5301" s="7" t="n">
        <v>50</v>
      </c>
      <c r="N5301" s="8" t="n">
        <v>0.5919</v>
      </c>
      <c r="O5301" s="4" t="n">
        <f aca="false">M5301*N5301</f>
        <v>29.595</v>
      </c>
    </row>
    <row r="5302" customFormat="false" ht="15" hidden="false" customHeight="false" outlineLevel="0" collapsed="false">
      <c r="A5302" s="0" t="s">
        <v>7037</v>
      </c>
      <c r="C5302" s="0" t="s">
        <v>889</v>
      </c>
      <c r="D5302" s="7" t="n">
        <v>420</v>
      </c>
      <c r="E5302" s="8" t="n">
        <v>0.0450714285714286</v>
      </c>
      <c r="F5302" s="4" t="n">
        <f aca="false">D5302*E5302</f>
        <v>18.93</v>
      </c>
      <c r="G5302" s="7" t="n">
        <v>117</v>
      </c>
      <c r="H5302" s="9" t="n">
        <f aca="false">IF(G5302&gt;0,D5302/G5302,"")</f>
        <v>3.58974358974359</v>
      </c>
      <c r="I5302" s="10" t="n">
        <v>46230</v>
      </c>
      <c r="K5302" s="10"/>
      <c r="M5302" s="7"/>
      <c r="N5302" s="8"/>
      <c r="O5302" s="4"/>
    </row>
    <row r="5303" customFormat="false" ht="15" hidden="false" customHeight="false" outlineLevel="0" collapsed="false">
      <c r="A5303" s="0" t="s">
        <v>7038</v>
      </c>
      <c r="C5303" s="0" t="s">
        <v>38</v>
      </c>
      <c r="D5303" s="7" t="n">
        <v>440</v>
      </c>
      <c r="E5303" s="8" t="n">
        <v>0.043</v>
      </c>
      <c r="F5303" s="4" t="n">
        <f aca="false">D5303*E5303</f>
        <v>18.92</v>
      </c>
      <c r="G5303" s="7" t="n">
        <v>150</v>
      </c>
      <c r="H5303" s="9" t="n">
        <f aca="false">IF(G5303&gt;0,D5303/G5303,"")</f>
        <v>2.93333333333333</v>
      </c>
      <c r="I5303" s="10" t="n">
        <v>46105</v>
      </c>
      <c r="J5303" s="3" t="s">
        <v>1497</v>
      </c>
      <c r="K5303" s="10" t="n">
        <v>45888</v>
      </c>
      <c r="L5303" s="3" t="s">
        <v>18</v>
      </c>
      <c r="M5303" s="7" t="n">
        <v>600</v>
      </c>
      <c r="N5303" s="8" t="n">
        <v>0.043</v>
      </c>
      <c r="O5303" s="4" t="n">
        <f aca="false">M5303*N5303</f>
        <v>25.8</v>
      </c>
    </row>
    <row r="5304" customFormat="false" ht="15" hidden="false" customHeight="false" outlineLevel="0" collapsed="false">
      <c r="A5304" s="0" t="s">
        <v>7039</v>
      </c>
      <c r="C5304" s="0" t="s">
        <v>41</v>
      </c>
      <c r="D5304" s="7" t="n">
        <v>480</v>
      </c>
      <c r="E5304" s="8" t="n">
        <v>0.0393958333333333</v>
      </c>
      <c r="F5304" s="4" t="n">
        <f aca="false">D5304*E5304</f>
        <v>18.91</v>
      </c>
      <c r="G5304" s="7" t="n">
        <v>20</v>
      </c>
      <c r="H5304" s="9" t="n">
        <f aca="false">IF(G5304&gt;0,D5304/G5304,"")</f>
        <v>24</v>
      </c>
      <c r="I5304" s="10" t="n">
        <v>46034</v>
      </c>
      <c r="J5304" s="3" t="s">
        <v>6639</v>
      </c>
      <c r="K5304" s="10" t="n">
        <v>46022</v>
      </c>
      <c r="L5304" s="3" t="s">
        <v>19</v>
      </c>
      <c r="M5304" s="7" t="n">
        <v>500</v>
      </c>
      <c r="N5304" s="8" t="n">
        <v>0.0394</v>
      </c>
      <c r="O5304" s="4" t="n">
        <f aca="false">M5304*N5304</f>
        <v>19.7</v>
      </c>
    </row>
    <row r="5305" customFormat="false" ht="15" hidden="false" customHeight="false" outlineLevel="0" collapsed="false">
      <c r="A5305" s="0" t="s">
        <v>7040</v>
      </c>
      <c r="C5305" s="0" t="s">
        <v>40</v>
      </c>
      <c r="D5305" s="7" t="n">
        <v>336</v>
      </c>
      <c r="E5305" s="8" t="n">
        <v>0.0562202380952381</v>
      </c>
      <c r="F5305" s="4" t="n">
        <f aca="false">D5305*E5305</f>
        <v>18.89</v>
      </c>
      <c r="G5305" s="7" t="n">
        <v>49</v>
      </c>
      <c r="H5305" s="9" t="n">
        <f aca="false">IF(G5305&gt;0,D5305/G5305,"")</f>
        <v>6.85714285714286</v>
      </c>
      <c r="I5305" s="10" t="n">
        <v>46279</v>
      </c>
      <c r="K5305" s="10"/>
      <c r="M5305" s="7"/>
      <c r="N5305" s="8"/>
      <c r="O5305" s="4"/>
    </row>
    <row r="5306" customFormat="false" ht="15" hidden="false" customHeight="false" outlineLevel="0" collapsed="false">
      <c r="A5306" s="0" t="s">
        <v>7041</v>
      </c>
      <c r="C5306" s="0" t="s">
        <v>31</v>
      </c>
      <c r="D5306" s="7" t="n">
        <v>588</v>
      </c>
      <c r="E5306" s="8" t="n">
        <v>0.032108843537415</v>
      </c>
      <c r="F5306" s="4" t="n">
        <f aca="false">D5306*E5306</f>
        <v>18.88</v>
      </c>
      <c r="G5306" s="7" t="n">
        <v>8</v>
      </c>
      <c r="H5306" s="9" t="n">
        <f aca="false">IF(G5306&gt;0,D5306/G5306,"")</f>
        <v>73.5</v>
      </c>
      <c r="I5306" s="10" t="n">
        <v>46129</v>
      </c>
      <c r="J5306" s="3" t="s">
        <v>7042</v>
      </c>
      <c r="K5306" s="10" t="n">
        <v>44924</v>
      </c>
      <c r="L5306" s="3" t="s">
        <v>19</v>
      </c>
      <c r="M5306" s="7" t="n">
        <v>1000</v>
      </c>
      <c r="N5306" s="8" t="n">
        <v>0.0321</v>
      </c>
      <c r="O5306" s="4" t="n">
        <f aca="false">M5306*N5306</f>
        <v>32.1</v>
      </c>
    </row>
    <row r="5307" customFormat="false" ht="15" hidden="false" customHeight="false" outlineLevel="0" collapsed="false">
      <c r="A5307" s="0" t="s">
        <v>7043</v>
      </c>
      <c r="C5307" s="0" t="s">
        <v>4363</v>
      </c>
      <c r="D5307" s="7" t="n">
        <v>3</v>
      </c>
      <c r="E5307" s="8" t="n">
        <v>6.29</v>
      </c>
      <c r="F5307" s="4" t="n">
        <f aca="false">D5307*E5307</f>
        <v>18.87</v>
      </c>
      <c r="G5307" s="7" t="n">
        <v>2</v>
      </c>
      <c r="H5307" s="9" t="n">
        <f aca="false">IF(G5307&gt;0,D5307/G5307,"")</f>
        <v>1.5</v>
      </c>
      <c r="I5307" s="10" t="n">
        <v>46003</v>
      </c>
      <c r="J5307" s="3" t="s">
        <v>5714</v>
      </c>
      <c r="K5307" s="10" t="n">
        <v>45585</v>
      </c>
      <c r="L5307" s="3" t="s">
        <v>4365</v>
      </c>
      <c r="M5307" s="7" t="n">
        <v>5</v>
      </c>
      <c r="N5307" s="8" t="n">
        <v>6.29</v>
      </c>
      <c r="O5307" s="4" t="n">
        <f aca="false">M5307*N5307</f>
        <v>31.45</v>
      </c>
    </row>
    <row r="5308" customFormat="false" ht="15" hidden="false" customHeight="false" outlineLevel="0" collapsed="false">
      <c r="A5308" s="0" t="s">
        <v>7044</v>
      </c>
      <c r="C5308" s="0" t="s">
        <v>34</v>
      </c>
      <c r="D5308" s="7" t="n">
        <v>19</v>
      </c>
      <c r="E5308" s="8" t="n">
        <v>0.992631578947368</v>
      </c>
      <c r="F5308" s="4" t="n">
        <f aca="false">D5308*E5308</f>
        <v>18.86</v>
      </c>
      <c r="G5308" s="7" t="n">
        <v>6</v>
      </c>
      <c r="H5308" s="9" t="n">
        <f aca="false">IF(G5308&gt;0,D5308/G5308,"")</f>
        <v>3.16666666666667</v>
      </c>
      <c r="I5308" s="10" t="n">
        <v>46251</v>
      </c>
      <c r="J5308" s="3" t="s">
        <v>7045</v>
      </c>
      <c r="K5308" s="10" t="n">
        <v>45784</v>
      </c>
      <c r="L5308" s="3" t="s">
        <v>19</v>
      </c>
      <c r="M5308" s="7" t="n">
        <v>25</v>
      </c>
      <c r="N5308" s="8" t="n">
        <v>0.9926</v>
      </c>
      <c r="O5308" s="4" t="n">
        <f aca="false">M5308*N5308</f>
        <v>24.815</v>
      </c>
    </row>
    <row r="5309" customFormat="false" ht="15" hidden="false" customHeight="false" outlineLevel="0" collapsed="false">
      <c r="A5309" s="0" t="s">
        <v>7046</v>
      </c>
      <c r="C5309" s="0" t="s">
        <v>40</v>
      </c>
      <c r="D5309" s="7" t="n">
        <v>271</v>
      </c>
      <c r="E5309" s="8" t="n">
        <v>0.0695571955719557</v>
      </c>
      <c r="F5309" s="4" t="n">
        <f aca="false">D5309*E5309</f>
        <v>18.85</v>
      </c>
      <c r="G5309" s="7" t="n">
        <v>110</v>
      </c>
      <c r="H5309" s="9" t="n">
        <f aca="false">IF(G5309&gt;0,D5309/G5309,"")</f>
        <v>2.46363636363636</v>
      </c>
      <c r="I5309" s="10" t="n">
        <v>46189</v>
      </c>
      <c r="J5309" s="3" t="s">
        <v>1172</v>
      </c>
      <c r="K5309" s="10" t="n">
        <v>46063</v>
      </c>
      <c r="L5309" s="3" t="s">
        <v>18</v>
      </c>
      <c r="M5309" s="7" t="n">
        <v>380</v>
      </c>
      <c r="N5309" s="8" t="n">
        <v>0.0696</v>
      </c>
      <c r="O5309" s="4" t="n">
        <f aca="false">M5309*N5309</f>
        <v>26.448</v>
      </c>
    </row>
    <row r="5310" customFormat="false" ht="15" hidden="false" customHeight="false" outlineLevel="0" collapsed="false">
      <c r="A5310" s="0" t="s">
        <v>7047</v>
      </c>
      <c r="C5310" s="0" t="s">
        <v>31</v>
      </c>
      <c r="D5310" s="7" t="n">
        <v>282</v>
      </c>
      <c r="E5310" s="8" t="n">
        <v>0.0668085106382979</v>
      </c>
      <c r="F5310" s="4" t="n">
        <f aca="false">D5310*E5310</f>
        <v>18.84</v>
      </c>
      <c r="G5310" s="7" t="n">
        <v>14</v>
      </c>
      <c r="H5310" s="9" t="n">
        <f aca="false">IF(G5310&gt;0,D5310/G5310,"")</f>
        <v>20.1428571428571</v>
      </c>
      <c r="I5310" s="10" t="n">
        <v>46226</v>
      </c>
      <c r="K5310" s="10"/>
      <c r="M5310" s="7"/>
      <c r="N5310" s="8"/>
      <c r="O5310" s="4"/>
    </row>
    <row r="5311" customFormat="false" ht="15" hidden="false" customHeight="false" outlineLevel="0" collapsed="false">
      <c r="A5311" s="0" t="s">
        <v>7048</v>
      </c>
      <c r="C5311" s="0" t="s">
        <v>31</v>
      </c>
      <c r="D5311" s="7" t="n">
        <v>572</v>
      </c>
      <c r="E5311" s="8" t="n">
        <v>0.0328846153846154</v>
      </c>
      <c r="F5311" s="4" t="n">
        <f aca="false">D5311*E5311</f>
        <v>18.81</v>
      </c>
      <c r="G5311" s="7" t="n">
        <v>288</v>
      </c>
      <c r="H5311" s="9" t="n">
        <f aca="false">IF(G5311&gt;0,D5311/G5311,"")</f>
        <v>1.98611111111111</v>
      </c>
      <c r="I5311" s="10" t="n">
        <v>46133</v>
      </c>
      <c r="J5311" s="3" t="s">
        <v>1150</v>
      </c>
      <c r="K5311" s="10" t="n">
        <v>45574</v>
      </c>
      <c r="L5311" s="3" t="s">
        <v>14</v>
      </c>
      <c r="M5311" s="7" t="n">
        <v>1000</v>
      </c>
      <c r="N5311" s="8" t="n">
        <v>0.0329</v>
      </c>
      <c r="O5311" s="4" t="n">
        <f aca="false">M5311*N5311</f>
        <v>32.9</v>
      </c>
    </row>
    <row r="5312" customFormat="false" ht="15" hidden="false" customHeight="false" outlineLevel="0" collapsed="false">
      <c r="A5312" s="0" t="s">
        <v>7049</v>
      </c>
      <c r="C5312" s="0" t="s">
        <v>494</v>
      </c>
      <c r="D5312" s="7" t="n">
        <v>555</v>
      </c>
      <c r="E5312" s="8" t="n">
        <v>0.0338738738738739</v>
      </c>
      <c r="F5312" s="4" t="n">
        <f aca="false">D5312*E5312</f>
        <v>18.8</v>
      </c>
      <c r="G5312" s="7" t="n">
        <v>18</v>
      </c>
      <c r="H5312" s="9" t="n">
        <f aca="false">IF(G5312&gt;0,D5312/G5312,"")</f>
        <v>30.8333333333333</v>
      </c>
      <c r="I5312" s="10" t="n">
        <v>46076</v>
      </c>
      <c r="K5312" s="10"/>
      <c r="M5312" s="7"/>
      <c r="N5312" s="8"/>
      <c r="O5312" s="4"/>
    </row>
    <row r="5313" customFormat="false" ht="15" hidden="false" customHeight="false" outlineLevel="0" collapsed="false">
      <c r="A5313" s="0" t="s">
        <v>7050</v>
      </c>
      <c r="C5313" s="0" t="s">
        <v>33</v>
      </c>
      <c r="D5313" s="7" t="n">
        <v>20</v>
      </c>
      <c r="E5313" s="8" t="n">
        <v>0.94</v>
      </c>
      <c r="F5313" s="4" t="n">
        <f aca="false">D5313*E5313</f>
        <v>18.8</v>
      </c>
      <c r="G5313" s="7" t="n">
        <v>2</v>
      </c>
      <c r="H5313" s="9" t="n">
        <f aca="false">IF(G5313&gt;0,D5313/G5313,"")</f>
        <v>10</v>
      </c>
      <c r="I5313" s="10" t="n">
        <v>46090</v>
      </c>
      <c r="J5313" s="3" t="s">
        <v>709</v>
      </c>
      <c r="K5313" s="10" t="n">
        <v>46080</v>
      </c>
      <c r="L5313" s="3" t="s">
        <v>14</v>
      </c>
      <c r="M5313" s="7" t="n">
        <v>22</v>
      </c>
      <c r="N5313" s="8" t="n">
        <v>0.94</v>
      </c>
      <c r="O5313" s="4" t="n">
        <f aca="false">M5313*N5313</f>
        <v>20.68</v>
      </c>
    </row>
    <row r="5314" customFormat="false" ht="15" hidden="false" customHeight="false" outlineLevel="0" collapsed="false">
      <c r="A5314" s="0" t="s">
        <v>7051</v>
      </c>
      <c r="C5314" s="0" t="s">
        <v>1039</v>
      </c>
      <c r="D5314" s="7" t="n">
        <v>10</v>
      </c>
      <c r="E5314" s="8" t="n">
        <v>1.879</v>
      </c>
      <c r="F5314" s="4" t="n">
        <f aca="false">D5314*E5314</f>
        <v>18.79</v>
      </c>
      <c r="G5314" s="7" t="n">
        <v>3</v>
      </c>
      <c r="H5314" s="9" t="n">
        <f aca="false">IF(G5314&gt;0,D5314/G5314,"")</f>
        <v>3.33333333333333</v>
      </c>
      <c r="I5314" s="10" t="n">
        <v>45994</v>
      </c>
      <c r="J5314" s="3" t="s">
        <v>7052</v>
      </c>
      <c r="K5314" s="10" t="n">
        <v>45993</v>
      </c>
      <c r="L5314" s="3" t="s">
        <v>19</v>
      </c>
      <c r="M5314" s="7" t="n">
        <v>10</v>
      </c>
      <c r="N5314" s="8" t="n">
        <v>1.8785</v>
      </c>
      <c r="O5314" s="4" t="n">
        <f aca="false">M5314*N5314</f>
        <v>18.785</v>
      </c>
    </row>
    <row r="5315" customFormat="false" ht="15" hidden="false" customHeight="false" outlineLevel="0" collapsed="false">
      <c r="A5315" s="0" t="s">
        <v>7053</v>
      </c>
      <c r="C5315" s="0" t="s">
        <v>31</v>
      </c>
      <c r="D5315" s="7" t="n">
        <v>400</v>
      </c>
      <c r="E5315" s="8" t="n">
        <v>0.0469</v>
      </c>
      <c r="F5315" s="4" t="n">
        <f aca="false">D5315*E5315</f>
        <v>18.76</v>
      </c>
      <c r="G5315" s="7" t="n">
        <v>4</v>
      </c>
      <c r="H5315" s="9" t="n">
        <f aca="false">IF(G5315&gt;0,D5315/G5315,"")</f>
        <v>100</v>
      </c>
      <c r="I5315" s="10" t="n">
        <v>46304</v>
      </c>
      <c r="J5315" s="3" t="s">
        <v>4904</v>
      </c>
      <c r="K5315" s="10" t="n">
        <v>46301</v>
      </c>
      <c r="L5315" s="3" t="s">
        <v>14</v>
      </c>
      <c r="M5315" s="7" t="n">
        <v>400</v>
      </c>
      <c r="N5315" s="8" t="n">
        <v>0.0469</v>
      </c>
      <c r="O5315" s="4" t="n">
        <f aca="false">M5315*N5315</f>
        <v>18.76</v>
      </c>
    </row>
    <row r="5316" customFormat="false" ht="15" hidden="false" customHeight="false" outlineLevel="0" collapsed="false">
      <c r="A5316" s="0" t="s">
        <v>7054</v>
      </c>
      <c r="C5316" s="0" t="s">
        <v>34</v>
      </c>
      <c r="D5316" s="7" t="n">
        <v>50</v>
      </c>
      <c r="E5316" s="8" t="n">
        <v>0.3748</v>
      </c>
      <c r="F5316" s="4" t="n">
        <f aca="false">D5316*E5316</f>
        <v>18.74</v>
      </c>
      <c r="G5316" s="7" t="n">
        <v>5</v>
      </c>
      <c r="H5316" s="9" t="n">
        <f aca="false">IF(G5316&gt;0,D5316/G5316,"")</f>
        <v>10</v>
      </c>
      <c r="I5316" s="10" t="n">
        <v>46211</v>
      </c>
      <c r="J5316" s="3" t="s">
        <v>2743</v>
      </c>
      <c r="K5316" s="10" t="n">
        <v>46084</v>
      </c>
      <c r="L5316" s="3" t="s">
        <v>16</v>
      </c>
      <c r="M5316" s="7" t="n">
        <v>55</v>
      </c>
      <c r="N5316" s="8" t="n">
        <v>0.3747</v>
      </c>
      <c r="O5316" s="4" t="n">
        <f aca="false">M5316*N5316</f>
        <v>20.6085</v>
      </c>
    </row>
    <row r="5317" customFormat="false" ht="15" hidden="false" customHeight="false" outlineLevel="0" collapsed="false">
      <c r="A5317" s="0" t="s">
        <v>7055</v>
      </c>
      <c r="C5317" s="0" t="s">
        <v>38</v>
      </c>
      <c r="D5317" s="7" t="n">
        <v>71</v>
      </c>
      <c r="E5317" s="8" t="n">
        <v>0.263380281690141</v>
      </c>
      <c r="F5317" s="4" t="n">
        <f aca="false">D5317*E5317</f>
        <v>18.7</v>
      </c>
      <c r="G5317" s="7" t="n">
        <v>60</v>
      </c>
      <c r="H5317" s="9" t="n">
        <f aca="false">IF(G5317&gt;0,D5317/G5317,"")</f>
        <v>1.18333333333333</v>
      </c>
      <c r="I5317" s="10" t="n">
        <v>46108</v>
      </c>
      <c r="K5317" s="10"/>
      <c r="M5317" s="7"/>
      <c r="N5317" s="8"/>
      <c r="O5317" s="4"/>
    </row>
    <row r="5318" customFormat="false" ht="15" hidden="false" customHeight="false" outlineLevel="0" collapsed="false">
      <c r="A5318" s="0" t="s">
        <v>7056</v>
      </c>
      <c r="C5318" s="0" t="s">
        <v>765</v>
      </c>
      <c r="D5318" s="7" t="n">
        <v>59</v>
      </c>
      <c r="E5318" s="8" t="n">
        <v>0.316779661016949</v>
      </c>
      <c r="F5318" s="4" t="n">
        <f aca="false">D5318*E5318</f>
        <v>18.69</v>
      </c>
      <c r="G5318" s="7" t="n">
        <v>10</v>
      </c>
      <c r="H5318" s="9" t="n">
        <f aca="false">IF(G5318&gt;0,D5318/G5318,"")</f>
        <v>5.9</v>
      </c>
      <c r="I5318" s="10" t="n">
        <v>46217</v>
      </c>
      <c r="J5318" s="3" t="s">
        <v>5772</v>
      </c>
      <c r="K5318" s="10" t="n">
        <v>45012</v>
      </c>
      <c r="L5318" s="3" t="s">
        <v>19</v>
      </c>
      <c r="M5318" s="7" t="n">
        <v>500</v>
      </c>
      <c r="N5318" s="8" t="n">
        <v>0.3168</v>
      </c>
      <c r="O5318" s="4" t="n">
        <f aca="false">M5318*N5318</f>
        <v>158.4</v>
      </c>
    </row>
    <row r="5319" customFormat="false" ht="15" hidden="false" customHeight="false" outlineLevel="0" collapsed="false">
      <c r="A5319" s="0" t="s">
        <v>7057</v>
      </c>
      <c r="C5319" s="0" t="s">
        <v>31</v>
      </c>
      <c r="D5319" s="7" t="n">
        <v>1131</v>
      </c>
      <c r="E5319" s="8" t="n">
        <v>0.0164986737400531</v>
      </c>
      <c r="F5319" s="4" t="n">
        <f aca="false">D5319*E5319</f>
        <v>18.66</v>
      </c>
      <c r="G5319" s="7" t="n">
        <v>72</v>
      </c>
      <c r="H5319" s="9" t="n">
        <f aca="false">IF(G5319&gt;0,D5319/G5319,"")</f>
        <v>15.7083333333333</v>
      </c>
      <c r="I5319" s="10" t="n">
        <v>46233</v>
      </c>
      <c r="J5319" s="3" t="s">
        <v>2844</v>
      </c>
      <c r="K5319" s="10" t="n">
        <v>45839</v>
      </c>
      <c r="L5319" s="3" t="s">
        <v>16</v>
      </c>
      <c r="M5319" s="7" t="n">
        <v>1215</v>
      </c>
      <c r="N5319" s="8" t="n">
        <v>0.0165</v>
      </c>
      <c r="O5319" s="4" t="n">
        <f aca="false">M5319*N5319</f>
        <v>20.0475</v>
      </c>
    </row>
    <row r="5320" customFormat="false" ht="15" hidden="false" customHeight="false" outlineLevel="0" collapsed="false">
      <c r="A5320" s="0" t="s">
        <v>7058</v>
      </c>
      <c r="C5320" s="0" t="s">
        <v>34</v>
      </c>
      <c r="D5320" s="7" t="n">
        <v>16</v>
      </c>
      <c r="E5320" s="8" t="n">
        <v>1.165625</v>
      </c>
      <c r="F5320" s="4" t="n">
        <f aca="false">D5320*E5320</f>
        <v>18.65</v>
      </c>
      <c r="G5320" s="7" t="n">
        <v>10</v>
      </c>
      <c r="H5320" s="9" t="n">
        <f aca="false">IF(G5320&gt;0,D5320/G5320,"")</f>
        <v>1.6</v>
      </c>
      <c r="I5320" s="10" t="n">
        <v>46246</v>
      </c>
      <c r="J5320" s="3" t="s">
        <v>2723</v>
      </c>
      <c r="K5320" s="10" t="n">
        <v>46084</v>
      </c>
      <c r="L5320" s="3" t="s">
        <v>19</v>
      </c>
      <c r="M5320" s="7" t="n">
        <v>25</v>
      </c>
      <c r="N5320" s="8" t="n">
        <v>1.1712</v>
      </c>
      <c r="O5320" s="4" t="n">
        <f aca="false">M5320*N5320</f>
        <v>29.28</v>
      </c>
    </row>
    <row r="5321" customFormat="false" ht="15" hidden="false" customHeight="false" outlineLevel="0" collapsed="false">
      <c r="A5321" s="0" t="s">
        <v>7059</v>
      </c>
      <c r="C5321" s="0" t="s">
        <v>41</v>
      </c>
      <c r="D5321" s="7" t="n">
        <v>931</v>
      </c>
      <c r="E5321" s="8" t="n">
        <v>0.0200214822771214</v>
      </c>
      <c r="F5321" s="4" t="n">
        <f aca="false">D5321*E5321</f>
        <v>18.64</v>
      </c>
      <c r="G5321" s="7" t="n">
        <v>60</v>
      </c>
      <c r="H5321" s="9" t="n">
        <f aca="false">IF(G5321&gt;0,D5321/G5321,"")</f>
        <v>15.5166666666667</v>
      </c>
      <c r="I5321" s="10" t="n">
        <v>46140</v>
      </c>
      <c r="J5321" s="3" t="s">
        <v>1315</v>
      </c>
      <c r="K5321" s="10" t="n">
        <v>45904</v>
      </c>
      <c r="L5321" s="3" t="s">
        <v>16</v>
      </c>
      <c r="M5321" s="7" t="n">
        <v>1000</v>
      </c>
      <c r="N5321" s="8" t="n">
        <v>0.02</v>
      </c>
      <c r="O5321" s="4" t="n">
        <f aca="false">M5321*N5321</f>
        <v>20</v>
      </c>
    </row>
    <row r="5322" customFormat="false" ht="15" hidden="false" customHeight="false" outlineLevel="0" collapsed="false">
      <c r="A5322" s="0" t="s">
        <v>7060</v>
      </c>
      <c r="C5322" s="0" t="s">
        <v>31</v>
      </c>
      <c r="D5322" s="7" t="n">
        <v>69</v>
      </c>
      <c r="E5322" s="8" t="n">
        <v>0.269710144927536</v>
      </c>
      <c r="F5322" s="4" t="n">
        <f aca="false">D5322*E5322</f>
        <v>18.61</v>
      </c>
      <c r="G5322" s="7" t="n">
        <v>14</v>
      </c>
      <c r="H5322" s="9" t="n">
        <f aca="false">IF(G5322&gt;0,D5322/G5322,"")</f>
        <v>4.92857142857143</v>
      </c>
      <c r="I5322" s="10" t="n">
        <v>46099</v>
      </c>
      <c r="K5322" s="10"/>
      <c r="M5322" s="7"/>
      <c r="N5322" s="8"/>
      <c r="O5322" s="4"/>
    </row>
    <row r="5323" customFormat="false" ht="15" hidden="false" customHeight="false" outlineLevel="0" collapsed="false">
      <c r="A5323" s="0" t="s">
        <v>7061</v>
      </c>
      <c r="C5323" s="0" t="s">
        <v>40</v>
      </c>
      <c r="D5323" s="7" t="n">
        <v>587</v>
      </c>
      <c r="E5323" s="8" t="n">
        <v>0.0317035775127768</v>
      </c>
      <c r="F5323" s="4" t="n">
        <f aca="false">D5323*E5323</f>
        <v>18.61</v>
      </c>
      <c r="G5323" s="7" t="n">
        <v>570</v>
      </c>
      <c r="H5323" s="9" t="n">
        <f aca="false">IF(G5323&gt;0,D5323/G5323,"")</f>
        <v>1.02982456140351</v>
      </c>
      <c r="I5323" s="10" t="n">
        <v>46225</v>
      </c>
      <c r="J5323" s="3" t="s">
        <v>5244</v>
      </c>
      <c r="K5323" s="10" t="n">
        <v>45821</v>
      </c>
      <c r="L5323" s="3" t="s">
        <v>18</v>
      </c>
      <c r="M5323" s="7" t="n">
        <v>1500</v>
      </c>
      <c r="N5323" s="8" t="n">
        <v>0.0317</v>
      </c>
      <c r="O5323" s="4" t="n">
        <f aca="false">M5323*N5323</f>
        <v>47.55</v>
      </c>
    </row>
    <row r="5324" customFormat="false" ht="15" hidden="false" customHeight="false" outlineLevel="0" collapsed="false">
      <c r="A5324" s="0" t="s">
        <v>7062</v>
      </c>
      <c r="D5324" s="7" t="n">
        <v>67</v>
      </c>
      <c r="E5324" s="8" t="n">
        <v>0.277761194029851</v>
      </c>
      <c r="F5324" s="4" t="n">
        <f aca="false">D5324*E5324</f>
        <v>18.61</v>
      </c>
      <c r="G5324" s="7" t="n">
        <v>5</v>
      </c>
      <c r="H5324" s="9" t="n">
        <f aca="false">IF(G5324&gt;0,D5324/G5324,"")</f>
        <v>13.4</v>
      </c>
      <c r="I5324" s="10" t="n">
        <v>46107</v>
      </c>
      <c r="J5324" s="3" t="s">
        <v>1651</v>
      </c>
      <c r="K5324" s="10" t="n">
        <v>46069</v>
      </c>
      <c r="L5324" s="3" t="s">
        <v>16</v>
      </c>
      <c r="M5324" s="7" t="n">
        <v>72</v>
      </c>
      <c r="N5324" s="8" t="n">
        <v>0.277778</v>
      </c>
      <c r="O5324" s="4" t="n">
        <f aca="false">M5324*N5324</f>
        <v>20.000016</v>
      </c>
    </row>
    <row r="5325" customFormat="false" ht="15" hidden="false" customHeight="false" outlineLevel="0" collapsed="false">
      <c r="A5325" s="0" t="s">
        <v>7063</v>
      </c>
      <c r="C5325" s="0" t="s">
        <v>2515</v>
      </c>
      <c r="D5325" s="7" t="n">
        <v>8</v>
      </c>
      <c r="E5325" s="8" t="n">
        <v>2.325</v>
      </c>
      <c r="F5325" s="4" t="n">
        <f aca="false">D5325*E5325</f>
        <v>18.6</v>
      </c>
      <c r="G5325" s="7" t="n">
        <v>1</v>
      </c>
      <c r="H5325" s="9" t="n">
        <f aca="false">IF(G5325&gt;0,D5325/G5325,"")</f>
        <v>8</v>
      </c>
      <c r="I5325" s="10" t="n">
        <v>46178</v>
      </c>
      <c r="K5325" s="10"/>
      <c r="M5325" s="7"/>
      <c r="N5325" s="8"/>
      <c r="O5325" s="4"/>
    </row>
    <row r="5326" customFormat="false" ht="15" hidden="false" customHeight="false" outlineLevel="0" collapsed="false">
      <c r="A5326" s="0" t="s">
        <v>7064</v>
      </c>
      <c r="C5326" s="0" t="s">
        <v>31</v>
      </c>
      <c r="D5326" s="7" t="n">
        <v>1416</v>
      </c>
      <c r="E5326" s="8" t="n">
        <v>0.0131214689265537</v>
      </c>
      <c r="F5326" s="4" t="n">
        <f aca="false">D5326*E5326</f>
        <v>18.58</v>
      </c>
      <c r="G5326" s="7" t="n">
        <v>702</v>
      </c>
      <c r="H5326" s="9" t="n">
        <f aca="false">IF(G5326&gt;0,D5326/G5326,"")</f>
        <v>2.01709401709402</v>
      </c>
      <c r="I5326" s="10" t="n">
        <v>46317</v>
      </c>
      <c r="J5326" s="3" t="s">
        <v>7065</v>
      </c>
      <c r="K5326" s="10" t="n">
        <v>45093</v>
      </c>
      <c r="L5326" s="3" t="s">
        <v>15</v>
      </c>
      <c r="M5326" s="7" t="n">
        <v>2500</v>
      </c>
      <c r="N5326" s="8" t="n">
        <v>0.01312</v>
      </c>
      <c r="O5326" s="4" t="n">
        <f aca="false">M5326*N5326</f>
        <v>32.8</v>
      </c>
    </row>
    <row r="5327" customFormat="false" ht="15" hidden="false" customHeight="false" outlineLevel="0" collapsed="false">
      <c r="A5327" s="0" t="s">
        <v>7066</v>
      </c>
      <c r="C5327" s="0" t="s">
        <v>31</v>
      </c>
      <c r="D5327" s="7" t="n">
        <v>774</v>
      </c>
      <c r="E5327" s="8" t="n">
        <v>0.0240051679586563</v>
      </c>
      <c r="F5327" s="4" t="n">
        <f aca="false">D5327*E5327</f>
        <v>18.58</v>
      </c>
      <c r="G5327" s="7" t="n">
        <v>176</v>
      </c>
      <c r="H5327" s="9" t="n">
        <f aca="false">IF(G5327&gt;0,D5327/G5327,"")</f>
        <v>4.39772727272727</v>
      </c>
      <c r="I5327" s="10" t="n">
        <v>46304</v>
      </c>
      <c r="J5327" s="3" t="s">
        <v>6879</v>
      </c>
      <c r="K5327" s="10" t="n">
        <v>45956</v>
      </c>
      <c r="L5327" s="3" t="s">
        <v>19</v>
      </c>
      <c r="M5327" s="7" t="n">
        <v>1000</v>
      </c>
      <c r="N5327" s="8" t="n">
        <v>0.024</v>
      </c>
      <c r="O5327" s="4" t="n">
        <f aca="false">M5327*N5327</f>
        <v>24</v>
      </c>
    </row>
    <row r="5328" customFormat="false" ht="15" hidden="false" customHeight="false" outlineLevel="0" collapsed="false">
      <c r="A5328" s="0" t="s">
        <v>7067</v>
      </c>
      <c r="C5328" s="0" t="s">
        <v>41</v>
      </c>
      <c r="D5328" s="7" t="n">
        <v>1673</v>
      </c>
      <c r="E5328" s="8" t="n">
        <v>0.0111057979677227</v>
      </c>
      <c r="F5328" s="4" t="n">
        <f aca="false">D5328*E5328</f>
        <v>18.58</v>
      </c>
      <c r="G5328" s="7" t="n">
        <v>320</v>
      </c>
      <c r="H5328" s="9" t="n">
        <f aca="false">IF(G5328&gt;0,D5328/G5328,"")</f>
        <v>5.228125</v>
      </c>
      <c r="I5328" s="10" t="n">
        <v>46311</v>
      </c>
      <c r="J5328" s="3" t="s">
        <v>75</v>
      </c>
      <c r="K5328" s="10" t="n">
        <v>44385</v>
      </c>
      <c r="L5328" s="3" t="s">
        <v>15</v>
      </c>
      <c r="M5328" s="7" t="n">
        <v>2700</v>
      </c>
      <c r="N5328" s="8" t="n">
        <v>0.01111</v>
      </c>
      <c r="O5328" s="4" t="n">
        <f aca="false">M5328*N5328</f>
        <v>29.997</v>
      </c>
    </row>
    <row r="5329" customFormat="false" ht="15" hidden="false" customHeight="false" outlineLevel="0" collapsed="false">
      <c r="A5329" s="0" t="s">
        <v>7068</v>
      </c>
      <c r="C5329" s="0" t="s">
        <v>715</v>
      </c>
      <c r="D5329" s="7" t="n">
        <v>562</v>
      </c>
      <c r="E5329" s="8" t="n">
        <v>0.0330604982206406</v>
      </c>
      <c r="F5329" s="4" t="n">
        <f aca="false">D5329*E5329</f>
        <v>18.58</v>
      </c>
      <c r="G5329" s="7" t="n">
        <v>240</v>
      </c>
      <c r="H5329" s="9" t="n">
        <f aca="false">IF(G5329&gt;0,D5329/G5329,"")</f>
        <v>2.34166666666667</v>
      </c>
      <c r="I5329" s="10" t="n">
        <v>46147</v>
      </c>
      <c r="J5329" s="3" t="s">
        <v>1819</v>
      </c>
      <c r="K5329" s="10" t="n">
        <v>46097</v>
      </c>
      <c r="L5329" s="3" t="s">
        <v>14</v>
      </c>
      <c r="M5329" s="7" t="n">
        <v>250</v>
      </c>
      <c r="N5329" s="8" t="n">
        <v>0.0596</v>
      </c>
      <c r="O5329" s="4" t="n">
        <f aca="false">M5329*N5329</f>
        <v>14.9</v>
      </c>
    </row>
    <row r="5330" customFormat="false" ht="15" hidden="false" customHeight="false" outlineLevel="0" collapsed="false">
      <c r="A5330" s="0" t="s">
        <v>7069</v>
      </c>
      <c r="C5330" s="0" t="s">
        <v>31</v>
      </c>
      <c r="D5330" s="7" t="n">
        <v>1536</v>
      </c>
      <c r="E5330" s="8" t="n">
        <v>0.0120963541666667</v>
      </c>
      <c r="F5330" s="4" t="n">
        <f aca="false">D5330*E5330</f>
        <v>18.58</v>
      </c>
      <c r="G5330" s="7" t="n">
        <v>329</v>
      </c>
      <c r="H5330" s="9" t="n">
        <f aca="false">IF(G5330&gt;0,D5330/G5330,"")</f>
        <v>4.66869300911854</v>
      </c>
      <c r="I5330" s="10" t="n">
        <v>46315</v>
      </c>
      <c r="J5330" s="3" t="s">
        <v>7070</v>
      </c>
      <c r="K5330" s="10" t="n">
        <v>45254</v>
      </c>
      <c r="L5330" s="3" t="s">
        <v>19</v>
      </c>
      <c r="M5330" s="7" t="n">
        <v>2500</v>
      </c>
      <c r="N5330" s="8" t="n">
        <v>0.0121</v>
      </c>
      <c r="O5330" s="4" t="n">
        <f aca="false">M5330*N5330</f>
        <v>30.25</v>
      </c>
    </row>
    <row r="5331" customFormat="false" ht="15" hidden="false" customHeight="false" outlineLevel="0" collapsed="false">
      <c r="A5331" s="0" t="s">
        <v>7071</v>
      </c>
      <c r="D5331" s="7" t="n">
        <v>63</v>
      </c>
      <c r="E5331" s="8" t="n">
        <v>0.294603174603175</v>
      </c>
      <c r="F5331" s="4" t="n">
        <f aca="false">D5331*E5331</f>
        <v>18.56</v>
      </c>
      <c r="G5331" s="7" t="n">
        <v>10</v>
      </c>
      <c r="H5331" s="9" t="n">
        <f aca="false">IF(G5331&gt;0,D5331/G5331,"")</f>
        <v>6.3</v>
      </c>
      <c r="I5331" s="10" t="n">
        <v>46300</v>
      </c>
      <c r="J5331" s="3" t="s">
        <v>7072</v>
      </c>
      <c r="K5331" s="10" t="n">
        <v>44512</v>
      </c>
      <c r="L5331" s="3" t="s">
        <v>936</v>
      </c>
      <c r="M5331" s="7" t="n">
        <v>250</v>
      </c>
      <c r="N5331" s="8" t="n">
        <v>0.2944</v>
      </c>
      <c r="O5331" s="4" t="n">
        <f aca="false">M5331*N5331</f>
        <v>73.6</v>
      </c>
    </row>
    <row r="5332" customFormat="false" ht="15" hidden="false" customHeight="false" outlineLevel="0" collapsed="false">
      <c r="A5332" s="0" t="s">
        <v>7073</v>
      </c>
      <c r="C5332" s="0" t="s">
        <v>855</v>
      </c>
      <c r="D5332" s="7" t="n">
        <v>928</v>
      </c>
      <c r="E5332" s="8" t="n">
        <v>0.02</v>
      </c>
      <c r="F5332" s="4" t="n">
        <f aca="false">D5332*E5332</f>
        <v>18.56</v>
      </c>
      <c r="G5332" s="7" t="n">
        <v>164</v>
      </c>
      <c r="H5332" s="9" t="n">
        <f aca="false">IF(G5332&gt;0,D5332/G5332,"")</f>
        <v>5.65853658536585</v>
      </c>
      <c r="I5332" s="10" t="n">
        <v>46268</v>
      </c>
      <c r="J5332" s="3" t="s">
        <v>2502</v>
      </c>
      <c r="K5332" s="10" t="n">
        <v>46175</v>
      </c>
      <c r="L5332" s="3" t="s">
        <v>16</v>
      </c>
      <c r="M5332" s="7" t="n">
        <v>1000</v>
      </c>
      <c r="N5332" s="8" t="n">
        <v>0.02</v>
      </c>
      <c r="O5332" s="4" t="n">
        <f aca="false">M5332*N5332</f>
        <v>20</v>
      </c>
    </row>
    <row r="5333" customFormat="false" ht="15" hidden="false" customHeight="false" outlineLevel="0" collapsed="false">
      <c r="A5333" s="0" t="s">
        <v>7074</v>
      </c>
      <c r="C5333" s="0" t="s">
        <v>31</v>
      </c>
      <c r="D5333" s="7" t="n">
        <v>2944</v>
      </c>
      <c r="E5333" s="8" t="n">
        <v>0.00630095108695652</v>
      </c>
      <c r="F5333" s="4" t="n">
        <f aca="false">D5333*E5333</f>
        <v>18.55</v>
      </c>
      <c r="G5333" s="7" t="n">
        <v>630</v>
      </c>
      <c r="H5333" s="9" t="n">
        <f aca="false">IF(G5333&gt;0,D5333/G5333,"")</f>
        <v>4.67301587301587</v>
      </c>
      <c r="I5333" s="10" t="n">
        <v>46239</v>
      </c>
      <c r="J5333" s="3" t="s">
        <v>467</v>
      </c>
      <c r="K5333" s="10" t="n">
        <v>45967</v>
      </c>
      <c r="L5333" s="3" t="s">
        <v>14</v>
      </c>
      <c r="M5333" s="7" t="n">
        <v>3624</v>
      </c>
      <c r="N5333" s="8" t="n">
        <v>0.0063</v>
      </c>
      <c r="O5333" s="4" t="n">
        <f aca="false">M5333*N5333</f>
        <v>22.8312</v>
      </c>
    </row>
    <row r="5334" customFormat="false" ht="15" hidden="false" customHeight="false" outlineLevel="0" collapsed="false">
      <c r="A5334" s="0" t="s">
        <v>7075</v>
      </c>
      <c r="C5334" s="0" t="s">
        <v>34</v>
      </c>
      <c r="D5334" s="7" t="n">
        <v>395</v>
      </c>
      <c r="E5334" s="8" t="n">
        <v>0.0469113924050633</v>
      </c>
      <c r="F5334" s="4" t="n">
        <f aca="false">D5334*E5334</f>
        <v>18.53</v>
      </c>
      <c r="G5334" s="7" t="n">
        <v>230</v>
      </c>
      <c r="H5334" s="9" t="n">
        <f aca="false">IF(G5334&gt;0,D5334/G5334,"")</f>
        <v>1.71739130434783</v>
      </c>
      <c r="I5334" s="10" t="n">
        <v>46261</v>
      </c>
      <c r="J5334" s="3" t="s">
        <v>1233</v>
      </c>
      <c r="K5334" s="10" t="n">
        <v>46069</v>
      </c>
      <c r="L5334" s="3" t="s">
        <v>14</v>
      </c>
      <c r="M5334" s="7" t="n">
        <v>556</v>
      </c>
      <c r="N5334" s="8" t="n">
        <v>0.0469</v>
      </c>
      <c r="O5334" s="4" t="n">
        <f aca="false">M5334*N5334</f>
        <v>26.0764</v>
      </c>
    </row>
    <row r="5335" customFormat="false" ht="15" hidden="false" customHeight="false" outlineLevel="0" collapsed="false">
      <c r="A5335" s="0" t="s">
        <v>7076</v>
      </c>
      <c r="C5335" s="0" t="s">
        <v>298</v>
      </c>
      <c r="D5335" s="7" t="n">
        <v>21</v>
      </c>
      <c r="E5335" s="8" t="n">
        <v>0.881428571428572</v>
      </c>
      <c r="F5335" s="4" t="n">
        <f aca="false">D5335*E5335</f>
        <v>18.51</v>
      </c>
      <c r="G5335" s="7" t="n">
        <v>9</v>
      </c>
      <c r="H5335" s="9" t="n">
        <f aca="false">IF(G5335&gt;0,D5335/G5335,"")</f>
        <v>2.33333333333333</v>
      </c>
      <c r="I5335" s="10" t="n">
        <v>46037</v>
      </c>
      <c r="J5335" s="3" t="s">
        <v>4580</v>
      </c>
      <c r="K5335" s="10" t="n">
        <v>45215</v>
      </c>
      <c r="L5335" s="3" t="s">
        <v>14</v>
      </c>
      <c r="M5335" s="7" t="n">
        <v>60</v>
      </c>
      <c r="N5335" s="8" t="n">
        <v>0.8817</v>
      </c>
      <c r="O5335" s="4" t="n">
        <f aca="false">M5335*N5335</f>
        <v>52.902</v>
      </c>
    </row>
    <row r="5336" customFormat="false" ht="15" hidden="false" customHeight="false" outlineLevel="0" collapsed="false">
      <c r="A5336" s="0" t="s">
        <v>7077</v>
      </c>
      <c r="C5336" s="0" t="s">
        <v>38</v>
      </c>
      <c r="D5336" s="7" t="n">
        <v>131</v>
      </c>
      <c r="E5336" s="8" t="n">
        <v>0.141221374045802</v>
      </c>
      <c r="F5336" s="4" t="n">
        <f aca="false">D5336*E5336</f>
        <v>18.5</v>
      </c>
      <c r="G5336" s="7" t="n">
        <v>20</v>
      </c>
      <c r="H5336" s="9" t="n">
        <f aca="false">IF(G5336&gt;0,D5336/G5336,"")</f>
        <v>6.55</v>
      </c>
      <c r="I5336" s="10" t="n">
        <v>46066</v>
      </c>
      <c r="J5336" s="3" t="s">
        <v>6003</v>
      </c>
      <c r="K5336" s="10" t="n">
        <v>45581</v>
      </c>
      <c r="L5336" s="3" t="s">
        <v>14</v>
      </c>
      <c r="M5336" s="7" t="n">
        <v>200</v>
      </c>
      <c r="N5336" s="8" t="n">
        <v>0.1412</v>
      </c>
      <c r="O5336" s="4" t="n">
        <f aca="false">M5336*N5336</f>
        <v>28.24</v>
      </c>
    </row>
    <row r="5337" customFormat="false" ht="15" hidden="false" customHeight="false" outlineLevel="0" collapsed="false">
      <c r="A5337" s="0" t="s">
        <v>7078</v>
      </c>
      <c r="C5337" s="0" t="s">
        <v>1039</v>
      </c>
      <c r="D5337" s="7" t="n">
        <v>4306</v>
      </c>
      <c r="E5337" s="8" t="n">
        <v>0.00429633070134696</v>
      </c>
      <c r="F5337" s="4" t="n">
        <f aca="false">D5337*E5337</f>
        <v>18.5</v>
      </c>
      <c r="G5337" s="7" t="n">
        <v>649</v>
      </c>
      <c r="H5337" s="9" t="n">
        <f aca="false">IF(G5337&gt;0,D5337/G5337,"")</f>
        <v>6.63482280431433</v>
      </c>
      <c r="I5337" s="10" t="n">
        <v>46174</v>
      </c>
      <c r="J5337" s="3" t="s">
        <v>2780</v>
      </c>
      <c r="K5337" s="10" t="n">
        <v>46043</v>
      </c>
      <c r="L5337" s="3" t="s">
        <v>16</v>
      </c>
      <c r="M5337" s="7" t="n">
        <v>5000</v>
      </c>
      <c r="N5337" s="8" t="n">
        <v>0.0043</v>
      </c>
      <c r="O5337" s="4" t="n">
        <f aca="false">M5337*N5337</f>
        <v>21.5</v>
      </c>
    </row>
    <row r="5338" customFormat="false" ht="15" hidden="false" customHeight="false" outlineLevel="0" collapsed="false">
      <c r="A5338" s="0" t="s">
        <v>7079</v>
      </c>
      <c r="C5338" s="0" t="s">
        <v>34</v>
      </c>
      <c r="D5338" s="7" t="n">
        <v>49</v>
      </c>
      <c r="E5338" s="8" t="n">
        <v>0.377142857142857</v>
      </c>
      <c r="F5338" s="4" t="n">
        <f aca="false">D5338*E5338</f>
        <v>18.48</v>
      </c>
      <c r="G5338" s="7" t="n">
        <v>45</v>
      </c>
      <c r="H5338" s="9" t="n">
        <f aca="false">IF(G5338&gt;0,D5338/G5338,"")</f>
        <v>1.08888888888889</v>
      </c>
      <c r="I5338" s="10" t="n">
        <v>46139</v>
      </c>
      <c r="K5338" s="10"/>
      <c r="M5338" s="7"/>
      <c r="N5338" s="8"/>
      <c r="O5338" s="4"/>
    </row>
    <row r="5339" customFormat="false" ht="15" hidden="false" customHeight="false" outlineLevel="0" collapsed="false">
      <c r="A5339" s="0" t="s">
        <v>7080</v>
      </c>
      <c r="C5339" s="0" t="s">
        <v>31</v>
      </c>
      <c r="D5339" s="7" t="n">
        <v>1513</v>
      </c>
      <c r="E5339" s="8" t="n">
        <v>0.0122009253139458</v>
      </c>
      <c r="F5339" s="4" t="n">
        <f aca="false">D5339*E5339</f>
        <v>18.46</v>
      </c>
      <c r="G5339" s="7" t="n">
        <v>308</v>
      </c>
      <c r="H5339" s="9" t="n">
        <f aca="false">IF(G5339&gt;0,D5339/G5339,"")</f>
        <v>4.91233766233766</v>
      </c>
      <c r="I5339" s="10" t="n">
        <v>46294</v>
      </c>
      <c r="J5339" s="3" t="s">
        <v>2716</v>
      </c>
      <c r="K5339" s="10" t="n">
        <v>46160</v>
      </c>
      <c r="L5339" s="3" t="s">
        <v>16</v>
      </c>
      <c r="M5339" s="7" t="n">
        <v>1650</v>
      </c>
      <c r="N5339" s="8" t="n">
        <v>0.0122</v>
      </c>
      <c r="O5339" s="4" t="n">
        <f aca="false">M5339*N5339</f>
        <v>20.13</v>
      </c>
    </row>
    <row r="5340" customFormat="false" ht="15" hidden="false" customHeight="false" outlineLevel="0" collapsed="false">
      <c r="A5340" s="0" t="s">
        <v>7081</v>
      </c>
      <c r="C5340" s="0" t="s">
        <v>118</v>
      </c>
      <c r="D5340" s="7" t="n">
        <v>29</v>
      </c>
      <c r="E5340" s="8" t="n">
        <v>0.636206896551724</v>
      </c>
      <c r="F5340" s="4" t="n">
        <f aca="false">D5340*E5340</f>
        <v>18.45</v>
      </c>
      <c r="G5340" s="7" t="n">
        <v>12</v>
      </c>
      <c r="H5340" s="9" t="n">
        <f aca="false">IF(G5340&gt;0,D5340/G5340,"")</f>
        <v>2.41666666666667</v>
      </c>
      <c r="I5340" s="10" t="n">
        <v>46148</v>
      </c>
      <c r="J5340" s="3" t="s">
        <v>1849</v>
      </c>
      <c r="K5340" s="10" t="n">
        <v>44341</v>
      </c>
      <c r="L5340" s="3" t="s">
        <v>15</v>
      </c>
      <c r="M5340" s="7" t="n">
        <v>60</v>
      </c>
      <c r="N5340" s="8" t="n">
        <v>0.63605</v>
      </c>
      <c r="O5340" s="4" t="n">
        <f aca="false">M5340*N5340</f>
        <v>38.163</v>
      </c>
    </row>
    <row r="5341" customFormat="false" ht="15" hidden="false" customHeight="false" outlineLevel="0" collapsed="false">
      <c r="A5341" s="0" t="s">
        <v>7082</v>
      </c>
      <c r="C5341" s="0" t="s">
        <v>41</v>
      </c>
      <c r="D5341" s="7" t="n">
        <v>169</v>
      </c>
      <c r="E5341" s="8" t="n">
        <v>0.109112426035503</v>
      </c>
      <c r="F5341" s="4" t="n">
        <f aca="false">D5341*E5341</f>
        <v>18.44</v>
      </c>
      <c r="G5341" s="7" t="n">
        <v>70</v>
      </c>
      <c r="H5341" s="9" t="n">
        <f aca="false">IF(G5341&gt;0,D5341/G5341,"")</f>
        <v>2.41428571428571</v>
      </c>
      <c r="I5341" s="10" t="n">
        <v>46276</v>
      </c>
      <c r="J5341" s="3" t="s">
        <v>6781</v>
      </c>
      <c r="K5341" s="10" t="n">
        <v>44638</v>
      </c>
      <c r="L5341" s="3" t="s">
        <v>19</v>
      </c>
      <c r="M5341" s="7" t="n">
        <v>254</v>
      </c>
      <c r="N5341" s="8" t="n">
        <v>0</v>
      </c>
      <c r="O5341" s="4" t="n">
        <v>27.95</v>
      </c>
    </row>
    <row r="5342" customFormat="false" ht="15" hidden="false" customHeight="false" outlineLevel="0" collapsed="false">
      <c r="A5342" s="0" t="s">
        <v>7083</v>
      </c>
      <c r="C5342" s="0" t="s">
        <v>31</v>
      </c>
      <c r="D5342" s="7" t="n">
        <v>97</v>
      </c>
      <c r="E5342" s="8" t="n">
        <v>0.19</v>
      </c>
      <c r="F5342" s="4" t="n">
        <f aca="false">D5342*E5342</f>
        <v>18.43</v>
      </c>
      <c r="G5342" s="7" t="n">
        <v>15</v>
      </c>
      <c r="H5342" s="9" t="n">
        <f aca="false">IF(G5342&gt;0,D5342/G5342,"")</f>
        <v>6.46666666666667</v>
      </c>
      <c r="I5342" s="10" t="n">
        <v>46174</v>
      </c>
      <c r="K5342" s="10"/>
      <c r="M5342" s="7"/>
      <c r="N5342" s="8"/>
      <c r="O5342" s="4"/>
    </row>
    <row r="5343" customFormat="false" ht="15" hidden="false" customHeight="false" outlineLevel="0" collapsed="false">
      <c r="A5343" s="0" t="s">
        <v>7084</v>
      </c>
      <c r="C5343" s="0" t="s">
        <v>35</v>
      </c>
      <c r="D5343" s="7" t="n">
        <v>11</v>
      </c>
      <c r="E5343" s="8" t="n">
        <v>1.67181818181818</v>
      </c>
      <c r="F5343" s="4" t="n">
        <f aca="false">D5343*E5343</f>
        <v>18.39</v>
      </c>
      <c r="G5343" s="7" t="n">
        <v>1</v>
      </c>
      <c r="H5343" s="9" t="n">
        <f aca="false">IF(G5343&gt;0,D5343/G5343,"")</f>
        <v>11</v>
      </c>
      <c r="I5343" s="10" t="n">
        <v>45996</v>
      </c>
      <c r="J5343" s="3" t="s">
        <v>886</v>
      </c>
      <c r="K5343" s="10" t="n">
        <v>44293</v>
      </c>
      <c r="L5343" s="3" t="s">
        <v>15</v>
      </c>
      <c r="M5343" s="7" t="n">
        <v>27</v>
      </c>
      <c r="N5343" s="8" t="n">
        <v>1.6712</v>
      </c>
      <c r="O5343" s="4" t="n">
        <f aca="false">M5343*N5343</f>
        <v>45.1224</v>
      </c>
    </row>
    <row r="5344" customFormat="false" ht="15" hidden="false" customHeight="false" outlineLevel="0" collapsed="false">
      <c r="A5344" s="0" t="s">
        <v>7085</v>
      </c>
      <c r="C5344" s="0" t="s">
        <v>31</v>
      </c>
      <c r="D5344" s="7" t="n">
        <v>363</v>
      </c>
      <c r="E5344" s="8" t="n">
        <v>0.050633608815427</v>
      </c>
      <c r="F5344" s="4" t="n">
        <f aca="false">D5344*E5344</f>
        <v>18.38</v>
      </c>
      <c r="G5344" s="7" t="n">
        <v>18</v>
      </c>
      <c r="H5344" s="9" t="n">
        <f aca="false">IF(G5344&gt;0,D5344/G5344,"")</f>
        <v>20.1666666666667</v>
      </c>
      <c r="I5344" s="10" t="n">
        <v>46266</v>
      </c>
      <c r="J5344" s="3" t="s">
        <v>2777</v>
      </c>
      <c r="K5344" s="10" t="n">
        <v>45763</v>
      </c>
      <c r="L5344" s="3" t="s">
        <v>16</v>
      </c>
      <c r="M5344" s="7" t="n">
        <v>381</v>
      </c>
      <c r="N5344" s="8" t="n">
        <v>0.0506329</v>
      </c>
      <c r="O5344" s="4" t="n">
        <f aca="false">M5344*N5344</f>
        <v>19.2911349</v>
      </c>
    </row>
    <row r="5345" customFormat="false" ht="15" hidden="false" customHeight="false" outlineLevel="0" collapsed="false">
      <c r="A5345" s="0" t="s">
        <v>7086</v>
      </c>
      <c r="C5345" s="0" t="s">
        <v>36</v>
      </c>
      <c r="D5345" s="7" t="n">
        <v>21</v>
      </c>
      <c r="E5345" s="8" t="n">
        <v>0.874761904761905</v>
      </c>
      <c r="F5345" s="4" t="n">
        <f aca="false">D5345*E5345</f>
        <v>18.37</v>
      </c>
      <c r="G5345" s="7" t="n">
        <v>5</v>
      </c>
      <c r="H5345" s="9" t="n">
        <f aca="false">IF(G5345&gt;0,D5345/G5345,"")</f>
        <v>4.2</v>
      </c>
      <c r="I5345" s="10" t="n">
        <v>46317</v>
      </c>
      <c r="K5345" s="10"/>
      <c r="M5345" s="7"/>
      <c r="N5345" s="8"/>
      <c r="O5345" s="4"/>
    </row>
    <row r="5346" customFormat="false" ht="15" hidden="false" customHeight="false" outlineLevel="0" collapsed="false">
      <c r="A5346" s="0" t="s">
        <v>7087</v>
      </c>
      <c r="C5346" s="0" t="s">
        <v>855</v>
      </c>
      <c r="D5346" s="7" t="n">
        <v>153</v>
      </c>
      <c r="E5346" s="8" t="n">
        <v>0.12</v>
      </c>
      <c r="F5346" s="4" t="n">
        <f aca="false">D5346*E5346</f>
        <v>18.36</v>
      </c>
      <c r="G5346" s="7" t="n">
        <v>25</v>
      </c>
      <c r="H5346" s="9" t="n">
        <f aca="false">IF(G5346&gt;0,D5346/G5346,"")</f>
        <v>6.12</v>
      </c>
      <c r="I5346" s="10" t="n">
        <v>46066</v>
      </c>
      <c r="K5346" s="10"/>
      <c r="M5346" s="7"/>
      <c r="N5346" s="8"/>
      <c r="O5346" s="4"/>
    </row>
    <row r="5347" customFormat="false" ht="15" hidden="false" customHeight="false" outlineLevel="0" collapsed="false">
      <c r="A5347" s="0" t="s">
        <v>7088</v>
      </c>
      <c r="C5347" s="0" t="s">
        <v>765</v>
      </c>
      <c r="D5347" s="7" t="n">
        <v>136</v>
      </c>
      <c r="E5347" s="8" t="n">
        <v>0.135</v>
      </c>
      <c r="F5347" s="4" t="n">
        <f aca="false">D5347*E5347</f>
        <v>18.36</v>
      </c>
      <c r="G5347" s="7" t="n">
        <v>5</v>
      </c>
      <c r="H5347" s="9" t="n">
        <f aca="false">IF(G5347&gt;0,D5347/G5347,"")</f>
        <v>27.2</v>
      </c>
      <c r="I5347" s="10" t="n">
        <v>46308</v>
      </c>
      <c r="K5347" s="10"/>
      <c r="M5347" s="7"/>
      <c r="N5347" s="8"/>
      <c r="O5347" s="4"/>
    </row>
    <row r="5348" customFormat="false" ht="15" hidden="false" customHeight="false" outlineLevel="0" collapsed="false">
      <c r="A5348" s="0" t="s">
        <v>7089</v>
      </c>
      <c r="C5348" s="0" t="s">
        <v>1169</v>
      </c>
      <c r="D5348" s="7" t="n">
        <v>30</v>
      </c>
      <c r="E5348" s="8" t="n">
        <v>0.611666666666667</v>
      </c>
      <c r="F5348" s="4" t="n">
        <f aca="false">D5348*E5348</f>
        <v>18.35</v>
      </c>
      <c r="G5348" s="7" t="n">
        <v>12</v>
      </c>
      <c r="H5348" s="9" t="n">
        <f aca="false">IF(G5348&gt;0,D5348/G5348,"")</f>
        <v>2.5</v>
      </c>
      <c r="I5348" s="10" t="n">
        <v>46189</v>
      </c>
      <c r="J5348" s="3" t="s">
        <v>658</v>
      </c>
      <c r="K5348" s="10" t="n">
        <v>45552</v>
      </c>
      <c r="L5348" s="3" t="s">
        <v>14</v>
      </c>
      <c r="M5348" s="7" t="n">
        <v>50</v>
      </c>
      <c r="N5348" s="8" t="n">
        <v>0.6118</v>
      </c>
      <c r="O5348" s="4" t="n">
        <f aca="false">M5348*N5348</f>
        <v>30.59</v>
      </c>
    </row>
    <row r="5349" customFormat="false" ht="15" hidden="false" customHeight="false" outlineLevel="0" collapsed="false">
      <c r="A5349" s="0" t="s">
        <v>7090</v>
      </c>
      <c r="C5349" s="0" t="s">
        <v>340</v>
      </c>
      <c r="D5349" s="7" t="n">
        <v>486</v>
      </c>
      <c r="E5349" s="8" t="n">
        <v>0.0376954732510288</v>
      </c>
      <c r="F5349" s="4" t="n">
        <f aca="false">D5349*E5349</f>
        <v>18.32</v>
      </c>
      <c r="G5349" s="7" t="n">
        <v>176</v>
      </c>
      <c r="H5349" s="9" t="n">
        <f aca="false">IF(G5349&gt;0,D5349/G5349,"")</f>
        <v>2.76136363636364</v>
      </c>
      <c r="I5349" s="10" t="n">
        <v>46289</v>
      </c>
      <c r="J5349" s="3" t="s">
        <v>4801</v>
      </c>
      <c r="K5349" s="10" t="n">
        <v>46290</v>
      </c>
      <c r="L5349" s="3" t="s">
        <v>16</v>
      </c>
      <c r="M5349" s="7" t="n">
        <v>3100</v>
      </c>
      <c r="N5349" s="8" t="n">
        <v>0.026</v>
      </c>
      <c r="O5349" s="4" t="n">
        <f aca="false">M5349*N5349</f>
        <v>80.6</v>
      </c>
    </row>
    <row r="5350" customFormat="false" ht="15" hidden="false" customHeight="false" outlineLevel="0" collapsed="false">
      <c r="A5350" s="0" t="s">
        <v>7091</v>
      </c>
      <c r="C5350" s="0" t="s">
        <v>41</v>
      </c>
      <c r="D5350" s="7" t="n">
        <v>326</v>
      </c>
      <c r="E5350" s="8" t="n">
        <v>0.0561042944785276</v>
      </c>
      <c r="F5350" s="4" t="n">
        <f aca="false">D5350*E5350</f>
        <v>18.29</v>
      </c>
      <c r="G5350" s="7" t="n">
        <v>110</v>
      </c>
      <c r="H5350" s="9" t="n">
        <f aca="false">IF(G5350&gt;0,D5350/G5350,"")</f>
        <v>2.96363636363636</v>
      </c>
      <c r="I5350" s="10" t="n">
        <v>46003</v>
      </c>
      <c r="J5350" s="3" t="s">
        <v>5154</v>
      </c>
      <c r="K5350" s="10" t="n">
        <v>45334</v>
      </c>
      <c r="L5350" s="3" t="s">
        <v>19</v>
      </c>
      <c r="M5350" s="7" t="n">
        <v>500</v>
      </c>
      <c r="N5350" s="8" t="n">
        <v>0.0552</v>
      </c>
      <c r="O5350" s="4" t="n">
        <f aca="false">M5350*N5350</f>
        <v>27.6</v>
      </c>
    </row>
    <row r="5351" customFormat="false" ht="15" hidden="false" customHeight="false" outlineLevel="0" collapsed="false">
      <c r="A5351" s="0" t="s">
        <v>7092</v>
      </c>
      <c r="D5351" s="7" t="n">
        <v>54</v>
      </c>
      <c r="E5351" s="8" t="n">
        <v>0.337777777777778</v>
      </c>
      <c r="F5351" s="4" t="n">
        <f aca="false">D5351*E5351</f>
        <v>18.24</v>
      </c>
      <c r="G5351" s="7" t="n">
        <v>22</v>
      </c>
      <c r="H5351" s="9" t="n">
        <f aca="false">IF(G5351&gt;0,D5351/G5351,"")</f>
        <v>2.45454545454545</v>
      </c>
      <c r="I5351" s="10" t="n">
        <v>46219</v>
      </c>
      <c r="J5351" s="3" t="s">
        <v>7093</v>
      </c>
      <c r="K5351" s="10" t="n">
        <v>45719</v>
      </c>
      <c r="L5351" s="3" t="s">
        <v>14</v>
      </c>
      <c r="M5351" s="7" t="n">
        <v>100</v>
      </c>
      <c r="N5351" s="8" t="n">
        <v>0.3379</v>
      </c>
      <c r="O5351" s="4" t="n">
        <f aca="false">M5351*N5351</f>
        <v>33.79</v>
      </c>
    </row>
    <row r="5352" customFormat="false" ht="15" hidden="false" customHeight="false" outlineLevel="0" collapsed="false">
      <c r="A5352" s="0" t="s">
        <v>7094</v>
      </c>
      <c r="C5352" s="0" t="s">
        <v>765</v>
      </c>
      <c r="D5352" s="7" t="n">
        <v>25</v>
      </c>
      <c r="E5352" s="8" t="n">
        <v>0.7296</v>
      </c>
      <c r="F5352" s="4" t="n">
        <f aca="false">D5352*E5352</f>
        <v>18.24</v>
      </c>
      <c r="G5352" s="7" t="n">
        <v>15</v>
      </c>
      <c r="H5352" s="9" t="n">
        <f aca="false">IF(G5352&gt;0,D5352/G5352,"")</f>
        <v>1.66666666666667</v>
      </c>
      <c r="I5352" s="10" t="n">
        <v>46294</v>
      </c>
      <c r="J5352" s="3" t="s">
        <v>1435</v>
      </c>
      <c r="K5352" s="10" t="n">
        <v>45810</v>
      </c>
      <c r="L5352" s="3" t="s">
        <v>14</v>
      </c>
      <c r="M5352" s="7" t="n">
        <v>100</v>
      </c>
      <c r="N5352" s="8" t="n">
        <v>0.7295</v>
      </c>
      <c r="O5352" s="4" t="n">
        <f aca="false">M5352*N5352</f>
        <v>72.95</v>
      </c>
    </row>
    <row r="5353" customFormat="false" ht="15" hidden="false" customHeight="false" outlineLevel="0" collapsed="false">
      <c r="A5353" s="0" t="s">
        <v>7095</v>
      </c>
      <c r="C5353" s="0" t="s">
        <v>34</v>
      </c>
      <c r="D5353" s="7" t="n">
        <v>346</v>
      </c>
      <c r="E5353" s="8" t="n">
        <v>0.0527167630057804</v>
      </c>
      <c r="F5353" s="4" t="n">
        <f aca="false">D5353*E5353</f>
        <v>18.24</v>
      </c>
      <c r="G5353" s="7" t="n">
        <v>107</v>
      </c>
      <c r="H5353" s="9" t="n">
        <f aca="false">IF(G5353&gt;0,D5353/G5353,"")</f>
        <v>3.23364485981308</v>
      </c>
      <c r="I5353" s="10" t="n">
        <v>46290</v>
      </c>
      <c r="J5353" s="3" t="s">
        <v>523</v>
      </c>
      <c r="K5353" s="10" t="n">
        <v>46148</v>
      </c>
      <c r="L5353" s="3" t="s">
        <v>16</v>
      </c>
      <c r="M5353" s="7" t="n">
        <v>380</v>
      </c>
      <c r="N5353" s="8" t="n">
        <v>0.0527</v>
      </c>
      <c r="O5353" s="4" t="n">
        <f aca="false">M5353*N5353</f>
        <v>20.026</v>
      </c>
    </row>
    <row r="5354" customFormat="false" ht="15" hidden="false" customHeight="false" outlineLevel="0" collapsed="false">
      <c r="A5354" s="0" t="s">
        <v>7096</v>
      </c>
      <c r="C5354" s="0" t="s">
        <v>4363</v>
      </c>
      <c r="D5354" s="7" t="n">
        <v>2</v>
      </c>
      <c r="E5354" s="8" t="n">
        <v>9.12</v>
      </c>
      <c r="F5354" s="4" t="n">
        <f aca="false">D5354*E5354</f>
        <v>18.24</v>
      </c>
      <c r="G5354" s="7" t="n">
        <v>1</v>
      </c>
      <c r="H5354" s="9" t="n">
        <f aca="false">IF(G5354&gt;0,D5354/G5354,"")</f>
        <v>2</v>
      </c>
      <c r="I5354" s="10" t="n">
        <v>45978</v>
      </c>
      <c r="J5354" s="3" t="s">
        <v>7097</v>
      </c>
      <c r="K5354" s="10" t="n">
        <v>44370</v>
      </c>
      <c r="L5354" s="3" t="s">
        <v>4365</v>
      </c>
      <c r="M5354" s="7" t="n">
        <v>10</v>
      </c>
      <c r="N5354" s="8" t="n">
        <v>9.12</v>
      </c>
      <c r="O5354" s="4" t="n">
        <f aca="false">M5354*N5354</f>
        <v>91.2</v>
      </c>
    </row>
    <row r="5355" customFormat="false" ht="15" hidden="false" customHeight="false" outlineLevel="0" collapsed="false">
      <c r="A5355" s="0" t="s">
        <v>7098</v>
      </c>
      <c r="C5355" s="0" t="s">
        <v>34</v>
      </c>
      <c r="D5355" s="7" t="n">
        <v>113</v>
      </c>
      <c r="E5355" s="8" t="n">
        <v>0.161327433628319</v>
      </c>
      <c r="F5355" s="4" t="n">
        <f aca="false">D5355*E5355</f>
        <v>18.23</v>
      </c>
      <c r="G5355" s="7" t="n">
        <v>72</v>
      </c>
      <c r="H5355" s="9" t="n">
        <f aca="false">IF(G5355&gt;0,D5355/G5355,"")</f>
        <v>1.56944444444444</v>
      </c>
      <c r="I5355" s="10" t="n">
        <v>46174</v>
      </c>
      <c r="J5355" s="3" t="s">
        <v>6235</v>
      </c>
      <c r="K5355" s="10" t="n">
        <v>44210</v>
      </c>
      <c r="L5355" s="3" t="s">
        <v>19</v>
      </c>
      <c r="M5355" s="7" t="n">
        <v>250</v>
      </c>
      <c r="N5355" s="8" t="n">
        <v>0.1614</v>
      </c>
      <c r="O5355" s="4" t="n">
        <f aca="false">M5355*N5355</f>
        <v>40.35</v>
      </c>
    </row>
    <row r="5356" customFormat="false" ht="15" hidden="false" customHeight="false" outlineLevel="0" collapsed="false">
      <c r="A5356" s="0" t="s">
        <v>7099</v>
      </c>
      <c r="C5356" s="0" t="s">
        <v>32</v>
      </c>
      <c r="D5356" s="7" t="n">
        <v>90</v>
      </c>
      <c r="E5356" s="8" t="n">
        <v>0.202222222222222</v>
      </c>
      <c r="F5356" s="4" t="n">
        <f aca="false">D5356*E5356</f>
        <v>18.2</v>
      </c>
      <c r="G5356" s="7" t="n">
        <v>57</v>
      </c>
      <c r="H5356" s="9" t="n">
        <f aca="false">IF(G5356&gt;0,D5356/G5356,"")</f>
        <v>1.57894736842105</v>
      </c>
      <c r="I5356" s="10" t="n">
        <v>46101</v>
      </c>
      <c r="J5356" s="3" t="s">
        <v>2014</v>
      </c>
      <c r="K5356" s="10" t="n">
        <v>44246</v>
      </c>
      <c r="L5356" s="3" t="s">
        <v>18</v>
      </c>
      <c r="M5356" s="7" t="n">
        <v>490</v>
      </c>
      <c r="N5356" s="8" t="n">
        <v>0.2021</v>
      </c>
      <c r="O5356" s="4" t="n">
        <f aca="false">M5356*N5356</f>
        <v>99.029</v>
      </c>
    </row>
    <row r="5357" customFormat="false" ht="15" hidden="false" customHeight="false" outlineLevel="0" collapsed="false">
      <c r="A5357" s="0" t="s">
        <v>7100</v>
      </c>
      <c r="C5357" s="0" t="s">
        <v>2569</v>
      </c>
      <c r="D5357" s="7" t="n">
        <v>13</v>
      </c>
      <c r="E5357" s="8" t="n">
        <v>1.4</v>
      </c>
      <c r="F5357" s="4" t="n">
        <f aca="false">D5357*E5357</f>
        <v>18.2</v>
      </c>
      <c r="G5357" s="7" t="n">
        <v>11</v>
      </c>
      <c r="H5357" s="9" t="n">
        <f aca="false">IF(G5357&gt;0,D5357/G5357,"")</f>
        <v>1.18181818181818</v>
      </c>
      <c r="I5357" s="10" t="n">
        <v>46314</v>
      </c>
      <c r="J5357" s="3" t="s">
        <v>1609</v>
      </c>
      <c r="K5357" s="10" t="n">
        <v>45659</v>
      </c>
      <c r="L5357" s="3" t="s">
        <v>313</v>
      </c>
      <c r="M5357" s="7" t="n">
        <v>25</v>
      </c>
      <c r="N5357" s="8" t="n">
        <v>1.4</v>
      </c>
      <c r="O5357" s="4" t="n">
        <f aca="false">M5357*N5357</f>
        <v>35</v>
      </c>
    </row>
    <row r="5358" customFormat="false" ht="15" hidden="false" customHeight="false" outlineLevel="0" collapsed="false">
      <c r="A5358" s="0" t="s">
        <v>7101</v>
      </c>
      <c r="C5358" s="0" t="s">
        <v>118</v>
      </c>
      <c r="D5358" s="7" t="n">
        <v>66</v>
      </c>
      <c r="E5358" s="8" t="n">
        <v>0.275606060606061</v>
      </c>
      <c r="F5358" s="4" t="n">
        <f aca="false">D5358*E5358</f>
        <v>18.19</v>
      </c>
      <c r="G5358" s="7" t="n">
        <v>12</v>
      </c>
      <c r="H5358" s="9" t="n">
        <f aca="false">IF(G5358&gt;0,D5358/G5358,"")</f>
        <v>5.5</v>
      </c>
      <c r="I5358" s="10" t="n">
        <v>46111</v>
      </c>
      <c r="J5358" s="3" t="s">
        <v>7102</v>
      </c>
      <c r="K5358" s="10" t="n">
        <v>45796</v>
      </c>
      <c r="L5358" s="3" t="s">
        <v>19</v>
      </c>
      <c r="M5358" s="7" t="n">
        <v>100</v>
      </c>
      <c r="N5358" s="8" t="n">
        <v>0.2756</v>
      </c>
      <c r="O5358" s="4" t="n">
        <f aca="false">M5358*N5358</f>
        <v>27.56</v>
      </c>
    </row>
    <row r="5359" customFormat="false" ht="15" hidden="false" customHeight="false" outlineLevel="0" collapsed="false">
      <c r="A5359" s="0" t="s">
        <v>7103</v>
      </c>
      <c r="C5359" s="0" t="s">
        <v>41</v>
      </c>
      <c r="D5359" s="7" t="n">
        <v>861</v>
      </c>
      <c r="E5359" s="8" t="n">
        <v>0.0211033681765389</v>
      </c>
      <c r="F5359" s="4" t="n">
        <f aca="false">D5359*E5359</f>
        <v>18.17</v>
      </c>
      <c r="G5359" s="7" t="n">
        <v>91</v>
      </c>
      <c r="H5359" s="9" t="n">
        <f aca="false">IF(G5359&gt;0,D5359/G5359,"")</f>
        <v>9.46153846153846</v>
      </c>
      <c r="I5359" s="10" t="n">
        <v>46248</v>
      </c>
      <c r="J5359" s="3" t="s">
        <v>1915</v>
      </c>
      <c r="K5359" s="10" t="n">
        <v>45736</v>
      </c>
      <c r="L5359" s="3" t="s">
        <v>19</v>
      </c>
      <c r="M5359" s="7" t="n">
        <v>952</v>
      </c>
      <c r="N5359" s="8" t="n">
        <v>0.0211</v>
      </c>
      <c r="O5359" s="4" t="n">
        <f aca="false">M5359*N5359</f>
        <v>20.0872</v>
      </c>
    </row>
    <row r="5360" customFormat="false" ht="15" hidden="false" customHeight="false" outlineLevel="0" collapsed="false">
      <c r="A5360" s="0" t="s">
        <v>7104</v>
      </c>
      <c r="C5360" s="0" t="s">
        <v>3463</v>
      </c>
      <c r="D5360" s="7" t="n">
        <v>26</v>
      </c>
      <c r="E5360" s="8" t="n">
        <v>0.697307692307692</v>
      </c>
      <c r="F5360" s="4" t="n">
        <f aca="false">D5360*E5360</f>
        <v>18.13</v>
      </c>
      <c r="G5360" s="7" t="n">
        <v>24</v>
      </c>
      <c r="H5360" s="9" t="n">
        <f aca="false">IF(G5360&gt;0,D5360/G5360,"")</f>
        <v>1.08333333333333</v>
      </c>
      <c r="I5360" s="10" t="n">
        <v>46297</v>
      </c>
      <c r="J5360" s="3" t="s">
        <v>6125</v>
      </c>
      <c r="K5360" s="10" t="n">
        <v>46028</v>
      </c>
      <c r="L5360" s="3" t="s">
        <v>19</v>
      </c>
      <c r="M5360" s="7" t="n">
        <v>50</v>
      </c>
      <c r="N5360" s="8" t="n">
        <v>0.6973</v>
      </c>
      <c r="O5360" s="4" t="n">
        <f aca="false">M5360*N5360</f>
        <v>34.865</v>
      </c>
    </row>
    <row r="5361" customFormat="false" ht="15" hidden="false" customHeight="false" outlineLevel="0" collapsed="false">
      <c r="A5361" s="0" t="s">
        <v>7105</v>
      </c>
      <c r="C5361" s="0" t="s">
        <v>31</v>
      </c>
      <c r="D5361" s="7" t="n">
        <v>121</v>
      </c>
      <c r="E5361" s="8" t="n">
        <v>0.149504132231405</v>
      </c>
      <c r="F5361" s="4" t="n">
        <f aca="false">D5361*E5361</f>
        <v>18.09</v>
      </c>
      <c r="G5361" s="7" t="n">
        <v>86</v>
      </c>
      <c r="H5361" s="9" t="n">
        <f aca="false">IF(G5361&gt;0,D5361/G5361,"")</f>
        <v>1.40697674418605</v>
      </c>
      <c r="I5361" s="10" t="n">
        <v>46185</v>
      </c>
      <c r="J5361" s="3" t="s">
        <v>1448</v>
      </c>
      <c r="K5361" s="10" t="n">
        <v>45531</v>
      </c>
      <c r="L5361" s="3" t="s">
        <v>19</v>
      </c>
      <c r="M5361" s="7" t="n">
        <v>498</v>
      </c>
      <c r="N5361" s="8" t="n">
        <v>0.1495</v>
      </c>
      <c r="O5361" s="4" t="n">
        <f aca="false">M5361*N5361</f>
        <v>74.451</v>
      </c>
    </row>
    <row r="5362" customFormat="false" ht="15" hidden="false" customHeight="false" outlineLevel="0" collapsed="false">
      <c r="A5362" s="0" t="s">
        <v>7106</v>
      </c>
      <c r="C5362" s="0" t="s">
        <v>38</v>
      </c>
      <c r="D5362" s="7" t="n">
        <v>99</v>
      </c>
      <c r="E5362" s="8" t="n">
        <v>0.182626262626263</v>
      </c>
      <c r="F5362" s="4" t="n">
        <f aca="false">D5362*E5362</f>
        <v>18.08</v>
      </c>
      <c r="G5362" s="7" t="n">
        <v>15</v>
      </c>
      <c r="H5362" s="9" t="n">
        <f aca="false">IF(G5362&gt;0,D5362/G5362,"")</f>
        <v>6.6</v>
      </c>
      <c r="I5362" s="10" t="n">
        <v>46290</v>
      </c>
      <c r="J5362" s="3" t="s">
        <v>4445</v>
      </c>
      <c r="K5362" s="10" t="n">
        <v>44246</v>
      </c>
      <c r="L5362" s="3" t="s">
        <v>28</v>
      </c>
      <c r="M5362" s="7" t="n">
        <v>450</v>
      </c>
      <c r="N5362" s="8" t="n">
        <v>0.1828</v>
      </c>
      <c r="O5362" s="4" t="n">
        <f aca="false">M5362*N5362</f>
        <v>82.26</v>
      </c>
    </row>
    <row r="5363" customFormat="false" ht="15" hidden="false" customHeight="false" outlineLevel="0" collapsed="false">
      <c r="A5363" s="0" t="s">
        <v>7107</v>
      </c>
      <c r="C5363" s="0" t="s">
        <v>40</v>
      </c>
      <c r="D5363" s="7" t="n">
        <v>340</v>
      </c>
      <c r="E5363" s="8" t="n">
        <v>0.0531764705882353</v>
      </c>
      <c r="F5363" s="4" t="n">
        <f aca="false">D5363*E5363</f>
        <v>18.08</v>
      </c>
      <c r="G5363" s="7" t="n">
        <v>198</v>
      </c>
      <c r="H5363" s="9" t="n">
        <f aca="false">IF(G5363&gt;0,D5363/G5363,"")</f>
        <v>1.71717171717172</v>
      </c>
      <c r="I5363" s="10" t="n">
        <v>46290</v>
      </c>
      <c r="J5363" s="3" t="s">
        <v>3618</v>
      </c>
      <c r="K5363" s="10" t="n">
        <v>46155</v>
      </c>
      <c r="L5363" s="3" t="s">
        <v>18</v>
      </c>
      <c r="M5363" s="7" t="n">
        <v>500</v>
      </c>
      <c r="N5363" s="8" t="n">
        <v>0.0532</v>
      </c>
      <c r="O5363" s="4" t="n">
        <f aca="false">M5363*N5363</f>
        <v>26.6</v>
      </c>
    </row>
    <row r="5364" customFormat="false" ht="15" hidden="false" customHeight="false" outlineLevel="0" collapsed="false">
      <c r="A5364" s="0" t="s">
        <v>7108</v>
      </c>
      <c r="C5364" s="0" t="s">
        <v>34</v>
      </c>
      <c r="D5364" s="7" t="n">
        <v>48</v>
      </c>
      <c r="E5364" s="8" t="n">
        <v>0.37625</v>
      </c>
      <c r="F5364" s="4" t="n">
        <f aca="false">D5364*E5364</f>
        <v>18.06</v>
      </c>
      <c r="G5364" s="7" t="n">
        <v>32</v>
      </c>
      <c r="H5364" s="9" t="n">
        <f aca="false">IF(G5364&gt;0,D5364/G5364,"")</f>
        <v>1.5</v>
      </c>
      <c r="I5364" s="10" t="n">
        <v>46049</v>
      </c>
      <c r="K5364" s="10"/>
      <c r="M5364" s="7"/>
      <c r="N5364" s="8"/>
      <c r="O5364" s="4"/>
    </row>
    <row r="5365" customFormat="false" ht="15" hidden="false" customHeight="false" outlineLevel="0" collapsed="false">
      <c r="A5365" s="0" t="s">
        <v>7109</v>
      </c>
      <c r="C5365" s="0" t="s">
        <v>1039</v>
      </c>
      <c r="D5365" s="7" t="n">
        <v>5820</v>
      </c>
      <c r="E5365" s="8" t="n">
        <v>0.00309965635738832</v>
      </c>
      <c r="F5365" s="4" t="n">
        <f aca="false">D5365*E5365</f>
        <v>18.04</v>
      </c>
      <c r="G5365" s="7" t="n">
        <v>680</v>
      </c>
      <c r="H5365" s="9" t="n">
        <f aca="false">IF(G5365&gt;0,D5365/G5365,"")</f>
        <v>8.55882352941176</v>
      </c>
      <c r="I5365" s="10" t="n">
        <v>46286</v>
      </c>
      <c r="J5365" s="3" t="s">
        <v>2780</v>
      </c>
      <c r="K5365" s="10" t="n">
        <v>46043</v>
      </c>
      <c r="L5365" s="3" t="s">
        <v>16</v>
      </c>
      <c r="M5365" s="7" t="n">
        <v>6500</v>
      </c>
      <c r="N5365" s="8" t="n">
        <v>0.0031</v>
      </c>
      <c r="O5365" s="4" t="n">
        <f aca="false">M5365*N5365</f>
        <v>20.15</v>
      </c>
    </row>
    <row r="5366" customFormat="false" ht="15" hidden="false" customHeight="false" outlineLevel="0" collapsed="false">
      <c r="A5366" s="0" t="s">
        <v>7110</v>
      </c>
      <c r="C5366" s="0" t="s">
        <v>35</v>
      </c>
      <c r="D5366" s="7" t="n">
        <v>11</v>
      </c>
      <c r="E5366" s="8" t="n">
        <v>1.63909090909091</v>
      </c>
      <c r="F5366" s="4" t="n">
        <f aca="false">D5366*E5366</f>
        <v>18.03</v>
      </c>
      <c r="G5366" s="7" t="n">
        <v>8</v>
      </c>
      <c r="H5366" s="9" t="n">
        <f aca="false">IF(G5366&gt;0,D5366/G5366,"")</f>
        <v>1.375</v>
      </c>
      <c r="I5366" s="10" t="n">
        <v>46118</v>
      </c>
      <c r="J5366" s="3" t="s">
        <v>886</v>
      </c>
      <c r="K5366" s="10" t="n">
        <v>44293</v>
      </c>
      <c r="L5366" s="3" t="s">
        <v>15</v>
      </c>
      <c r="M5366" s="7" t="n">
        <v>53</v>
      </c>
      <c r="N5366" s="8" t="n">
        <v>1.6391</v>
      </c>
      <c r="O5366" s="4" t="n">
        <f aca="false">M5366*N5366</f>
        <v>86.8723</v>
      </c>
    </row>
    <row r="5367" customFormat="false" ht="15" hidden="false" customHeight="false" outlineLevel="0" collapsed="false">
      <c r="A5367" s="0" t="s">
        <v>7111</v>
      </c>
      <c r="C5367" s="0" t="s">
        <v>31</v>
      </c>
      <c r="D5367" s="7" t="n">
        <v>388</v>
      </c>
      <c r="E5367" s="8" t="n">
        <v>0.0464175257731959</v>
      </c>
      <c r="F5367" s="4" t="n">
        <f aca="false">D5367*E5367</f>
        <v>18.01</v>
      </c>
      <c r="G5367" s="7" t="n">
        <v>8</v>
      </c>
      <c r="H5367" s="9" t="n">
        <f aca="false">IF(G5367&gt;0,D5367/G5367,"")</f>
        <v>48.5</v>
      </c>
      <c r="I5367" s="10" t="n">
        <v>45967</v>
      </c>
      <c r="J5367" s="3" t="s">
        <v>1915</v>
      </c>
      <c r="K5367" s="10" t="n">
        <v>45736</v>
      </c>
      <c r="L5367" s="3" t="s">
        <v>19</v>
      </c>
      <c r="M5367" s="7" t="n">
        <v>211</v>
      </c>
      <c r="N5367" s="8" t="n">
        <v>0.1375</v>
      </c>
      <c r="O5367" s="4" t="n">
        <f aca="false">M5367*N5367</f>
        <v>29.0125</v>
      </c>
    </row>
    <row r="5368" customFormat="false" ht="15" hidden="false" customHeight="false" outlineLevel="0" collapsed="false">
      <c r="A5368" s="0" t="s">
        <v>7112</v>
      </c>
      <c r="C5368" s="0" t="s">
        <v>33</v>
      </c>
      <c r="D5368" s="7" t="n">
        <v>9</v>
      </c>
      <c r="E5368" s="8" t="n">
        <v>1.99777777777778</v>
      </c>
      <c r="F5368" s="4" t="n">
        <f aca="false">D5368*E5368</f>
        <v>17.98</v>
      </c>
      <c r="G5368" s="7" t="n">
        <v>4</v>
      </c>
      <c r="H5368" s="9" t="n">
        <f aca="false">IF(G5368&gt;0,D5368/G5368,"")</f>
        <v>2.25</v>
      </c>
      <c r="I5368" s="10" t="n">
        <v>46120</v>
      </c>
      <c r="J5368" s="3" t="s">
        <v>6901</v>
      </c>
      <c r="K5368" s="10" t="n">
        <v>46038</v>
      </c>
      <c r="L5368" s="3" t="s">
        <v>18</v>
      </c>
      <c r="M5368" s="7" t="n">
        <v>13</v>
      </c>
      <c r="N5368" s="8" t="n">
        <v>1.9967</v>
      </c>
      <c r="O5368" s="4" t="n">
        <f aca="false">M5368*N5368</f>
        <v>25.9571</v>
      </c>
    </row>
    <row r="5369" customFormat="false" ht="15" hidden="false" customHeight="false" outlineLevel="0" collapsed="false">
      <c r="A5369" s="0" t="s">
        <v>7113</v>
      </c>
      <c r="C5369" s="0" t="s">
        <v>4363</v>
      </c>
      <c r="D5369" s="7" t="n">
        <v>2</v>
      </c>
      <c r="E5369" s="8" t="n">
        <v>8.99</v>
      </c>
      <c r="F5369" s="4" t="n">
        <f aca="false">D5369*E5369</f>
        <v>17.98</v>
      </c>
      <c r="G5369" s="7" t="n">
        <v>1</v>
      </c>
      <c r="H5369" s="9" t="n">
        <f aca="false">IF(G5369&gt;0,D5369/G5369,"")</f>
        <v>2</v>
      </c>
      <c r="I5369" s="10" t="n">
        <v>46063</v>
      </c>
      <c r="K5369" s="10"/>
      <c r="M5369" s="7"/>
      <c r="N5369" s="8"/>
      <c r="O5369" s="4"/>
    </row>
    <row r="5370" customFormat="false" ht="15" hidden="false" customHeight="false" outlineLevel="0" collapsed="false">
      <c r="A5370" s="0" t="s">
        <v>7114</v>
      </c>
      <c r="C5370" s="0" t="s">
        <v>855</v>
      </c>
      <c r="D5370" s="7" t="n">
        <v>1361</v>
      </c>
      <c r="E5370" s="8" t="n">
        <v>0.0132035268185158</v>
      </c>
      <c r="F5370" s="4" t="n">
        <f aca="false">D5370*E5370</f>
        <v>17.97</v>
      </c>
      <c r="G5370" s="7" t="n">
        <v>320</v>
      </c>
      <c r="H5370" s="9" t="n">
        <f aca="false">IF(G5370&gt;0,D5370/G5370,"")</f>
        <v>4.253125</v>
      </c>
      <c r="I5370" s="10" t="n">
        <v>46316</v>
      </c>
      <c r="J5370" s="3" t="s">
        <v>4399</v>
      </c>
      <c r="K5370" s="10" t="n">
        <v>45407</v>
      </c>
      <c r="L5370" s="3" t="s">
        <v>19</v>
      </c>
      <c r="M5370" s="7" t="n">
        <v>2500</v>
      </c>
      <c r="N5370" s="8" t="n">
        <v>0.0132</v>
      </c>
      <c r="O5370" s="4" t="n">
        <f aca="false">M5370*N5370</f>
        <v>33</v>
      </c>
    </row>
    <row r="5371" customFormat="false" ht="15" hidden="false" customHeight="false" outlineLevel="0" collapsed="false">
      <c r="A5371" s="0" t="s">
        <v>7115</v>
      </c>
      <c r="C5371" s="0" t="s">
        <v>1039</v>
      </c>
      <c r="D5371" s="7" t="n">
        <v>1618</v>
      </c>
      <c r="E5371" s="8" t="n">
        <v>0.0111001236093943</v>
      </c>
      <c r="F5371" s="4" t="n">
        <f aca="false">D5371*E5371</f>
        <v>17.96</v>
      </c>
      <c r="G5371" s="7" t="n">
        <v>100</v>
      </c>
      <c r="H5371" s="9" t="n">
        <f aca="false">IF(G5371&gt;0,D5371/G5371,"")</f>
        <v>16.18</v>
      </c>
      <c r="I5371" s="10" t="n">
        <v>46156</v>
      </c>
      <c r="K5371" s="10"/>
      <c r="M5371" s="7"/>
      <c r="N5371" s="8"/>
      <c r="O5371" s="4"/>
    </row>
    <row r="5372" customFormat="false" ht="15" hidden="false" customHeight="false" outlineLevel="0" collapsed="false">
      <c r="A5372" s="0" t="s">
        <v>7116</v>
      </c>
      <c r="C5372" s="0" t="s">
        <v>118</v>
      </c>
      <c r="D5372" s="7" t="n">
        <v>71</v>
      </c>
      <c r="E5372" s="8" t="n">
        <v>0.252957746478873</v>
      </c>
      <c r="F5372" s="4" t="n">
        <f aca="false">D5372*E5372</f>
        <v>17.96</v>
      </c>
      <c r="G5372" s="7" t="n">
        <v>29</v>
      </c>
      <c r="H5372" s="9" t="n">
        <f aca="false">IF(G5372&gt;0,D5372/G5372,"")</f>
        <v>2.44827586206897</v>
      </c>
      <c r="I5372" s="10" t="n">
        <v>46300</v>
      </c>
      <c r="J5372" s="3" t="s">
        <v>1366</v>
      </c>
      <c r="K5372" s="10" t="n">
        <v>45996</v>
      </c>
      <c r="L5372" s="3" t="s">
        <v>14</v>
      </c>
      <c r="M5372" s="7" t="n">
        <v>100</v>
      </c>
      <c r="N5372" s="8" t="n">
        <v>0.253</v>
      </c>
      <c r="O5372" s="4" t="n">
        <f aca="false">M5372*N5372</f>
        <v>25.3</v>
      </c>
    </row>
    <row r="5373" customFormat="false" ht="15" hidden="false" customHeight="false" outlineLevel="0" collapsed="false">
      <c r="A5373" s="0" t="s">
        <v>7117</v>
      </c>
      <c r="C5373" s="0" t="s">
        <v>34</v>
      </c>
      <c r="D5373" s="7" t="n">
        <v>697</v>
      </c>
      <c r="E5373" s="8" t="n">
        <v>0.0257532281205165</v>
      </c>
      <c r="F5373" s="4" t="n">
        <f aca="false">D5373*E5373</f>
        <v>17.95</v>
      </c>
      <c r="G5373" s="7" t="n">
        <v>46</v>
      </c>
      <c r="H5373" s="9" t="n">
        <f aca="false">IF(G5373&gt;0,D5373/G5373,"")</f>
        <v>15.1521739130435</v>
      </c>
      <c r="I5373" s="10" t="n">
        <v>46287</v>
      </c>
      <c r="K5373" s="10"/>
      <c r="M5373" s="7"/>
      <c r="N5373" s="8"/>
      <c r="O5373" s="4"/>
    </row>
    <row r="5374" customFormat="false" ht="15" hidden="false" customHeight="false" outlineLevel="0" collapsed="false">
      <c r="A5374" s="0" t="s">
        <v>7118</v>
      </c>
      <c r="C5374" s="0" t="s">
        <v>34</v>
      </c>
      <c r="D5374" s="7" t="n">
        <v>190</v>
      </c>
      <c r="E5374" s="8" t="n">
        <v>0.0944736842105263</v>
      </c>
      <c r="F5374" s="4" t="n">
        <f aca="false">D5374*E5374</f>
        <v>17.95</v>
      </c>
      <c r="G5374" s="7" t="n">
        <v>31</v>
      </c>
      <c r="H5374" s="9" t="n">
        <f aca="false">IF(G5374&gt;0,D5374/G5374,"")</f>
        <v>6.12903225806452</v>
      </c>
      <c r="I5374" s="10" t="n">
        <v>46175</v>
      </c>
      <c r="J5374" s="3" t="s">
        <v>2780</v>
      </c>
      <c r="K5374" s="10" t="n">
        <v>46043</v>
      </c>
      <c r="L5374" s="3" t="s">
        <v>16</v>
      </c>
      <c r="M5374" s="7" t="n">
        <v>220</v>
      </c>
      <c r="N5374" s="8" t="n">
        <v>0.0945</v>
      </c>
      <c r="O5374" s="4" t="n">
        <f aca="false">M5374*N5374</f>
        <v>20.79</v>
      </c>
    </row>
    <row r="5375" customFormat="false" ht="15" hidden="false" customHeight="false" outlineLevel="0" collapsed="false">
      <c r="A5375" s="0" t="s">
        <v>7119</v>
      </c>
      <c r="C5375" s="0" t="s">
        <v>31</v>
      </c>
      <c r="D5375" s="7" t="n">
        <v>250</v>
      </c>
      <c r="E5375" s="8" t="n">
        <v>0.07172</v>
      </c>
      <c r="F5375" s="4" t="n">
        <f aca="false">D5375*E5375</f>
        <v>17.93</v>
      </c>
      <c r="G5375" s="7" t="n">
        <v>21</v>
      </c>
      <c r="H5375" s="9" t="n">
        <f aca="false">IF(G5375&gt;0,D5375/G5375,"")</f>
        <v>11.9047619047619</v>
      </c>
      <c r="I5375" s="10" t="n">
        <v>46143</v>
      </c>
      <c r="K5375" s="10"/>
      <c r="M5375" s="7"/>
      <c r="N5375" s="8"/>
      <c r="O5375" s="4"/>
    </row>
    <row r="5376" customFormat="false" ht="15" hidden="false" customHeight="false" outlineLevel="0" collapsed="false">
      <c r="A5376" s="0" t="s">
        <v>7120</v>
      </c>
      <c r="C5376" s="0" t="s">
        <v>5871</v>
      </c>
      <c r="D5376" s="7" t="n">
        <v>57</v>
      </c>
      <c r="E5376" s="8" t="n">
        <v>0.314385964912281</v>
      </c>
      <c r="F5376" s="4" t="n">
        <f aca="false">D5376*E5376</f>
        <v>17.92</v>
      </c>
      <c r="G5376" s="7" t="n">
        <v>4</v>
      </c>
      <c r="H5376" s="9" t="n">
        <f aca="false">IF(G5376&gt;0,D5376/G5376,"")</f>
        <v>14.25</v>
      </c>
      <c r="I5376" s="10" t="n">
        <v>46143</v>
      </c>
      <c r="J5376" s="3" t="s">
        <v>7121</v>
      </c>
      <c r="K5376" s="10" t="n">
        <v>44448</v>
      </c>
      <c r="L5376" s="3" t="s">
        <v>19</v>
      </c>
      <c r="M5376" s="7" t="n">
        <v>100</v>
      </c>
      <c r="N5376" s="8" t="n">
        <v>0.3143</v>
      </c>
      <c r="O5376" s="4" t="n">
        <f aca="false">M5376*N5376</f>
        <v>31.43</v>
      </c>
    </row>
    <row r="5377" customFormat="false" ht="15" hidden="false" customHeight="false" outlineLevel="0" collapsed="false">
      <c r="A5377" s="0" t="s">
        <v>7122</v>
      </c>
      <c r="C5377" s="0" t="s">
        <v>31</v>
      </c>
      <c r="D5377" s="7" t="n">
        <v>509</v>
      </c>
      <c r="E5377" s="8" t="n">
        <v>0.0352062868369352</v>
      </c>
      <c r="F5377" s="4" t="n">
        <f aca="false">D5377*E5377</f>
        <v>17.92</v>
      </c>
      <c r="G5377" s="7" t="n">
        <v>110</v>
      </c>
      <c r="H5377" s="9" t="n">
        <f aca="false">IF(G5377&gt;0,D5377/G5377,"")</f>
        <v>4.62727272727273</v>
      </c>
      <c r="I5377" s="10" t="n">
        <v>46304</v>
      </c>
      <c r="J5377" s="3" t="s">
        <v>2743</v>
      </c>
      <c r="K5377" s="10" t="n">
        <v>46084</v>
      </c>
      <c r="L5377" s="3" t="s">
        <v>16</v>
      </c>
      <c r="M5377" s="7" t="n">
        <v>600</v>
      </c>
      <c r="N5377" s="8" t="n">
        <v>0.0352</v>
      </c>
      <c r="O5377" s="4" t="n">
        <f aca="false">M5377*N5377</f>
        <v>21.12</v>
      </c>
    </row>
    <row r="5378" customFormat="false" ht="15" hidden="false" customHeight="false" outlineLevel="0" collapsed="false">
      <c r="A5378" s="0" t="s">
        <v>7123</v>
      </c>
      <c r="C5378" s="0" t="s">
        <v>799</v>
      </c>
      <c r="D5378" s="7" t="n">
        <v>7</v>
      </c>
      <c r="E5378" s="8" t="n">
        <v>2.56</v>
      </c>
      <c r="F5378" s="4" t="n">
        <f aca="false">D5378*E5378</f>
        <v>17.92</v>
      </c>
      <c r="G5378" s="7" t="n">
        <v>3</v>
      </c>
      <c r="H5378" s="9" t="n">
        <f aca="false">IF(G5378&gt;0,D5378/G5378,"")</f>
        <v>2.33333333333333</v>
      </c>
      <c r="I5378" s="10" t="n">
        <v>46202</v>
      </c>
      <c r="K5378" s="10"/>
      <c r="M5378" s="7"/>
      <c r="N5378" s="8"/>
      <c r="O5378" s="4"/>
    </row>
    <row r="5379" customFormat="false" ht="15" hidden="false" customHeight="false" outlineLevel="0" collapsed="false">
      <c r="A5379" s="0" t="s">
        <v>7124</v>
      </c>
      <c r="C5379" s="0" t="s">
        <v>855</v>
      </c>
      <c r="D5379" s="7" t="n">
        <v>803</v>
      </c>
      <c r="E5379" s="8" t="n">
        <v>0.0223038605230386</v>
      </c>
      <c r="F5379" s="4" t="n">
        <f aca="false">D5379*E5379</f>
        <v>17.91</v>
      </c>
      <c r="G5379" s="7" t="n">
        <v>144</v>
      </c>
      <c r="H5379" s="9" t="n">
        <f aca="false">IF(G5379&gt;0,D5379/G5379,"")</f>
        <v>5.57638888888889</v>
      </c>
      <c r="I5379" s="10" t="n">
        <v>46202</v>
      </c>
      <c r="J5379" s="3" t="s">
        <v>7125</v>
      </c>
      <c r="K5379" s="10" t="n">
        <v>45376</v>
      </c>
      <c r="L5379" s="3" t="s">
        <v>19</v>
      </c>
      <c r="M5379" s="7" t="n">
        <v>1000</v>
      </c>
      <c r="N5379" s="8" t="n">
        <v>0.0223</v>
      </c>
      <c r="O5379" s="4" t="n">
        <f aca="false">M5379*N5379</f>
        <v>22.3</v>
      </c>
    </row>
    <row r="5380" customFormat="false" ht="15" hidden="false" customHeight="false" outlineLevel="0" collapsed="false">
      <c r="A5380" s="0" t="s">
        <v>7126</v>
      </c>
      <c r="C5380" s="0" t="s">
        <v>34</v>
      </c>
      <c r="D5380" s="7" t="n">
        <v>53</v>
      </c>
      <c r="E5380" s="8" t="n">
        <v>0.337358490566038</v>
      </c>
      <c r="F5380" s="4" t="n">
        <f aca="false">D5380*E5380</f>
        <v>17.88</v>
      </c>
      <c r="G5380" s="7" t="n">
        <v>20</v>
      </c>
      <c r="H5380" s="9" t="n">
        <f aca="false">IF(G5380&gt;0,D5380/G5380,"")</f>
        <v>2.65</v>
      </c>
      <c r="I5380" s="10" t="n">
        <v>46078</v>
      </c>
      <c r="K5380" s="10"/>
      <c r="M5380" s="7"/>
      <c r="N5380" s="8"/>
      <c r="O5380" s="4"/>
    </row>
    <row r="5381" customFormat="false" ht="15" hidden="false" customHeight="false" outlineLevel="0" collapsed="false">
      <c r="A5381" s="0" t="s">
        <v>7127</v>
      </c>
      <c r="C5381" s="0" t="s">
        <v>285</v>
      </c>
      <c r="D5381" s="7" t="n">
        <v>1364</v>
      </c>
      <c r="E5381" s="8" t="n">
        <v>0.0131011730205279</v>
      </c>
      <c r="F5381" s="4" t="n">
        <f aca="false">D5381*E5381</f>
        <v>17.87</v>
      </c>
      <c r="G5381" s="7" t="n">
        <v>256</v>
      </c>
      <c r="H5381" s="9" t="n">
        <f aca="false">IF(G5381&gt;0,D5381/G5381,"")</f>
        <v>5.328125</v>
      </c>
      <c r="I5381" s="10" t="n">
        <v>46192</v>
      </c>
      <c r="K5381" s="10"/>
      <c r="M5381" s="7"/>
      <c r="N5381" s="8"/>
      <c r="O5381" s="4"/>
    </row>
    <row r="5382" customFormat="false" ht="15" hidden="false" customHeight="false" outlineLevel="0" collapsed="false">
      <c r="A5382" s="0" t="s">
        <v>7128</v>
      </c>
      <c r="C5382" s="0" t="s">
        <v>31</v>
      </c>
      <c r="D5382" s="7" t="n">
        <v>4892</v>
      </c>
      <c r="E5382" s="8" t="n">
        <v>0.00365290269828291</v>
      </c>
      <c r="F5382" s="4" t="n">
        <f aca="false">D5382*E5382</f>
        <v>17.87</v>
      </c>
      <c r="G5382" s="7" t="n">
        <v>113</v>
      </c>
      <c r="H5382" s="9" t="n">
        <f aca="false">IF(G5382&gt;0,D5382/G5382,"")</f>
        <v>43.2920353982301</v>
      </c>
      <c r="I5382" s="10" t="n">
        <v>46247</v>
      </c>
      <c r="J5382" s="3" t="s">
        <v>886</v>
      </c>
      <c r="K5382" s="10" t="n">
        <v>44293</v>
      </c>
      <c r="L5382" s="3" t="s">
        <v>15</v>
      </c>
      <c r="M5382" s="7" t="n">
        <v>5150</v>
      </c>
      <c r="N5382" s="8" t="n">
        <v>0.00365</v>
      </c>
      <c r="O5382" s="4" t="n">
        <f aca="false">M5382*N5382</f>
        <v>18.7975</v>
      </c>
    </row>
    <row r="5383" customFormat="false" ht="15" hidden="false" customHeight="false" outlineLevel="0" collapsed="false">
      <c r="A5383" s="0" t="s">
        <v>7129</v>
      </c>
      <c r="C5383" s="0" t="s">
        <v>31</v>
      </c>
      <c r="D5383" s="7" t="n">
        <v>68</v>
      </c>
      <c r="E5383" s="8" t="n">
        <v>0.262794117647059</v>
      </c>
      <c r="F5383" s="4" t="n">
        <f aca="false">D5383*E5383</f>
        <v>17.87</v>
      </c>
      <c r="G5383" s="7" t="n">
        <v>11</v>
      </c>
      <c r="H5383" s="9" t="n">
        <f aca="false">IF(G5383&gt;0,D5383/G5383,"")</f>
        <v>6.18181818181818</v>
      </c>
      <c r="I5383" s="10" t="n">
        <v>46177</v>
      </c>
      <c r="J5383" s="3" t="s">
        <v>1942</v>
      </c>
      <c r="K5383" s="10" t="n">
        <v>44259</v>
      </c>
      <c r="L5383" s="3" t="s">
        <v>15</v>
      </c>
      <c r="M5383" s="7" t="n">
        <v>82</v>
      </c>
      <c r="N5383" s="8" t="n">
        <v>0.26293</v>
      </c>
      <c r="O5383" s="4" t="n">
        <f aca="false">M5383*N5383</f>
        <v>21.56026</v>
      </c>
    </row>
    <row r="5384" customFormat="false" ht="15" hidden="false" customHeight="false" outlineLevel="0" collapsed="false">
      <c r="A5384" s="0" t="s">
        <v>7130</v>
      </c>
      <c r="C5384" s="0" t="s">
        <v>1802</v>
      </c>
      <c r="D5384" s="7" t="n">
        <v>11</v>
      </c>
      <c r="E5384" s="8" t="n">
        <v>1.62454545454546</v>
      </c>
      <c r="F5384" s="4" t="n">
        <f aca="false">D5384*E5384</f>
        <v>17.87</v>
      </c>
      <c r="G5384" s="7" t="n">
        <v>1</v>
      </c>
      <c r="H5384" s="9" t="n">
        <f aca="false">IF(G5384&gt;0,D5384/G5384,"")</f>
        <v>11</v>
      </c>
      <c r="I5384" s="10" t="n">
        <v>46290</v>
      </c>
      <c r="J5384" s="3" t="s">
        <v>1762</v>
      </c>
      <c r="K5384" s="10" t="n">
        <v>45692</v>
      </c>
      <c r="L5384" s="3" t="s">
        <v>14</v>
      </c>
      <c r="M5384" s="7" t="n">
        <v>25</v>
      </c>
      <c r="N5384" s="8" t="n">
        <v>1.6252</v>
      </c>
      <c r="O5384" s="4" t="n">
        <f aca="false">M5384*N5384</f>
        <v>40.63</v>
      </c>
    </row>
    <row r="5385" customFormat="false" ht="15" hidden="false" customHeight="false" outlineLevel="0" collapsed="false">
      <c r="A5385" s="0" t="s">
        <v>7131</v>
      </c>
      <c r="C5385" s="0" t="s">
        <v>31</v>
      </c>
      <c r="D5385" s="7" t="n">
        <v>576</v>
      </c>
      <c r="E5385" s="8" t="n">
        <v>0.0310069444444444</v>
      </c>
      <c r="F5385" s="4" t="n">
        <f aca="false">D5385*E5385</f>
        <v>17.86</v>
      </c>
      <c r="G5385" s="7" t="n">
        <v>161</v>
      </c>
      <c r="H5385" s="9" t="n">
        <f aca="false">IF(G5385&gt;0,D5385/G5385,"")</f>
        <v>3.5776397515528</v>
      </c>
      <c r="I5385" s="10" t="n">
        <v>46210</v>
      </c>
      <c r="K5385" s="10"/>
      <c r="M5385" s="7"/>
      <c r="N5385" s="8"/>
      <c r="O5385" s="4"/>
    </row>
    <row r="5386" customFormat="false" ht="15" hidden="false" customHeight="false" outlineLevel="0" collapsed="false">
      <c r="A5386" s="0" t="s">
        <v>7132</v>
      </c>
      <c r="C5386" s="0" t="s">
        <v>36</v>
      </c>
      <c r="D5386" s="7" t="n">
        <v>51</v>
      </c>
      <c r="E5386" s="8" t="n">
        <v>0.349607843137255</v>
      </c>
      <c r="F5386" s="4" t="n">
        <f aca="false">D5386*E5386</f>
        <v>17.83</v>
      </c>
      <c r="G5386" s="7" t="n">
        <v>2</v>
      </c>
      <c r="H5386" s="9" t="n">
        <f aca="false">IF(G5386&gt;0,D5386/G5386,"")</f>
        <v>25.5</v>
      </c>
      <c r="I5386" s="10" t="n">
        <v>46274</v>
      </c>
      <c r="K5386" s="10"/>
      <c r="M5386" s="7"/>
      <c r="N5386" s="8"/>
      <c r="O5386" s="4"/>
    </row>
    <row r="5387" customFormat="false" ht="15" hidden="false" customHeight="false" outlineLevel="0" collapsed="false">
      <c r="A5387" s="0" t="s">
        <v>7133</v>
      </c>
      <c r="C5387" s="0" t="s">
        <v>34</v>
      </c>
      <c r="D5387" s="7" t="n">
        <v>171</v>
      </c>
      <c r="E5387" s="8" t="n">
        <v>0.104093567251462</v>
      </c>
      <c r="F5387" s="4" t="n">
        <f aca="false">D5387*E5387</f>
        <v>17.8</v>
      </c>
      <c r="G5387" s="7" t="n">
        <v>29</v>
      </c>
      <c r="H5387" s="9" t="n">
        <f aca="false">IF(G5387&gt;0,D5387/G5387,"")</f>
        <v>5.89655172413793</v>
      </c>
      <c r="I5387" s="10" t="n">
        <v>46293</v>
      </c>
      <c r="J5387" s="3" t="s">
        <v>2719</v>
      </c>
      <c r="K5387" s="10" t="n">
        <v>46049</v>
      </c>
      <c r="L5387" s="3" t="s">
        <v>16</v>
      </c>
      <c r="M5387" s="7" t="n">
        <v>200</v>
      </c>
      <c r="N5387" s="8" t="n">
        <v>0.1041</v>
      </c>
      <c r="O5387" s="4" t="n">
        <f aca="false">M5387*N5387</f>
        <v>20.82</v>
      </c>
    </row>
    <row r="5388" customFormat="false" ht="15" hidden="false" customHeight="false" outlineLevel="0" collapsed="false">
      <c r="A5388" s="0" t="s">
        <v>7134</v>
      </c>
      <c r="C5388" s="0" t="s">
        <v>4363</v>
      </c>
      <c r="D5388" s="7" t="n">
        <v>6</v>
      </c>
      <c r="E5388" s="8" t="n">
        <v>2.96</v>
      </c>
      <c r="F5388" s="4" t="n">
        <f aca="false">D5388*E5388</f>
        <v>17.76</v>
      </c>
      <c r="G5388" s="7" t="n">
        <v>1</v>
      </c>
      <c r="H5388" s="9" t="n">
        <f aca="false">IF(G5388&gt;0,D5388/G5388,"")</f>
        <v>6</v>
      </c>
      <c r="I5388" s="10" t="n">
        <v>46104</v>
      </c>
      <c r="J5388" s="3" t="s">
        <v>5428</v>
      </c>
      <c r="K5388" s="10" t="n">
        <v>45602</v>
      </c>
      <c r="L5388" s="3" t="s">
        <v>4365</v>
      </c>
      <c r="M5388" s="7" t="n">
        <v>5</v>
      </c>
      <c r="N5388" s="8" t="n">
        <v>2.96</v>
      </c>
      <c r="O5388" s="4" t="n">
        <f aca="false">M5388*N5388</f>
        <v>14.8</v>
      </c>
    </row>
    <row r="5389" customFormat="false" ht="15" hidden="false" customHeight="false" outlineLevel="0" collapsed="false">
      <c r="A5389" s="0" t="s">
        <v>7135</v>
      </c>
      <c r="C5389" s="0" t="s">
        <v>34</v>
      </c>
      <c r="D5389" s="7" t="n">
        <v>238</v>
      </c>
      <c r="E5389" s="8" t="n">
        <v>0.0745798319327731</v>
      </c>
      <c r="F5389" s="4" t="n">
        <f aca="false">D5389*E5389</f>
        <v>17.75</v>
      </c>
      <c r="G5389" s="7" t="n">
        <v>223</v>
      </c>
      <c r="H5389" s="9" t="n">
        <f aca="false">IF(G5389&gt;0,D5389/G5389,"")</f>
        <v>1.06726457399103</v>
      </c>
      <c r="I5389" s="10" t="n">
        <v>46288</v>
      </c>
      <c r="J5389" s="3" t="s">
        <v>7136</v>
      </c>
      <c r="K5389" s="10" t="n">
        <v>44887</v>
      </c>
      <c r="L5389" s="3" t="s">
        <v>14</v>
      </c>
      <c r="M5389" s="7" t="n">
        <v>1000</v>
      </c>
      <c r="N5389" s="8" t="n">
        <v>0.0746</v>
      </c>
      <c r="O5389" s="4" t="n">
        <f aca="false">M5389*N5389</f>
        <v>74.6</v>
      </c>
    </row>
    <row r="5390" customFormat="false" ht="15" hidden="false" customHeight="false" outlineLevel="0" collapsed="false">
      <c r="A5390" s="0" t="s">
        <v>7137</v>
      </c>
      <c r="C5390" s="0" t="s">
        <v>31</v>
      </c>
      <c r="D5390" s="7" t="n">
        <v>258</v>
      </c>
      <c r="E5390" s="8" t="n">
        <v>0.0684883720930233</v>
      </c>
      <c r="F5390" s="4" t="n">
        <f aca="false">D5390*E5390</f>
        <v>17.67</v>
      </c>
      <c r="G5390" s="7" t="n">
        <v>25</v>
      </c>
      <c r="H5390" s="9" t="n">
        <f aca="false">IF(G5390&gt;0,D5390/G5390,"")</f>
        <v>10.32</v>
      </c>
      <c r="I5390" s="10" t="n">
        <v>46066</v>
      </c>
      <c r="J5390" s="3" t="s">
        <v>1211</v>
      </c>
      <c r="K5390" s="10" t="n">
        <v>45750</v>
      </c>
      <c r="L5390" s="3" t="s">
        <v>26</v>
      </c>
      <c r="M5390" s="7" t="n">
        <v>78</v>
      </c>
      <c r="N5390" s="8" t="n">
        <v>0.0646</v>
      </c>
      <c r="O5390" s="4" t="n">
        <f aca="false">M5390*N5390</f>
        <v>5.0388</v>
      </c>
    </row>
    <row r="5391" customFormat="false" ht="15" hidden="false" customHeight="false" outlineLevel="0" collapsed="false">
      <c r="A5391" s="0" t="s">
        <v>7138</v>
      </c>
      <c r="D5391" s="7" t="n">
        <v>10</v>
      </c>
      <c r="E5391" s="8" t="n">
        <v>1.767</v>
      </c>
      <c r="F5391" s="4" t="n">
        <f aca="false">D5391*E5391</f>
        <v>17.67</v>
      </c>
      <c r="G5391" s="7" t="n">
        <v>2</v>
      </c>
      <c r="H5391" s="9" t="n">
        <f aca="false">IF(G5391&gt;0,D5391/G5391,"")</f>
        <v>5</v>
      </c>
      <c r="I5391" s="10" t="n">
        <v>45953</v>
      </c>
      <c r="K5391" s="10"/>
      <c r="M5391" s="7"/>
      <c r="N5391" s="8"/>
      <c r="O5391" s="4"/>
    </row>
    <row r="5392" customFormat="false" ht="15" hidden="false" customHeight="false" outlineLevel="0" collapsed="false">
      <c r="A5392" s="0" t="s">
        <v>7139</v>
      </c>
      <c r="C5392" s="0" t="s">
        <v>31</v>
      </c>
      <c r="D5392" s="7" t="n">
        <v>371</v>
      </c>
      <c r="E5392" s="8" t="n">
        <v>0.0476010781671159</v>
      </c>
      <c r="F5392" s="4" t="n">
        <f aca="false">D5392*E5392</f>
        <v>17.66</v>
      </c>
      <c r="G5392" s="7" t="n">
        <v>75</v>
      </c>
      <c r="H5392" s="9" t="n">
        <f aca="false">IF(G5392&gt;0,D5392/G5392,"")</f>
        <v>4.94666666666667</v>
      </c>
      <c r="I5392" s="10" t="n">
        <v>46066</v>
      </c>
      <c r="J5392" s="3" t="s">
        <v>7140</v>
      </c>
      <c r="K5392" s="10" t="n">
        <v>45056</v>
      </c>
      <c r="L5392" s="3" t="s">
        <v>19</v>
      </c>
      <c r="M5392" s="7" t="n">
        <v>500</v>
      </c>
      <c r="N5392" s="8" t="n">
        <v>0.0476</v>
      </c>
      <c r="O5392" s="4" t="n">
        <f aca="false">M5392*N5392</f>
        <v>23.8</v>
      </c>
    </row>
    <row r="5393" customFormat="false" ht="15" hidden="false" customHeight="false" outlineLevel="0" collapsed="false">
      <c r="A5393" s="0" t="s">
        <v>7141</v>
      </c>
      <c r="C5393" s="0" t="s">
        <v>40</v>
      </c>
      <c r="D5393" s="7" t="n">
        <v>61</v>
      </c>
      <c r="E5393" s="8" t="n">
        <v>0.289180327868852</v>
      </c>
      <c r="F5393" s="4" t="n">
        <f aca="false">D5393*E5393</f>
        <v>17.64</v>
      </c>
      <c r="G5393" s="7" t="n">
        <v>10</v>
      </c>
      <c r="H5393" s="9" t="n">
        <f aca="false">IF(G5393&gt;0,D5393/G5393,"")</f>
        <v>6.1</v>
      </c>
      <c r="I5393" s="10" t="n">
        <v>46021</v>
      </c>
      <c r="K5393" s="10"/>
      <c r="M5393" s="7"/>
      <c r="N5393" s="8"/>
      <c r="O5393" s="4"/>
    </row>
    <row r="5394" customFormat="false" ht="15" hidden="false" customHeight="false" outlineLevel="0" collapsed="false">
      <c r="A5394" s="0" t="s">
        <v>7142</v>
      </c>
      <c r="C5394" s="0" t="s">
        <v>36</v>
      </c>
      <c r="D5394" s="7" t="n">
        <v>42</v>
      </c>
      <c r="E5394" s="8" t="n">
        <v>0.41952380952381</v>
      </c>
      <c r="F5394" s="4" t="n">
        <f aca="false">D5394*E5394</f>
        <v>17.62</v>
      </c>
      <c r="G5394" s="7" t="n">
        <v>2</v>
      </c>
      <c r="H5394" s="9" t="n">
        <f aca="false">IF(G5394&gt;0,D5394/G5394,"")</f>
        <v>21</v>
      </c>
      <c r="I5394" s="10" t="n">
        <v>46078</v>
      </c>
      <c r="J5394" s="3" t="s">
        <v>5086</v>
      </c>
      <c r="K5394" s="10" t="n">
        <v>45429</v>
      </c>
      <c r="L5394" s="3" t="s">
        <v>18</v>
      </c>
      <c r="M5394" s="7" t="n">
        <v>62</v>
      </c>
      <c r="N5394" s="8" t="n">
        <v>0.4196</v>
      </c>
      <c r="O5394" s="4" t="n">
        <f aca="false">M5394*N5394</f>
        <v>26.0152</v>
      </c>
    </row>
    <row r="5395" customFormat="false" ht="15" hidden="false" customHeight="false" outlineLevel="0" collapsed="false">
      <c r="A5395" s="0" t="s">
        <v>7143</v>
      </c>
      <c r="C5395" s="0" t="s">
        <v>31</v>
      </c>
      <c r="D5395" s="7" t="n">
        <v>954</v>
      </c>
      <c r="E5395" s="8" t="n">
        <v>0.0184696016771489</v>
      </c>
      <c r="F5395" s="4" t="n">
        <f aca="false">D5395*E5395</f>
        <v>17.62</v>
      </c>
      <c r="G5395" s="7" t="n">
        <v>165</v>
      </c>
      <c r="H5395" s="9" t="n">
        <f aca="false">IF(G5395&gt;0,D5395/G5395,"")</f>
        <v>5.78181818181818</v>
      </c>
      <c r="I5395" s="10" t="n">
        <v>46259</v>
      </c>
      <c r="J5395" s="3" t="s">
        <v>1636</v>
      </c>
      <c r="K5395" s="10" t="n">
        <v>46252</v>
      </c>
      <c r="L5395" s="3" t="s">
        <v>19</v>
      </c>
      <c r="M5395" s="7" t="n">
        <v>1000</v>
      </c>
      <c r="N5395" s="8" t="n">
        <v>0.0185</v>
      </c>
      <c r="O5395" s="4" t="n">
        <f aca="false">M5395*N5395</f>
        <v>18.5</v>
      </c>
    </row>
    <row r="5396" customFormat="false" ht="15" hidden="false" customHeight="false" outlineLevel="0" collapsed="false">
      <c r="A5396" s="0" t="s">
        <v>7144</v>
      </c>
      <c r="C5396" s="0" t="s">
        <v>31</v>
      </c>
      <c r="D5396" s="7" t="n">
        <v>2964</v>
      </c>
      <c r="E5396" s="8" t="n">
        <v>0.00594129554655871</v>
      </c>
      <c r="F5396" s="4" t="n">
        <f aca="false">D5396*E5396</f>
        <v>17.61</v>
      </c>
      <c r="G5396" s="7" t="n">
        <v>419</v>
      </c>
      <c r="H5396" s="9" t="n">
        <f aca="false">IF(G5396&gt;0,D5396/G5396,"")</f>
        <v>7.07398568019093</v>
      </c>
      <c r="I5396" s="10" t="n">
        <v>46251</v>
      </c>
      <c r="K5396" s="10"/>
      <c r="M5396" s="7"/>
      <c r="N5396" s="8"/>
      <c r="O5396" s="4"/>
    </row>
    <row r="5397" customFormat="false" ht="15" hidden="false" customHeight="false" outlineLevel="0" collapsed="false">
      <c r="A5397" s="0" t="s">
        <v>7145</v>
      </c>
      <c r="C5397" s="0" t="s">
        <v>34</v>
      </c>
      <c r="D5397" s="7" t="n">
        <v>8</v>
      </c>
      <c r="E5397" s="8" t="n">
        <v>2.20125</v>
      </c>
      <c r="F5397" s="4" t="n">
        <f aca="false">D5397*E5397</f>
        <v>17.61</v>
      </c>
      <c r="G5397" s="7" t="n">
        <v>3</v>
      </c>
      <c r="H5397" s="9" t="n">
        <f aca="false">IF(G5397&gt;0,D5397/G5397,"")</f>
        <v>2.66666666666667</v>
      </c>
      <c r="I5397" s="10" t="n">
        <v>46240</v>
      </c>
      <c r="J5397" s="3" t="s">
        <v>7146</v>
      </c>
      <c r="K5397" s="10" t="n">
        <v>44915</v>
      </c>
      <c r="L5397" s="3" t="s">
        <v>19</v>
      </c>
      <c r="M5397" s="7" t="n">
        <v>12</v>
      </c>
      <c r="N5397" s="8" t="n">
        <v>2.2019</v>
      </c>
      <c r="O5397" s="4" t="n">
        <f aca="false">M5397*N5397</f>
        <v>26.4228</v>
      </c>
    </row>
    <row r="5398" customFormat="false" ht="15" hidden="false" customHeight="false" outlineLevel="0" collapsed="false">
      <c r="A5398" s="0" t="s">
        <v>7147</v>
      </c>
      <c r="C5398" s="0" t="s">
        <v>1039</v>
      </c>
      <c r="D5398" s="7" t="n">
        <v>5712</v>
      </c>
      <c r="E5398" s="8" t="n">
        <v>0.0030812324929972</v>
      </c>
      <c r="F5398" s="4" t="n">
        <f aca="false">D5398*E5398</f>
        <v>17.6</v>
      </c>
      <c r="G5398" s="7" t="n">
        <v>5250</v>
      </c>
      <c r="H5398" s="9" t="n">
        <f aca="false">IF(G5398&gt;0,D5398/G5398,"")</f>
        <v>1.088</v>
      </c>
      <c r="I5398" s="10" t="n">
        <v>46300</v>
      </c>
      <c r="J5398" s="3" t="s">
        <v>620</v>
      </c>
      <c r="K5398" s="10" t="n">
        <v>46146</v>
      </c>
      <c r="L5398" s="3" t="s">
        <v>16</v>
      </c>
      <c r="M5398" s="7" t="n">
        <v>7482</v>
      </c>
      <c r="N5398" s="8" t="n">
        <v>0.0031</v>
      </c>
      <c r="O5398" s="4" t="n">
        <v>32.3999116</v>
      </c>
    </row>
    <row r="5399" customFormat="false" ht="15" hidden="false" customHeight="false" outlineLevel="0" collapsed="false">
      <c r="A5399" s="0" t="s">
        <v>7148</v>
      </c>
      <c r="C5399" s="0" t="s">
        <v>1017</v>
      </c>
      <c r="D5399" s="7" t="n">
        <v>535</v>
      </c>
      <c r="E5399" s="8" t="n">
        <v>0.0328411214953271</v>
      </c>
      <c r="F5399" s="4" t="n">
        <f aca="false">D5399*E5399</f>
        <v>17.57</v>
      </c>
      <c r="G5399" s="7" t="n">
        <v>20</v>
      </c>
      <c r="H5399" s="9" t="n">
        <f aca="false">IF(G5399&gt;0,D5399/G5399,"")</f>
        <v>26.75</v>
      </c>
      <c r="I5399" s="10" t="n">
        <v>46139</v>
      </c>
      <c r="J5399" s="3" t="s">
        <v>1018</v>
      </c>
      <c r="K5399" s="10" t="n">
        <v>45912</v>
      </c>
      <c r="L5399" s="3" t="s">
        <v>15</v>
      </c>
      <c r="M5399" s="7" t="n">
        <v>555</v>
      </c>
      <c r="N5399" s="8" t="n">
        <v>0.03285</v>
      </c>
      <c r="O5399" s="4" t="n">
        <f aca="false">M5399*N5399</f>
        <v>18.23175</v>
      </c>
    </row>
    <row r="5400" customFormat="false" ht="15" hidden="false" customHeight="false" outlineLevel="0" collapsed="false">
      <c r="A5400" s="0" t="s">
        <v>7149</v>
      </c>
      <c r="C5400" s="0" t="s">
        <v>31</v>
      </c>
      <c r="D5400" s="7" t="n">
        <v>102</v>
      </c>
      <c r="E5400" s="8" t="n">
        <v>0.171960784313726</v>
      </c>
      <c r="F5400" s="4" t="n">
        <f aca="false">D5400*E5400</f>
        <v>17.54</v>
      </c>
      <c r="G5400" s="7" t="n">
        <v>51</v>
      </c>
      <c r="H5400" s="9" t="n">
        <f aca="false">IF(G5400&gt;0,D5400/G5400,"")</f>
        <v>2</v>
      </c>
      <c r="I5400" s="10" t="n">
        <v>46297</v>
      </c>
      <c r="J5400" s="3" t="s">
        <v>4559</v>
      </c>
      <c r="K5400" s="10" t="n">
        <v>46171</v>
      </c>
      <c r="L5400" s="3" t="s">
        <v>16</v>
      </c>
      <c r="M5400" s="7" t="n">
        <v>117</v>
      </c>
      <c r="N5400" s="8" t="n">
        <v>0.172</v>
      </c>
      <c r="O5400" s="4" t="n">
        <f aca="false">M5400*N5400</f>
        <v>20.124</v>
      </c>
    </row>
    <row r="5401" customFormat="false" ht="15" hidden="false" customHeight="false" outlineLevel="0" collapsed="false">
      <c r="A5401" s="0" t="s">
        <v>7150</v>
      </c>
      <c r="C5401" s="0" t="s">
        <v>31</v>
      </c>
      <c r="D5401" s="7" t="n">
        <v>3440</v>
      </c>
      <c r="E5401" s="8" t="n">
        <v>0.00509883720930233</v>
      </c>
      <c r="F5401" s="4" t="n">
        <f aca="false">D5401*E5401</f>
        <v>17.54</v>
      </c>
      <c r="G5401" s="7" t="n">
        <v>571</v>
      </c>
      <c r="H5401" s="9" t="n">
        <f aca="false">IF(G5401&gt;0,D5401/G5401,"")</f>
        <v>6.02451838879159</v>
      </c>
      <c r="I5401" s="10" t="n">
        <v>46268</v>
      </c>
      <c r="J5401" s="3" t="s">
        <v>1107</v>
      </c>
      <c r="K5401" s="10" t="n">
        <v>46035</v>
      </c>
      <c r="L5401" s="3" t="s">
        <v>16</v>
      </c>
      <c r="M5401" s="7" t="n">
        <v>4000</v>
      </c>
      <c r="N5401" s="8" t="n">
        <v>0.0051</v>
      </c>
      <c r="O5401" s="4" t="n">
        <f aca="false">M5401*N5401</f>
        <v>20.4</v>
      </c>
    </row>
    <row r="5402" customFormat="false" ht="15" hidden="false" customHeight="false" outlineLevel="0" collapsed="false">
      <c r="A5402" s="0" t="s">
        <v>7151</v>
      </c>
      <c r="C5402" s="0" t="s">
        <v>855</v>
      </c>
      <c r="D5402" s="7" t="n">
        <v>222</v>
      </c>
      <c r="E5402" s="8" t="n">
        <v>0.079009009009009</v>
      </c>
      <c r="F5402" s="4" t="n">
        <f aca="false">D5402*E5402</f>
        <v>17.54</v>
      </c>
      <c r="G5402" s="7" t="n">
        <v>38</v>
      </c>
      <c r="H5402" s="9" t="n">
        <f aca="false">IF(G5402&gt;0,D5402/G5402,"")</f>
        <v>5.8421052631579</v>
      </c>
      <c r="I5402" s="10" t="n">
        <v>46108</v>
      </c>
      <c r="J5402" s="3" t="s">
        <v>2321</v>
      </c>
      <c r="K5402" s="10" t="n">
        <v>46094</v>
      </c>
      <c r="L5402" s="3" t="s">
        <v>16</v>
      </c>
      <c r="M5402" s="7" t="n">
        <v>260</v>
      </c>
      <c r="N5402" s="8" t="n">
        <v>0.079</v>
      </c>
      <c r="O5402" s="4" t="n">
        <f aca="false">M5402*N5402</f>
        <v>20.54</v>
      </c>
    </row>
    <row r="5403" customFormat="false" ht="15" hidden="false" customHeight="false" outlineLevel="0" collapsed="false">
      <c r="A5403" s="0" t="s">
        <v>7152</v>
      </c>
      <c r="C5403" s="0" t="s">
        <v>41</v>
      </c>
      <c r="D5403" s="7" t="n">
        <v>337</v>
      </c>
      <c r="E5403" s="8" t="n">
        <v>0.0520178041543027</v>
      </c>
      <c r="F5403" s="4" t="n">
        <f aca="false">D5403*E5403</f>
        <v>17.53</v>
      </c>
      <c r="G5403" s="7" t="n">
        <v>11</v>
      </c>
      <c r="H5403" s="9" t="n">
        <f aca="false">IF(G5403&gt;0,D5403/G5403,"")</f>
        <v>30.6363636363636</v>
      </c>
      <c r="I5403" s="10" t="n">
        <v>46304</v>
      </c>
      <c r="K5403" s="10"/>
      <c r="M5403" s="7"/>
      <c r="N5403" s="8"/>
      <c r="O5403" s="4"/>
    </row>
    <row r="5404" customFormat="false" ht="15" hidden="false" customHeight="false" outlineLevel="0" collapsed="false">
      <c r="A5404" s="0" t="s">
        <v>7153</v>
      </c>
      <c r="C5404" s="0" t="s">
        <v>40</v>
      </c>
      <c r="D5404" s="7" t="n">
        <v>288</v>
      </c>
      <c r="E5404" s="8" t="n">
        <v>0.0607638888888889</v>
      </c>
      <c r="F5404" s="4" t="n">
        <f aca="false">D5404*E5404</f>
        <v>17.5</v>
      </c>
      <c r="G5404" s="7" t="n">
        <v>183</v>
      </c>
      <c r="H5404" s="9" t="n">
        <f aca="false">IF(G5404&gt;0,D5404/G5404,"")</f>
        <v>1.57377049180328</v>
      </c>
      <c r="I5404" s="10" t="n">
        <v>46211</v>
      </c>
      <c r="J5404" s="3" t="s">
        <v>7154</v>
      </c>
      <c r="K5404" s="10" t="n">
        <v>46185</v>
      </c>
      <c r="L5404" s="3" t="s">
        <v>18</v>
      </c>
      <c r="M5404" s="7" t="n">
        <v>440</v>
      </c>
      <c r="N5404" s="8" t="n">
        <v>0.0609</v>
      </c>
      <c r="O5404" s="4" t="n">
        <f aca="false">M5404*N5404</f>
        <v>26.796</v>
      </c>
    </row>
    <row r="5405" customFormat="false" ht="15" hidden="false" customHeight="false" outlineLevel="0" collapsed="false">
      <c r="A5405" s="0" t="s">
        <v>7155</v>
      </c>
      <c r="C5405" s="0" t="s">
        <v>36</v>
      </c>
      <c r="D5405" s="7" t="n">
        <v>6</v>
      </c>
      <c r="E5405" s="8" t="n">
        <v>2.91166666666667</v>
      </c>
      <c r="F5405" s="4" t="n">
        <f aca="false">D5405*E5405</f>
        <v>17.47</v>
      </c>
      <c r="G5405" s="7" t="n">
        <v>3</v>
      </c>
      <c r="H5405" s="9" t="n">
        <f aca="false">IF(G5405&gt;0,D5405/G5405,"")</f>
        <v>2</v>
      </c>
      <c r="I5405" s="10" t="n">
        <v>46280</v>
      </c>
      <c r="K5405" s="10"/>
      <c r="M5405" s="7"/>
      <c r="N5405" s="8"/>
      <c r="O5405" s="4"/>
    </row>
    <row r="5406" customFormat="false" ht="15" hidden="false" customHeight="false" outlineLevel="0" collapsed="false">
      <c r="A5406" s="0" t="s">
        <v>7156</v>
      </c>
      <c r="C5406" s="0" t="s">
        <v>855</v>
      </c>
      <c r="D5406" s="7" t="n">
        <v>707</v>
      </c>
      <c r="E5406" s="8" t="n">
        <v>0.0246817538896747</v>
      </c>
      <c r="F5406" s="4" t="n">
        <f aca="false">D5406*E5406</f>
        <v>17.45</v>
      </c>
      <c r="G5406" s="7" t="n">
        <v>451</v>
      </c>
      <c r="H5406" s="9" t="n">
        <f aca="false">IF(G5406&gt;0,D5406/G5406,"")</f>
        <v>1.56762749445676</v>
      </c>
      <c r="I5406" s="10" t="n">
        <v>46283</v>
      </c>
      <c r="K5406" s="10"/>
      <c r="M5406" s="7"/>
      <c r="N5406" s="8"/>
      <c r="O5406" s="4"/>
    </row>
    <row r="5407" customFormat="false" ht="15" hidden="false" customHeight="false" outlineLevel="0" collapsed="false">
      <c r="A5407" s="0" t="s">
        <v>7157</v>
      </c>
      <c r="C5407" s="0" t="s">
        <v>31</v>
      </c>
      <c r="D5407" s="7" t="n">
        <v>328</v>
      </c>
      <c r="E5407" s="8" t="n">
        <v>0.0531707317073171</v>
      </c>
      <c r="F5407" s="4" t="n">
        <f aca="false">D5407*E5407</f>
        <v>17.44</v>
      </c>
      <c r="G5407" s="7" t="n">
        <v>97</v>
      </c>
      <c r="H5407" s="9" t="n">
        <f aca="false">IF(G5407&gt;0,D5407/G5407,"")</f>
        <v>3.38144329896907</v>
      </c>
      <c r="I5407" s="10" t="n">
        <v>46202</v>
      </c>
      <c r="J5407" s="3" t="s">
        <v>3712</v>
      </c>
      <c r="K5407" s="10" t="n">
        <v>46190</v>
      </c>
      <c r="L5407" s="3" t="s">
        <v>14</v>
      </c>
      <c r="M5407" s="7" t="n">
        <v>335</v>
      </c>
      <c r="N5407" s="8" t="n">
        <v>0.0568</v>
      </c>
      <c r="O5407" s="4" t="n">
        <f aca="false">M5407*N5407</f>
        <v>19.028</v>
      </c>
    </row>
    <row r="5408" customFormat="false" ht="15" hidden="false" customHeight="false" outlineLevel="0" collapsed="false">
      <c r="A5408" s="0" t="s">
        <v>7158</v>
      </c>
      <c r="C5408" s="0" t="s">
        <v>31</v>
      </c>
      <c r="D5408" s="7" t="n">
        <v>451</v>
      </c>
      <c r="E5408" s="8" t="n">
        <v>0.038669623059867</v>
      </c>
      <c r="F5408" s="4" t="n">
        <f aca="false">D5408*E5408</f>
        <v>17.44</v>
      </c>
      <c r="G5408" s="7" t="n">
        <v>310</v>
      </c>
      <c r="H5408" s="9" t="n">
        <f aca="false">IF(G5408&gt;0,D5408/G5408,"")</f>
        <v>1.45483870967742</v>
      </c>
      <c r="I5408" s="10" t="n">
        <v>46071</v>
      </c>
      <c r="J5408" s="3" t="s">
        <v>5895</v>
      </c>
      <c r="K5408" s="10" t="n">
        <v>46059</v>
      </c>
      <c r="L5408" s="3" t="s">
        <v>19</v>
      </c>
      <c r="M5408" s="7" t="n">
        <v>500</v>
      </c>
      <c r="N5408" s="8" t="n">
        <v>0.0464</v>
      </c>
      <c r="O5408" s="4" t="n">
        <f aca="false">M5408*N5408</f>
        <v>23.2</v>
      </c>
    </row>
    <row r="5409" customFormat="false" ht="15" hidden="false" customHeight="false" outlineLevel="0" collapsed="false">
      <c r="A5409" s="0" t="s">
        <v>7159</v>
      </c>
      <c r="C5409" s="0" t="s">
        <v>39</v>
      </c>
      <c r="D5409" s="7" t="n">
        <v>38</v>
      </c>
      <c r="E5409" s="8" t="n">
        <v>0.458947368421053</v>
      </c>
      <c r="F5409" s="4" t="n">
        <f aca="false">D5409*E5409</f>
        <v>17.44</v>
      </c>
      <c r="G5409" s="7" t="n">
        <v>2</v>
      </c>
      <c r="H5409" s="9" t="n">
        <f aca="false">IF(G5409&gt;0,D5409/G5409,"")</f>
        <v>19</v>
      </c>
      <c r="I5409" s="10" t="n">
        <v>45953</v>
      </c>
      <c r="J5409" s="3" t="s">
        <v>7160</v>
      </c>
      <c r="K5409" s="10" t="n">
        <v>45520</v>
      </c>
      <c r="L5409" s="3" t="s">
        <v>18</v>
      </c>
      <c r="M5409" s="7" t="n">
        <v>54</v>
      </c>
      <c r="N5409" s="8" t="n">
        <v>0.4591</v>
      </c>
      <c r="O5409" s="4" t="n">
        <f aca="false">M5409*N5409</f>
        <v>24.7914</v>
      </c>
    </row>
    <row r="5410" customFormat="false" ht="15" hidden="false" customHeight="false" outlineLevel="0" collapsed="false">
      <c r="A5410" s="0" t="s">
        <v>7161</v>
      </c>
      <c r="C5410" s="0" t="s">
        <v>31</v>
      </c>
      <c r="D5410" s="7" t="n">
        <v>2389</v>
      </c>
      <c r="E5410" s="8" t="n">
        <v>0.00730012557555463</v>
      </c>
      <c r="F5410" s="4" t="n">
        <f aca="false">D5410*E5410</f>
        <v>17.44</v>
      </c>
      <c r="G5410" s="7" t="n">
        <v>100</v>
      </c>
      <c r="H5410" s="9" t="n">
        <f aca="false">IF(G5410&gt;0,D5410/G5410,"")</f>
        <v>23.89</v>
      </c>
      <c r="I5410" s="10" t="n">
        <v>46128</v>
      </c>
      <c r="J5410" s="3" t="s">
        <v>7162</v>
      </c>
      <c r="K5410" s="10" t="n">
        <v>45496</v>
      </c>
      <c r="L5410" s="3" t="s">
        <v>14</v>
      </c>
      <c r="M5410" s="7" t="n">
        <v>2641</v>
      </c>
      <c r="N5410" s="8" t="n">
        <v>0.0073</v>
      </c>
      <c r="O5410" s="4" t="n">
        <f aca="false">M5410*N5410</f>
        <v>19.2793</v>
      </c>
    </row>
    <row r="5411" customFormat="false" ht="15" hidden="false" customHeight="false" outlineLevel="0" collapsed="false">
      <c r="A5411" s="0" t="s">
        <v>7163</v>
      </c>
      <c r="C5411" s="0" t="s">
        <v>36</v>
      </c>
      <c r="D5411" s="7" t="n">
        <v>31</v>
      </c>
      <c r="E5411" s="8" t="n">
        <v>0.561935483870968</v>
      </c>
      <c r="F5411" s="4" t="n">
        <f aca="false">D5411*E5411</f>
        <v>17.42</v>
      </c>
      <c r="G5411" s="7" t="n">
        <v>10</v>
      </c>
      <c r="H5411" s="9" t="n">
        <f aca="false">IF(G5411&gt;0,D5411/G5411,"")</f>
        <v>3.1</v>
      </c>
      <c r="I5411" s="10" t="n">
        <v>46057</v>
      </c>
      <c r="J5411" s="3" t="s">
        <v>6013</v>
      </c>
      <c r="K5411" s="10" t="n">
        <v>45607</v>
      </c>
      <c r="L5411" s="3" t="s">
        <v>18</v>
      </c>
      <c r="M5411" s="7" t="n">
        <v>46</v>
      </c>
      <c r="N5411" s="8" t="n">
        <v>0.5619</v>
      </c>
      <c r="O5411" s="4" t="n">
        <f aca="false">M5411*N5411</f>
        <v>25.8474</v>
      </c>
    </row>
    <row r="5412" customFormat="false" ht="15" hidden="false" customHeight="false" outlineLevel="0" collapsed="false">
      <c r="A5412" s="0" t="s">
        <v>7164</v>
      </c>
      <c r="C5412" s="0" t="s">
        <v>38</v>
      </c>
      <c r="D5412" s="7" t="n">
        <v>202</v>
      </c>
      <c r="E5412" s="8" t="n">
        <v>0.0861881188118812</v>
      </c>
      <c r="F5412" s="4" t="n">
        <f aca="false">D5412*E5412</f>
        <v>17.41</v>
      </c>
      <c r="G5412" s="7" t="n">
        <v>66</v>
      </c>
      <c r="H5412" s="9" t="n">
        <f aca="false">IF(G5412&gt;0,D5412/G5412,"")</f>
        <v>3.06060606060606</v>
      </c>
      <c r="I5412" s="10" t="n">
        <v>46315</v>
      </c>
      <c r="J5412" s="3" t="s">
        <v>6812</v>
      </c>
      <c r="K5412" s="10" t="n">
        <v>44657</v>
      </c>
      <c r="L5412" s="3" t="s">
        <v>19</v>
      </c>
      <c r="M5412" s="7" t="n">
        <v>649</v>
      </c>
      <c r="N5412" s="8" t="n">
        <v>0.0861</v>
      </c>
      <c r="O5412" s="4" t="n">
        <f aca="false">M5412*N5412</f>
        <v>55.8789</v>
      </c>
    </row>
    <row r="5413" customFormat="false" ht="15" hidden="false" customHeight="false" outlineLevel="0" collapsed="false">
      <c r="A5413" s="0" t="s">
        <v>7165</v>
      </c>
      <c r="C5413" s="0" t="s">
        <v>31</v>
      </c>
      <c r="D5413" s="7" t="n">
        <v>472</v>
      </c>
      <c r="E5413" s="8" t="n">
        <v>0.036864406779661</v>
      </c>
      <c r="F5413" s="4" t="n">
        <f aca="false">D5413*E5413</f>
        <v>17.4</v>
      </c>
      <c r="G5413" s="7" t="n">
        <v>168</v>
      </c>
      <c r="H5413" s="9" t="n">
        <f aca="false">IF(G5413&gt;0,D5413/G5413,"")</f>
        <v>2.80952380952381</v>
      </c>
      <c r="I5413" s="10" t="n">
        <v>46314</v>
      </c>
      <c r="J5413" s="3" t="s">
        <v>478</v>
      </c>
      <c r="K5413" s="10" t="n">
        <v>46185</v>
      </c>
      <c r="L5413" s="3" t="s">
        <v>16</v>
      </c>
      <c r="M5413" s="7" t="n">
        <v>543</v>
      </c>
      <c r="N5413" s="8" t="n">
        <v>0.036832</v>
      </c>
      <c r="O5413" s="4" t="n">
        <f aca="false">M5413*N5413</f>
        <v>19.999776</v>
      </c>
    </row>
    <row r="5414" customFormat="false" ht="15" hidden="false" customHeight="false" outlineLevel="0" collapsed="false">
      <c r="A5414" s="0" t="s">
        <v>7166</v>
      </c>
      <c r="C5414" s="0" t="s">
        <v>295</v>
      </c>
      <c r="D5414" s="7" t="n">
        <v>272</v>
      </c>
      <c r="E5414" s="8" t="n">
        <v>0.0638970588235294</v>
      </c>
      <c r="F5414" s="4" t="n">
        <f aca="false">D5414*E5414</f>
        <v>17.38</v>
      </c>
      <c r="G5414" s="7" t="n">
        <v>50</v>
      </c>
      <c r="H5414" s="9" t="n">
        <f aca="false">IF(G5414&gt;0,D5414/G5414,"")</f>
        <v>5.44</v>
      </c>
      <c r="I5414" s="10" t="n">
        <v>46036</v>
      </c>
      <c r="J5414" s="3" t="s">
        <v>6041</v>
      </c>
      <c r="K5414" s="10" t="n">
        <v>45896</v>
      </c>
      <c r="L5414" s="3" t="s">
        <v>19</v>
      </c>
      <c r="M5414" s="7" t="n">
        <v>500</v>
      </c>
      <c r="N5414" s="8" t="n">
        <v>0.0651</v>
      </c>
      <c r="O5414" s="4" t="n">
        <f aca="false">M5414*N5414</f>
        <v>32.55</v>
      </c>
    </row>
    <row r="5415" customFormat="false" ht="15" hidden="false" customHeight="false" outlineLevel="0" collapsed="false">
      <c r="A5415" s="0" t="s">
        <v>7167</v>
      </c>
      <c r="C5415" s="0" t="s">
        <v>40</v>
      </c>
      <c r="D5415" s="7" t="n">
        <v>146</v>
      </c>
      <c r="E5415" s="8" t="n">
        <v>0.118835616438356</v>
      </c>
      <c r="F5415" s="4" t="n">
        <f aca="false">D5415*E5415</f>
        <v>17.35</v>
      </c>
      <c r="G5415" s="7" t="n">
        <v>50</v>
      </c>
      <c r="H5415" s="9" t="n">
        <f aca="false">IF(G5415&gt;0,D5415/G5415,"")</f>
        <v>2.92</v>
      </c>
      <c r="I5415" s="10" t="n">
        <v>46212</v>
      </c>
      <c r="J5415" s="3" t="s">
        <v>6642</v>
      </c>
      <c r="K5415" s="10" t="n">
        <v>45902</v>
      </c>
      <c r="L5415" s="3" t="s">
        <v>18</v>
      </c>
      <c r="M5415" s="7" t="n">
        <v>230</v>
      </c>
      <c r="N5415" s="8" t="n">
        <v>0.1175</v>
      </c>
      <c r="O5415" s="4" t="n">
        <f aca="false">M5415*N5415</f>
        <v>27.025</v>
      </c>
    </row>
    <row r="5416" customFormat="false" ht="15" hidden="false" customHeight="false" outlineLevel="0" collapsed="false">
      <c r="A5416" s="0" t="s">
        <v>7168</v>
      </c>
      <c r="C5416" s="0" t="s">
        <v>34</v>
      </c>
      <c r="D5416" s="7" t="n">
        <v>85</v>
      </c>
      <c r="E5416" s="8" t="n">
        <v>0.204</v>
      </c>
      <c r="F5416" s="4" t="n">
        <f aca="false">D5416*E5416</f>
        <v>17.34</v>
      </c>
      <c r="G5416" s="7" t="n">
        <v>30</v>
      </c>
      <c r="H5416" s="9" t="n">
        <f aca="false">IF(G5416&gt;0,D5416/G5416,"")</f>
        <v>2.83333333333333</v>
      </c>
      <c r="I5416" s="10" t="n">
        <v>46063</v>
      </c>
      <c r="J5416" s="3" t="s">
        <v>410</v>
      </c>
      <c r="K5416" s="10" t="n">
        <v>46303</v>
      </c>
      <c r="L5416" s="3" t="s">
        <v>16</v>
      </c>
      <c r="M5416" s="7" t="n">
        <v>3070</v>
      </c>
      <c r="N5416" s="8" t="n">
        <v>0.0489</v>
      </c>
      <c r="O5416" s="4" t="n">
        <f aca="false">M5416*N5416</f>
        <v>150.123</v>
      </c>
    </row>
    <row r="5417" customFormat="false" ht="15" hidden="false" customHeight="false" outlineLevel="0" collapsed="false">
      <c r="A5417" s="0" t="s">
        <v>7169</v>
      </c>
      <c r="C5417" s="0" t="s">
        <v>360</v>
      </c>
      <c r="D5417" s="7" t="n">
        <v>98</v>
      </c>
      <c r="E5417" s="8" t="n">
        <v>0.176836734693878</v>
      </c>
      <c r="F5417" s="4" t="n">
        <f aca="false">D5417*E5417</f>
        <v>17.33</v>
      </c>
      <c r="G5417" s="7" t="n">
        <v>8</v>
      </c>
      <c r="H5417" s="9" t="n">
        <f aca="false">IF(G5417&gt;0,D5417/G5417,"")</f>
        <v>12.25</v>
      </c>
      <c r="I5417" s="10" t="n">
        <v>46062</v>
      </c>
      <c r="K5417" s="10"/>
      <c r="M5417" s="7"/>
      <c r="N5417" s="8"/>
      <c r="O5417" s="4"/>
    </row>
    <row r="5418" customFormat="false" ht="15" hidden="false" customHeight="false" outlineLevel="0" collapsed="false">
      <c r="A5418" s="0" t="s">
        <v>7170</v>
      </c>
      <c r="C5418" s="0" t="s">
        <v>855</v>
      </c>
      <c r="D5418" s="7" t="n">
        <v>2061</v>
      </c>
      <c r="E5418" s="8" t="n">
        <v>0.00840368753032508</v>
      </c>
      <c r="F5418" s="4" t="n">
        <f aca="false">D5418*E5418</f>
        <v>17.32</v>
      </c>
      <c r="G5418" s="7" t="n">
        <v>100</v>
      </c>
      <c r="H5418" s="9" t="n">
        <f aca="false">IF(G5418&gt;0,D5418/G5418,"")</f>
        <v>20.61</v>
      </c>
      <c r="I5418" s="10" t="n">
        <v>46071</v>
      </c>
      <c r="K5418" s="10"/>
      <c r="M5418" s="7"/>
      <c r="N5418" s="8"/>
      <c r="O5418" s="4"/>
    </row>
    <row r="5419" customFormat="false" ht="15" hidden="false" customHeight="false" outlineLevel="0" collapsed="false">
      <c r="A5419" s="0" t="s">
        <v>7171</v>
      </c>
      <c r="C5419" s="0" t="s">
        <v>438</v>
      </c>
      <c r="D5419" s="7" t="n">
        <v>10</v>
      </c>
      <c r="E5419" s="8" t="n">
        <v>1.731</v>
      </c>
      <c r="F5419" s="4" t="n">
        <f aca="false">D5419*E5419</f>
        <v>17.31</v>
      </c>
      <c r="G5419" s="7" t="n">
        <v>10</v>
      </c>
      <c r="H5419" s="9" t="n">
        <f aca="false">IF(G5419&gt;0,D5419/G5419,"")</f>
        <v>1</v>
      </c>
      <c r="I5419" s="10" t="n">
        <v>46308</v>
      </c>
      <c r="J5419" s="3" t="s">
        <v>2705</v>
      </c>
      <c r="K5419" s="10" t="n">
        <v>46175</v>
      </c>
      <c r="L5419" s="3" t="s">
        <v>14</v>
      </c>
      <c r="M5419" s="7" t="n">
        <v>20</v>
      </c>
      <c r="N5419" s="8" t="n">
        <v>1.7305</v>
      </c>
      <c r="O5419" s="4" t="n">
        <f aca="false">M5419*N5419</f>
        <v>34.61</v>
      </c>
    </row>
    <row r="5420" customFormat="false" ht="15" hidden="false" customHeight="false" outlineLevel="0" collapsed="false">
      <c r="A5420" s="0" t="s">
        <v>7172</v>
      </c>
      <c r="C5420" s="0" t="s">
        <v>31</v>
      </c>
      <c r="D5420" s="7" t="n">
        <v>554</v>
      </c>
      <c r="E5420" s="8" t="n">
        <v>0.0312454873646209</v>
      </c>
      <c r="F5420" s="4" t="n">
        <f aca="false">D5420*E5420</f>
        <v>17.31</v>
      </c>
      <c r="G5420" s="7" t="n">
        <v>86</v>
      </c>
      <c r="H5420" s="9" t="n">
        <f aca="false">IF(G5420&gt;0,D5420/G5420,"")</f>
        <v>6.44186046511628</v>
      </c>
      <c r="I5420" s="10" t="n">
        <v>46269</v>
      </c>
      <c r="J5420" s="3" t="s">
        <v>620</v>
      </c>
      <c r="K5420" s="10" t="n">
        <v>46146</v>
      </c>
      <c r="L5420" s="3" t="s">
        <v>16</v>
      </c>
      <c r="M5420" s="7" t="n">
        <v>640</v>
      </c>
      <c r="N5420" s="8" t="n">
        <v>0.03125</v>
      </c>
      <c r="O5420" s="4" t="n">
        <f aca="false">M5420*N5420</f>
        <v>20</v>
      </c>
    </row>
    <row r="5421" customFormat="false" ht="15" hidden="false" customHeight="false" outlineLevel="0" collapsed="false">
      <c r="A5421" s="0" t="s">
        <v>7173</v>
      </c>
      <c r="C5421" s="0" t="s">
        <v>31</v>
      </c>
      <c r="D5421" s="7" t="n">
        <v>316</v>
      </c>
      <c r="E5421" s="8" t="n">
        <v>0.0547784810126582</v>
      </c>
      <c r="F5421" s="4" t="n">
        <f aca="false">D5421*E5421</f>
        <v>17.31</v>
      </c>
      <c r="G5421" s="7" t="n">
        <v>39</v>
      </c>
      <c r="H5421" s="9" t="n">
        <f aca="false">IF(G5421&gt;0,D5421/G5421,"")</f>
        <v>8.1025641025641</v>
      </c>
      <c r="I5421" s="10" t="n">
        <v>46273</v>
      </c>
      <c r="J5421" s="3" t="s">
        <v>2211</v>
      </c>
      <c r="K5421" s="10" t="n">
        <v>45706</v>
      </c>
      <c r="L5421" s="3" t="s">
        <v>16</v>
      </c>
      <c r="M5421" s="7" t="n">
        <v>365</v>
      </c>
      <c r="N5421" s="8" t="n">
        <v>0.0547945</v>
      </c>
      <c r="O5421" s="4" t="n">
        <f aca="false">M5421*N5421</f>
        <v>19.9999925</v>
      </c>
    </row>
    <row r="5422" customFormat="false" ht="15" hidden="false" customHeight="false" outlineLevel="0" collapsed="false">
      <c r="A5422" s="0" t="s">
        <v>7174</v>
      </c>
      <c r="C5422" s="0" t="s">
        <v>1039</v>
      </c>
      <c r="D5422" s="7" t="n">
        <v>609</v>
      </c>
      <c r="E5422" s="8" t="n">
        <v>0.0284072249589491</v>
      </c>
      <c r="F5422" s="4" t="n">
        <f aca="false">D5422*E5422</f>
        <v>17.3</v>
      </c>
      <c r="G5422" s="7" t="n">
        <v>55</v>
      </c>
      <c r="H5422" s="9" t="n">
        <f aca="false">IF(G5422&gt;0,D5422/G5422,"")</f>
        <v>11.0727272727273</v>
      </c>
      <c r="I5422" s="10" t="n">
        <v>46290</v>
      </c>
      <c r="J5422" s="3" t="s">
        <v>6172</v>
      </c>
      <c r="K5422" s="10" t="n">
        <v>45455</v>
      </c>
      <c r="L5422" s="3" t="s">
        <v>19</v>
      </c>
      <c r="M5422" s="7" t="n">
        <v>861</v>
      </c>
      <c r="N5422" s="8" t="n">
        <v>0.0284</v>
      </c>
      <c r="O5422" s="4" t="n">
        <f aca="false">M5422*N5422</f>
        <v>24.4524</v>
      </c>
    </row>
    <row r="5423" customFormat="false" ht="15" hidden="false" customHeight="false" outlineLevel="0" collapsed="false">
      <c r="A5423" s="0" t="s">
        <v>7175</v>
      </c>
      <c r="C5423" s="0" t="s">
        <v>31</v>
      </c>
      <c r="D5423" s="7" t="n">
        <v>1210</v>
      </c>
      <c r="E5423" s="8" t="n">
        <v>0.014297520661157</v>
      </c>
      <c r="F5423" s="4" t="n">
        <f aca="false">D5423*E5423</f>
        <v>17.3</v>
      </c>
      <c r="G5423" s="7" t="n">
        <v>42</v>
      </c>
      <c r="H5423" s="9" t="n">
        <f aca="false">IF(G5423&gt;0,D5423/G5423,"")</f>
        <v>28.8095238095238</v>
      </c>
      <c r="I5423" s="10" t="n">
        <v>46156</v>
      </c>
      <c r="J5423" s="3" t="s">
        <v>7176</v>
      </c>
      <c r="K5423" s="10" t="n">
        <v>45494</v>
      </c>
      <c r="L5423" s="3" t="s">
        <v>16</v>
      </c>
      <c r="M5423" s="7" t="n">
        <v>1500</v>
      </c>
      <c r="N5423" s="8" t="n">
        <v>0.0143</v>
      </c>
      <c r="O5423" s="4" t="n">
        <f aca="false">M5423*N5423</f>
        <v>21.45</v>
      </c>
    </row>
    <row r="5424" customFormat="false" ht="15" hidden="false" customHeight="false" outlineLevel="0" collapsed="false">
      <c r="A5424" s="0" t="s">
        <v>7177</v>
      </c>
      <c r="C5424" s="0" t="s">
        <v>35</v>
      </c>
      <c r="D5424" s="7" t="n">
        <v>8</v>
      </c>
      <c r="E5424" s="8" t="n">
        <v>2.15875</v>
      </c>
      <c r="F5424" s="4" t="n">
        <f aca="false">D5424*E5424</f>
        <v>17.27</v>
      </c>
      <c r="G5424" s="7" t="n">
        <v>7</v>
      </c>
      <c r="H5424" s="9" t="n">
        <f aca="false">IF(G5424&gt;0,D5424/G5424,"")</f>
        <v>1.14285714285714</v>
      </c>
      <c r="I5424" s="10" t="n">
        <v>46286</v>
      </c>
      <c r="J5424" s="3" t="s">
        <v>3526</v>
      </c>
      <c r="K5424" s="10" t="n">
        <v>45293</v>
      </c>
      <c r="L5424" s="3" t="s">
        <v>14</v>
      </c>
      <c r="M5424" s="7" t="n">
        <v>25</v>
      </c>
      <c r="N5424" s="8" t="n">
        <v>2.1592</v>
      </c>
      <c r="O5424" s="4" t="n">
        <f aca="false">M5424*N5424</f>
        <v>53.98</v>
      </c>
    </row>
    <row r="5425" customFormat="false" ht="15" hidden="false" customHeight="false" outlineLevel="0" collapsed="false">
      <c r="A5425" s="0" t="s">
        <v>7178</v>
      </c>
      <c r="C5425" s="0" t="s">
        <v>34</v>
      </c>
      <c r="D5425" s="7" t="n">
        <v>533</v>
      </c>
      <c r="E5425" s="8" t="n">
        <v>0.0323827392120075</v>
      </c>
      <c r="F5425" s="4" t="n">
        <f aca="false">D5425*E5425</f>
        <v>17.26</v>
      </c>
      <c r="G5425" s="7" t="n">
        <v>119</v>
      </c>
      <c r="H5425" s="9" t="n">
        <f aca="false">IF(G5425&gt;0,D5425/G5425,"")</f>
        <v>4.47899159663866</v>
      </c>
      <c r="I5425" s="10" t="n">
        <v>46174</v>
      </c>
      <c r="J5425" s="3" t="s">
        <v>1192</v>
      </c>
      <c r="K5425" s="10" t="n">
        <v>45736</v>
      </c>
      <c r="L5425" s="3" t="s">
        <v>26</v>
      </c>
      <c r="M5425" s="7" t="n">
        <v>100</v>
      </c>
      <c r="N5425" s="8" t="n">
        <v>0.086</v>
      </c>
      <c r="O5425" s="4" t="n">
        <f aca="false">M5425*N5425</f>
        <v>8.6</v>
      </c>
    </row>
    <row r="5426" customFormat="false" ht="15" hidden="false" customHeight="false" outlineLevel="0" collapsed="false">
      <c r="A5426" s="0" t="s">
        <v>7179</v>
      </c>
      <c r="C5426" s="0" t="s">
        <v>41</v>
      </c>
      <c r="D5426" s="7" t="n">
        <v>38</v>
      </c>
      <c r="E5426" s="8" t="n">
        <v>0.45421052631579</v>
      </c>
      <c r="F5426" s="4" t="n">
        <f aca="false">D5426*E5426</f>
        <v>17.26</v>
      </c>
      <c r="G5426" s="7" t="n">
        <v>12</v>
      </c>
      <c r="H5426" s="9" t="n">
        <f aca="false">IF(G5426&gt;0,D5426/G5426,"")</f>
        <v>3.16666666666667</v>
      </c>
      <c r="I5426" s="10" t="n">
        <v>46238</v>
      </c>
      <c r="J5426" s="3" t="s">
        <v>3821</v>
      </c>
      <c r="K5426" s="10" t="n">
        <v>45980</v>
      </c>
      <c r="L5426" s="3" t="s">
        <v>19</v>
      </c>
      <c r="M5426" s="7" t="n">
        <v>50</v>
      </c>
      <c r="N5426" s="8" t="n">
        <v>0.4544</v>
      </c>
      <c r="O5426" s="4" t="n">
        <f aca="false">M5426*N5426</f>
        <v>22.72</v>
      </c>
    </row>
    <row r="5427" customFormat="false" ht="15" hidden="false" customHeight="false" outlineLevel="0" collapsed="false">
      <c r="A5427" s="0" t="s">
        <v>7180</v>
      </c>
      <c r="C5427" s="0" t="s">
        <v>1039</v>
      </c>
      <c r="D5427" s="7" t="n">
        <v>173</v>
      </c>
      <c r="E5427" s="8" t="n">
        <v>0.0997109826589595</v>
      </c>
      <c r="F5427" s="4" t="n">
        <f aca="false">D5427*E5427</f>
        <v>17.25</v>
      </c>
      <c r="G5427" s="7" t="n">
        <v>12</v>
      </c>
      <c r="H5427" s="9" t="n">
        <f aca="false">IF(G5427&gt;0,D5427/G5427,"")</f>
        <v>14.4166666666667</v>
      </c>
      <c r="I5427" s="10" t="n">
        <v>45958</v>
      </c>
      <c r="J5427" s="3" t="s">
        <v>7181</v>
      </c>
      <c r="K5427" s="10" t="n">
        <v>44383</v>
      </c>
      <c r="L5427" s="3" t="s">
        <v>19</v>
      </c>
      <c r="M5427" s="7" t="n">
        <v>250</v>
      </c>
      <c r="N5427" s="8" t="n">
        <v>0.0998</v>
      </c>
      <c r="O5427" s="4" t="n">
        <f aca="false">M5427*N5427</f>
        <v>24.95</v>
      </c>
    </row>
    <row r="5428" customFormat="false" ht="15" hidden="false" customHeight="false" outlineLevel="0" collapsed="false">
      <c r="A5428" s="0" t="s">
        <v>7182</v>
      </c>
      <c r="C5428" s="0" t="s">
        <v>33</v>
      </c>
      <c r="D5428" s="7" t="n">
        <v>5</v>
      </c>
      <c r="E5428" s="8" t="n">
        <v>3.448</v>
      </c>
      <c r="F5428" s="4" t="n">
        <f aca="false">D5428*E5428</f>
        <v>17.24</v>
      </c>
      <c r="G5428" s="7" t="n">
        <v>4</v>
      </c>
      <c r="H5428" s="9" t="n">
        <f aca="false">IF(G5428&gt;0,D5428/G5428,"")</f>
        <v>1.25</v>
      </c>
      <c r="I5428" s="10" t="n">
        <v>46296</v>
      </c>
      <c r="J5428" s="3" t="s">
        <v>6208</v>
      </c>
      <c r="K5428" s="10" t="n">
        <v>46287</v>
      </c>
      <c r="L5428" s="3" t="s">
        <v>18</v>
      </c>
      <c r="M5428" s="7" t="n">
        <v>9</v>
      </c>
      <c r="N5428" s="8" t="n">
        <v>3.4475</v>
      </c>
      <c r="O5428" s="4" t="n">
        <f aca="false">M5428*N5428</f>
        <v>31.0275</v>
      </c>
    </row>
    <row r="5429" customFormat="false" ht="15" hidden="false" customHeight="false" outlineLevel="0" collapsed="false">
      <c r="A5429" s="0" t="s">
        <v>7183</v>
      </c>
      <c r="C5429" s="0" t="s">
        <v>118</v>
      </c>
      <c r="D5429" s="7" t="n">
        <v>56</v>
      </c>
      <c r="E5429" s="8" t="n">
        <v>0.3075</v>
      </c>
      <c r="F5429" s="4" t="n">
        <f aca="false">D5429*E5429</f>
        <v>17.22</v>
      </c>
      <c r="G5429" s="7" t="n">
        <v>2</v>
      </c>
      <c r="H5429" s="9" t="n">
        <f aca="false">IF(G5429&gt;0,D5429/G5429,"")</f>
        <v>28</v>
      </c>
      <c r="I5429" s="10" t="n">
        <v>46142</v>
      </c>
      <c r="J5429" s="3" t="s">
        <v>5441</v>
      </c>
      <c r="K5429" s="10" t="n">
        <v>45201</v>
      </c>
      <c r="L5429" s="3" t="s">
        <v>14</v>
      </c>
      <c r="M5429" s="7" t="n">
        <v>100</v>
      </c>
      <c r="N5429" s="8" t="n">
        <v>0.3075</v>
      </c>
      <c r="O5429" s="4" t="n">
        <f aca="false">M5429*N5429</f>
        <v>30.75</v>
      </c>
    </row>
    <row r="5430" customFormat="false" ht="15" hidden="false" customHeight="false" outlineLevel="0" collapsed="false">
      <c r="A5430" s="0" t="s">
        <v>7184</v>
      </c>
      <c r="C5430" s="0" t="s">
        <v>166</v>
      </c>
      <c r="D5430" s="7" t="n">
        <v>94</v>
      </c>
      <c r="E5430" s="8" t="n">
        <v>0.183085106382979</v>
      </c>
      <c r="F5430" s="4" t="n">
        <f aca="false">D5430*E5430</f>
        <v>17.21</v>
      </c>
      <c r="G5430" s="7" t="n">
        <v>4</v>
      </c>
      <c r="H5430" s="9" t="n">
        <f aca="false">IF(G5430&gt;0,D5430/G5430,"")</f>
        <v>23.5</v>
      </c>
      <c r="I5430" s="10" t="n">
        <v>46258</v>
      </c>
      <c r="K5430" s="10"/>
      <c r="M5430" s="7"/>
      <c r="N5430" s="8"/>
      <c r="O5430" s="4"/>
    </row>
    <row r="5431" customFormat="false" ht="15" hidden="false" customHeight="false" outlineLevel="0" collapsed="false">
      <c r="A5431" s="0" t="s">
        <v>7185</v>
      </c>
      <c r="C5431" s="0" t="s">
        <v>41</v>
      </c>
      <c r="D5431" s="7" t="n">
        <v>373</v>
      </c>
      <c r="E5431" s="8" t="n">
        <v>0.046112600536193</v>
      </c>
      <c r="F5431" s="4" t="n">
        <f aca="false">D5431*E5431</f>
        <v>17.2</v>
      </c>
      <c r="G5431" s="7" t="n">
        <v>90</v>
      </c>
      <c r="H5431" s="9" t="n">
        <f aca="false">IF(G5431&gt;0,D5431/G5431,"")</f>
        <v>4.14444444444445</v>
      </c>
      <c r="I5431" s="10" t="n">
        <v>46247</v>
      </c>
      <c r="J5431" s="3" t="s">
        <v>7186</v>
      </c>
      <c r="K5431" s="10" t="n">
        <v>45350</v>
      </c>
      <c r="L5431" s="3" t="s">
        <v>19</v>
      </c>
      <c r="M5431" s="7" t="n">
        <v>500</v>
      </c>
      <c r="N5431" s="8" t="n">
        <v>0.0452</v>
      </c>
      <c r="O5431" s="4" t="n">
        <f aca="false">M5431*N5431</f>
        <v>22.6</v>
      </c>
    </row>
    <row r="5432" customFormat="false" ht="15" hidden="false" customHeight="false" outlineLevel="0" collapsed="false">
      <c r="A5432" s="0" t="s">
        <v>7187</v>
      </c>
      <c r="C5432" s="0" t="s">
        <v>31</v>
      </c>
      <c r="D5432" s="7" t="n">
        <v>527</v>
      </c>
      <c r="E5432" s="8" t="n">
        <v>0.0325996204933586</v>
      </c>
      <c r="F5432" s="4" t="n">
        <f aca="false">D5432*E5432</f>
        <v>17.18</v>
      </c>
      <c r="G5432" s="7" t="n">
        <v>150</v>
      </c>
      <c r="H5432" s="9" t="n">
        <f aca="false">IF(G5432&gt;0,D5432/G5432,"")</f>
        <v>3.51333333333333</v>
      </c>
      <c r="I5432" s="10" t="n">
        <v>45974</v>
      </c>
      <c r="J5432" s="3" t="s">
        <v>727</v>
      </c>
      <c r="K5432" s="10" t="n">
        <v>44860</v>
      </c>
      <c r="L5432" s="3" t="s">
        <v>19</v>
      </c>
      <c r="M5432" s="7" t="n">
        <v>976</v>
      </c>
      <c r="N5432" s="8" t="n">
        <v>0.0327</v>
      </c>
      <c r="O5432" s="4" t="n">
        <f aca="false">M5432*N5432</f>
        <v>31.9152</v>
      </c>
    </row>
    <row r="5433" customFormat="false" ht="15" hidden="false" customHeight="false" outlineLevel="0" collapsed="false">
      <c r="A5433" s="0" t="s">
        <v>7188</v>
      </c>
      <c r="C5433" s="0" t="s">
        <v>34</v>
      </c>
      <c r="D5433" s="7" t="n">
        <v>166</v>
      </c>
      <c r="E5433" s="8" t="n">
        <v>0.103433734939759</v>
      </c>
      <c r="F5433" s="4" t="n">
        <f aca="false">D5433*E5433</f>
        <v>17.17</v>
      </c>
      <c r="G5433" s="7" t="n">
        <v>60</v>
      </c>
      <c r="H5433" s="9" t="n">
        <f aca="false">IF(G5433&gt;0,D5433/G5433,"")</f>
        <v>2.76666666666667</v>
      </c>
      <c r="I5433" s="10" t="n">
        <v>46281</v>
      </c>
      <c r="J5433" s="3" t="s">
        <v>1588</v>
      </c>
      <c r="K5433" s="10" t="n">
        <v>44582</v>
      </c>
      <c r="L5433" s="3" t="s">
        <v>19</v>
      </c>
      <c r="M5433" s="7" t="n">
        <v>254</v>
      </c>
      <c r="N5433" s="8" t="n">
        <v>0</v>
      </c>
      <c r="O5433" s="4" t="n">
        <v>26.5</v>
      </c>
    </row>
    <row r="5434" customFormat="false" ht="15" hidden="false" customHeight="false" outlineLevel="0" collapsed="false">
      <c r="A5434" s="0" t="s">
        <v>7189</v>
      </c>
      <c r="C5434" s="0" t="s">
        <v>31</v>
      </c>
      <c r="D5434" s="7" t="n">
        <v>673</v>
      </c>
      <c r="E5434" s="8" t="n">
        <v>0.0254977711738484</v>
      </c>
      <c r="F5434" s="4" t="n">
        <f aca="false">D5434*E5434</f>
        <v>17.16</v>
      </c>
      <c r="G5434" s="7" t="n">
        <v>451</v>
      </c>
      <c r="H5434" s="9" t="n">
        <f aca="false">IF(G5434&gt;0,D5434/G5434,"")</f>
        <v>1.49223946784922</v>
      </c>
      <c r="I5434" s="10" t="n">
        <v>46181</v>
      </c>
      <c r="K5434" s="10"/>
      <c r="M5434" s="7"/>
      <c r="N5434" s="8"/>
      <c r="O5434" s="4"/>
    </row>
    <row r="5435" customFormat="false" ht="15" hidden="false" customHeight="false" outlineLevel="0" collapsed="false">
      <c r="A5435" s="0" t="s">
        <v>7190</v>
      </c>
      <c r="C5435" s="0" t="s">
        <v>765</v>
      </c>
      <c r="D5435" s="7" t="n">
        <v>1128</v>
      </c>
      <c r="E5435" s="8" t="n">
        <v>0.0152127659574468</v>
      </c>
      <c r="F5435" s="4" t="n">
        <f aca="false">D5435*E5435</f>
        <v>17.16</v>
      </c>
      <c r="G5435" s="7" t="n">
        <v>95</v>
      </c>
      <c r="H5435" s="9" t="n">
        <f aca="false">IF(G5435&gt;0,D5435/G5435,"")</f>
        <v>11.8736842105263</v>
      </c>
      <c r="I5435" s="10" t="n">
        <v>46146</v>
      </c>
      <c r="J5435" s="3" t="s">
        <v>357</v>
      </c>
      <c r="K5435" s="10" t="n">
        <v>44775</v>
      </c>
      <c r="L5435" s="3" t="s">
        <v>19</v>
      </c>
      <c r="M5435" s="7" t="n">
        <v>2710</v>
      </c>
      <c r="N5435" s="8" t="n">
        <v>0</v>
      </c>
      <c r="O5435" s="4" t="n">
        <v>46.75</v>
      </c>
    </row>
    <row r="5436" customFormat="false" ht="15" hidden="false" customHeight="false" outlineLevel="0" collapsed="false">
      <c r="A5436" s="0" t="s">
        <v>7191</v>
      </c>
      <c r="C5436" s="0" t="s">
        <v>5091</v>
      </c>
      <c r="D5436" s="7" t="n">
        <v>19</v>
      </c>
      <c r="E5436" s="8" t="n">
        <v>0.902631578947369</v>
      </c>
      <c r="F5436" s="4" t="n">
        <f aca="false">D5436*E5436</f>
        <v>17.15</v>
      </c>
      <c r="G5436" s="7" t="n">
        <v>3</v>
      </c>
      <c r="H5436" s="9" t="n">
        <f aca="false">IF(G5436&gt;0,D5436/G5436,"")</f>
        <v>6.33333333333333</v>
      </c>
      <c r="I5436" s="10" t="n">
        <v>46139</v>
      </c>
      <c r="J5436" s="3" t="s">
        <v>7192</v>
      </c>
      <c r="K5436" s="10" t="n">
        <v>45814</v>
      </c>
      <c r="L5436" s="3" t="s">
        <v>14</v>
      </c>
      <c r="M5436" s="7" t="n">
        <v>122</v>
      </c>
      <c r="N5436" s="8" t="n">
        <v>0.90262295</v>
      </c>
      <c r="O5436" s="4" t="n">
        <f aca="false">M5436*N5436</f>
        <v>110.1199999</v>
      </c>
    </row>
    <row r="5437" customFormat="false" ht="15" hidden="false" customHeight="false" outlineLevel="0" collapsed="false">
      <c r="A5437" s="0" t="s">
        <v>7193</v>
      </c>
      <c r="C5437" s="0" t="s">
        <v>765</v>
      </c>
      <c r="D5437" s="7" t="n">
        <v>1545</v>
      </c>
      <c r="E5437" s="8" t="n">
        <v>0.0111003236245955</v>
      </c>
      <c r="F5437" s="4" t="n">
        <f aca="false">D5437*E5437</f>
        <v>17.15</v>
      </c>
      <c r="G5437" s="7" t="n">
        <v>455</v>
      </c>
      <c r="H5437" s="9" t="n">
        <f aca="false">IF(G5437&gt;0,D5437/G5437,"")</f>
        <v>3.3956043956044</v>
      </c>
      <c r="I5437" s="10" t="n">
        <v>46217</v>
      </c>
      <c r="J5437" s="3" t="s">
        <v>2662</v>
      </c>
      <c r="K5437" s="10" t="n">
        <v>46190</v>
      </c>
      <c r="L5437" s="3" t="s">
        <v>16</v>
      </c>
      <c r="M5437" s="7" t="n">
        <v>2000</v>
      </c>
      <c r="N5437" s="8" t="n">
        <v>0.0111</v>
      </c>
      <c r="O5437" s="4" t="n">
        <f aca="false">M5437*N5437</f>
        <v>22.2</v>
      </c>
    </row>
    <row r="5438" customFormat="false" ht="15" hidden="false" customHeight="false" outlineLevel="0" collapsed="false">
      <c r="A5438" s="0" t="s">
        <v>7194</v>
      </c>
      <c r="C5438" s="0" t="s">
        <v>31</v>
      </c>
      <c r="D5438" s="7" t="n">
        <v>926</v>
      </c>
      <c r="E5438" s="8" t="n">
        <v>0.0184989200863931</v>
      </c>
      <c r="F5438" s="4" t="n">
        <f aca="false">D5438*E5438</f>
        <v>17.13</v>
      </c>
      <c r="G5438" s="7" t="n">
        <v>830</v>
      </c>
      <c r="H5438" s="9" t="n">
        <f aca="false">IF(G5438&gt;0,D5438/G5438,"")</f>
        <v>1.11566265060241</v>
      </c>
      <c r="I5438" s="10" t="n">
        <v>46294</v>
      </c>
      <c r="J5438" s="3" t="s">
        <v>3287</v>
      </c>
      <c r="K5438" s="10" t="n">
        <v>46289</v>
      </c>
      <c r="L5438" s="3" t="s">
        <v>19</v>
      </c>
      <c r="M5438" s="7" t="n">
        <v>1000</v>
      </c>
      <c r="N5438" s="8" t="n">
        <v>0.0185</v>
      </c>
      <c r="O5438" s="4" t="n">
        <f aca="false">M5438*N5438</f>
        <v>18.5</v>
      </c>
    </row>
    <row r="5439" customFormat="false" ht="15" hidden="false" customHeight="false" outlineLevel="0" collapsed="false">
      <c r="A5439" s="0" t="s">
        <v>7195</v>
      </c>
      <c r="C5439" s="0" t="s">
        <v>31</v>
      </c>
      <c r="D5439" s="7" t="n">
        <v>396</v>
      </c>
      <c r="E5439" s="8" t="n">
        <v>0.0432070707070707</v>
      </c>
      <c r="F5439" s="4" t="n">
        <f aca="false">D5439*E5439</f>
        <v>17.11</v>
      </c>
      <c r="G5439" s="7" t="n">
        <v>10</v>
      </c>
      <c r="H5439" s="9" t="n">
        <f aca="false">IF(G5439&gt;0,D5439/G5439,"")</f>
        <v>39.6</v>
      </c>
      <c r="I5439" s="10" t="n">
        <v>46297</v>
      </c>
      <c r="K5439" s="10"/>
      <c r="M5439" s="7"/>
      <c r="N5439" s="8"/>
      <c r="O5439" s="4"/>
    </row>
    <row r="5440" customFormat="false" ht="15" hidden="false" customHeight="false" outlineLevel="0" collapsed="false">
      <c r="A5440" s="0" t="s">
        <v>7196</v>
      </c>
      <c r="C5440" s="0" t="s">
        <v>31</v>
      </c>
      <c r="D5440" s="7" t="n">
        <v>404</v>
      </c>
      <c r="E5440" s="8" t="n">
        <v>0.0423267326732673</v>
      </c>
      <c r="F5440" s="4" t="n">
        <f aca="false">D5440*E5440</f>
        <v>17.1</v>
      </c>
      <c r="G5440" s="7" t="n">
        <v>96</v>
      </c>
      <c r="H5440" s="9" t="n">
        <f aca="false">IF(G5440&gt;0,D5440/G5440,"")</f>
        <v>4.20833333333333</v>
      </c>
      <c r="I5440" s="10" t="n">
        <v>46317</v>
      </c>
      <c r="J5440" s="3" t="s">
        <v>2739</v>
      </c>
      <c r="K5440" s="10" t="n">
        <v>46142</v>
      </c>
      <c r="L5440" s="3" t="s">
        <v>16</v>
      </c>
      <c r="M5440" s="7" t="n">
        <v>500</v>
      </c>
      <c r="N5440" s="8" t="n">
        <v>0.0423</v>
      </c>
      <c r="O5440" s="4" t="n">
        <f aca="false">M5440*N5440</f>
        <v>21.15</v>
      </c>
    </row>
    <row r="5441" customFormat="false" ht="15" hidden="false" customHeight="false" outlineLevel="0" collapsed="false">
      <c r="A5441" s="0" t="s">
        <v>7197</v>
      </c>
      <c r="C5441" s="0" t="s">
        <v>298</v>
      </c>
      <c r="D5441" s="7" t="n">
        <v>1645</v>
      </c>
      <c r="E5441" s="8" t="n">
        <v>0.0103951367781155</v>
      </c>
      <c r="F5441" s="4" t="n">
        <f aca="false">D5441*E5441</f>
        <v>17.1</v>
      </c>
      <c r="G5441" s="7" t="n">
        <v>680</v>
      </c>
      <c r="H5441" s="9" t="n">
        <f aca="false">IF(G5441&gt;0,D5441/G5441,"")</f>
        <v>2.41911764705882</v>
      </c>
      <c r="I5441" s="10" t="n">
        <v>46185</v>
      </c>
      <c r="J5441" s="3" t="s">
        <v>7198</v>
      </c>
      <c r="K5441" s="10" t="n">
        <v>45251</v>
      </c>
      <c r="L5441" s="3" t="s">
        <v>19</v>
      </c>
      <c r="M5441" s="7" t="n">
        <v>3125</v>
      </c>
      <c r="N5441" s="8" t="n">
        <v>0.0104</v>
      </c>
      <c r="O5441" s="4" t="n">
        <f aca="false">M5441*N5441</f>
        <v>32.5</v>
      </c>
    </row>
    <row r="5442" customFormat="false" ht="15" hidden="false" customHeight="false" outlineLevel="0" collapsed="false">
      <c r="A5442" s="0" t="s">
        <v>7199</v>
      </c>
      <c r="C5442" s="0" t="s">
        <v>31</v>
      </c>
      <c r="D5442" s="7" t="n">
        <v>347</v>
      </c>
      <c r="E5442" s="8" t="n">
        <v>0.0492507204610951</v>
      </c>
      <c r="F5442" s="4" t="n">
        <f aca="false">D5442*E5442</f>
        <v>17.09</v>
      </c>
      <c r="G5442" s="7" t="n">
        <v>157</v>
      </c>
      <c r="H5442" s="9" t="n">
        <f aca="false">IF(G5442&gt;0,D5442/G5442,"")</f>
        <v>2.21019108280255</v>
      </c>
      <c r="I5442" s="10" t="n">
        <v>46154</v>
      </c>
      <c r="J5442" s="3" t="s">
        <v>234</v>
      </c>
      <c r="K5442" s="10" t="n">
        <v>44726</v>
      </c>
      <c r="L5442" s="3" t="s">
        <v>15</v>
      </c>
      <c r="M5442" s="7" t="n">
        <v>745</v>
      </c>
      <c r="N5442" s="8" t="n">
        <v>0.04927</v>
      </c>
      <c r="O5442" s="4" t="n">
        <f aca="false">M5442*N5442</f>
        <v>36.70615</v>
      </c>
    </row>
    <row r="5443" customFormat="false" ht="15" hidden="false" customHeight="false" outlineLevel="0" collapsed="false">
      <c r="A5443" s="0" t="s">
        <v>7200</v>
      </c>
      <c r="C5443" s="0" t="s">
        <v>34</v>
      </c>
      <c r="D5443" s="7" t="n">
        <v>695</v>
      </c>
      <c r="E5443" s="8" t="n">
        <v>0.0245611510791367</v>
      </c>
      <c r="F5443" s="4" t="n">
        <f aca="false">D5443*E5443</f>
        <v>17.07</v>
      </c>
      <c r="G5443" s="7" t="n">
        <v>25</v>
      </c>
      <c r="H5443" s="9" t="n">
        <f aca="false">IF(G5443&gt;0,D5443/G5443,"")</f>
        <v>27.8</v>
      </c>
      <c r="I5443" s="10" t="n">
        <v>46282</v>
      </c>
      <c r="J5443" s="3" t="s">
        <v>7201</v>
      </c>
      <c r="K5443" s="10" t="n">
        <v>44337</v>
      </c>
      <c r="L5443" s="3" t="s">
        <v>15</v>
      </c>
      <c r="M5443" s="7" t="n">
        <v>1000</v>
      </c>
      <c r="N5443" s="8" t="n">
        <v>0.02456</v>
      </c>
      <c r="O5443" s="4" t="n">
        <f aca="false">M5443*N5443</f>
        <v>24.56</v>
      </c>
    </row>
    <row r="5444" customFormat="false" ht="15" hidden="false" customHeight="false" outlineLevel="0" collapsed="false">
      <c r="A5444" s="0" t="s">
        <v>7202</v>
      </c>
      <c r="C5444" s="0" t="s">
        <v>340</v>
      </c>
      <c r="D5444" s="7" t="n">
        <v>75</v>
      </c>
      <c r="E5444" s="8" t="n">
        <v>0.227466666666667</v>
      </c>
      <c r="F5444" s="4" t="n">
        <f aca="false">D5444*E5444</f>
        <v>17.06</v>
      </c>
      <c r="G5444" s="7" t="n">
        <v>20</v>
      </c>
      <c r="H5444" s="9" t="n">
        <f aca="false">IF(G5444&gt;0,D5444/G5444,"")</f>
        <v>3.75</v>
      </c>
      <c r="I5444" s="10" t="n">
        <v>46146</v>
      </c>
      <c r="J5444" s="3" t="s">
        <v>6172</v>
      </c>
      <c r="K5444" s="10" t="n">
        <v>45455</v>
      </c>
      <c r="L5444" s="3" t="s">
        <v>19</v>
      </c>
      <c r="M5444" s="7" t="n">
        <v>110</v>
      </c>
      <c r="N5444" s="8" t="n">
        <v>0.2275</v>
      </c>
      <c r="O5444" s="4" t="n">
        <f aca="false">M5444*N5444</f>
        <v>25.025</v>
      </c>
    </row>
    <row r="5445" customFormat="false" ht="15" hidden="false" customHeight="false" outlineLevel="0" collapsed="false">
      <c r="A5445" s="0" t="s">
        <v>7203</v>
      </c>
      <c r="C5445" s="0" t="s">
        <v>34</v>
      </c>
      <c r="D5445" s="7" t="n">
        <v>8</v>
      </c>
      <c r="E5445" s="8" t="n">
        <v>2.1325</v>
      </c>
      <c r="F5445" s="4" t="n">
        <f aca="false">D5445*E5445</f>
        <v>17.06</v>
      </c>
      <c r="G5445" s="7" t="n">
        <v>2</v>
      </c>
      <c r="H5445" s="9" t="n">
        <f aca="false">IF(G5445&gt;0,D5445/G5445,"")</f>
        <v>4</v>
      </c>
      <c r="I5445" s="10" t="n">
        <v>45996</v>
      </c>
      <c r="J5445" s="3" t="s">
        <v>778</v>
      </c>
      <c r="K5445" s="10" t="n">
        <v>45967</v>
      </c>
      <c r="L5445" s="3" t="s">
        <v>15</v>
      </c>
      <c r="M5445" s="7" t="n">
        <v>10</v>
      </c>
      <c r="N5445" s="8" t="n">
        <v>2.13285</v>
      </c>
      <c r="O5445" s="4" t="n">
        <f aca="false">M5445*N5445</f>
        <v>21.3285</v>
      </c>
    </row>
    <row r="5446" customFormat="false" ht="15" hidden="false" customHeight="false" outlineLevel="0" collapsed="false">
      <c r="A5446" s="0" t="s">
        <v>7204</v>
      </c>
      <c r="C5446" s="0" t="s">
        <v>39</v>
      </c>
      <c r="D5446" s="7" t="n">
        <v>1795</v>
      </c>
      <c r="E5446" s="8" t="n">
        <v>0.00949303621169917</v>
      </c>
      <c r="F5446" s="4" t="n">
        <f aca="false">D5446*E5446</f>
        <v>17.04</v>
      </c>
      <c r="G5446" s="7" t="n">
        <v>50</v>
      </c>
      <c r="H5446" s="9" t="n">
        <f aca="false">IF(G5446&gt;0,D5446/G5446,"")</f>
        <v>35.9</v>
      </c>
      <c r="I5446" s="10" t="n">
        <v>46154</v>
      </c>
      <c r="K5446" s="10"/>
      <c r="M5446" s="7"/>
      <c r="N5446" s="8"/>
      <c r="O5446" s="4"/>
    </row>
    <row r="5447" customFormat="false" ht="15" hidden="false" customHeight="false" outlineLevel="0" collapsed="false">
      <c r="A5447" s="0" t="s">
        <v>7205</v>
      </c>
      <c r="C5447" s="0" t="s">
        <v>31</v>
      </c>
      <c r="D5447" s="7" t="n">
        <v>3270</v>
      </c>
      <c r="E5447" s="8" t="n">
        <v>0.00521100917431193</v>
      </c>
      <c r="F5447" s="4" t="n">
        <f aca="false">D5447*E5447</f>
        <v>17.04</v>
      </c>
      <c r="G5447" s="7" t="n">
        <v>2355</v>
      </c>
      <c r="H5447" s="9" t="n">
        <f aca="false">IF(G5447&gt;0,D5447/G5447,"")</f>
        <v>1.38853503184713</v>
      </c>
      <c r="I5447" s="10" t="n">
        <v>46259</v>
      </c>
      <c r="J5447" s="3" t="s">
        <v>478</v>
      </c>
      <c r="K5447" s="10" t="n">
        <v>46185</v>
      </c>
      <c r="L5447" s="3" t="s">
        <v>16</v>
      </c>
      <c r="M5447" s="7" t="n">
        <v>4132</v>
      </c>
      <c r="N5447" s="8" t="n">
        <v>0.0052</v>
      </c>
      <c r="O5447" s="4" t="n">
        <f aca="false">M5447*N5447</f>
        <v>21.4864</v>
      </c>
    </row>
    <row r="5448" customFormat="false" ht="15" hidden="false" customHeight="false" outlineLevel="0" collapsed="false">
      <c r="A5448" s="0" t="s">
        <v>7206</v>
      </c>
      <c r="C5448" s="0" t="s">
        <v>298</v>
      </c>
      <c r="D5448" s="7" t="n">
        <v>40</v>
      </c>
      <c r="E5448" s="8" t="n">
        <v>0.42575</v>
      </c>
      <c r="F5448" s="4" t="n">
        <f aca="false">D5448*E5448</f>
        <v>17.03</v>
      </c>
      <c r="G5448" s="7" t="n">
        <v>25</v>
      </c>
      <c r="H5448" s="9" t="n">
        <f aca="false">IF(G5448&gt;0,D5448/G5448,"")</f>
        <v>1.6</v>
      </c>
      <c r="I5448" s="10" t="n">
        <v>46113</v>
      </c>
      <c r="J5448" s="3" t="s">
        <v>7207</v>
      </c>
      <c r="K5448" s="10" t="n">
        <v>45476</v>
      </c>
      <c r="L5448" s="3" t="s">
        <v>14</v>
      </c>
      <c r="M5448" s="7" t="n">
        <v>200</v>
      </c>
      <c r="N5448" s="8" t="n">
        <v>0.4258</v>
      </c>
      <c r="O5448" s="4" t="n">
        <f aca="false">M5448*N5448</f>
        <v>85.16</v>
      </c>
    </row>
    <row r="5449" customFormat="false" ht="15" hidden="false" customHeight="false" outlineLevel="0" collapsed="false">
      <c r="A5449" s="0" t="s">
        <v>7208</v>
      </c>
      <c r="C5449" s="0" t="s">
        <v>31</v>
      </c>
      <c r="D5449" s="7" t="n">
        <v>1696</v>
      </c>
      <c r="E5449" s="8" t="n">
        <v>0.0100412735849057</v>
      </c>
      <c r="F5449" s="4" t="n">
        <f aca="false">D5449*E5449</f>
        <v>17.03</v>
      </c>
      <c r="G5449" s="7" t="n">
        <v>1360</v>
      </c>
      <c r="H5449" s="9" t="n">
        <f aca="false">IF(G5449&gt;0,D5449/G5449,"")</f>
        <v>1.24705882352941</v>
      </c>
      <c r="I5449" s="10" t="n">
        <v>46304</v>
      </c>
      <c r="J5449" s="3" t="s">
        <v>2394</v>
      </c>
      <c r="K5449" s="10" t="n">
        <v>46269</v>
      </c>
      <c r="L5449" s="3" t="s">
        <v>19</v>
      </c>
      <c r="M5449" s="7" t="n">
        <v>2500</v>
      </c>
      <c r="N5449" s="8" t="n">
        <v>0.0107</v>
      </c>
      <c r="O5449" s="4" t="n">
        <f aca="false">M5449*N5449</f>
        <v>26.75</v>
      </c>
    </row>
    <row r="5450" customFormat="false" ht="15" hidden="false" customHeight="false" outlineLevel="0" collapsed="false">
      <c r="A5450" s="0" t="s">
        <v>7209</v>
      </c>
      <c r="C5450" s="0" t="s">
        <v>1039</v>
      </c>
      <c r="D5450" s="7" t="n">
        <v>852</v>
      </c>
      <c r="E5450" s="8" t="n">
        <v>0.0199882629107981</v>
      </c>
      <c r="F5450" s="4" t="n">
        <f aca="false">D5450*E5450</f>
        <v>17.03</v>
      </c>
      <c r="G5450" s="7" t="n">
        <v>691</v>
      </c>
      <c r="H5450" s="9" t="n">
        <f aca="false">IF(G5450&gt;0,D5450/G5450,"")</f>
        <v>1.23299565846599</v>
      </c>
      <c r="I5450" s="10" t="n">
        <v>46195</v>
      </c>
      <c r="J5450" s="3" t="s">
        <v>6851</v>
      </c>
      <c r="K5450" s="10" t="n">
        <v>45419</v>
      </c>
      <c r="L5450" s="3" t="s">
        <v>19</v>
      </c>
      <c r="M5450" s="7" t="n">
        <v>2500</v>
      </c>
      <c r="N5450" s="8" t="n">
        <v>0.02</v>
      </c>
      <c r="O5450" s="4" t="n">
        <f aca="false">M5450*N5450</f>
        <v>50</v>
      </c>
    </row>
    <row r="5451" customFormat="false" ht="15" hidden="false" customHeight="false" outlineLevel="0" collapsed="false">
      <c r="A5451" s="0" t="s">
        <v>7210</v>
      </c>
      <c r="C5451" s="0" t="s">
        <v>38</v>
      </c>
      <c r="D5451" s="7" t="n">
        <v>54</v>
      </c>
      <c r="E5451" s="8" t="n">
        <v>0.315</v>
      </c>
      <c r="F5451" s="4" t="n">
        <f aca="false">D5451*E5451</f>
        <v>17.01</v>
      </c>
      <c r="G5451" s="7" t="n">
        <v>10</v>
      </c>
      <c r="H5451" s="9" t="n">
        <f aca="false">IF(G5451&gt;0,D5451/G5451,"")</f>
        <v>5.4</v>
      </c>
      <c r="I5451" s="10" t="n">
        <v>46136</v>
      </c>
      <c r="K5451" s="10"/>
      <c r="M5451" s="7"/>
      <c r="N5451" s="8"/>
      <c r="O5451" s="4"/>
    </row>
    <row r="5452" customFormat="false" ht="15" hidden="false" customHeight="false" outlineLevel="0" collapsed="false">
      <c r="A5452" s="0" t="s">
        <v>7211</v>
      </c>
      <c r="C5452" s="0" t="s">
        <v>31</v>
      </c>
      <c r="D5452" s="7" t="n">
        <v>35</v>
      </c>
      <c r="E5452" s="8" t="n">
        <v>0.486</v>
      </c>
      <c r="F5452" s="4" t="n">
        <f aca="false">D5452*E5452</f>
        <v>17.01</v>
      </c>
      <c r="G5452" s="7" t="n">
        <v>15</v>
      </c>
      <c r="H5452" s="9" t="n">
        <f aca="false">IF(G5452&gt;0,D5452/G5452,"")</f>
        <v>2.33333333333333</v>
      </c>
      <c r="I5452" s="10" t="n">
        <v>46297</v>
      </c>
      <c r="J5452" s="3" t="s">
        <v>6052</v>
      </c>
      <c r="K5452" s="10" t="n">
        <v>46281</v>
      </c>
      <c r="L5452" s="3" t="s">
        <v>19</v>
      </c>
      <c r="M5452" s="7" t="n">
        <v>50</v>
      </c>
      <c r="N5452" s="8" t="n">
        <v>0.4859</v>
      </c>
      <c r="O5452" s="4" t="n">
        <f aca="false">M5452*N5452</f>
        <v>24.295</v>
      </c>
    </row>
    <row r="5453" customFormat="false" ht="15" hidden="false" customHeight="false" outlineLevel="0" collapsed="false">
      <c r="A5453" s="0" t="s">
        <v>7212</v>
      </c>
      <c r="C5453" s="0" t="s">
        <v>34</v>
      </c>
      <c r="D5453" s="7" t="n">
        <v>321</v>
      </c>
      <c r="E5453" s="8" t="n">
        <v>0.0529906542056075</v>
      </c>
      <c r="F5453" s="4" t="n">
        <f aca="false">D5453*E5453</f>
        <v>17.01</v>
      </c>
      <c r="G5453" s="7" t="n">
        <v>200</v>
      </c>
      <c r="H5453" s="9" t="n">
        <f aca="false">IF(G5453&gt;0,D5453/G5453,"")</f>
        <v>1.605</v>
      </c>
      <c r="I5453" s="10" t="n">
        <v>46178</v>
      </c>
      <c r="J5453" s="3" t="s">
        <v>1651</v>
      </c>
      <c r="K5453" s="10" t="n">
        <v>46069</v>
      </c>
      <c r="L5453" s="3" t="s">
        <v>16</v>
      </c>
      <c r="M5453" s="7" t="n">
        <v>500</v>
      </c>
      <c r="N5453" s="8" t="n">
        <v>0.053</v>
      </c>
      <c r="O5453" s="4" t="n">
        <f aca="false">M5453*N5453</f>
        <v>26.5</v>
      </c>
    </row>
    <row r="5454" customFormat="false" ht="15" hidden="false" customHeight="false" outlineLevel="0" collapsed="false">
      <c r="A5454" s="0" t="s">
        <v>7213</v>
      </c>
      <c r="C5454" s="0" t="s">
        <v>36</v>
      </c>
      <c r="D5454" s="7" t="n">
        <v>29</v>
      </c>
      <c r="E5454" s="8" t="n">
        <v>0.586206896551724</v>
      </c>
      <c r="F5454" s="4" t="n">
        <f aca="false">D5454*E5454</f>
        <v>17</v>
      </c>
      <c r="G5454" s="7" t="n">
        <v>10</v>
      </c>
      <c r="H5454" s="9" t="n">
        <f aca="false">IF(G5454&gt;0,D5454/G5454,"")</f>
        <v>2.9</v>
      </c>
      <c r="I5454" s="10" t="n">
        <v>46057</v>
      </c>
      <c r="J5454" s="3" t="s">
        <v>2883</v>
      </c>
      <c r="K5454" s="10" t="n">
        <v>45594</v>
      </c>
      <c r="L5454" s="3" t="s">
        <v>18</v>
      </c>
      <c r="M5454" s="7" t="n">
        <v>44</v>
      </c>
      <c r="N5454" s="8" t="n">
        <v>0.5861</v>
      </c>
      <c r="O5454" s="4" t="n">
        <f aca="false">M5454*N5454</f>
        <v>25.7884</v>
      </c>
    </row>
    <row r="5455" customFormat="false" ht="15" hidden="false" customHeight="false" outlineLevel="0" collapsed="false">
      <c r="A5455" s="0" t="s">
        <v>7214</v>
      </c>
      <c r="C5455" s="0" t="s">
        <v>979</v>
      </c>
      <c r="D5455" s="7" t="n">
        <v>8</v>
      </c>
      <c r="E5455" s="8" t="n">
        <v>2.12375</v>
      </c>
      <c r="F5455" s="4" t="n">
        <f aca="false">D5455*E5455</f>
        <v>16.99</v>
      </c>
      <c r="G5455" s="7" t="n">
        <v>5</v>
      </c>
      <c r="H5455" s="9" t="n">
        <f aca="false">IF(G5455&gt;0,D5455/G5455,"")</f>
        <v>1.6</v>
      </c>
      <c r="I5455" s="10" t="n">
        <v>46071</v>
      </c>
      <c r="J5455" s="3" t="s">
        <v>1172</v>
      </c>
      <c r="K5455" s="10" t="n">
        <v>46063</v>
      </c>
      <c r="L5455" s="3" t="s">
        <v>18</v>
      </c>
      <c r="M5455" s="7" t="n">
        <v>13</v>
      </c>
      <c r="N5455" s="8" t="n">
        <v>2.1237</v>
      </c>
      <c r="O5455" s="4" t="n">
        <f aca="false">M5455*N5455</f>
        <v>27.6081</v>
      </c>
    </row>
    <row r="5456" customFormat="false" ht="15" hidden="false" customHeight="false" outlineLevel="0" collapsed="false">
      <c r="A5456" s="0" t="s">
        <v>7215</v>
      </c>
      <c r="C5456" s="0" t="s">
        <v>799</v>
      </c>
      <c r="D5456" s="7" t="n">
        <v>11</v>
      </c>
      <c r="E5456" s="8" t="n">
        <v>1.54454545454545</v>
      </c>
      <c r="F5456" s="4" t="n">
        <f aca="false">D5456*E5456</f>
        <v>16.99</v>
      </c>
      <c r="G5456" s="7" t="n">
        <v>1</v>
      </c>
      <c r="H5456" s="9" t="n">
        <f aca="false">IF(G5456&gt;0,D5456/G5456,"")</f>
        <v>11</v>
      </c>
      <c r="I5456" s="10" t="n">
        <v>46188</v>
      </c>
      <c r="K5456" s="10"/>
      <c r="M5456" s="7"/>
      <c r="N5456" s="8"/>
      <c r="O5456" s="4"/>
    </row>
    <row r="5457" customFormat="false" ht="15" hidden="false" customHeight="false" outlineLevel="0" collapsed="false">
      <c r="A5457" s="0" t="s">
        <v>7216</v>
      </c>
      <c r="C5457" s="0" t="s">
        <v>34</v>
      </c>
      <c r="D5457" s="7" t="n">
        <v>99</v>
      </c>
      <c r="E5457" s="8" t="n">
        <v>0.171616161616162</v>
      </c>
      <c r="F5457" s="4" t="n">
        <f aca="false">D5457*E5457</f>
        <v>16.99</v>
      </c>
      <c r="G5457" s="7" t="n">
        <v>26</v>
      </c>
      <c r="H5457" s="9" t="n">
        <f aca="false">IF(G5457&gt;0,D5457/G5457,"")</f>
        <v>3.80769230769231</v>
      </c>
      <c r="I5457" s="10" t="n">
        <v>46253</v>
      </c>
      <c r="J5457" s="3" t="s">
        <v>436</v>
      </c>
      <c r="K5457" s="10" t="n">
        <v>46135</v>
      </c>
      <c r="L5457" s="3" t="s">
        <v>16</v>
      </c>
      <c r="M5457" s="7" t="n">
        <v>125</v>
      </c>
      <c r="N5457" s="8" t="n">
        <v>0.1716</v>
      </c>
      <c r="O5457" s="4" t="n">
        <f aca="false">M5457*N5457</f>
        <v>21.45</v>
      </c>
    </row>
    <row r="5458" customFormat="false" ht="15" hidden="false" customHeight="false" outlineLevel="0" collapsed="false">
      <c r="A5458" s="0" t="s">
        <v>7217</v>
      </c>
      <c r="C5458" s="0" t="s">
        <v>765</v>
      </c>
      <c r="D5458" s="7" t="n">
        <v>907</v>
      </c>
      <c r="E5458" s="8" t="n">
        <v>0.0186990077177508</v>
      </c>
      <c r="F5458" s="4" t="n">
        <f aca="false">D5458*E5458</f>
        <v>16.96</v>
      </c>
      <c r="G5458" s="7" t="n">
        <v>447</v>
      </c>
      <c r="H5458" s="9" t="n">
        <f aca="false">IF(G5458&gt;0,D5458/G5458,"")</f>
        <v>2.02908277404922</v>
      </c>
      <c r="I5458" s="10" t="n">
        <v>46317</v>
      </c>
      <c r="J5458" s="3" t="s">
        <v>4429</v>
      </c>
      <c r="K5458" s="10" t="n">
        <v>45415</v>
      </c>
      <c r="L5458" s="3" t="s">
        <v>19</v>
      </c>
      <c r="M5458" s="7" t="n">
        <v>2224</v>
      </c>
      <c r="N5458" s="8" t="n">
        <v>0.0187</v>
      </c>
      <c r="O5458" s="4" t="n">
        <f aca="false">M5458*N5458</f>
        <v>41.5888</v>
      </c>
    </row>
    <row r="5459" customFormat="false" ht="15" hidden="false" customHeight="false" outlineLevel="0" collapsed="false">
      <c r="A5459" s="0" t="s">
        <v>7218</v>
      </c>
      <c r="C5459" s="0" t="s">
        <v>5871</v>
      </c>
      <c r="D5459" s="7" t="n">
        <v>46</v>
      </c>
      <c r="E5459" s="8" t="n">
        <v>0.368695652173913</v>
      </c>
      <c r="F5459" s="4" t="n">
        <f aca="false">D5459*E5459</f>
        <v>16.96</v>
      </c>
      <c r="G5459" s="7" t="n">
        <v>2</v>
      </c>
      <c r="H5459" s="9" t="n">
        <f aca="false">IF(G5459&gt;0,D5459/G5459,"")</f>
        <v>23</v>
      </c>
      <c r="I5459" s="10" t="n">
        <v>46129</v>
      </c>
      <c r="K5459" s="10"/>
      <c r="M5459" s="7"/>
      <c r="N5459" s="8"/>
      <c r="O5459" s="4"/>
    </row>
    <row r="5460" customFormat="false" ht="15" hidden="false" customHeight="false" outlineLevel="0" collapsed="false">
      <c r="A5460" s="0" t="s">
        <v>7219</v>
      </c>
      <c r="C5460" s="0" t="s">
        <v>31</v>
      </c>
      <c r="D5460" s="7" t="n">
        <v>228</v>
      </c>
      <c r="E5460" s="8" t="n">
        <v>0.0743421052631579</v>
      </c>
      <c r="F5460" s="4" t="n">
        <f aca="false">D5460*E5460</f>
        <v>16.95</v>
      </c>
      <c r="G5460" s="7" t="n">
        <v>68</v>
      </c>
      <c r="H5460" s="9" t="n">
        <f aca="false">IF(G5460&gt;0,D5460/G5460,"")</f>
        <v>3.35294117647059</v>
      </c>
      <c r="I5460" s="10" t="n">
        <v>46266</v>
      </c>
      <c r="J5460" s="3" t="s">
        <v>1136</v>
      </c>
      <c r="K5460" s="10" t="n">
        <v>44739</v>
      </c>
      <c r="L5460" s="3" t="s">
        <v>19</v>
      </c>
      <c r="M5460" s="7" t="n">
        <v>496</v>
      </c>
      <c r="N5460" s="8" t="n">
        <v>0.0744</v>
      </c>
      <c r="O5460" s="4" t="n">
        <f aca="false">M5460*N5460</f>
        <v>36.9024</v>
      </c>
    </row>
    <row r="5461" customFormat="false" ht="15" hidden="false" customHeight="false" outlineLevel="0" collapsed="false">
      <c r="A5461" s="0" t="s">
        <v>7220</v>
      </c>
      <c r="C5461" s="0" t="s">
        <v>438</v>
      </c>
      <c r="D5461" s="7" t="n">
        <v>22</v>
      </c>
      <c r="E5461" s="8" t="n">
        <v>0.77</v>
      </c>
      <c r="F5461" s="4" t="n">
        <f aca="false">D5461*E5461</f>
        <v>16.94</v>
      </c>
      <c r="G5461" s="7" t="n">
        <v>2</v>
      </c>
      <c r="H5461" s="9" t="n">
        <f aca="false">IF(G5461&gt;0,D5461/G5461,"")</f>
        <v>11</v>
      </c>
      <c r="I5461" s="10" t="n">
        <v>46267</v>
      </c>
      <c r="K5461" s="10"/>
      <c r="M5461" s="7"/>
      <c r="N5461" s="8"/>
      <c r="O5461" s="4"/>
    </row>
    <row r="5462" customFormat="false" ht="15" hidden="false" customHeight="false" outlineLevel="0" collapsed="false">
      <c r="A5462" s="0" t="s">
        <v>7221</v>
      </c>
      <c r="C5462" s="0" t="s">
        <v>31</v>
      </c>
      <c r="D5462" s="7" t="n">
        <v>620</v>
      </c>
      <c r="E5462" s="8" t="n">
        <v>0.0273064516129032</v>
      </c>
      <c r="F5462" s="4" t="n">
        <f aca="false">D5462*E5462</f>
        <v>16.93</v>
      </c>
      <c r="G5462" s="7" t="n">
        <v>210</v>
      </c>
      <c r="H5462" s="9" t="n">
        <f aca="false">IF(G5462&gt;0,D5462/G5462,"")</f>
        <v>2.95238095238095</v>
      </c>
      <c r="I5462" s="10" t="n">
        <v>46253</v>
      </c>
      <c r="J5462" s="3" t="s">
        <v>2719</v>
      </c>
      <c r="K5462" s="10" t="n">
        <v>46049</v>
      </c>
      <c r="L5462" s="3" t="s">
        <v>16</v>
      </c>
      <c r="M5462" s="7" t="n">
        <v>750</v>
      </c>
      <c r="N5462" s="8" t="n">
        <v>0.0273</v>
      </c>
      <c r="O5462" s="4" t="n">
        <f aca="false">M5462*N5462</f>
        <v>20.475</v>
      </c>
    </row>
    <row r="5463" customFormat="false" ht="15" hidden="false" customHeight="false" outlineLevel="0" collapsed="false">
      <c r="A5463" s="0" t="s">
        <v>7222</v>
      </c>
      <c r="C5463" s="0" t="s">
        <v>855</v>
      </c>
      <c r="D5463" s="7" t="n">
        <v>987</v>
      </c>
      <c r="E5463" s="8" t="n">
        <v>0.0171023302938197</v>
      </c>
      <c r="F5463" s="4" t="n">
        <f aca="false">D5463*E5463</f>
        <v>16.88</v>
      </c>
      <c r="G5463" s="7" t="n">
        <v>150</v>
      </c>
      <c r="H5463" s="9" t="n">
        <f aca="false">IF(G5463&gt;0,D5463/G5463,"")</f>
        <v>6.58</v>
      </c>
      <c r="I5463" s="10" t="n">
        <v>45986</v>
      </c>
      <c r="K5463" s="10"/>
      <c r="M5463" s="7"/>
      <c r="N5463" s="8"/>
      <c r="O5463" s="4"/>
    </row>
    <row r="5464" customFormat="false" ht="15" hidden="false" customHeight="false" outlineLevel="0" collapsed="false">
      <c r="A5464" s="0" t="s">
        <v>7223</v>
      </c>
      <c r="C5464" s="0" t="s">
        <v>370</v>
      </c>
      <c r="D5464" s="7" t="n">
        <v>65</v>
      </c>
      <c r="E5464" s="8" t="n">
        <v>0.259692307692308</v>
      </c>
      <c r="F5464" s="4" t="n">
        <f aca="false">D5464*E5464</f>
        <v>16.88</v>
      </c>
      <c r="G5464" s="7" t="n">
        <v>21</v>
      </c>
      <c r="H5464" s="9" t="n">
        <f aca="false">IF(G5464&gt;0,D5464/G5464,"")</f>
        <v>3.0952380952381</v>
      </c>
      <c r="I5464" s="10" t="n">
        <v>46304</v>
      </c>
      <c r="J5464" s="3" t="s">
        <v>7224</v>
      </c>
      <c r="K5464" s="10" t="n">
        <v>45364</v>
      </c>
      <c r="L5464" s="3" t="s">
        <v>19</v>
      </c>
      <c r="M5464" s="7" t="n">
        <v>100</v>
      </c>
      <c r="N5464" s="8" t="n">
        <v>0.2598</v>
      </c>
      <c r="O5464" s="4" t="n">
        <f aca="false">M5464*N5464</f>
        <v>25.98</v>
      </c>
    </row>
    <row r="5465" customFormat="false" ht="15" hidden="false" customHeight="false" outlineLevel="0" collapsed="false">
      <c r="A5465" s="0" t="s">
        <v>7225</v>
      </c>
      <c r="C5465" s="0" t="s">
        <v>31</v>
      </c>
      <c r="D5465" s="7" t="n">
        <v>1637</v>
      </c>
      <c r="E5465" s="8" t="n">
        <v>0.0103054367745877</v>
      </c>
      <c r="F5465" s="4" t="n">
        <f aca="false">D5465*E5465</f>
        <v>16.87</v>
      </c>
      <c r="G5465" s="7" t="n">
        <v>100</v>
      </c>
      <c r="H5465" s="9" t="n">
        <f aca="false">IF(G5465&gt;0,D5465/G5465,"")</f>
        <v>16.37</v>
      </c>
      <c r="I5465" s="10" t="n">
        <v>46062</v>
      </c>
      <c r="J5465" s="3" t="s">
        <v>6732</v>
      </c>
      <c r="K5465" s="10" t="n">
        <v>45310</v>
      </c>
      <c r="L5465" s="3" t="s">
        <v>19</v>
      </c>
      <c r="M5465" s="7" t="n">
        <v>2500</v>
      </c>
      <c r="N5465" s="8" t="n">
        <v>0.0103</v>
      </c>
      <c r="O5465" s="4" t="n">
        <f aca="false">M5465*N5465</f>
        <v>25.75</v>
      </c>
    </row>
    <row r="5466" customFormat="false" ht="15" hidden="false" customHeight="false" outlineLevel="0" collapsed="false">
      <c r="A5466" s="0" t="s">
        <v>7226</v>
      </c>
      <c r="C5466" s="0" t="s">
        <v>41</v>
      </c>
      <c r="D5466" s="7" t="n">
        <v>958</v>
      </c>
      <c r="E5466" s="8" t="n">
        <v>0.0176096033402923</v>
      </c>
      <c r="F5466" s="4" t="n">
        <f aca="false">D5466*E5466</f>
        <v>16.87</v>
      </c>
      <c r="G5466" s="7" t="n">
        <v>100</v>
      </c>
      <c r="H5466" s="9" t="n">
        <f aca="false">IF(G5466&gt;0,D5466/G5466,"")</f>
        <v>9.58</v>
      </c>
      <c r="I5466" s="10" t="n">
        <v>46244</v>
      </c>
      <c r="J5466" s="3" t="s">
        <v>1563</v>
      </c>
      <c r="K5466" s="10" t="n">
        <v>45768</v>
      </c>
      <c r="L5466" s="3" t="s">
        <v>16</v>
      </c>
      <c r="M5466" s="7" t="n">
        <v>1136</v>
      </c>
      <c r="N5466" s="8" t="n">
        <v>0.0176056</v>
      </c>
      <c r="O5466" s="4" t="n">
        <f aca="false">M5466*N5466</f>
        <v>19.9999616</v>
      </c>
    </row>
    <row r="5467" customFormat="false" ht="15" hidden="false" customHeight="false" outlineLevel="0" collapsed="false">
      <c r="A5467" s="0" t="s">
        <v>7227</v>
      </c>
      <c r="C5467" s="0" t="s">
        <v>39</v>
      </c>
      <c r="D5467" s="7" t="n">
        <v>2</v>
      </c>
      <c r="E5467" s="8" t="n">
        <v>8.435</v>
      </c>
      <c r="F5467" s="4" t="n">
        <f aca="false">D5467*E5467</f>
        <v>16.87</v>
      </c>
      <c r="G5467" s="7" t="n">
        <v>2</v>
      </c>
      <c r="H5467" s="9" t="n">
        <f aca="false">IF(G5467&gt;0,D5467/G5467,"")</f>
        <v>1</v>
      </c>
      <c r="I5467" s="10" t="n">
        <v>46302</v>
      </c>
      <c r="J5467" s="3" t="s">
        <v>3878</v>
      </c>
      <c r="K5467" s="10" t="n">
        <v>46295</v>
      </c>
      <c r="L5467" s="3" t="s">
        <v>18</v>
      </c>
      <c r="M5467" s="7" t="n">
        <v>4</v>
      </c>
      <c r="N5467" s="8" t="n">
        <v>8.4368</v>
      </c>
      <c r="O5467" s="4" t="n">
        <f aca="false">M5467*N5467</f>
        <v>33.7472</v>
      </c>
    </row>
    <row r="5468" customFormat="false" ht="15" hidden="false" customHeight="false" outlineLevel="0" collapsed="false">
      <c r="A5468" s="0" t="s">
        <v>7228</v>
      </c>
      <c r="C5468" s="0" t="s">
        <v>5871</v>
      </c>
      <c r="D5468" s="7" t="n">
        <v>43</v>
      </c>
      <c r="E5468" s="8" t="n">
        <v>0.392093023255814</v>
      </c>
      <c r="F5468" s="4" t="n">
        <f aca="false">D5468*E5468</f>
        <v>16.86</v>
      </c>
      <c r="G5468" s="7" t="n">
        <v>8</v>
      </c>
      <c r="H5468" s="9" t="n">
        <f aca="false">IF(G5468&gt;0,D5468/G5468,"")</f>
        <v>5.375</v>
      </c>
      <c r="I5468" s="10" t="n">
        <v>46224</v>
      </c>
      <c r="J5468" s="3" t="s">
        <v>7229</v>
      </c>
      <c r="K5468" s="10" t="n">
        <v>45398</v>
      </c>
      <c r="L5468" s="3" t="s">
        <v>19</v>
      </c>
      <c r="M5468" s="7" t="n">
        <v>50</v>
      </c>
      <c r="N5468" s="8" t="n">
        <v>0.3919</v>
      </c>
      <c r="O5468" s="4" t="n">
        <f aca="false">M5468*N5468</f>
        <v>19.595</v>
      </c>
    </row>
    <row r="5469" customFormat="false" ht="15" hidden="false" customHeight="false" outlineLevel="0" collapsed="false">
      <c r="A5469" s="0" t="s">
        <v>7230</v>
      </c>
      <c r="C5469" s="0" t="s">
        <v>39</v>
      </c>
      <c r="D5469" s="7" t="n">
        <v>77</v>
      </c>
      <c r="E5469" s="8" t="n">
        <v>0.218961038961039</v>
      </c>
      <c r="F5469" s="4" t="n">
        <f aca="false">D5469*E5469</f>
        <v>16.86</v>
      </c>
      <c r="G5469" s="7" t="n">
        <v>4</v>
      </c>
      <c r="H5469" s="9" t="n">
        <f aca="false">IF(G5469&gt;0,D5469/G5469,"")</f>
        <v>19.25</v>
      </c>
      <c r="I5469" s="10" t="n">
        <v>46029</v>
      </c>
      <c r="J5469" s="3" t="s">
        <v>4912</v>
      </c>
      <c r="K5469" s="10" t="n">
        <v>44462</v>
      </c>
      <c r="L5469" s="3" t="s">
        <v>18</v>
      </c>
      <c r="M5469" s="7" t="n">
        <v>211</v>
      </c>
      <c r="N5469" s="8" t="n">
        <v>0.2191</v>
      </c>
      <c r="O5469" s="4" t="n">
        <f aca="false">M5469*N5469</f>
        <v>46.2301</v>
      </c>
    </row>
    <row r="5470" customFormat="false" ht="15" hidden="false" customHeight="false" outlineLevel="0" collapsed="false">
      <c r="A5470" s="0" t="s">
        <v>7231</v>
      </c>
      <c r="C5470" s="0" t="s">
        <v>34</v>
      </c>
      <c r="D5470" s="7" t="n">
        <v>761</v>
      </c>
      <c r="E5470" s="8" t="n">
        <v>0.0221550591327201</v>
      </c>
      <c r="F5470" s="4" t="n">
        <f aca="false">D5470*E5470</f>
        <v>16.86</v>
      </c>
      <c r="G5470" s="7" t="n">
        <v>142</v>
      </c>
      <c r="H5470" s="9" t="n">
        <f aca="false">IF(G5470&gt;0,D5470/G5470,"")</f>
        <v>5.35915492957747</v>
      </c>
      <c r="I5470" s="10" t="n">
        <v>46150</v>
      </c>
      <c r="J5470" s="3" t="s">
        <v>2321</v>
      </c>
      <c r="K5470" s="10" t="n">
        <v>46094</v>
      </c>
      <c r="L5470" s="3" t="s">
        <v>16</v>
      </c>
      <c r="M5470" s="7" t="n">
        <v>903</v>
      </c>
      <c r="N5470" s="8" t="n">
        <v>0.02214839</v>
      </c>
      <c r="O5470" s="4" t="n">
        <f aca="false">M5470*N5470</f>
        <v>19.99999617</v>
      </c>
    </row>
    <row r="5471" customFormat="false" ht="15" hidden="false" customHeight="false" outlineLevel="0" collapsed="false">
      <c r="A5471" s="0" t="s">
        <v>7232</v>
      </c>
      <c r="C5471" s="0" t="s">
        <v>34</v>
      </c>
      <c r="D5471" s="7" t="n">
        <v>38</v>
      </c>
      <c r="E5471" s="8" t="n">
        <v>0.443684210526316</v>
      </c>
      <c r="F5471" s="4" t="n">
        <f aca="false">D5471*E5471</f>
        <v>16.86</v>
      </c>
      <c r="G5471" s="7" t="n">
        <v>6</v>
      </c>
      <c r="H5471" s="9" t="n">
        <f aca="false">IF(G5471&gt;0,D5471/G5471,"")</f>
        <v>6.33333333333333</v>
      </c>
      <c r="I5471" s="10" t="n">
        <v>46196</v>
      </c>
      <c r="J5471" s="3" t="s">
        <v>1626</v>
      </c>
      <c r="K5471" s="10" t="n">
        <v>45700</v>
      </c>
      <c r="L5471" s="3" t="s">
        <v>15</v>
      </c>
      <c r="M5471" s="7" t="n">
        <v>54</v>
      </c>
      <c r="N5471" s="8" t="n">
        <v>0.44374</v>
      </c>
      <c r="O5471" s="4" t="n">
        <f aca="false">M5471*N5471</f>
        <v>23.96196</v>
      </c>
    </row>
    <row r="5472" customFormat="false" ht="15" hidden="false" customHeight="false" outlineLevel="0" collapsed="false">
      <c r="A5472" s="0" t="s">
        <v>7233</v>
      </c>
      <c r="C5472" s="0" t="s">
        <v>34</v>
      </c>
      <c r="D5472" s="7" t="n">
        <v>1349</v>
      </c>
      <c r="E5472" s="8" t="n">
        <v>0.0124833209785026</v>
      </c>
      <c r="F5472" s="4" t="n">
        <f aca="false">D5472*E5472</f>
        <v>16.84</v>
      </c>
      <c r="G5472" s="7" t="n">
        <v>147</v>
      </c>
      <c r="H5472" s="9" t="n">
        <f aca="false">IF(G5472&gt;0,D5472/G5472,"")</f>
        <v>9.17687074829932</v>
      </c>
      <c r="I5472" s="10" t="n">
        <v>46304</v>
      </c>
      <c r="J5472" s="3" t="s">
        <v>7234</v>
      </c>
      <c r="K5472" s="10" t="n">
        <v>44642</v>
      </c>
      <c r="L5472" s="3" t="s">
        <v>15</v>
      </c>
      <c r="M5472" s="7" t="n">
        <v>2087</v>
      </c>
      <c r="N5472" s="8" t="n">
        <v>0.01335</v>
      </c>
      <c r="O5472" s="4" t="n">
        <v>26.7</v>
      </c>
    </row>
    <row r="5473" customFormat="false" ht="15" hidden="false" customHeight="false" outlineLevel="0" collapsed="false">
      <c r="A5473" s="0" t="s">
        <v>7235</v>
      </c>
      <c r="C5473" s="0" t="s">
        <v>41</v>
      </c>
      <c r="D5473" s="7" t="n">
        <v>276</v>
      </c>
      <c r="E5473" s="8" t="n">
        <v>0.0609420289855073</v>
      </c>
      <c r="F5473" s="4" t="n">
        <f aca="false">D5473*E5473</f>
        <v>16.82</v>
      </c>
      <c r="G5473" s="7" t="n">
        <v>215</v>
      </c>
      <c r="H5473" s="9" t="n">
        <f aca="false">IF(G5473&gt;0,D5473/G5473,"")</f>
        <v>1.28372093023256</v>
      </c>
      <c r="I5473" s="10" t="n">
        <v>46134</v>
      </c>
      <c r="K5473" s="10"/>
      <c r="M5473" s="7"/>
      <c r="N5473" s="8"/>
      <c r="O5473" s="4"/>
    </row>
    <row r="5474" customFormat="false" ht="15" hidden="false" customHeight="false" outlineLevel="0" collapsed="false">
      <c r="A5474" s="0" t="s">
        <v>7236</v>
      </c>
      <c r="C5474" s="0" t="s">
        <v>378</v>
      </c>
      <c r="D5474" s="7" t="n">
        <v>84</v>
      </c>
      <c r="E5474" s="8" t="n">
        <v>0.200238095238095</v>
      </c>
      <c r="F5474" s="4" t="n">
        <f aca="false">D5474*E5474</f>
        <v>16.82</v>
      </c>
      <c r="G5474" s="7" t="n">
        <v>5</v>
      </c>
      <c r="H5474" s="9" t="n">
        <f aca="false">IF(G5474&gt;0,D5474/G5474,"")</f>
        <v>16.8</v>
      </c>
      <c r="I5474" s="10" t="n">
        <v>46160</v>
      </c>
      <c r="J5474" s="3" t="s">
        <v>1167</v>
      </c>
      <c r="K5474" s="10" t="n">
        <v>44221</v>
      </c>
      <c r="L5474" s="3" t="s">
        <v>14</v>
      </c>
      <c r="M5474" s="7" t="n">
        <v>1500</v>
      </c>
      <c r="N5474" s="8" t="n">
        <v>0.2002</v>
      </c>
      <c r="O5474" s="4" t="n">
        <f aca="false">M5474*N5474</f>
        <v>300.3</v>
      </c>
    </row>
    <row r="5475" customFormat="false" ht="15" hidden="false" customHeight="false" outlineLevel="0" collapsed="false">
      <c r="A5475" s="0" t="s">
        <v>7237</v>
      </c>
      <c r="C5475" s="0" t="s">
        <v>340</v>
      </c>
      <c r="D5475" s="7" t="n">
        <v>120</v>
      </c>
      <c r="E5475" s="8" t="n">
        <v>0.140083333333333</v>
      </c>
      <c r="F5475" s="4" t="n">
        <f aca="false">D5475*E5475</f>
        <v>16.81</v>
      </c>
      <c r="G5475" s="7" t="n">
        <v>80</v>
      </c>
      <c r="H5475" s="9" t="n">
        <f aca="false">IF(G5475&gt;0,D5475/G5475,"")</f>
        <v>1.5</v>
      </c>
      <c r="I5475" s="10" t="n">
        <v>46311</v>
      </c>
      <c r="J5475" s="3" t="s">
        <v>7238</v>
      </c>
      <c r="K5475" s="10" t="n">
        <v>45862</v>
      </c>
      <c r="L5475" s="3" t="s">
        <v>19</v>
      </c>
      <c r="M5475" s="7" t="n">
        <v>200</v>
      </c>
      <c r="N5475" s="8" t="n">
        <v>0.1401</v>
      </c>
      <c r="O5475" s="4" t="n">
        <f aca="false">M5475*N5475</f>
        <v>28.02</v>
      </c>
    </row>
    <row r="5476" customFormat="false" ht="15" hidden="false" customHeight="false" outlineLevel="0" collapsed="false">
      <c r="A5476" s="0" t="s">
        <v>7239</v>
      </c>
      <c r="C5476" s="0" t="s">
        <v>31</v>
      </c>
      <c r="D5476" s="7" t="n">
        <v>420</v>
      </c>
      <c r="E5476" s="8" t="n">
        <v>0.04</v>
      </c>
      <c r="F5476" s="4" t="n">
        <f aca="false">D5476*E5476</f>
        <v>16.8</v>
      </c>
      <c r="G5476" s="7" t="n">
        <v>80</v>
      </c>
      <c r="H5476" s="9" t="n">
        <f aca="false">IF(G5476&gt;0,D5476/G5476,"")</f>
        <v>5.25</v>
      </c>
      <c r="I5476" s="10" t="n">
        <v>46147</v>
      </c>
      <c r="J5476" s="3" t="s">
        <v>436</v>
      </c>
      <c r="K5476" s="10" t="n">
        <v>46135</v>
      </c>
      <c r="L5476" s="3" t="s">
        <v>16</v>
      </c>
      <c r="M5476" s="7" t="n">
        <v>500</v>
      </c>
      <c r="N5476" s="8" t="n">
        <v>0.04</v>
      </c>
      <c r="O5476" s="4" t="n">
        <f aca="false">M5476*N5476</f>
        <v>20</v>
      </c>
    </row>
    <row r="5477" customFormat="false" ht="15" hidden="false" customHeight="false" outlineLevel="0" collapsed="false">
      <c r="A5477" s="0" t="s">
        <v>7240</v>
      </c>
      <c r="C5477" s="0" t="s">
        <v>118</v>
      </c>
      <c r="D5477" s="7" t="n">
        <v>265</v>
      </c>
      <c r="E5477" s="8" t="n">
        <v>0.0633962264150943</v>
      </c>
      <c r="F5477" s="4" t="n">
        <f aca="false">D5477*E5477</f>
        <v>16.8</v>
      </c>
      <c r="G5477" s="7" t="n">
        <v>50</v>
      </c>
      <c r="H5477" s="9" t="n">
        <f aca="false">IF(G5477&gt;0,D5477/G5477,"")</f>
        <v>5.3</v>
      </c>
      <c r="I5477" s="10" t="n">
        <v>45981</v>
      </c>
      <c r="K5477" s="10"/>
      <c r="M5477" s="7"/>
      <c r="N5477" s="8"/>
      <c r="O5477" s="4"/>
    </row>
    <row r="5478" customFormat="false" ht="15" hidden="false" customHeight="false" outlineLevel="0" collapsed="false">
      <c r="A5478" s="0" t="s">
        <v>7241</v>
      </c>
      <c r="C5478" s="0" t="s">
        <v>765</v>
      </c>
      <c r="D5478" s="7" t="n">
        <v>595</v>
      </c>
      <c r="E5478" s="8" t="n">
        <v>0.028218487394958</v>
      </c>
      <c r="F5478" s="4" t="n">
        <f aca="false">D5478*E5478</f>
        <v>16.79</v>
      </c>
      <c r="G5478" s="7" t="n">
        <v>110</v>
      </c>
      <c r="H5478" s="9" t="n">
        <f aca="false">IF(G5478&gt;0,D5478/G5478,"")</f>
        <v>5.40909090909091</v>
      </c>
      <c r="I5478" s="10" t="n">
        <v>46150</v>
      </c>
      <c r="J5478" s="3" t="s">
        <v>4994</v>
      </c>
      <c r="K5478" s="10" t="n">
        <v>44811</v>
      </c>
      <c r="L5478" s="3" t="s">
        <v>19</v>
      </c>
      <c r="M5478" s="7" t="n">
        <v>1000</v>
      </c>
      <c r="N5478" s="8" t="n">
        <v>0.0842</v>
      </c>
      <c r="O5478" s="4" t="n">
        <f aca="false">M5478*N5478</f>
        <v>84.2</v>
      </c>
    </row>
    <row r="5479" customFormat="false" ht="15" hidden="false" customHeight="false" outlineLevel="0" collapsed="false">
      <c r="A5479" s="0" t="s">
        <v>7242</v>
      </c>
      <c r="C5479" s="0" t="s">
        <v>360</v>
      </c>
      <c r="D5479" s="7" t="n">
        <v>40</v>
      </c>
      <c r="E5479" s="8" t="n">
        <v>0.41975</v>
      </c>
      <c r="F5479" s="4" t="n">
        <f aca="false">D5479*E5479</f>
        <v>16.79</v>
      </c>
      <c r="G5479" s="7" t="n">
        <v>4</v>
      </c>
      <c r="H5479" s="9" t="n">
        <f aca="false">IF(G5479&gt;0,D5479/G5479,"")</f>
        <v>10</v>
      </c>
      <c r="I5479" s="10" t="n">
        <v>46094</v>
      </c>
      <c r="J5479" s="3" t="s">
        <v>7243</v>
      </c>
      <c r="K5479" s="10" t="n">
        <v>44421</v>
      </c>
      <c r="L5479" s="3" t="s">
        <v>14</v>
      </c>
      <c r="M5479" s="7" t="n">
        <v>10</v>
      </c>
      <c r="N5479" s="8" t="n">
        <v>0.573</v>
      </c>
      <c r="O5479" s="4" t="n">
        <f aca="false">M5479*N5479</f>
        <v>5.73</v>
      </c>
    </row>
    <row r="5480" customFormat="false" ht="15" hidden="false" customHeight="false" outlineLevel="0" collapsed="false">
      <c r="A5480" s="0" t="s">
        <v>7244</v>
      </c>
      <c r="C5480" s="0" t="s">
        <v>1039</v>
      </c>
      <c r="D5480" s="7" t="n">
        <v>2276</v>
      </c>
      <c r="E5480" s="8" t="n">
        <v>0.0073725834797891</v>
      </c>
      <c r="F5480" s="4" t="n">
        <f aca="false">D5480*E5480</f>
        <v>16.78</v>
      </c>
      <c r="G5480" s="7" t="n">
        <v>490</v>
      </c>
      <c r="H5480" s="9" t="n">
        <f aca="false">IF(G5480&gt;0,D5480/G5480,"")</f>
        <v>4.64489795918367</v>
      </c>
      <c r="I5480" s="10" t="n">
        <v>46317</v>
      </c>
      <c r="K5480" s="10"/>
      <c r="M5480" s="7"/>
      <c r="N5480" s="8"/>
      <c r="O5480" s="4"/>
    </row>
    <row r="5481" customFormat="false" ht="15" hidden="false" customHeight="false" outlineLevel="0" collapsed="false">
      <c r="A5481" s="0" t="s">
        <v>7245</v>
      </c>
      <c r="C5481" s="0" t="s">
        <v>1039</v>
      </c>
      <c r="D5481" s="7" t="n">
        <v>1053</v>
      </c>
      <c r="E5481" s="8" t="n">
        <v>0.0158879392212726</v>
      </c>
      <c r="F5481" s="4" t="n">
        <f aca="false">D5481*E5481</f>
        <v>16.73</v>
      </c>
      <c r="G5481" s="7" t="n">
        <v>159</v>
      </c>
      <c r="H5481" s="9" t="n">
        <f aca="false">IF(G5481&gt;0,D5481/G5481,"")</f>
        <v>6.62264150943396</v>
      </c>
      <c r="I5481" s="10" t="n">
        <v>46304</v>
      </c>
      <c r="J5481" s="3" t="s">
        <v>2844</v>
      </c>
      <c r="K5481" s="10" t="n">
        <v>45839</v>
      </c>
      <c r="L5481" s="3" t="s">
        <v>16</v>
      </c>
      <c r="M5481" s="7" t="n">
        <v>1326</v>
      </c>
      <c r="N5481" s="8" t="n">
        <v>0.0158</v>
      </c>
      <c r="O5481" s="4" t="n">
        <f aca="false">M5481*N5481</f>
        <v>20.9508</v>
      </c>
    </row>
    <row r="5482" customFormat="false" ht="15" hidden="false" customHeight="false" outlineLevel="0" collapsed="false">
      <c r="A5482" s="0" t="s">
        <v>7246</v>
      </c>
      <c r="C5482" s="0" t="s">
        <v>39</v>
      </c>
      <c r="D5482" s="7" t="n">
        <v>82</v>
      </c>
      <c r="E5482" s="8" t="n">
        <v>0.20390243902439</v>
      </c>
      <c r="F5482" s="4" t="n">
        <f aca="false">D5482*E5482</f>
        <v>16.72</v>
      </c>
      <c r="G5482" s="7" t="n">
        <v>76</v>
      </c>
      <c r="H5482" s="9" t="n">
        <f aca="false">IF(G5482&gt;0,D5482/G5482,"")</f>
        <v>1.07894736842105</v>
      </c>
      <c r="I5482" s="10" t="n">
        <v>46185</v>
      </c>
      <c r="J5482" s="3" t="s">
        <v>5089</v>
      </c>
      <c r="K5482" s="10" t="n">
        <v>46043</v>
      </c>
      <c r="L5482" s="3" t="s">
        <v>18</v>
      </c>
      <c r="M5482" s="7" t="n">
        <v>120</v>
      </c>
      <c r="N5482" s="8" t="n">
        <v>0.204</v>
      </c>
      <c r="O5482" s="4" t="n">
        <f aca="false">M5482*N5482</f>
        <v>24.48</v>
      </c>
    </row>
    <row r="5483" customFormat="false" ht="15" hidden="false" customHeight="false" outlineLevel="0" collapsed="false">
      <c r="A5483" s="0" t="s">
        <v>7247</v>
      </c>
      <c r="C5483" s="0" t="s">
        <v>34</v>
      </c>
      <c r="D5483" s="7" t="n">
        <v>419</v>
      </c>
      <c r="E5483" s="8" t="n">
        <v>0.0399045346062053</v>
      </c>
      <c r="F5483" s="4" t="n">
        <f aca="false">D5483*E5483</f>
        <v>16.72</v>
      </c>
      <c r="G5483" s="7" t="n">
        <v>383</v>
      </c>
      <c r="H5483" s="9" t="n">
        <f aca="false">IF(G5483&gt;0,D5483/G5483,"")</f>
        <v>1.09399477806789</v>
      </c>
      <c r="I5483" s="10" t="n">
        <v>46300</v>
      </c>
      <c r="K5483" s="10"/>
      <c r="M5483" s="7"/>
      <c r="N5483" s="8"/>
      <c r="O5483" s="4"/>
    </row>
    <row r="5484" customFormat="false" ht="15" hidden="false" customHeight="false" outlineLevel="0" collapsed="false">
      <c r="A5484" s="0" t="s">
        <v>7248</v>
      </c>
      <c r="C5484" s="0" t="s">
        <v>889</v>
      </c>
      <c r="D5484" s="7" t="n">
        <v>41</v>
      </c>
      <c r="E5484" s="8" t="n">
        <v>0.407804878048781</v>
      </c>
      <c r="F5484" s="4" t="n">
        <f aca="false">D5484*E5484</f>
        <v>16.72</v>
      </c>
      <c r="G5484" s="7" t="n">
        <v>10</v>
      </c>
      <c r="H5484" s="9" t="n">
        <f aca="false">IF(G5484&gt;0,D5484/G5484,"")</f>
        <v>4.1</v>
      </c>
      <c r="I5484" s="10" t="n">
        <v>46125</v>
      </c>
      <c r="J5484" s="3" t="s">
        <v>4650</v>
      </c>
      <c r="K5484" s="10" t="n">
        <v>46317</v>
      </c>
      <c r="L5484" s="3" t="s">
        <v>15</v>
      </c>
      <c r="M5484" s="7" t="n">
        <v>95</v>
      </c>
      <c r="N5484" s="8" t="n">
        <v>0.5285</v>
      </c>
      <c r="O5484" s="4" t="n">
        <f aca="false">M5484*N5484</f>
        <v>50.2075</v>
      </c>
    </row>
    <row r="5485" customFormat="false" ht="15" hidden="false" customHeight="false" outlineLevel="0" collapsed="false">
      <c r="A5485" s="0" t="s">
        <v>7249</v>
      </c>
      <c r="C5485" s="0" t="s">
        <v>31</v>
      </c>
      <c r="D5485" s="7" t="n">
        <v>200</v>
      </c>
      <c r="E5485" s="8" t="n">
        <v>0.08355</v>
      </c>
      <c r="F5485" s="4" t="n">
        <f aca="false">D5485*E5485</f>
        <v>16.71</v>
      </c>
      <c r="G5485" s="7" t="n">
        <v>46</v>
      </c>
      <c r="H5485" s="9" t="n">
        <f aca="false">IF(G5485&gt;0,D5485/G5485,"")</f>
        <v>4.34782608695652</v>
      </c>
      <c r="I5485" s="10" t="n">
        <v>46247</v>
      </c>
      <c r="J5485" s="3" t="s">
        <v>3847</v>
      </c>
      <c r="K5485" s="10" t="n">
        <v>44524</v>
      </c>
      <c r="L5485" s="3" t="s">
        <v>16</v>
      </c>
      <c r="M5485" s="7" t="n">
        <v>658</v>
      </c>
      <c r="N5485" s="8" t="n">
        <v>0.0834</v>
      </c>
      <c r="O5485" s="4" t="n">
        <f aca="false">M5485*N5485</f>
        <v>54.8772</v>
      </c>
    </row>
    <row r="5486" customFormat="false" ht="15" hidden="false" customHeight="false" outlineLevel="0" collapsed="false">
      <c r="A5486" s="0" t="s">
        <v>7250</v>
      </c>
      <c r="C5486" s="0" t="s">
        <v>340</v>
      </c>
      <c r="D5486" s="7" t="n">
        <v>109</v>
      </c>
      <c r="E5486" s="8" t="n">
        <v>0.153211009174312</v>
      </c>
      <c r="F5486" s="4" t="n">
        <f aca="false">D5486*E5486</f>
        <v>16.7</v>
      </c>
      <c r="G5486" s="7" t="n">
        <v>30</v>
      </c>
      <c r="H5486" s="9" t="n">
        <f aca="false">IF(G5486&gt;0,D5486/G5486,"")</f>
        <v>3.63333333333333</v>
      </c>
      <c r="I5486" s="10" t="n">
        <v>46288</v>
      </c>
      <c r="J5486" s="3" t="s">
        <v>4192</v>
      </c>
      <c r="K5486" s="10" t="n">
        <v>45387</v>
      </c>
      <c r="L5486" s="3" t="s">
        <v>19</v>
      </c>
      <c r="M5486" s="7" t="n">
        <v>163</v>
      </c>
      <c r="N5486" s="8" t="n">
        <v>0.1534</v>
      </c>
      <c r="O5486" s="4" t="n">
        <f aca="false">M5486*N5486</f>
        <v>25.0042</v>
      </c>
    </row>
    <row r="5487" customFormat="false" ht="15" hidden="false" customHeight="false" outlineLevel="0" collapsed="false">
      <c r="A5487" s="0" t="s">
        <v>7251</v>
      </c>
      <c r="C5487" s="0" t="s">
        <v>31</v>
      </c>
      <c r="D5487" s="7" t="n">
        <v>72</v>
      </c>
      <c r="E5487" s="8" t="n">
        <v>0.231805555555556</v>
      </c>
      <c r="F5487" s="4" t="n">
        <f aca="false">D5487*E5487</f>
        <v>16.69</v>
      </c>
      <c r="G5487" s="7" t="n">
        <v>55</v>
      </c>
      <c r="H5487" s="9" t="n">
        <f aca="false">IF(G5487&gt;0,D5487/G5487,"")</f>
        <v>1.30909090909091</v>
      </c>
      <c r="I5487" s="10" t="n">
        <v>46219</v>
      </c>
      <c r="J5487" s="3" t="s">
        <v>6879</v>
      </c>
      <c r="K5487" s="10" t="n">
        <v>45956</v>
      </c>
      <c r="L5487" s="3" t="s">
        <v>19</v>
      </c>
      <c r="M5487" s="7" t="n">
        <v>100</v>
      </c>
      <c r="N5487" s="8" t="n">
        <v>0.2318</v>
      </c>
      <c r="O5487" s="4" t="n">
        <f aca="false">M5487*N5487</f>
        <v>23.18</v>
      </c>
    </row>
    <row r="5488" customFormat="false" ht="15" hidden="false" customHeight="false" outlineLevel="0" collapsed="false">
      <c r="A5488" s="0" t="s">
        <v>7252</v>
      </c>
      <c r="C5488" s="0" t="s">
        <v>34</v>
      </c>
      <c r="D5488" s="7" t="n">
        <v>599</v>
      </c>
      <c r="E5488" s="8" t="n">
        <v>0.02779632721202</v>
      </c>
      <c r="F5488" s="4" t="n">
        <f aca="false">D5488*E5488</f>
        <v>16.65</v>
      </c>
      <c r="G5488" s="7" t="n">
        <v>200</v>
      </c>
      <c r="H5488" s="9" t="n">
        <f aca="false">IF(G5488&gt;0,D5488/G5488,"")</f>
        <v>2.995</v>
      </c>
      <c r="I5488" s="10" t="n">
        <v>46209</v>
      </c>
      <c r="K5488" s="10"/>
      <c r="M5488" s="7"/>
      <c r="N5488" s="8"/>
      <c r="O5488" s="4"/>
    </row>
    <row r="5489" customFormat="false" ht="15" hidden="false" customHeight="false" outlineLevel="0" collapsed="false">
      <c r="A5489" s="0" t="s">
        <v>7253</v>
      </c>
      <c r="C5489" s="0" t="s">
        <v>31</v>
      </c>
      <c r="D5489" s="7" t="n">
        <v>1039</v>
      </c>
      <c r="E5489" s="8" t="n">
        <v>0.0159961501443696</v>
      </c>
      <c r="F5489" s="4" t="n">
        <f aca="false">D5489*E5489</f>
        <v>16.62</v>
      </c>
      <c r="G5489" s="7" t="n">
        <v>216</v>
      </c>
      <c r="H5489" s="9" t="n">
        <f aca="false">IF(G5489&gt;0,D5489/G5489,"")</f>
        <v>4.81018518518519</v>
      </c>
      <c r="I5489" s="10" t="n">
        <v>46175</v>
      </c>
      <c r="J5489" s="3" t="s">
        <v>7254</v>
      </c>
      <c r="K5489" s="10" t="n">
        <v>45442</v>
      </c>
      <c r="L5489" s="3" t="s">
        <v>19</v>
      </c>
      <c r="M5489" s="7" t="n">
        <v>2457</v>
      </c>
      <c r="N5489" s="8" t="n">
        <v>0.016</v>
      </c>
      <c r="O5489" s="4" t="n">
        <f aca="false">M5489*N5489</f>
        <v>39.312</v>
      </c>
    </row>
    <row r="5490" customFormat="false" ht="15" hidden="false" customHeight="false" outlineLevel="0" collapsed="false">
      <c r="A5490" s="0" t="s">
        <v>7255</v>
      </c>
      <c r="C5490" s="0" t="s">
        <v>298</v>
      </c>
      <c r="D5490" s="7" t="n">
        <v>3</v>
      </c>
      <c r="E5490" s="8" t="n">
        <v>5.52</v>
      </c>
      <c r="F5490" s="4" t="n">
        <f aca="false">D5490*E5490</f>
        <v>16.56</v>
      </c>
      <c r="G5490" s="7" t="n">
        <v>2</v>
      </c>
      <c r="H5490" s="9" t="n">
        <f aca="false">IF(G5490&gt;0,D5490/G5490,"")</f>
        <v>1.5</v>
      </c>
      <c r="I5490" s="10" t="n">
        <v>46296</v>
      </c>
      <c r="J5490" s="3" t="s">
        <v>283</v>
      </c>
      <c r="K5490" s="10" t="n">
        <v>46287</v>
      </c>
      <c r="L5490" s="3" t="s">
        <v>14</v>
      </c>
      <c r="M5490" s="7" t="n">
        <v>5</v>
      </c>
      <c r="N5490" s="8" t="n">
        <v>5.52</v>
      </c>
      <c r="O5490" s="4" t="n">
        <f aca="false">M5490*N5490</f>
        <v>27.6</v>
      </c>
    </row>
    <row r="5491" customFormat="false" ht="15" hidden="false" customHeight="false" outlineLevel="0" collapsed="false">
      <c r="A5491" s="0" t="s">
        <v>7256</v>
      </c>
      <c r="C5491" s="0" t="s">
        <v>31</v>
      </c>
      <c r="D5491" s="7" t="n">
        <v>616</v>
      </c>
      <c r="E5491" s="8" t="n">
        <v>0.0268668831168831</v>
      </c>
      <c r="F5491" s="4" t="n">
        <f aca="false">D5491*E5491</f>
        <v>16.55</v>
      </c>
      <c r="G5491" s="7" t="n">
        <v>36</v>
      </c>
      <c r="H5491" s="9" t="n">
        <f aca="false">IF(G5491&gt;0,D5491/G5491,"")</f>
        <v>17.1111111111111</v>
      </c>
      <c r="I5491" s="10" t="n">
        <v>46220</v>
      </c>
      <c r="J5491" s="3" t="s">
        <v>6847</v>
      </c>
      <c r="K5491" s="10" t="n">
        <v>44379</v>
      </c>
      <c r="L5491" s="3" t="s">
        <v>19</v>
      </c>
      <c r="M5491" s="7" t="n">
        <v>1000</v>
      </c>
      <c r="N5491" s="8" t="n">
        <v>0.0269</v>
      </c>
      <c r="O5491" s="4" t="n">
        <f aca="false">M5491*N5491</f>
        <v>26.9</v>
      </c>
    </row>
    <row r="5492" customFormat="false" ht="15" hidden="false" customHeight="false" outlineLevel="0" collapsed="false">
      <c r="A5492" s="0" t="s">
        <v>7257</v>
      </c>
      <c r="C5492" s="0" t="s">
        <v>7258</v>
      </c>
      <c r="D5492" s="7" t="n">
        <v>2</v>
      </c>
      <c r="E5492" s="8" t="n">
        <v>8.26</v>
      </c>
      <c r="F5492" s="4" t="n">
        <f aca="false">D5492*E5492</f>
        <v>16.52</v>
      </c>
      <c r="G5492" s="7" t="n">
        <v>1</v>
      </c>
      <c r="H5492" s="9" t="n">
        <f aca="false">IF(G5492&gt;0,D5492/G5492,"")</f>
        <v>2</v>
      </c>
      <c r="I5492" s="10" t="n">
        <v>45953</v>
      </c>
      <c r="J5492" s="3" t="s">
        <v>7259</v>
      </c>
      <c r="K5492" s="10" t="n">
        <v>44313</v>
      </c>
      <c r="L5492" s="3" t="s">
        <v>7260</v>
      </c>
      <c r="M5492" s="7" t="n">
        <v>5</v>
      </c>
      <c r="N5492" s="8" t="n">
        <v>8.26</v>
      </c>
      <c r="O5492" s="4" t="n">
        <f aca="false">M5492*N5492</f>
        <v>41.3</v>
      </c>
    </row>
    <row r="5493" customFormat="false" ht="15" hidden="false" customHeight="false" outlineLevel="0" collapsed="false">
      <c r="A5493" s="0" t="s">
        <v>7261</v>
      </c>
      <c r="C5493" s="0" t="s">
        <v>34</v>
      </c>
      <c r="D5493" s="7" t="n">
        <v>330</v>
      </c>
      <c r="E5493" s="8" t="n">
        <v>0.05</v>
      </c>
      <c r="F5493" s="4" t="n">
        <f aca="false">D5493*E5493</f>
        <v>16.5</v>
      </c>
      <c r="G5493" s="7" t="n">
        <v>30</v>
      </c>
      <c r="H5493" s="9" t="n">
        <f aca="false">IF(G5493&gt;0,D5493/G5493,"")</f>
        <v>11</v>
      </c>
      <c r="I5493" s="10" t="n">
        <v>46224</v>
      </c>
      <c r="J5493" s="3" t="s">
        <v>366</v>
      </c>
      <c r="K5493" s="10" t="n">
        <v>45721</v>
      </c>
      <c r="L5493" s="3" t="s">
        <v>16</v>
      </c>
      <c r="M5493" s="7" t="n">
        <v>400</v>
      </c>
      <c r="N5493" s="8" t="n">
        <v>0.05</v>
      </c>
      <c r="O5493" s="4" t="n">
        <f aca="false">M5493*N5493</f>
        <v>20</v>
      </c>
    </row>
    <row r="5494" customFormat="false" ht="15" hidden="false" customHeight="false" outlineLevel="0" collapsed="false">
      <c r="A5494" s="0" t="s">
        <v>7262</v>
      </c>
      <c r="C5494" s="0" t="s">
        <v>370</v>
      </c>
      <c r="D5494" s="7" t="n">
        <v>53</v>
      </c>
      <c r="E5494" s="8" t="n">
        <v>0.311320754716981</v>
      </c>
      <c r="F5494" s="4" t="n">
        <f aca="false">D5494*E5494</f>
        <v>16.5</v>
      </c>
      <c r="G5494" s="7" t="n">
        <v>15</v>
      </c>
      <c r="H5494" s="9" t="n">
        <f aca="false">IF(G5494&gt;0,D5494/G5494,"")</f>
        <v>3.53333333333333</v>
      </c>
      <c r="I5494" s="10" t="n">
        <v>46086</v>
      </c>
      <c r="J5494" s="3" t="s">
        <v>1136</v>
      </c>
      <c r="K5494" s="10" t="n">
        <v>44739</v>
      </c>
      <c r="L5494" s="3" t="s">
        <v>19</v>
      </c>
      <c r="M5494" s="7" t="n">
        <v>102</v>
      </c>
      <c r="N5494" s="8" t="n">
        <v>0.3235</v>
      </c>
      <c r="O5494" s="4" t="n">
        <v>32.35</v>
      </c>
    </row>
    <row r="5495" customFormat="false" ht="15" hidden="false" customHeight="false" outlineLevel="0" collapsed="false">
      <c r="A5495" s="0" t="s">
        <v>7263</v>
      </c>
      <c r="C5495" s="0" t="s">
        <v>31</v>
      </c>
      <c r="D5495" s="7" t="n">
        <v>749</v>
      </c>
      <c r="E5495" s="8" t="n">
        <v>0.0220160213618158</v>
      </c>
      <c r="F5495" s="4" t="n">
        <f aca="false">D5495*E5495</f>
        <v>16.49</v>
      </c>
      <c r="G5495" s="7" t="n">
        <v>25</v>
      </c>
      <c r="H5495" s="9" t="n">
        <f aca="false">IF(G5495&gt;0,D5495/G5495,"")</f>
        <v>29.96</v>
      </c>
      <c r="I5495" s="10" t="n">
        <v>46309</v>
      </c>
      <c r="J5495" s="3" t="s">
        <v>1140</v>
      </c>
      <c r="K5495" s="10" t="n">
        <v>45614</v>
      </c>
      <c r="L5495" s="3" t="s">
        <v>15</v>
      </c>
      <c r="M5495" s="7" t="n">
        <v>879</v>
      </c>
      <c r="N5495" s="8" t="n">
        <v>0.02201</v>
      </c>
      <c r="O5495" s="4" t="n">
        <f aca="false">M5495*N5495</f>
        <v>19.34679</v>
      </c>
    </row>
    <row r="5496" customFormat="false" ht="15" hidden="false" customHeight="false" outlineLevel="0" collapsed="false">
      <c r="A5496" s="0" t="s">
        <v>7264</v>
      </c>
      <c r="C5496" s="0" t="s">
        <v>295</v>
      </c>
      <c r="D5496" s="7" t="n">
        <v>70</v>
      </c>
      <c r="E5496" s="8" t="n">
        <v>0.235571428571429</v>
      </c>
      <c r="F5496" s="4" t="n">
        <f aca="false">D5496*E5496</f>
        <v>16.49</v>
      </c>
      <c r="G5496" s="7" t="n">
        <v>8</v>
      </c>
      <c r="H5496" s="9" t="n">
        <f aca="false">IF(G5496&gt;0,D5496/G5496,"")</f>
        <v>8.75</v>
      </c>
      <c r="I5496" s="10" t="n">
        <v>46188</v>
      </c>
      <c r="K5496" s="10"/>
      <c r="M5496" s="7"/>
      <c r="N5496" s="8"/>
      <c r="O5496" s="4"/>
    </row>
    <row r="5497" customFormat="false" ht="15" hidden="false" customHeight="false" outlineLevel="0" collapsed="false">
      <c r="A5497" s="0" t="s">
        <v>7265</v>
      </c>
      <c r="C5497" s="0" t="s">
        <v>5091</v>
      </c>
      <c r="D5497" s="7" t="n">
        <v>15</v>
      </c>
      <c r="E5497" s="8" t="n">
        <v>1.09866666666667</v>
      </c>
      <c r="F5497" s="4" t="n">
        <f aca="false">D5497*E5497</f>
        <v>16.48</v>
      </c>
      <c r="G5497" s="7" t="n">
        <v>2</v>
      </c>
      <c r="H5497" s="9" t="n">
        <f aca="false">IF(G5497&gt;0,D5497/G5497,"")</f>
        <v>7.5</v>
      </c>
      <c r="I5497" s="10" t="n">
        <v>46241</v>
      </c>
      <c r="J5497" s="3" t="s">
        <v>705</v>
      </c>
      <c r="K5497" s="10" t="n">
        <v>45005</v>
      </c>
      <c r="L5497" s="3" t="s">
        <v>14</v>
      </c>
      <c r="M5497" s="7" t="n">
        <v>25</v>
      </c>
      <c r="N5497" s="8" t="n">
        <v>1.0992</v>
      </c>
      <c r="O5497" s="4" t="n">
        <f aca="false">M5497*N5497</f>
        <v>27.48</v>
      </c>
    </row>
    <row r="5498" customFormat="false" ht="15" hidden="false" customHeight="false" outlineLevel="0" collapsed="false">
      <c r="A5498" s="0" t="s">
        <v>7266</v>
      </c>
      <c r="C5498" s="0" t="s">
        <v>1039</v>
      </c>
      <c r="D5498" s="7" t="n">
        <v>900</v>
      </c>
      <c r="E5498" s="8" t="n">
        <v>0.0183</v>
      </c>
      <c r="F5498" s="4" t="n">
        <f aca="false">D5498*E5498</f>
        <v>16.47</v>
      </c>
      <c r="G5498" s="7" t="n">
        <v>100</v>
      </c>
      <c r="H5498" s="9" t="n">
        <f aca="false">IF(G5498&gt;0,D5498/G5498,"")</f>
        <v>9</v>
      </c>
      <c r="I5498" s="10" t="n">
        <v>46308</v>
      </c>
      <c r="J5498" s="3" t="s">
        <v>3412</v>
      </c>
      <c r="K5498" s="10" t="n">
        <v>46303</v>
      </c>
      <c r="L5498" s="3" t="s">
        <v>19</v>
      </c>
      <c r="M5498" s="7" t="n">
        <v>1000</v>
      </c>
      <c r="N5498" s="8" t="n">
        <v>0.0183</v>
      </c>
      <c r="O5498" s="4" t="n">
        <f aca="false">M5498*N5498</f>
        <v>18.3</v>
      </c>
    </row>
    <row r="5499" customFormat="false" ht="15" hidden="false" customHeight="false" outlineLevel="0" collapsed="false">
      <c r="A5499" s="0" t="s">
        <v>7267</v>
      </c>
      <c r="C5499" s="0" t="s">
        <v>41</v>
      </c>
      <c r="D5499" s="7" t="n">
        <v>102</v>
      </c>
      <c r="E5499" s="8" t="n">
        <v>0.161372549019608</v>
      </c>
      <c r="F5499" s="4" t="n">
        <f aca="false">D5499*E5499</f>
        <v>16.46</v>
      </c>
      <c r="G5499" s="7" t="n">
        <v>12</v>
      </c>
      <c r="H5499" s="9" t="n">
        <f aca="false">IF(G5499&gt;0,D5499/G5499,"")</f>
        <v>8.5</v>
      </c>
      <c r="I5499" s="10" t="n">
        <v>45986</v>
      </c>
      <c r="J5499" s="3" t="s">
        <v>1013</v>
      </c>
      <c r="K5499" s="10" t="n">
        <v>44340</v>
      </c>
      <c r="L5499" s="3" t="s">
        <v>16</v>
      </c>
      <c r="M5499" s="7" t="n">
        <v>130</v>
      </c>
      <c r="N5499" s="8" t="n">
        <v>0.1614</v>
      </c>
      <c r="O5499" s="4" t="n">
        <f aca="false">M5499*N5499</f>
        <v>20.982</v>
      </c>
    </row>
    <row r="5500" customFormat="false" ht="15" hidden="false" customHeight="false" outlineLevel="0" collapsed="false">
      <c r="A5500" s="0" t="s">
        <v>7268</v>
      </c>
      <c r="D5500" s="7" t="n">
        <v>47</v>
      </c>
      <c r="E5500" s="8" t="n">
        <v>0.35</v>
      </c>
      <c r="F5500" s="4" t="n">
        <f aca="false">D5500*E5500</f>
        <v>16.45</v>
      </c>
      <c r="G5500" s="7" t="n">
        <v>24</v>
      </c>
      <c r="H5500" s="9" t="n">
        <f aca="false">IF(G5500&gt;0,D5500/G5500,"")</f>
        <v>1.95833333333333</v>
      </c>
      <c r="I5500" s="10" t="n">
        <v>46294</v>
      </c>
      <c r="K5500" s="10"/>
      <c r="M5500" s="7"/>
      <c r="N5500" s="8"/>
      <c r="O5500" s="4"/>
    </row>
    <row r="5501" customFormat="false" ht="15" hidden="false" customHeight="false" outlineLevel="0" collapsed="false">
      <c r="A5501" s="0" t="s">
        <v>7269</v>
      </c>
      <c r="C5501" s="0" t="s">
        <v>39</v>
      </c>
      <c r="D5501" s="7" t="n">
        <v>30</v>
      </c>
      <c r="E5501" s="8" t="n">
        <v>0.547</v>
      </c>
      <c r="F5501" s="4" t="n">
        <f aca="false">D5501*E5501</f>
        <v>16.41</v>
      </c>
      <c r="G5501" s="7" t="n">
        <v>10</v>
      </c>
      <c r="H5501" s="9" t="n">
        <f aca="false">IF(G5501&gt;0,D5501/G5501,"")</f>
        <v>3</v>
      </c>
      <c r="I5501" s="10" t="n">
        <v>45981</v>
      </c>
      <c r="J5501" s="3" t="s">
        <v>5583</v>
      </c>
      <c r="K5501" s="10" t="n">
        <v>44915</v>
      </c>
      <c r="L5501" s="3" t="s">
        <v>18</v>
      </c>
      <c r="M5501" s="7" t="n">
        <v>300</v>
      </c>
      <c r="N5501" s="8" t="n">
        <v>0.5471</v>
      </c>
      <c r="O5501" s="4" t="n">
        <f aca="false">M5501*N5501</f>
        <v>164.13</v>
      </c>
    </row>
    <row r="5502" customFormat="false" ht="15" hidden="false" customHeight="false" outlineLevel="0" collapsed="false">
      <c r="A5502" s="0" t="s">
        <v>7270</v>
      </c>
      <c r="C5502" s="0" t="s">
        <v>765</v>
      </c>
      <c r="D5502" s="7" t="n">
        <v>1416</v>
      </c>
      <c r="E5502" s="8" t="n">
        <v>0.0115889830508475</v>
      </c>
      <c r="F5502" s="4" t="n">
        <f aca="false">D5502*E5502</f>
        <v>16.41</v>
      </c>
      <c r="G5502" s="7" t="n">
        <v>70</v>
      </c>
      <c r="H5502" s="9" t="n">
        <f aca="false">IF(G5502&gt;0,D5502/G5502,"")</f>
        <v>20.2285714285714</v>
      </c>
      <c r="I5502" s="10" t="n">
        <v>46146</v>
      </c>
      <c r="K5502" s="10"/>
      <c r="M5502" s="7"/>
      <c r="N5502" s="8"/>
      <c r="O5502" s="4"/>
    </row>
    <row r="5503" customFormat="false" ht="15" hidden="false" customHeight="false" outlineLevel="0" collapsed="false">
      <c r="A5503" s="0" t="s">
        <v>7271</v>
      </c>
      <c r="C5503" s="0" t="s">
        <v>5871</v>
      </c>
      <c r="D5503" s="7" t="n">
        <v>58</v>
      </c>
      <c r="E5503" s="8" t="n">
        <v>0.282931034482759</v>
      </c>
      <c r="F5503" s="4" t="n">
        <f aca="false">D5503*E5503</f>
        <v>16.41</v>
      </c>
      <c r="G5503" s="7" t="n">
        <v>10</v>
      </c>
      <c r="H5503" s="9" t="n">
        <f aca="false">IF(G5503&gt;0,D5503/G5503,"")</f>
        <v>5.8</v>
      </c>
      <c r="I5503" s="10" t="n">
        <v>46274</v>
      </c>
      <c r="J5503" s="3" t="s">
        <v>7272</v>
      </c>
      <c r="K5503" s="10" t="n">
        <v>44216</v>
      </c>
      <c r="L5503" s="3" t="s">
        <v>19</v>
      </c>
      <c r="M5503" s="7" t="n">
        <v>100</v>
      </c>
      <c r="N5503" s="8" t="n">
        <v>0.2829</v>
      </c>
      <c r="O5503" s="4" t="n">
        <f aca="false">M5503*N5503</f>
        <v>28.29</v>
      </c>
    </row>
    <row r="5504" customFormat="false" ht="15" hidden="false" customHeight="false" outlineLevel="0" collapsed="false">
      <c r="A5504" s="0" t="s">
        <v>7273</v>
      </c>
      <c r="C5504" s="0" t="s">
        <v>285</v>
      </c>
      <c r="D5504" s="7" t="n">
        <v>41</v>
      </c>
      <c r="E5504" s="8" t="n">
        <v>0.4</v>
      </c>
      <c r="F5504" s="4" t="n">
        <f aca="false">D5504*E5504</f>
        <v>16.4</v>
      </c>
      <c r="G5504" s="7" t="n">
        <v>11</v>
      </c>
      <c r="H5504" s="9" t="n">
        <f aca="false">IF(G5504&gt;0,D5504/G5504,"")</f>
        <v>3.72727272727273</v>
      </c>
      <c r="I5504" s="10" t="n">
        <v>46234</v>
      </c>
      <c r="K5504" s="10"/>
      <c r="M5504" s="7"/>
      <c r="N5504" s="8"/>
      <c r="O5504" s="4"/>
    </row>
    <row r="5505" customFormat="false" ht="15" hidden="false" customHeight="false" outlineLevel="0" collapsed="false">
      <c r="A5505" s="0" t="s">
        <v>7274</v>
      </c>
      <c r="C5505" s="0" t="s">
        <v>33</v>
      </c>
      <c r="D5505" s="7" t="n">
        <v>5</v>
      </c>
      <c r="E5505" s="8" t="n">
        <v>3.28</v>
      </c>
      <c r="F5505" s="4" t="n">
        <f aca="false">D5505*E5505</f>
        <v>16.4</v>
      </c>
      <c r="G5505" s="7" t="n">
        <v>3</v>
      </c>
      <c r="H5505" s="9" t="n">
        <f aca="false">IF(G5505&gt;0,D5505/G5505,"")</f>
        <v>1.66666666666667</v>
      </c>
      <c r="I5505" s="10" t="n">
        <v>45981</v>
      </c>
      <c r="K5505" s="10"/>
      <c r="M5505" s="7"/>
      <c r="N5505" s="8"/>
      <c r="O5505" s="4"/>
    </row>
    <row r="5506" customFormat="false" ht="15" hidden="false" customHeight="false" outlineLevel="0" collapsed="false">
      <c r="A5506" s="0" t="s">
        <v>7275</v>
      </c>
      <c r="C5506" s="0" t="s">
        <v>5255</v>
      </c>
      <c r="D5506" s="7" t="n">
        <v>15</v>
      </c>
      <c r="E5506" s="8" t="n">
        <v>1.092</v>
      </c>
      <c r="F5506" s="4" t="n">
        <f aca="false">D5506*E5506</f>
        <v>16.38</v>
      </c>
      <c r="G5506" s="7" t="n">
        <v>3</v>
      </c>
      <c r="H5506" s="9" t="n">
        <f aca="false">IF(G5506&gt;0,D5506/G5506,"")</f>
        <v>5</v>
      </c>
      <c r="I5506" s="10" t="n">
        <v>46252</v>
      </c>
      <c r="K5506" s="10"/>
      <c r="M5506" s="7"/>
      <c r="N5506" s="8"/>
      <c r="O5506" s="4"/>
    </row>
    <row r="5507" customFormat="false" ht="15" hidden="false" customHeight="false" outlineLevel="0" collapsed="false">
      <c r="A5507" s="0" t="s">
        <v>7276</v>
      </c>
      <c r="C5507" s="0" t="s">
        <v>34</v>
      </c>
      <c r="D5507" s="7" t="n">
        <v>40</v>
      </c>
      <c r="E5507" s="8" t="n">
        <v>0.4095</v>
      </c>
      <c r="F5507" s="4" t="n">
        <f aca="false">D5507*E5507</f>
        <v>16.38</v>
      </c>
      <c r="G5507" s="7" t="n">
        <v>10</v>
      </c>
      <c r="H5507" s="9" t="n">
        <f aca="false">IF(G5507&gt;0,D5507/G5507,"")</f>
        <v>4</v>
      </c>
      <c r="I5507" s="10" t="n">
        <v>46176</v>
      </c>
      <c r="K5507" s="10"/>
      <c r="M5507" s="7"/>
      <c r="N5507" s="8"/>
      <c r="O5507" s="4"/>
    </row>
    <row r="5508" customFormat="false" ht="15" hidden="false" customHeight="false" outlineLevel="0" collapsed="false">
      <c r="A5508" s="0" t="s">
        <v>7277</v>
      </c>
      <c r="C5508" s="0" t="s">
        <v>38</v>
      </c>
      <c r="D5508" s="7" t="n">
        <v>62</v>
      </c>
      <c r="E5508" s="8" t="n">
        <v>0.263709677419355</v>
      </c>
      <c r="F5508" s="4" t="n">
        <f aca="false">D5508*E5508</f>
        <v>16.35</v>
      </c>
      <c r="G5508" s="7" t="n">
        <v>4</v>
      </c>
      <c r="H5508" s="9" t="n">
        <f aca="false">IF(G5508&gt;0,D5508/G5508,"")</f>
        <v>15.5</v>
      </c>
      <c r="I5508" s="10" t="n">
        <v>46266</v>
      </c>
      <c r="K5508" s="10"/>
      <c r="M5508" s="7"/>
      <c r="N5508" s="8"/>
      <c r="O5508" s="4"/>
    </row>
    <row r="5509" customFormat="false" ht="15" hidden="false" customHeight="false" outlineLevel="0" collapsed="false">
      <c r="A5509" s="0" t="s">
        <v>7278</v>
      </c>
      <c r="C5509" s="0" t="s">
        <v>31</v>
      </c>
      <c r="D5509" s="7" t="n">
        <v>2204</v>
      </c>
      <c r="E5509" s="8" t="n">
        <v>0.00740925589836661</v>
      </c>
      <c r="F5509" s="4" t="n">
        <f aca="false">D5509*E5509</f>
        <v>16.33</v>
      </c>
      <c r="G5509" s="7" t="n">
        <v>49</v>
      </c>
      <c r="H5509" s="9" t="n">
        <f aca="false">IF(G5509&gt;0,D5509/G5509,"")</f>
        <v>44.9795918367347</v>
      </c>
      <c r="I5509" s="10" t="n">
        <v>46234</v>
      </c>
      <c r="K5509" s="10"/>
      <c r="M5509" s="7"/>
      <c r="N5509" s="8"/>
      <c r="O5509" s="4"/>
    </row>
    <row r="5510" customFormat="false" ht="15" hidden="false" customHeight="false" outlineLevel="0" collapsed="false">
      <c r="A5510" s="0" t="s">
        <v>7279</v>
      </c>
      <c r="C5510" s="0" t="s">
        <v>38</v>
      </c>
      <c r="D5510" s="7" t="n">
        <v>128</v>
      </c>
      <c r="E5510" s="8" t="n">
        <v>0.1275</v>
      </c>
      <c r="F5510" s="4" t="n">
        <f aca="false">D5510*E5510</f>
        <v>16.32</v>
      </c>
      <c r="G5510" s="7" t="n">
        <v>78</v>
      </c>
      <c r="H5510" s="9" t="n">
        <f aca="false">IF(G5510&gt;0,D5510/G5510,"")</f>
        <v>1.64102564102564</v>
      </c>
      <c r="I5510" s="10" t="n">
        <v>46266</v>
      </c>
      <c r="J5510" s="3" t="s">
        <v>7280</v>
      </c>
      <c r="K5510" s="10" t="n">
        <v>45195</v>
      </c>
      <c r="L5510" s="3" t="s">
        <v>14</v>
      </c>
      <c r="M5510" s="7" t="n">
        <v>500</v>
      </c>
      <c r="N5510" s="8" t="n">
        <v>0.1273</v>
      </c>
      <c r="O5510" s="4" t="n">
        <f aca="false">M5510*N5510</f>
        <v>63.65</v>
      </c>
    </row>
    <row r="5511" customFormat="false" ht="15" hidden="false" customHeight="false" outlineLevel="0" collapsed="false">
      <c r="A5511" s="0" t="s">
        <v>7281</v>
      </c>
      <c r="C5511" s="0" t="s">
        <v>360</v>
      </c>
      <c r="D5511" s="7" t="n">
        <v>1648</v>
      </c>
      <c r="E5511" s="8" t="n">
        <v>0.00990291262135922</v>
      </c>
      <c r="F5511" s="4" t="n">
        <f aca="false">D5511*E5511</f>
        <v>16.32</v>
      </c>
      <c r="G5511" s="7" t="n">
        <v>513</v>
      </c>
      <c r="H5511" s="9" t="n">
        <f aca="false">IF(G5511&gt;0,D5511/G5511,"")</f>
        <v>3.21247563352827</v>
      </c>
      <c r="I5511" s="10" t="n">
        <v>46029</v>
      </c>
      <c r="K5511" s="10"/>
      <c r="M5511" s="7"/>
      <c r="N5511" s="8"/>
      <c r="O5511" s="4"/>
    </row>
    <row r="5512" customFormat="false" ht="15" hidden="false" customHeight="false" outlineLevel="0" collapsed="false">
      <c r="A5512" s="0" t="s">
        <v>7282</v>
      </c>
      <c r="C5512" s="0" t="s">
        <v>34</v>
      </c>
      <c r="D5512" s="7" t="n">
        <v>365</v>
      </c>
      <c r="E5512" s="8" t="n">
        <v>0.0447123287671233</v>
      </c>
      <c r="F5512" s="4" t="n">
        <f aca="false">D5512*E5512</f>
        <v>16.32</v>
      </c>
      <c r="G5512" s="7" t="n">
        <v>143</v>
      </c>
      <c r="H5512" s="9" t="n">
        <f aca="false">IF(G5512&gt;0,D5512/G5512,"")</f>
        <v>2.55244755244755</v>
      </c>
      <c r="I5512" s="10" t="n">
        <v>46279</v>
      </c>
      <c r="J5512" s="3" t="s">
        <v>628</v>
      </c>
      <c r="K5512" s="10" t="n">
        <v>46128</v>
      </c>
      <c r="L5512" s="3" t="s">
        <v>16</v>
      </c>
      <c r="M5512" s="7" t="n">
        <v>450</v>
      </c>
      <c r="N5512" s="8" t="n">
        <v>0.0447</v>
      </c>
      <c r="O5512" s="4" t="n">
        <f aca="false">M5512*N5512</f>
        <v>20.115</v>
      </c>
    </row>
    <row r="5513" customFormat="false" ht="15" hidden="false" customHeight="false" outlineLevel="0" collapsed="false">
      <c r="A5513" s="0" t="s">
        <v>7283</v>
      </c>
      <c r="C5513" s="0" t="s">
        <v>118</v>
      </c>
      <c r="D5513" s="7" t="n">
        <v>14</v>
      </c>
      <c r="E5513" s="8" t="n">
        <v>1.165</v>
      </c>
      <c r="F5513" s="4" t="n">
        <f aca="false">D5513*E5513</f>
        <v>16.31</v>
      </c>
      <c r="G5513" s="7" t="n">
        <v>7</v>
      </c>
      <c r="H5513" s="9" t="n">
        <f aca="false">IF(G5513&gt;0,D5513/G5513,"")</f>
        <v>2</v>
      </c>
      <c r="I5513" s="10" t="n">
        <v>46316</v>
      </c>
      <c r="J5513" s="3" t="s">
        <v>4521</v>
      </c>
      <c r="K5513" s="10" t="n">
        <v>45796</v>
      </c>
      <c r="L5513" s="3" t="s">
        <v>14</v>
      </c>
      <c r="M5513" s="7" t="n">
        <v>25</v>
      </c>
      <c r="N5513" s="8" t="n">
        <v>1.228</v>
      </c>
      <c r="O5513" s="4" t="n">
        <f aca="false">M5513*N5513</f>
        <v>30.7</v>
      </c>
    </row>
    <row r="5514" customFormat="false" ht="15" hidden="false" customHeight="false" outlineLevel="0" collapsed="false">
      <c r="A5514" s="0" t="s">
        <v>7284</v>
      </c>
      <c r="C5514" s="0" t="s">
        <v>34</v>
      </c>
      <c r="D5514" s="7" t="n">
        <v>193</v>
      </c>
      <c r="E5514" s="8" t="n">
        <v>0.0844041450777202</v>
      </c>
      <c r="F5514" s="4" t="n">
        <f aca="false">D5514*E5514</f>
        <v>16.29</v>
      </c>
      <c r="G5514" s="7" t="n">
        <v>82</v>
      </c>
      <c r="H5514" s="9" t="n">
        <f aca="false">IF(G5514&gt;0,D5514/G5514,"")</f>
        <v>2.35365853658537</v>
      </c>
      <c r="I5514" s="10" t="n">
        <v>46281</v>
      </c>
      <c r="J5514" s="3" t="s">
        <v>1651</v>
      </c>
      <c r="K5514" s="10" t="n">
        <v>46069</v>
      </c>
      <c r="L5514" s="3" t="s">
        <v>16</v>
      </c>
      <c r="M5514" s="7" t="n">
        <v>250</v>
      </c>
      <c r="N5514" s="8" t="n">
        <v>0.0844</v>
      </c>
      <c r="O5514" s="4" t="n">
        <f aca="false">M5514*N5514</f>
        <v>21.1</v>
      </c>
    </row>
    <row r="5515" customFormat="false" ht="15" hidden="false" customHeight="false" outlineLevel="0" collapsed="false">
      <c r="A5515" s="0" t="s">
        <v>7285</v>
      </c>
      <c r="C5515" s="0" t="s">
        <v>37</v>
      </c>
      <c r="D5515" s="7" t="n">
        <v>22</v>
      </c>
      <c r="E5515" s="8" t="n">
        <v>0.739090909090909</v>
      </c>
      <c r="F5515" s="4" t="n">
        <f aca="false">D5515*E5515</f>
        <v>16.26</v>
      </c>
      <c r="G5515" s="7" t="n">
        <v>5</v>
      </c>
      <c r="H5515" s="9" t="n">
        <f aca="false">IF(G5515&gt;0,D5515/G5515,"")</f>
        <v>4.4</v>
      </c>
      <c r="I5515" s="10" t="n">
        <v>46196</v>
      </c>
      <c r="J5515" s="3" t="s">
        <v>341</v>
      </c>
      <c r="K5515" s="10" t="n">
        <v>46078</v>
      </c>
      <c r="L5515" s="3" t="s">
        <v>15</v>
      </c>
      <c r="M5515" s="7" t="n">
        <v>27</v>
      </c>
      <c r="N5515" s="8" t="n">
        <v>0.73876</v>
      </c>
      <c r="O5515" s="4" t="n">
        <f aca="false">M5515*N5515</f>
        <v>19.94652</v>
      </c>
    </row>
    <row r="5516" customFormat="false" ht="15" hidden="false" customHeight="false" outlineLevel="0" collapsed="false">
      <c r="A5516" s="0" t="s">
        <v>7286</v>
      </c>
      <c r="C5516" s="0" t="s">
        <v>31</v>
      </c>
      <c r="D5516" s="7" t="n">
        <v>1672</v>
      </c>
      <c r="E5516" s="8" t="n">
        <v>0.00971291866028708</v>
      </c>
      <c r="F5516" s="4" t="n">
        <f aca="false">D5516*E5516</f>
        <v>16.24</v>
      </c>
      <c r="G5516" s="7" t="n">
        <v>828</v>
      </c>
      <c r="H5516" s="9" t="n">
        <f aca="false">IF(G5516&gt;0,D5516/G5516,"")</f>
        <v>2.01932367149758</v>
      </c>
      <c r="I5516" s="10" t="n">
        <v>46265</v>
      </c>
      <c r="J5516" s="3" t="s">
        <v>6505</v>
      </c>
      <c r="K5516" s="10" t="n">
        <v>45984</v>
      </c>
      <c r="L5516" s="3" t="s">
        <v>19</v>
      </c>
      <c r="M5516" s="7" t="n">
        <v>2500</v>
      </c>
      <c r="N5516" s="8" t="n">
        <v>0.0097</v>
      </c>
      <c r="O5516" s="4" t="n">
        <f aca="false">M5516*N5516</f>
        <v>24.25</v>
      </c>
    </row>
    <row r="5517" customFormat="false" ht="15" hidden="false" customHeight="false" outlineLevel="0" collapsed="false">
      <c r="A5517" s="0" t="s">
        <v>7287</v>
      </c>
      <c r="C5517" s="0" t="s">
        <v>1039</v>
      </c>
      <c r="D5517" s="7" t="n">
        <v>1237</v>
      </c>
      <c r="E5517" s="8" t="n">
        <v>0.0131204527081649</v>
      </c>
      <c r="F5517" s="4" t="n">
        <f aca="false">D5517*E5517</f>
        <v>16.23</v>
      </c>
      <c r="G5517" s="7" t="n">
        <v>1091</v>
      </c>
      <c r="H5517" s="9" t="n">
        <f aca="false">IF(G5517&gt;0,D5517/G5517,"")</f>
        <v>1.13382218148488</v>
      </c>
      <c r="I5517" s="10" t="n">
        <v>46310</v>
      </c>
      <c r="J5517" s="3" t="s">
        <v>6198</v>
      </c>
      <c r="K5517" s="10" t="n">
        <v>45846</v>
      </c>
      <c r="L5517" s="3" t="s">
        <v>19</v>
      </c>
      <c r="M5517" s="7" t="n">
        <v>2500</v>
      </c>
      <c r="N5517" s="8" t="n">
        <v>0.0129</v>
      </c>
      <c r="O5517" s="4" t="n">
        <f aca="false">M5517*N5517</f>
        <v>32.25</v>
      </c>
    </row>
    <row r="5518" customFormat="false" ht="15" hidden="false" customHeight="false" outlineLevel="0" collapsed="false">
      <c r="A5518" s="0" t="s">
        <v>7288</v>
      </c>
      <c r="C5518" s="0" t="s">
        <v>34</v>
      </c>
      <c r="D5518" s="7" t="n">
        <v>540</v>
      </c>
      <c r="E5518" s="8" t="n">
        <v>0.03</v>
      </c>
      <c r="F5518" s="4" t="n">
        <f aca="false">D5518*E5518</f>
        <v>16.2</v>
      </c>
      <c r="G5518" s="7" t="n">
        <v>155</v>
      </c>
      <c r="H5518" s="9" t="n">
        <f aca="false">IF(G5518&gt;0,D5518/G5518,"")</f>
        <v>3.48387096774194</v>
      </c>
      <c r="I5518" s="10" t="n">
        <v>46247</v>
      </c>
      <c r="J5518" s="3" t="s">
        <v>628</v>
      </c>
      <c r="K5518" s="10" t="n">
        <v>46128</v>
      </c>
      <c r="L5518" s="3" t="s">
        <v>16</v>
      </c>
      <c r="M5518" s="7" t="n">
        <v>600</v>
      </c>
      <c r="N5518" s="8" t="n">
        <v>0.0337</v>
      </c>
      <c r="O5518" s="4" t="n">
        <f aca="false">M5518*N5518</f>
        <v>20.22</v>
      </c>
    </row>
    <row r="5519" customFormat="false" ht="15" hidden="false" customHeight="false" outlineLevel="0" collapsed="false">
      <c r="A5519" s="0" t="s">
        <v>7289</v>
      </c>
      <c r="C5519" s="0" t="s">
        <v>35</v>
      </c>
      <c r="D5519" s="7" t="n">
        <v>13</v>
      </c>
      <c r="E5519" s="8" t="n">
        <v>1.24461538461539</v>
      </c>
      <c r="F5519" s="4" t="n">
        <f aca="false">D5519*E5519</f>
        <v>16.18</v>
      </c>
      <c r="G5519" s="7" t="n">
        <v>9</v>
      </c>
      <c r="H5519" s="9" t="n">
        <f aca="false">IF(G5519&gt;0,D5519/G5519,"")</f>
        <v>1.44444444444444</v>
      </c>
      <c r="I5519" s="10" t="n">
        <v>46309</v>
      </c>
      <c r="K5519" s="10"/>
      <c r="M5519" s="7"/>
      <c r="N5519" s="8"/>
      <c r="O5519" s="4"/>
    </row>
    <row r="5520" customFormat="false" ht="15" hidden="false" customHeight="false" outlineLevel="0" collapsed="false">
      <c r="A5520" s="0" t="s">
        <v>7290</v>
      </c>
      <c r="C5520" s="0" t="s">
        <v>31</v>
      </c>
      <c r="D5520" s="7" t="n">
        <v>2094</v>
      </c>
      <c r="E5520" s="8" t="n">
        <v>0.00771251193887297</v>
      </c>
      <c r="F5520" s="4" t="n">
        <f aca="false">D5520*E5520</f>
        <v>16.15</v>
      </c>
      <c r="G5520" s="7" t="n">
        <v>804</v>
      </c>
      <c r="H5520" s="9" t="n">
        <f aca="false">IF(G5520&gt;0,D5520/G5520,"")</f>
        <v>2.6044776119403</v>
      </c>
      <c r="I5520" s="10" t="n">
        <v>46308</v>
      </c>
      <c r="J5520" s="3" t="s">
        <v>802</v>
      </c>
      <c r="K5520" s="10" t="n">
        <v>45824</v>
      </c>
      <c r="L5520" s="3" t="s">
        <v>14</v>
      </c>
      <c r="M5520" s="7" t="n">
        <v>3261</v>
      </c>
      <c r="N5520" s="8" t="n">
        <v>0.00770021</v>
      </c>
      <c r="O5520" s="4" t="n">
        <f aca="false">M5520*N5520</f>
        <v>25.11038481</v>
      </c>
    </row>
    <row r="5521" customFormat="false" ht="15" hidden="false" customHeight="false" outlineLevel="0" collapsed="false">
      <c r="A5521" s="0" t="s">
        <v>7291</v>
      </c>
      <c r="C5521" s="0" t="s">
        <v>40</v>
      </c>
      <c r="D5521" s="7" t="n">
        <v>730</v>
      </c>
      <c r="E5521" s="8" t="n">
        <v>0.0221095890410959</v>
      </c>
      <c r="F5521" s="4" t="n">
        <f aca="false">D5521*E5521</f>
        <v>16.14</v>
      </c>
      <c r="G5521" s="7" t="n">
        <v>425</v>
      </c>
      <c r="H5521" s="9" t="n">
        <f aca="false">IF(G5521&gt;0,D5521/G5521,"")</f>
        <v>1.71764705882353</v>
      </c>
      <c r="I5521" s="10" t="n">
        <v>46281</v>
      </c>
      <c r="K5521" s="10"/>
      <c r="M5521" s="7"/>
      <c r="N5521" s="8"/>
      <c r="O5521" s="4"/>
    </row>
    <row r="5522" customFormat="false" ht="15" hidden="false" customHeight="false" outlineLevel="0" collapsed="false">
      <c r="A5522" s="0" t="s">
        <v>7292</v>
      </c>
      <c r="C5522" s="0" t="s">
        <v>31</v>
      </c>
      <c r="D5522" s="7" t="n">
        <v>132</v>
      </c>
      <c r="E5522" s="8" t="n">
        <v>0.122121212121212</v>
      </c>
      <c r="F5522" s="4" t="n">
        <f aca="false">D5522*E5522</f>
        <v>16.12</v>
      </c>
      <c r="G5522" s="7" t="n">
        <v>19</v>
      </c>
      <c r="H5522" s="9" t="n">
        <f aca="false">IF(G5522&gt;0,D5522/G5522,"")</f>
        <v>6.94736842105263</v>
      </c>
      <c r="I5522" s="10" t="n">
        <v>46127</v>
      </c>
      <c r="K5522" s="10"/>
      <c r="M5522" s="7"/>
      <c r="N5522" s="8"/>
      <c r="O5522" s="4"/>
    </row>
    <row r="5523" customFormat="false" ht="15" hidden="false" customHeight="false" outlineLevel="0" collapsed="false">
      <c r="A5523" s="0" t="s">
        <v>7293</v>
      </c>
      <c r="C5523" s="0" t="s">
        <v>438</v>
      </c>
      <c r="D5523" s="7" t="n">
        <v>18</v>
      </c>
      <c r="E5523" s="8" t="n">
        <v>0.895</v>
      </c>
      <c r="F5523" s="4" t="n">
        <f aca="false">D5523*E5523</f>
        <v>16.11</v>
      </c>
      <c r="G5523" s="7" t="n">
        <v>5</v>
      </c>
      <c r="H5523" s="9" t="n">
        <f aca="false">IF(G5523&gt;0,D5523/G5523,"")</f>
        <v>3.6</v>
      </c>
      <c r="I5523" s="10" t="n">
        <v>46240</v>
      </c>
      <c r="J5523" s="3" t="s">
        <v>7294</v>
      </c>
      <c r="K5523" s="10" t="n">
        <v>44259</v>
      </c>
      <c r="L5523" s="3" t="s">
        <v>14</v>
      </c>
      <c r="M5523" s="7" t="n">
        <v>53</v>
      </c>
      <c r="N5523" s="8" t="n">
        <v>0.895</v>
      </c>
      <c r="O5523" s="4" t="n">
        <f aca="false">M5523*N5523</f>
        <v>47.435</v>
      </c>
    </row>
    <row r="5524" customFormat="false" ht="15" hidden="false" customHeight="false" outlineLevel="0" collapsed="false">
      <c r="A5524" s="0" t="s">
        <v>7295</v>
      </c>
      <c r="C5524" s="0" t="s">
        <v>34</v>
      </c>
      <c r="D5524" s="7" t="n">
        <v>166</v>
      </c>
      <c r="E5524" s="8" t="n">
        <v>0.0968674698795181</v>
      </c>
      <c r="F5524" s="4" t="n">
        <f aca="false">D5524*E5524</f>
        <v>16.08</v>
      </c>
      <c r="G5524" s="7" t="n">
        <v>140</v>
      </c>
      <c r="H5524" s="9" t="n">
        <f aca="false">IF(G5524&gt;0,D5524/G5524,"")</f>
        <v>1.18571428571429</v>
      </c>
      <c r="I5524" s="10" t="n">
        <v>46134</v>
      </c>
      <c r="J5524" s="3" t="s">
        <v>5248</v>
      </c>
      <c r="K5524" s="10" t="n">
        <v>45428</v>
      </c>
      <c r="L5524" s="3" t="s">
        <v>14</v>
      </c>
      <c r="M5524" s="7" t="n">
        <v>346</v>
      </c>
      <c r="N5524" s="8" t="n">
        <v>0.0969</v>
      </c>
      <c r="O5524" s="4" t="n">
        <f aca="false">M5524*N5524</f>
        <v>33.5274</v>
      </c>
    </row>
    <row r="5525" customFormat="false" ht="15" hidden="false" customHeight="false" outlineLevel="0" collapsed="false">
      <c r="A5525" s="0" t="s">
        <v>7296</v>
      </c>
      <c r="C5525" s="0" t="s">
        <v>33</v>
      </c>
      <c r="D5525" s="7" t="n">
        <v>23</v>
      </c>
      <c r="E5525" s="8" t="n">
        <v>0.698695652173913</v>
      </c>
      <c r="F5525" s="4" t="n">
        <f aca="false">D5525*E5525</f>
        <v>16.07</v>
      </c>
      <c r="G5525" s="7" t="n">
        <v>8</v>
      </c>
      <c r="H5525" s="9" t="n">
        <f aca="false">IF(G5525&gt;0,D5525/G5525,"")</f>
        <v>2.875</v>
      </c>
      <c r="I5525" s="10" t="n">
        <v>46304</v>
      </c>
      <c r="J5525" s="3" t="s">
        <v>7297</v>
      </c>
      <c r="K5525" s="10" t="n">
        <v>45826</v>
      </c>
      <c r="L5525" s="3" t="s">
        <v>18</v>
      </c>
      <c r="M5525" s="7" t="n">
        <v>50</v>
      </c>
      <c r="N5525" s="8" t="n">
        <v>0.6989</v>
      </c>
      <c r="O5525" s="4" t="n">
        <f aca="false">M5525*N5525</f>
        <v>34.945</v>
      </c>
    </row>
    <row r="5526" customFormat="false" ht="15" hidden="false" customHeight="false" outlineLevel="0" collapsed="false">
      <c r="A5526" s="0" t="s">
        <v>7298</v>
      </c>
      <c r="C5526" s="0" t="s">
        <v>38</v>
      </c>
      <c r="D5526" s="7" t="n">
        <v>296</v>
      </c>
      <c r="E5526" s="8" t="n">
        <v>0.0542567567567568</v>
      </c>
      <c r="F5526" s="4" t="n">
        <f aca="false">D5526*E5526</f>
        <v>16.06</v>
      </c>
      <c r="G5526" s="7" t="n">
        <v>6</v>
      </c>
      <c r="H5526" s="9" t="n">
        <f aca="false">IF(G5526&gt;0,D5526/G5526,"")</f>
        <v>49.3333333333333</v>
      </c>
      <c r="I5526" s="10" t="n">
        <v>46062</v>
      </c>
      <c r="J5526" s="3" t="s">
        <v>4429</v>
      </c>
      <c r="K5526" s="10" t="n">
        <v>45415</v>
      </c>
      <c r="L5526" s="3" t="s">
        <v>19</v>
      </c>
      <c r="M5526" s="7" t="n">
        <v>459</v>
      </c>
      <c r="N5526" s="8" t="n">
        <v>0.0543</v>
      </c>
      <c r="O5526" s="4" t="n">
        <f aca="false">M5526*N5526</f>
        <v>24.9237</v>
      </c>
    </row>
    <row r="5527" customFormat="false" ht="15" hidden="false" customHeight="false" outlineLevel="0" collapsed="false">
      <c r="A5527" s="0" t="s">
        <v>7299</v>
      </c>
      <c r="C5527" s="0" t="s">
        <v>38</v>
      </c>
      <c r="D5527" s="7" t="n">
        <v>803</v>
      </c>
      <c r="E5527" s="8" t="n">
        <v>0.02</v>
      </c>
      <c r="F5527" s="4" t="n">
        <f aca="false">D5527*E5527</f>
        <v>16.06</v>
      </c>
      <c r="G5527" s="7" t="n">
        <v>489</v>
      </c>
      <c r="H5527" s="9" t="n">
        <f aca="false">IF(G5527&gt;0,D5527/G5527,"")</f>
        <v>1.64212678936605</v>
      </c>
      <c r="I5527" s="10" t="n">
        <v>46281</v>
      </c>
      <c r="J5527" s="3" t="s">
        <v>7300</v>
      </c>
      <c r="K5527" s="10" t="n">
        <v>44800</v>
      </c>
      <c r="L5527" s="3" t="s">
        <v>14</v>
      </c>
      <c r="M5527" s="7" t="n">
        <v>4984</v>
      </c>
      <c r="N5527" s="8" t="n">
        <v>0.0199</v>
      </c>
      <c r="O5527" s="4" t="n">
        <f aca="false">M5527*N5527</f>
        <v>99.1816</v>
      </c>
    </row>
    <row r="5528" customFormat="false" ht="15" hidden="false" customHeight="false" outlineLevel="0" collapsed="false">
      <c r="A5528" s="0" t="s">
        <v>7301</v>
      </c>
      <c r="C5528" s="0" t="s">
        <v>35</v>
      </c>
      <c r="D5528" s="7" t="n">
        <v>5</v>
      </c>
      <c r="E5528" s="8" t="n">
        <v>3.204</v>
      </c>
      <c r="F5528" s="4" t="n">
        <f aca="false">D5528*E5528</f>
        <v>16.02</v>
      </c>
      <c r="G5528" s="7" t="n">
        <v>1</v>
      </c>
      <c r="H5528" s="9" t="n">
        <f aca="false">IF(G5528&gt;0,D5528/G5528,"")</f>
        <v>5</v>
      </c>
      <c r="I5528" s="10" t="n">
        <v>45996</v>
      </c>
      <c r="J5528" s="3" t="s">
        <v>4468</v>
      </c>
      <c r="K5528" s="10" t="n">
        <v>44938</v>
      </c>
      <c r="L5528" s="3" t="s">
        <v>14</v>
      </c>
      <c r="M5528" s="7" t="n">
        <v>20</v>
      </c>
      <c r="N5528" s="8" t="n">
        <v>3.2035</v>
      </c>
      <c r="O5528" s="4" t="n">
        <f aca="false">M5528*N5528</f>
        <v>64.07</v>
      </c>
    </row>
    <row r="5529" customFormat="false" ht="15" hidden="false" customHeight="false" outlineLevel="0" collapsed="false">
      <c r="A5529" s="0" t="s">
        <v>7302</v>
      </c>
      <c r="C5529" s="0" t="s">
        <v>41</v>
      </c>
      <c r="D5529" s="7" t="n">
        <v>884</v>
      </c>
      <c r="E5529" s="8" t="n">
        <v>0.0180995475113122</v>
      </c>
      <c r="F5529" s="4" t="n">
        <f aca="false">D5529*E5529</f>
        <v>16</v>
      </c>
      <c r="G5529" s="7" t="n">
        <v>100</v>
      </c>
      <c r="H5529" s="9" t="n">
        <f aca="false">IF(G5529&gt;0,D5529/G5529,"")</f>
        <v>8.84</v>
      </c>
      <c r="I5529" s="10" t="n">
        <v>46184</v>
      </c>
      <c r="K5529" s="10"/>
      <c r="M5529" s="7"/>
      <c r="N5529" s="8"/>
      <c r="O5529" s="4"/>
    </row>
    <row r="5530" customFormat="false" ht="15" hidden="false" customHeight="false" outlineLevel="0" collapsed="false">
      <c r="A5530" s="0" t="s">
        <v>7303</v>
      </c>
      <c r="C5530" s="0" t="s">
        <v>31</v>
      </c>
      <c r="D5530" s="7" t="n">
        <v>293</v>
      </c>
      <c r="E5530" s="8" t="n">
        <v>0.0545051194539249</v>
      </c>
      <c r="F5530" s="4" t="n">
        <f aca="false">D5530*E5530</f>
        <v>15.97</v>
      </c>
      <c r="G5530" s="7" t="n">
        <v>10</v>
      </c>
      <c r="H5530" s="9" t="n">
        <f aca="false">IF(G5530&gt;0,D5530/G5530,"")</f>
        <v>29.3</v>
      </c>
      <c r="I5530" s="10" t="n">
        <v>46195</v>
      </c>
      <c r="K5530" s="10"/>
      <c r="M5530" s="7"/>
      <c r="N5530" s="8"/>
      <c r="O5530" s="4"/>
    </row>
    <row r="5531" customFormat="false" ht="15" hidden="false" customHeight="false" outlineLevel="0" collapsed="false">
      <c r="A5531" s="0" t="s">
        <v>7304</v>
      </c>
      <c r="C5531" s="0" t="s">
        <v>40</v>
      </c>
      <c r="D5531" s="7" t="n">
        <v>490</v>
      </c>
      <c r="E5531" s="8" t="n">
        <v>0.0325918367346939</v>
      </c>
      <c r="F5531" s="4" t="n">
        <f aca="false">D5531*E5531</f>
        <v>15.97</v>
      </c>
      <c r="G5531" s="7" t="n">
        <v>90</v>
      </c>
      <c r="H5531" s="9" t="n">
        <f aca="false">IF(G5531&gt;0,D5531/G5531,"")</f>
        <v>5.44444444444445</v>
      </c>
      <c r="I5531" s="10" t="n">
        <v>46044</v>
      </c>
      <c r="K5531" s="10"/>
      <c r="M5531" s="7"/>
      <c r="N5531" s="8"/>
      <c r="O5531" s="4"/>
    </row>
    <row r="5532" customFormat="false" ht="15" hidden="false" customHeight="false" outlineLevel="0" collapsed="false">
      <c r="A5532" s="0" t="s">
        <v>7305</v>
      </c>
      <c r="C5532" s="0" t="s">
        <v>5871</v>
      </c>
      <c r="D5532" s="7" t="n">
        <v>20</v>
      </c>
      <c r="E5532" s="8" t="n">
        <v>0.797</v>
      </c>
      <c r="F5532" s="4" t="n">
        <f aca="false">D5532*E5532</f>
        <v>15.94</v>
      </c>
      <c r="G5532" s="7" t="n">
        <v>1</v>
      </c>
      <c r="H5532" s="9" t="n">
        <f aca="false">IF(G5532&gt;0,D5532/G5532,"")</f>
        <v>20</v>
      </c>
      <c r="I5532" s="10" t="n">
        <v>46014</v>
      </c>
      <c r="J5532" s="3" t="s">
        <v>3460</v>
      </c>
      <c r="K5532" s="10" t="n">
        <v>44788</v>
      </c>
      <c r="L5532" s="3" t="s">
        <v>14</v>
      </c>
      <c r="M5532" s="7" t="n">
        <v>25</v>
      </c>
      <c r="N5532" s="8" t="n">
        <v>0.7972</v>
      </c>
      <c r="O5532" s="4" t="n">
        <f aca="false">M5532*N5532</f>
        <v>19.93</v>
      </c>
    </row>
    <row r="5533" customFormat="false" ht="15" hidden="false" customHeight="false" outlineLevel="0" collapsed="false">
      <c r="A5533" s="0" t="s">
        <v>7306</v>
      </c>
      <c r="C5533" s="0" t="s">
        <v>979</v>
      </c>
      <c r="D5533" s="7" t="n">
        <v>27</v>
      </c>
      <c r="E5533" s="8" t="n">
        <v>0.58962962962963</v>
      </c>
      <c r="F5533" s="4" t="n">
        <f aca="false">D5533*E5533</f>
        <v>15.92</v>
      </c>
      <c r="G5533" s="7" t="n">
        <v>10</v>
      </c>
      <c r="H5533" s="9" t="n">
        <f aca="false">IF(G5533&gt;0,D5533/G5533,"")</f>
        <v>2.7</v>
      </c>
      <c r="I5533" s="10" t="n">
        <v>46195</v>
      </c>
      <c r="J5533" s="3" t="s">
        <v>6446</v>
      </c>
      <c r="K5533" s="10" t="n">
        <v>44985</v>
      </c>
      <c r="L5533" s="3" t="s">
        <v>18</v>
      </c>
      <c r="M5533" s="7" t="n">
        <v>110</v>
      </c>
      <c r="N5533" s="8" t="n">
        <v>0.5895</v>
      </c>
      <c r="O5533" s="4" t="n">
        <f aca="false">M5533*N5533</f>
        <v>64.845</v>
      </c>
    </row>
    <row r="5534" customFormat="false" ht="15" hidden="false" customHeight="false" outlineLevel="0" collapsed="false">
      <c r="A5534" s="0" t="s">
        <v>7307</v>
      </c>
      <c r="C5534" s="0" t="s">
        <v>31</v>
      </c>
      <c r="D5534" s="7" t="n">
        <v>43</v>
      </c>
      <c r="E5534" s="8" t="n">
        <v>0.37</v>
      </c>
      <c r="F5534" s="4" t="n">
        <f aca="false">D5534*E5534</f>
        <v>15.91</v>
      </c>
      <c r="G5534" s="7" t="n">
        <v>20</v>
      </c>
      <c r="H5534" s="9" t="n">
        <f aca="false">IF(G5534&gt;0,D5534/G5534,"")</f>
        <v>2.15</v>
      </c>
      <c r="I5534" s="10" t="n">
        <v>46014</v>
      </c>
      <c r="J5534" s="3" t="s">
        <v>3399</v>
      </c>
      <c r="K5534" s="10" t="n">
        <v>45673</v>
      </c>
      <c r="L5534" s="3" t="s">
        <v>19</v>
      </c>
      <c r="M5534" s="7" t="n">
        <v>100</v>
      </c>
      <c r="N5534" s="8" t="n">
        <v>0.2639</v>
      </c>
      <c r="O5534" s="4" t="n">
        <f aca="false">M5534*N5534</f>
        <v>26.39</v>
      </c>
    </row>
    <row r="5535" customFormat="false" ht="15" hidden="false" customHeight="false" outlineLevel="0" collapsed="false">
      <c r="A5535" s="0" t="s">
        <v>7308</v>
      </c>
      <c r="C5535" s="0" t="s">
        <v>31</v>
      </c>
      <c r="D5535" s="7" t="n">
        <v>43</v>
      </c>
      <c r="E5535" s="8" t="n">
        <v>0.37</v>
      </c>
      <c r="F5535" s="4" t="n">
        <f aca="false">D5535*E5535</f>
        <v>15.91</v>
      </c>
      <c r="G5535" s="7" t="n">
        <v>29</v>
      </c>
      <c r="H5535" s="9" t="n">
        <f aca="false">IF(G5535&gt;0,D5535/G5535,"")</f>
        <v>1.48275862068966</v>
      </c>
      <c r="I5535" s="10" t="n">
        <v>46308</v>
      </c>
      <c r="K5535" s="10"/>
      <c r="M5535" s="7"/>
      <c r="N5535" s="8"/>
      <c r="O5535" s="4"/>
    </row>
    <row r="5536" customFormat="false" ht="15" hidden="false" customHeight="false" outlineLevel="0" collapsed="false">
      <c r="A5536" s="0" t="s">
        <v>7309</v>
      </c>
      <c r="C5536" s="0" t="s">
        <v>31</v>
      </c>
      <c r="D5536" s="7" t="n">
        <v>193</v>
      </c>
      <c r="E5536" s="8" t="n">
        <v>0.0823834196891192</v>
      </c>
      <c r="F5536" s="4" t="n">
        <f aca="false">D5536*E5536</f>
        <v>15.9</v>
      </c>
      <c r="G5536" s="7" t="n">
        <v>38</v>
      </c>
      <c r="H5536" s="9" t="n">
        <f aca="false">IF(G5536&gt;0,D5536/G5536,"")</f>
        <v>5.07894736842105</v>
      </c>
      <c r="I5536" s="10" t="n">
        <v>46237</v>
      </c>
      <c r="J5536" s="3" t="s">
        <v>5347</v>
      </c>
      <c r="K5536" s="10" t="n">
        <v>45888</v>
      </c>
      <c r="L5536" s="3" t="s">
        <v>19</v>
      </c>
      <c r="M5536" s="7" t="n">
        <v>250</v>
      </c>
      <c r="N5536" s="8" t="n">
        <v>0.0824</v>
      </c>
      <c r="O5536" s="4" t="n">
        <f aca="false">M5536*N5536</f>
        <v>20.6</v>
      </c>
    </row>
    <row r="5537" customFormat="false" ht="15" hidden="false" customHeight="false" outlineLevel="0" collapsed="false">
      <c r="A5537" s="0" t="s">
        <v>7310</v>
      </c>
      <c r="C5537" s="0" t="s">
        <v>298</v>
      </c>
      <c r="D5537" s="7" t="n">
        <v>51</v>
      </c>
      <c r="E5537" s="8" t="n">
        <v>0.31156862745098</v>
      </c>
      <c r="F5537" s="4" t="n">
        <f aca="false">D5537*E5537</f>
        <v>15.89</v>
      </c>
      <c r="G5537" s="7" t="n">
        <v>7</v>
      </c>
      <c r="H5537" s="9" t="n">
        <f aca="false">IF(G5537&gt;0,D5537/G5537,"")</f>
        <v>7.28571428571429</v>
      </c>
      <c r="I5537" s="10" t="n">
        <v>46111</v>
      </c>
      <c r="J5537" s="3" t="s">
        <v>7045</v>
      </c>
      <c r="K5537" s="10" t="n">
        <v>45784</v>
      </c>
      <c r="L5537" s="3" t="s">
        <v>19</v>
      </c>
      <c r="M5537" s="7" t="n">
        <v>80</v>
      </c>
      <c r="N5537" s="8" t="n">
        <v>0.3115</v>
      </c>
      <c r="O5537" s="4" t="n">
        <f aca="false">M5537*N5537</f>
        <v>24.92</v>
      </c>
    </row>
    <row r="5538" customFormat="false" ht="15" hidden="false" customHeight="false" outlineLevel="0" collapsed="false">
      <c r="A5538" s="0" t="s">
        <v>7311</v>
      </c>
      <c r="C5538" s="0" t="s">
        <v>118</v>
      </c>
      <c r="D5538" s="7" t="n">
        <v>100</v>
      </c>
      <c r="E5538" s="8" t="n">
        <v>0.1583</v>
      </c>
      <c r="F5538" s="4" t="n">
        <f aca="false">D5538*E5538</f>
        <v>15.83</v>
      </c>
      <c r="G5538" s="7" t="n">
        <v>74</v>
      </c>
      <c r="H5538" s="9" t="n">
        <f aca="false">IF(G5538&gt;0,D5538/G5538,"")</f>
        <v>1.35135135135135</v>
      </c>
      <c r="I5538" s="10" t="n">
        <v>46279</v>
      </c>
      <c r="J5538" s="3" t="s">
        <v>568</v>
      </c>
      <c r="K5538" s="10" t="n">
        <v>46268</v>
      </c>
      <c r="L5538" s="3" t="s">
        <v>14</v>
      </c>
      <c r="M5538" s="7" t="n">
        <v>128</v>
      </c>
      <c r="N5538" s="8" t="n">
        <v>0.1667</v>
      </c>
      <c r="O5538" s="4" t="n">
        <f aca="false">M5538*N5538</f>
        <v>21.3376</v>
      </c>
    </row>
    <row r="5539" customFormat="false" ht="15" hidden="false" customHeight="false" outlineLevel="0" collapsed="false">
      <c r="A5539" s="0" t="s">
        <v>7312</v>
      </c>
      <c r="C5539" s="0" t="s">
        <v>41</v>
      </c>
      <c r="D5539" s="7" t="n">
        <v>484</v>
      </c>
      <c r="E5539" s="8" t="n">
        <v>0.0327066115702479</v>
      </c>
      <c r="F5539" s="4" t="n">
        <f aca="false">D5539*E5539</f>
        <v>15.83</v>
      </c>
      <c r="G5539" s="7" t="n">
        <v>175</v>
      </c>
      <c r="H5539" s="9" t="n">
        <f aca="false">IF(G5539&gt;0,D5539/G5539,"")</f>
        <v>2.76571428571429</v>
      </c>
      <c r="I5539" s="10" t="n">
        <v>46314</v>
      </c>
      <c r="J5539" s="3" t="s">
        <v>6851</v>
      </c>
      <c r="K5539" s="10" t="n">
        <v>45419</v>
      </c>
      <c r="L5539" s="3" t="s">
        <v>19</v>
      </c>
      <c r="M5539" s="7" t="n">
        <v>1000</v>
      </c>
      <c r="N5539" s="8" t="n">
        <v>0.0334</v>
      </c>
      <c r="O5539" s="4" t="n">
        <f aca="false">M5539*N5539</f>
        <v>33.4</v>
      </c>
    </row>
    <row r="5540" customFormat="false" ht="15" hidden="false" customHeight="false" outlineLevel="0" collapsed="false">
      <c r="A5540" s="0" t="s">
        <v>7313</v>
      </c>
      <c r="D5540" s="7" t="n">
        <v>33</v>
      </c>
      <c r="E5540" s="8" t="n">
        <v>0.478484848484849</v>
      </c>
      <c r="F5540" s="4" t="n">
        <f aca="false">D5540*E5540</f>
        <v>15.79</v>
      </c>
      <c r="G5540" s="7" t="n">
        <v>20</v>
      </c>
      <c r="H5540" s="9" t="n">
        <f aca="false">IF(G5540&gt;0,D5540/G5540,"")</f>
        <v>1.65</v>
      </c>
      <c r="I5540" s="10" t="n">
        <v>46133</v>
      </c>
      <c r="K5540" s="10"/>
      <c r="M5540" s="7"/>
      <c r="N5540" s="8"/>
      <c r="O5540" s="4"/>
    </row>
    <row r="5541" customFormat="false" ht="15" hidden="false" customHeight="false" outlineLevel="0" collapsed="false">
      <c r="A5541" s="0" t="s">
        <v>7314</v>
      </c>
      <c r="C5541" s="0" t="s">
        <v>855</v>
      </c>
      <c r="D5541" s="7" t="n">
        <v>61</v>
      </c>
      <c r="E5541" s="8" t="n">
        <v>0.258852459016393</v>
      </c>
      <c r="F5541" s="4" t="n">
        <f aca="false">D5541*E5541</f>
        <v>15.79</v>
      </c>
      <c r="G5541" s="7" t="n">
        <v>20</v>
      </c>
      <c r="H5541" s="9" t="n">
        <f aca="false">IF(G5541&gt;0,D5541/G5541,"")</f>
        <v>3.05</v>
      </c>
      <c r="I5541" s="10" t="n">
        <v>45971</v>
      </c>
      <c r="J5541" s="3" t="s">
        <v>7181</v>
      </c>
      <c r="K5541" s="10" t="n">
        <v>44383</v>
      </c>
      <c r="L5541" s="3" t="s">
        <v>19</v>
      </c>
      <c r="M5541" s="7" t="n">
        <v>100</v>
      </c>
      <c r="N5541" s="8" t="n">
        <v>0.2591</v>
      </c>
      <c r="O5541" s="4" t="n">
        <f aca="false">M5541*N5541</f>
        <v>25.91</v>
      </c>
    </row>
    <row r="5542" customFormat="false" ht="15" hidden="false" customHeight="false" outlineLevel="0" collapsed="false">
      <c r="A5542" s="0" t="s">
        <v>7315</v>
      </c>
      <c r="C5542" s="0" t="s">
        <v>41</v>
      </c>
      <c r="D5542" s="7" t="n">
        <v>65</v>
      </c>
      <c r="E5542" s="8" t="n">
        <v>0.242615384615385</v>
      </c>
      <c r="F5542" s="4" t="n">
        <f aca="false">D5542*E5542</f>
        <v>15.77</v>
      </c>
      <c r="G5542" s="7" t="n">
        <v>4</v>
      </c>
      <c r="H5542" s="9" t="n">
        <f aca="false">IF(G5542&gt;0,D5542/G5542,"")</f>
        <v>16.25</v>
      </c>
      <c r="I5542" s="10" t="n">
        <v>46048</v>
      </c>
      <c r="K5542" s="10"/>
      <c r="M5542" s="7"/>
      <c r="N5542" s="8"/>
      <c r="O5542" s="4"/>
    </row>
    <row r="5543" customFormat="false" ht="15" hidden="false" customHeight="false" outlineLevel="0" collapsed="false">
      <c r="A5543" s="0" t="s">
        <v>7316</v>
      </c>
      <c r="D5543" s="7" t="n">
        <v>399</v>
      </c>
      <c r="E5543" s="8" t="n">
        <v>0.0394987468671679</v>
      </c>
      <c r="F5543" s="4" t="n">
        <f aca="false">D5543*E5543</f>
        <v>15.76</v>
      </c>
      <c r="G5543" s="7" t="n">
        <v>101</v>
      </c>
      <c r="H5543" s="9" t="n">
        <f aca="false">IF(G5543&gt;0,D5543/G5543,"")</f>
        <v>3.95049504950495</v>
      </c>
      <c r="I5543" s="10" t="n">
        <v>46301</v>
      </c>
      <c r="J5543" s="3" t="s">
        <v>5646</v>
      </c>
      <c r="K5543" s="10" t="n">
        <v>46275</v>
      </c>
      <c r="L5543" s="3" t="s">
        <v>19</v>
      </c>
      <c r="M5543" s="7" t="n">
        <v>500</v>
      </c>
      <c r="N5543" s="8" t="n">
        <v>0.0395</v>
      </c>
      <c r="O5543" s="4" t="n">
        <f aca="false">M5543*N5543</f>
        <v>19.75</v>
      </c>
    </row>
    <row r="5544" customFormat="false" ht="15" hidden="false" customHeight="false" outlineLevel="0" collapsed="false">
      <c r="A5544" s="0" t="s">
        <v>7317</v>
      </c>
      <c r="C5544" s="0" t="s">
        <v>31</v>
      </c>
      <c r="D5544" s="7" t="n">
        <v>1640</v>
      </c>
      <c r="E5544" s="8" t="n">
        <v>0.00960975609756098</v>
      </c>
      <c r="F5544" s="4" t="n">
        <f aca="false">D5544*E5544</f>
        <v>15.76</v>
      </c>
      <c r="G5544" s="7" t="n">
        <v>356</v>
      </c>
      <c r="H5544" s="9" t="n">
        <f aca="false">IF(G5544&gt;0,D5544/G5544,"")</f>
        <v>4.60674157303371</v>
      </c>
      <c r="I5544" s="10" t="n">
        <v>46247</v>
      </c>
      <c r="J5544" s="3" t="s">
        <v>6172</v>
      </c>
      <c r="K5544" s="10" t="n">
        <v>45455</v>
      </c>
      <c r="L5544" s="3" t="s">
        <v>19</v>
      </c>
      <c r="M5544" s="7" t="n">
        <v>2500</v>
      </c>
      <c r="N5544" s="8" t="n">
        <v>0.0096</v>
      </c>
      <c r="O5544" s="4" t="n">
        <f aca="false">M5544*N5544</f>
        <v>24</v>
      </c>
    </row>
    <row r="5545" customFormat="false" ht="15" hidden="false" customHeight="false" outlineLevel="0" collapsed="false">
      <c r="A5545" s="0" t="s">
        <v>7318</v>
      </c>
      <c r="C5545" s="0" t="s">
        <v>34</v>
      </c>
      <c r="D5545" s="7" t="n">
        <v>247</v>
      </c>
      <c r="E5545" s="8" t="n">
        <v>0.0637651821862348</v>
      </c>
      <c r="F5545" s="4" t="n">
        <f aca="false">D5545*E5545</f>
        <v>15.75</v>
      </c>
      <c r="G5545" s="7" t="n">
        <v>100</v>
      </c>
      <c r="H5545" s="9" t="n">
        <f aca="false">IF(G5545&gt;0,D5545/G5545,"")</f>
        <v>2.47</v>
      </c>
      <c r="I5545" s="10" t="n">
        <v>46293</v>
      </c>
      <c r="K5545" s="10"/>
      <c r="M5545" s="7"/>
      <c r="N5545" s="8"/>
      <c r="O5545" s="4"/>
    </row>
    <row r="5546" customFormat="false" ht="15" hidden="false" customHeight="false" outlineLevel="0" collapsed="false">
      <c r="A5546" s="0" t="s">
        <v>7319</v>
      </c>
      <c r="C5546" s="0" t="s">
        <v>38</v>
      </c>
      <c r="D5546" s="7" t="n">
        <v>199</v>
      </c>
      <c r="E5546" s="8" t="n">
        <v>0.0791457286432161</v>
      </c>
      <c r="F5546" s="4" t="n">
        <f aca="false">D5546*E5546</f>
        <v>15.75</v>
      </c>
      <c r="G5546" s="7" t="n">
        <v>118</v>
      </c>
      <c r="H5546" s="9" t="n">
        <f aca="false">IF(G5546&gt;0,D5546/G5546,"")</f>
        <v>1.6864406779661</v>
      </c>
      <c r="I5546" s="10" t="n">
        <v>46293</v>
      </c>
      <c r="K5546" s="10"/>
      <c r="M5546" s="7"/>
      <c r="N5546" s="8"/>
      <c r="O5546" s="4"/>
    </row>
    <row r="5547" customFormat="false" ht="15" hidden="false" customHeight="false" outlineLevel="0" collapsed="false">
      <c r="A5547" s="0" t="s">
        <v>7320</v>
      </c>
      <c r="C5547" s="0" t="s">
        <v>34</v>
      </c>
      <c r="D5547" s="7" t="n">
        <v>190</v>
      </c>
      <c r="E5547" s="8" t="n">
        <v>0.0828947368421053</v>
      </c>
      <c r="F5547" s="4" t="n">
        <f aca="false">D5547*E5547</f>
        <v>15.75</v>
      </c>
      <c r="G5547" s="7" t="n">
        <v>144</v>
      </c>
      <c r="H5547" s="9" t="n">
        <f aca="false">IF(G5547&gt;0,D5547/G5547,"")</f>
        <v>1.31944444444444</v>
      </c>
      <c r="I5547" s="10" t="n">
        <v>46275</v>
      </c>
      <c r="J5547" s="3" t="s">
        <v>1107</v>
      </c>
      <c r="K5547" s="10" t="n">
        <v>46035</v>
      </c>
      <c r="L5547" s="3" t="s">
        <v>16</v>
      </c>
      <c r="M5547" s="7" t="n">
        <v>250</v>
      </c>
      <c r="N5547" s="8" t="n">
        <v>0.0829</v>
      </c>
      <c r="O5547" s="4" t="n">
        <f aca="false">M5547*N5547</f>
        <v>20.725</v>
      </c>
    </row>
    <row r="5548" customFormat="false" ht="15" hidden="false" customHeight="false" outlineLevel="0" collapsed="false">
      <c r="A5548" s="0" t="s">
        <v>7321</v>
      </c>
      <c r="C5548" s="0" t="s">
        <v>32</v>
      </c>
      <c r="D5548" s="7" t="n">
        <v>13</v>
      </c>
      <c r="E5548" s="8" t="n">
        <v>1.21076923076923</v>
      </c>
      <c r="F5548" s="4" t="n">
        <f aca="false">D5548*E5548</f>
        <v>15.74</v>
      </c>
      <c r="G5548" s="7" t="n">
        <v>5</v>
      </c>
      <c r="H5548" s="9" t="n">
        <f aca="false">IF(G5548&gt;0,D5548/G5548,"")</f>
        <v>2.6</v>
      </c>
      <c r="I5548" s="10" t="n">
        <v>46189</v>
      </c>
      <c r="J5548" s="3" t="s">
        <v>5347</v>
      </c>
      <c r="K5548" s="10" t="n">
        <v>45888</v>
      </c>
      <c r="L5548" s="3" t="s">
        <v>19</v>
      </c>
      <c r="M5548" s="7" t="n">
        <v>25</v>
      </c>
      <c r="N5548" s="8" t="n">
        <v>1.2102</v>
      </c>
      <c r="O5548" s="4" t="n">
        <f aca="false">M5548*N5548</f>
        <v>30.255</v>
      </c>
    </row>
    <row r="5549" customFormat="false" ht="15" hidden="false" customHeight="false" outlineLevel="0" collapsed="false">
      <c r="A5549" s="0" t="s">
        <v>7322</v>
      </c>
      <c r="C5549" s="0" t="s">
        <v>31</v>
      </c>
      <c r="D5549" s="7" t="n">
        <v>2156</v>
      </c>
      <c r="E5549" s="8" t="n">
        <v>0.00729591836734694</v>
      </c>
      <c r="F5549" s="4" t="n">
        <f aca="false">D5549*E5549</f>
        <v>15.73</v>
      </c>
      <c r="G5549" s="7" t="n">
        <v>40</v>
      </c>
      <c r="H5549" s="9" t="n">
        <f aca="false">IF(G5549&gt;0,D5549/G5549,"")</f>
        <v>53.9</v>
      </c>
      <c r="I5549" s="10" t="n">
        <v>46090</v>
      </c>
      <c r="J5549" s="3" t="s">
        <v>1513</v>
      </c>
      <c r="K5549" s="10" t="n">
        <v>44878</v>
      </c>
      <c r="L5549" s="3" t="s">
        <v>19</v>
      </c>
      <c r="M5549" s="7" t="n">
        <v>2500</v>
      </c>
      <c r="N5549" s="8" t="n">
        <v>0.0073</v>
      </c>
      <c r="O5549" s="4" t="n">
        <f aca="false">M5549*N5549</f>
        <v>18.25</v>
      </c>
    </row>
    <row r="5550" customFormat="false" ht="15" hidden="false" customHeight="false" outlineLevel="0" collapsed="false">
      <c r="A5550" s="0" t="s">
        <v>7323</v>
      </c>
      <c r="C5550" s="0" t="s">
        <v>45</v>
      </c>
      <c r="D5550" s="7" t="n">
        <v>29</v>
      </c>
      <c r="E5550" s="8" t="n">
        <v>0.542413793103448</v>
      </c>
      <c r="F5550" s="4" t="n">
        <f aca="false">D5550*E5550</f>
        <v>15.73</v>
      </c>
      <c r="G5550" s="7" t="n">
        <v>10</v>
      </c>
      <c r="H5550" s="9" t="n">
        <f aca="false">IF(G5550&gt;0,D5550/G5550,"")</f>
        <v>2.9</v>
      </c>
      <c r="I5550" s="10" t="n">
        <v>46212</v>
      </c>
      <c r="K5550" s="10"/>
      <c r="M5550" s="7"/>
      <c r="N5550" s="8"/>
      <c r="O5550" s="4"/>
    </row>
    <row r="5551" customFormat="false" ht="15" hidden="false" customHeight="false" outlineLevel="0" collapsed="false">
      <c r="A5551" s="0" t="s">
        <v>7324</v>
      </c>
      <c r="C5551" s="0" t="s">
        <v>31</v>
      </c>
      <c r="D5551" s="7" t="n">
        <v>101</v>
      </c>
      <c r="E5551" s="8" t="n">
        <v>0.155643564356436</v>
      </c>
      <c r="F5551" s="4" t="n">
        <f aca="false">D5551*E5551</f>
        <v>15.72</v>
      </c>
      <c r="G5551" s="7" t="n">
        <v>15</v>
      </c>
      <c r="H5551" s="9" t="n">
        <f aca="false">IF(G5551&gt;0,D5551/G5551,"")</f>
        <v>6.73333333333333</v>
      </c>
      <c r="I5551" s="10" t="n">
        <v>46184</v>
      </c>
      <c r="J5551" s="3" t="s">
        <v>7325</v>
      </c>
      <c r="K5551" s="10" t="n">
        <v>44481</v>
      </c>
      <c r="L5551" s="3" t="s">
        <v>14</v>
      </c>
      <c r="M5551" s="7" t="n">
        <v>323</v>
      </c>
      <c r="N5551" s="8" t="n">
        <v>0.1557</v>
      </c>
      <c r="O5551" s="4" t="n">
        <f aca="false">M5551*N5551</f>
        <v>50.2911</v>
      </c>
    </row>
    <row r="5552" customFormat="false" ht="15" hidden="false" customHeight="false" outlineLevel="0" collapsed="false">
      <c r="A5552" s="0" t="s">
        <v>7326</v>
      </c>
      <c r="C5552" s="0" t="s">
        <v>5871</v>
      </c>
      <c r="D5552" s="7" t="n">
        <v>16</v>
      </c>
      <c r="E5552" s="8" t="n">
        <v>0.980625</v>
      </c>
      <c r="F5552" s="4" t="n">
        <f aca="false">D5552*E5552</f>
        <v>15.69</v>
      </c>
      <c r="G5552" s="7" t="n">
        <v>2</v>
      </c>
      <c r="H5552" s="9" t="n">
        <f aca="false">IF(G5552&gt;0,D5552/G5552,"")</f>
        <v>8</v>
      </c>
      <c r="I5552" s="10" t="n">
        <v>46044</v>
      </c>
      <c r="J5552" s="3" t="s">
        <v>7327</v>
      </c>
      <c r="K5552" s="10" t="n">
        <v>44572</v>
      </c>
      <c r="L5552" s="3" t="s">
        <v>7328</v>
      </c>
      <c r="M5552" s="7" t="n">
        <v>4</v>
      </c>
      <c r="N5552" s="8" t="n">
        <v>5.725</v>
      </c>
      <c r="O5552" s="4" t="n">
        <f aca="false">M5552*N5552</f>
        <v>22.9</v>
      </c>
    </row>
    <row r="5553" customFormat="false" ht="15" hidden="false" customHeight="false" outlineLevel="0" collapsed="false">
      <c r="A5553" s="0" t="s">
        <v>7329</v>
      </c>
      <c r="C5553" s="0" t="s">
        <v>32</v>
      </c>
      <c r="D5553" s="7" t="n">
        <v>159</v>
      </c>
      <c r="E5553" s="8" t="n">
        <v>0.0986163522012579</v>
      </c>
      <c r="F5553" s="4" t="n">
        <f aca="false">D5553*E5553</f>
        <v>15.68</v>
      </c>
      <c r="G5553" s="7" t="n">
        <v>22</v>
      </c>
      <c r="H5553" s="9" t="n">
        <f aca="false">IF(G5553&gt;0,D5553/G5553,"")</f>
        <v>7.22727272727273</v>
      </c>
      <c r="I5553" s="10" t="n">
        <v>46164</v>
      </c>
      <c r="J5553" s="3" t="s">
        <v>5196</v>
      </c>
      <c r="K5553" s="10" t="n">
        <v>44208</v>
      </c>
      <c r="L5553" s="3" t="s">
        <v>19</v>
      </c>
      <c r="M5553" s="7" t="n">
        <v>506</v>
      </c>
      <c r="N5553" s="8" t="n">
        <v>0.0988</v>
      </c>
      <c r="O5553" s="4" t="n">
        <f aca="false">M5553*N5553</f>
        <v>49.9928</v>
      </c>
    </row>
    <row r="5554" customFormat="false" ht="15" hidden="false" customHeight="false" outlineLevel="0" collapsed="false">
      <c r="A5554" s="0" t="s">
        <v>7330</v>
      </c>
      <c r="C5554" s="0" t="s">
        <v>31</v>
      </c>
      <c r="D5554" s="7" t="n">
        <v>66</v>
      </c>
      <c r="E5554" s="8" t="n">
        <v>0.237424242424242</v>
      </c>
      <c r="F5554" s="4" t="n">
        <f aca="false">D5554*E5554</f>
        <v>15.67</v>
      </c>
      <c r="G5554" s="7" t="n">
        <v>5</v>
      </c>
      <c r="H5554" s="9" t="n">
        <f aca="false">IF(G5554&gt;0,D5554/G5554,"")</f>
        <v>13.2</v>
      </c>
      <c r="I5554" s="10" t="n">
        <v>46073</v>
      </c>
      <c r="J5554" s="3" t="s">
        <v>6831</v>
      </c>
      <c r="K5554" s="10" t="n">
        <v>44749</v>
      </c>
      <c r="L5554" s="3" t="s">
        <v>19</v>
      </c>
      <c r="M5554" s="7" t="n">
        <v>100</v>
      </c>
      <c r="N5554" s="8" t="n">
        <v>0.2374</v>
      </c>
      <c r="O5554" s="4" t="n">
        <f aca="false">M5554*N5554</f>
        <v>23.74</v>
      </c>
    </row>
    <row r="5555" customFormat="false" ht="15" hidden="false" customHeight="false" outlineLevel="0" collapsed="false">
      <c r="A5555" s="0" t="s">
        <v>7331</v>
      </c>
      <c r="C5555" s="0" t="s">
        <v>462</v>
      </c>
      <c r="D5555" s="7" t="n">
        <v>176</v>
      </c>
      <c r="E5555" s="8" t="n">
        <v>0.0889772727272727</v>
      </c>
      <c r="F5555" s="4" t="n">
        <f aca="false">D5555*E5555</f>
        <v>15.66</v>
      </c>
      <c r="G5555" s="7" t="n">
        <v>83</v>
      </c>
      <c r="H5555" s="9" t="n">
        <f aca="false">IF(G5555&gt;0,D5555/G5555,"")</f>
        <v>2.12048192771084</v>
      </c>
      <c r="I5555" s="10" t="n">
        <v>46315</v>
      </c>
      <c r="J5555" s="3" t="s">
        <v>6073</v>
      </c>
      <c r="K5555" s="10" t="n">
        <v>46126</v>
      </c>
      <c r="L5555" s="3" t="s">
        <v>19</v>
      </c>
      <c r="M5555" s="7" t="n">
        <v>250</v>
      </c>
      <c r="N5555" s="8" t="n">
        <v>0.089</v>
      </c>
      <c r="O5555" s="4" t="n">
        <f aca="false">M5555*N5555</f>
        <v>22.25</v>
      </c>
    </row>
    <row r="5556" customFormat="false" ht="15" hidden="false" customHeight="false" outlineLevel="0" collapsed="false">
      <c r="A5556" s="0" t="s">
        <v>7332</v>
      </c>
      <c r="C5556" s="0" t="s">
        <v>31</v>
      </c>
      <c r="D5556" s="7" t="n">
        <v>75</v>
      </c>
      <c r="E5556" s="8" t="n">
        <v>0.208533333333333</v>
      </c>
      <c r="F5556" s="4" t="n">
        <f aca="false">D5556*E5556</f>
        <v>15.64</v>
      </c>
      <c r="G5556" s="7" t="n">
        <v>4</v>
      </c>
      <c r="H5556" s="9" t="n">
        <f aca="false">IF(G5556&gt;0,D5556/G5556,"")</f>
        <v>18.75</v>
      </c>
      <c r="I5556" s="10" t="n">
        <v>46126</v>
      </c>
      <c r="J5556" s="3" t="s">
        <v>7224</v>
      </c>
      <c r="K5556" s="10" t="n">
        <v>45364</v>
      </c>
      <c r="L5556" s="3" t="s">
        <v>19</v>
      </c>
      <c r="M5556" s="7" t="n">
        <v>100</v>
      </c>
      <c r="N5556" s="8" t="n">
        <v>0.2084</v>
      </c>
      <c r="O5556" s="4" t="n">
        <f aca="false">M5556*N5556</f>
        <v>20.84</v>
      </c>
    </row>
    <row r="5557" customFormat="false" ht="15" hidden="false" customHeight="false" outlineLevel="0" collapsed="false">
      <c r="A5557" s="0" t="s">
        <v>7333</v>
      </c>
      <c r="C5557" s="0" t="s">
        <v>31</v>
      </c>
      <c r="D5557" s="7" t="n">
        <v>1022</v>
      </c>
      <c r="E5557" s="8" t="n">
        <v>0.0152837573385519</v>
      </c>
      <c r="F5557" s="4" t="n">
        <f aca="false">D5557*E5557</f>
        <v>15.62</v>
      </c>
      <c r="G5557" s="7" t="n">
        <v>203</v>
      </c>
      <c r="H5557" s="9" t="n">
        <f aca="false">IF(G5557&gt;0,D5557/G5557,"")</f>
        <v>5.03448275862069</v>
      </c>
      <c r="I5557" s="10" t="n">
        <v>46150</v>
      </c>
      <c r="K5557" s="10"/>
      <c r="M5557" s="7"/>
      <c r="N5557" s="8"/>
      <c r="O5557" s="4"/>
    </row>
    <row r="5558" customFormat="false" ht="15" hidden="false" customHeight="false" outlineLevel="0" collapsed="false">
      <c r="A5558" s="0" t="s">
        <v>7334</v>
      </c>
      <c r="C5558" s="0" t="s">
        <v>34</v>
      </c>
      <c r="D5558" s="7" t="n">
        <v>29</v>
      </c>
      <c r="E5558" s="8" t="n">
        <v>0.538620689655172</v>
      </c>
      <c r="F5558" s="4" t="n">
        <f aca="false">D5558*E5558</f>
        <v>15.62</v>
      </c>
      <c r="G5558" s="7" t="n">
        <v>11</v>
      </c>
      <c r="H5558" s="9" t="n">
        <f aca="false">IF(G5558&gt;0,D5558/G5558,"")</f>
        <v>2.63636363636364</v>
      </c>
      <c r="I5558" s="10" t="n">
        <v>46304</v>
      </c>
      <c r="J5558" s="3" t="s">
        <v>1651</v>
      </c>
      <c r="K5558" s="10" t="n">
        <v>46069</v>
      </c>
      <c r="L5558" s="3" t="s">
        <v>16</v>
      </c>
      <c r="M5558" s="7" t="n">
        <v>38</v>
      </c>
      <c r="N5558" s="8" t="n">
        <v>0.5384</v>
      </c>
      <c r="O5558" s="4" t="n">
        <f aca="false">M5558*N5558</f>
        <v>20.4592</v>
      </c>
    </row>
    <row r="5559" customFormat="false" ht="15" hidden="false" customHeight="false" outlineLevel="0" collapsed="false">
      <c r="A5559" s="0" t="s">
        <v>7335</v>
      </c>
      <c r="C5559" s="0" t="s">
        <v>34</v>
      </c>
      <c r="D5559" s="7" t="n">
        <v>750</v>
      </c>
      <c r="E5559" s="8" t="n">
        <v>0.0208</v>
      </c>
      <c r="F5559" s="4" t="n">
        <f aca="false">D5559*E5559</f>
        <v>15.6</v>
      </c>
      <c r="G5559" s="7" t="n">
        <v>215</v>
      </c>
      <c r="H5559" s="9" t="n">
        <f aca="false">IF(G5559&gt;0,D5559/G5559,"")</f>
        <v>3.48837209302326</v>
      </c>
      <c r="I5559" s="10" t="n">
        <v>46251</v>
      </c>
      <c r="J5559" s="3" t="s">
        <v>6416</v>
      </c>
      <c r="K5559" s="10" t="n">
        <v>46317</v>
      </c>
      <c r="L5559" s="3" t="s">
        <v>16</v>
      </c>
      <c r="M5559" s="7" t="n">
        <v>7050</v>
      </c>
      <c r="N5559" s="8" t="n">
        <v>0.0071</v>
      </c>
      <c r="O5559" s="4" t="n">
        <f aca="false">M5559*N5559</f>
        <v>50.055</v>
      </c>
    </row>
    <row r="5560" customFormat="false" ht="15" hidden="false" customHeight="false" outlineLevel="0" collapsed="false">
      <c r="A5560" s="0" t="s">
        <v>7336</v>
      </c>
      <c r="C5560" s="0" t="s">
        <v>7337</v>
      </c>
      <c r="D5560" s="7" t="n">
        <v>2000</v>
      </c>
      <c r="E5560" s="8" t="n">
        <v>0.0078</v>
      </c>
      <c r="F5560" s="4" t="n">
        <f aca="false">D5560*E5560</f>
        <v>15.6</v>
      </c>
      <c r="G5560" s="7" t="n">
        <v>2000</v>
      </c>
      <c r="H5560" s="9" t="n">
        <f aca="false">IF(G5560&gt;0,D5560/G5560,"")</f>
        <v>1</v>
      </c>
      <c r="I5560" s="10" t="n">
        <v>46230</v>
      </c>
      <c r="J5560" s="3" t="s">
        <v>5162</v>
      </c>
      <c r="K5560" s="10" t="n">
        <v>46231</v>
      </c>
      <c r="L5560" s="3" t="s">
        <v>19</v>
      </c>
      <c r="M5560" s="7" t="n">
        <v>2000</v>
      </c>
      <c r="N5560" s="8" t="n">
        <v>0.0078</v>
      </c>
      <c r="O5560" s="4" t="n">
        <f aca="false">M5560*N5560</f>
        <v>15.6</v>
      </c>
    </row>
    <row r="5561" customFormat="false" ht="15" hidden="false" customHeight="false" outlineLevel="0" collapsed="false">
      <c r="A5561" s="0" t="s">
        <v>7338</v>
      </c>
      <c r="C5561" s="0" t="s">
        <v>285</v>
      </c>
      <c r="D5561" s="7" t="n">
        <v>2648</v>
      </c>
      <c r="E5561" s="8" t="n">
        <v>0.00588746223564955</v>
      </c>
      <c r="F5561" s="4" t="n">
        <f aca="false">D5561*E5561</f>
        <v>15.59</v>
      </c>
      <c r="G5561" s="7" t="n">
        <v>2172</v>
      </c>
      <c r="H5561" s="9" t="n">
        <f aca="false">IF(G5561&gt;0,D5561/G5561,"")</f>
        <v>1.21915285451197</v>
      </c>
      <c r="I5561" s="10" t="n">
        <v>46147</v>
      </c>
      <c r="K5561" s="10"/>
      <c r="M5561" s="7"/>
      <c r="N5561" s="8"/>
      <c r="O5561" s="4"/>
    </row>
    <row r="5562" customFormat="false" ht="15" hidden="false" customHeight="false" outlineLevel="0" collapsed="false">
      <c r="A5562" s="0" t="s">
        <v>7339</v>
      </c>
      <c r="C5562" s="0" t="s">
        <v>31</v>
      </c>
      <c r="D5562" s="7" t="n">
        <v>236</v>
      </c>
      <c r="E5562" s="8" t="n">
        <v>0.0660169491525424</v>
      </c>
      <c r="F5562" s="4" t="n">
        <f aca="false">D5562*E5562</f>
        <v>15.58</v>
      </c>
      <c r="G5562" s="7" t="n">
        <v>230</v>
      </c>
      <c r="H5562" s="9" t="n">
        <f aca="false">IF(G5562&gt;0,D5562/G5562,"")</f>
        <v>1.02608695652174</v>
      </c>
      <c r="I5562" s="10" t="n">
        <v>46261</v>
      </c>
      <c r="K5562" s="10"/>
      <c r="M5562" s="7"/>
      <c r="N5562" s="8"/>
      <c r="O5562" s="4"/>
    </row>
    <row r="5563" customFormat="false" ht="15" hidden="false" customHeight="false" outlineLevel="0" collapsed="false">
      <c r="A5563" s="0" t="s">
        <v>7340</v>
      </c>
      <c r="C5563" s="0" t="s">
        <v>1010</v>
      </c>
      <c r="D5563" s="7" t="n">
        <v>210</v>
      </c>
      <c r="E5563" s="8" t="n">
        <v>0.0740952380952381</v>
      </c>
      <c r="F5563" s="4" t="n">
        <f aca="false">D5563*E5563</f>
        <v>15.56</v>
      </c>
      <c r="G5563" s="7" t="n">
        <v>37</v>
      </c>
      <c r="H5563" s="9" t="n">
        <f aca="false">IF(G5563&gt;0,D5563/G5563,"")</f>
        <v>5.67567567567568</v>
      </c>
      <c r="I5563" s="10" t="n">
        <v>46119</v>
      </c>
      <c r="J5563" s="3" t="s">
        <v>1107</v>
      </c>
      <c r="K5563" s="10" t="n">
        <v>46035</v>
      </c>
      <c r="L5563" s="3" t="s">
        <v>16</v>
      </c>
      <c r="M5563" s="7" t="n">
        <v>270</v>
      </c>
      <c r="N5563" s="8" t="n">
        <v>0.0741</v>
      </c>
      <c r="O5563" s="4" t="n">
        <f aca="false">M5563*N5563</f>
        <v>20.007</v>
      </c>
    </row>
    <row r="5564" customFormat="false" ht="15" hidden="false" customHeight="false" outlineLevel="0" collapsed="false">
      <c r="A5564" s="0" t="s">
        <v>7341</v>
      </c>
      <c r="C5564" s="0" t="s">
        <v>34</v>
      </c>
      <c r="D5564" s="7" t="n">
        <v>200</v>
      </c>
      <c r="E5564" s="8" t="n">
        <v>0.0777</v>
      </c>
      <c r="F5564" s="4" t="n">
        <f aca="false">D5564*E5564</f>
        <v>15.54</v>
      </c>
      <c r="G5564" s="7" t="n">
        <v>50</v>
      </c>
      <c r="H5564" s="9" t="n">
        <f aca="false">IF(G5564&gt;0,D5564/G5564,"")</f>
        <v>4</v>
      </c>
      <c r="I5564" s="10" t="n">
        <v>46049</v>
      </c>
      <c r="K5564" s="10"/>
      <c r="M5564" s="7"/>
      <c r="N5564" s="8"/>
      <c r="O5564" s="4"/>
    </row>
    <row r="5565" customFormat="false" ht="15" hidden="false" customHeight="false" outlineLevel="0" collapsed="false">
      <c r="A5565" s="0" t="s">
        <v>7342</v>
      </c>
      <c r="C5565" s="0" t="s">
        <v>1039</v>
      </c>
      <c r="D5565" s="7" t="n">
        <v>130</v>
      </c>
      <c r="E5565" s="8" t="n">
        <v>0.119538461538462</v>
      </c>
      <c r="F5565" s="4" t="n">
        <f aca="false">D5565*E5565</f>
        <v>15.54</v>
      </c>
      <c r="G5565" s="7" t="n">
        <v>120</v>
      </c>
      <c r="H5565" s="9" t="n">
        <f aca="false">IF(G5565&gt;0,D5565/G5565,"")</f>
        <v>1.08333333333333</v>
      </c>
      <c r="I5565" s="10" t="n">
        <v>46252</v>
      </c>
      <c r="J5565" s="3" t="s">
        <v>3868</v>
      </c>
      <c r="K5565" s="10" t="n">
        <v>46247</v>
      </c>
      <c r="L5565" s="3" t="s">
        <v>19</v>
      </c>
      <c r="M5565" s="7" t="n">
        <v>250</v>
      </c>
      <c r="N5565" s="8" t="n">
        <v>0.1195</v>
      </c>
      <c r="O5565" s="4" t="n">
        <f aca="false">M5565*N5565</f>
        <v>29.875</v>
      </c>
    </row>
    <row r="5566" customFormat="false" ht="15" hidden="false" customHeight="false" outlineLevel="0" collapsed="false">
      <c r="A5566" s="0" t="s">
        <v>7343</v>
      </c>
      <c r="C5566" s="0" t="s">
        <v>32</v>
      </c>
      <c r="D5566" s="7" t="n">
        <v>35</v>
      </c>
      <c r="E5566" s="8" t="n">
        <v>0.443428571428571</v>
      </c>
      <c r="F5566" s="4" t="n">
        <f aca="false">D5566*E5566</f>
        <v>15.52</v>
      </c>
      <c r="G5566" s="7" t="n">
        <v>3</v>
      </c>
      <c r="H5566" s="9" t="n">
        <f aca="false">IF(G5566&gt;0,D5566/G5566,"")</f>
        <v>11.6666666666667</v>
      </c>
      <c r="I5566" s="10" t="n">
        <v>46154</v>
      </c>
      <c r="J5566" s="3" t="s">
        <v>7238</v>
      </c>
      <c r="K5566" s="10" t="n">
        <v>45862</v>
      </c>
      <c r="L5566" s="3" t="s">
        <v>19</v>
      </c>
      <c r="M5566" s="7" t="n">
        <v>50</v>
      </c>
      <c r="N5566" s="8" t="n">
        <v>0.4436</v>
      </c>
      <c r="O5566" s="4" t="n">
        <f aca="false">M5566*N5566</f>
        <v>22.18</v>
      </c>
    </row>
    <row r="5567" customFormat="false" ht="15" hidden="false" customHeight="false" outlineLevel="0" collapsed="false">
      <c r="A5567" s="0" t="s">
        <v>7344</v>
      </c>
      <c r="C5567" s="0" t="s">
        <v>855</v>
      </c>
      <c r="D5567" s="7" t="n">
        <v>539</v>
      </c>
      <c r="E5567" s="8" t="n">
        <v>0.0287755102040816</v>
      </c>
      <c r="F5567" s="4" t="n">
        <f aca="false">D5567*E5567</f>
        <v>15.51</v>
      </c>
      <c r="G5567" s="7" t="n">
        <v>28</v>
      </c>
      <c r="H5567" s="9" t="n">
        <f aca="false">IF(G5567&gt;0,D5567/G5567,"")</f>
        <v>19.25</v>
      </c>
      <c r="I5567" s="10" t="n">
        <v>46027</v>
      </c>
      <c r="J5567" s="3" t="s">
        <v>7345</v>
      </c>
      <c r="K5567" s="10" t="n">
        <v>44418</v>
      </c>
      <c r="L5567" s="3" t="s">
        <v>19</v>
      </c>
      <c r="M5567" s="7" t="n">
        <v>900</v>
      </c>
      <c r="N5567" s="8" t="n">
        <v>0.0288</v>
      </c>
      <c r="O5567" s="4" t="n">
        <f aca="false">M5567*N5567</f>
        <v>25.92</v>
      </c>
    </row>
    <row r="5568" customFormat="false" ht="15" hidden="false" customHeight="false" outlineLevel="0" collapsed="false">
      <c r="A5568" s="0" t="s">
        <v>7346</v>
      </c>
      <c r="C5568" s="0" t="s">
        <v>36</v>
      </c>
      <c r="D5568" s="7" t="n">
        <v>36</v>
      </c>
      <c r="E5568" s="8" t="n">
        <v>0.430277777777778</v>
      </c>
      <c r="F5568" s="4" t="n">
        <f aca="false">D5568*E5568</f>
        <v>15.49</v>
      </c>
      <c r="G5568" s="7" t="n">
        <v>12</v>
      </c>
      <c r="H5568" s="9" t="n">
        <f aca="false">IF(G5568&gt;0,D5568/G5568,"")</f>
        <v>3</v>
      </c>
      <c r="I5568" s="10" t="n">
        <v>46063</v>
      </c>
      <c r="J5568" s="3" t="s">
        <v>1840</v>
      </c>
      <c r="K5568" s="10" t="n">
        <v>44230</v>
      </c>
      <c r="L5568" s="3" t="s">
        <v>19</v>
      </c>
      <c r="M5568" s="7" t="n">
        <v>60</v>
      </c>
      <c r="N5568" s="8" t="n">
        <v>0.4083</v>
      </c>
      <c r="O5568" s="4" t="n">
        <f aca="false">M5568*N5568</f>
        <v>24.498</v>
      </c>
    </row>
    <row r="5569" customFormat="false" ht="15" hidden="false" customHeight="false" outlineLevel="0" collapsed="false">
      <c r="A5569" s="0" t="s">
        <v>7347</v>
      </c>
      <c r="C5569" s="0" t="s">
        <v>31</v>
      </c>
      <c r="D5569" s="7" t="n">
        <v>709</v>
      </c>
      <c r="E5569" s="8" t="n">
        <v>0.0218476727785614</v>
      </c>
      <c r="F5569" s="4" t="n">
        <f aca="false">D5569*E5569</f>
        <v>15.49</v>
      </c>
      <c r="G5569" s="7" t="n">
        <v>270</v>
      </c>
      <c r="H5569" s="9" t="n">
        <f aca="false">IF(G5569&gt;0,D5569/G5569,"")</f>
        <v>2.62592592592593</v>
      </c>
      <c r="I5569" s="10" t="n">
        <v>46234</v>
      </c>
      <c r="J5569" s="3" t="s">
        <v>6136</v>
      </c>
      <c r="K5569" s="10" t="n">
        <v>46310</v>
      </c>
      <c r="L5569" s="3" t="s">
        <v>19</v>
      </c>
      <c r="M5569" s="7" t="n">
        <v>1000</v>
      </c>
      <c r="N5569" s="8" t="n">
        <v>0.0415</v>
      </c>
      <c r="O5569" s="4" t="n">
        <f aca="false">M5569*N5569</f>
        <v>41.5</v>
      </c>
    </row>
    <row r="5570" customFormat="false" ht="15" hidden="false" customHeight="false" outlineLevel="0" collapsed="false">
      <c r="A5570" s="0" t="s">
        <v>7348</v>
      </c>
      <c r="C5570" s="0" t="s">
        <v>1039</v>
      </c>
      <c r="D5570" s="7" t="n">
        <v>900</v>
      </c>
      <c r="E5570" s="8" t="n">
        <v>0.0172</v>
      </c>
      <c r="F5570" s="4" t="n">
        <f aca="false">D5570*E5570</f>
        <v>15.48</v>
      </c>
      <c r="G5570" s="7" t="n">
        <v>100</v>
      </c>
      <c r="H5570" s="9" t="n">
        <f aca="false">IF(G5570&gt;0,D5570/G5570,"")</f>
        <v>9</v>
      </c>
      <c r="I5570" s="10" t="n">
        <v>46315</v>
      </c>
      <c r="J5570" s="3" t="s">
        <v>6136</v>
      </c>
      <c r="K5570" s="10" t="n">
        <v>46310</v>
      </c>
      <c r="L5570" s="3" t="s">
        <v>19</v>
      </c>
      <c r="M5570" s="7" t="n">
        <v>1000</v>
      </c>
      <c r="N5570" s="8" t="n">
        <v>0.0172</v>
      </c>
      <c r="O5570" s="4" t="n">
        <f aca="false">M5570*N5570</f>
        <v>17.2</v>
      </c>
    </row>
    <row r="5571" customFormat="false" ht="15" hidden="false" customHeight="false" outlineLevel="0" collapsed="false">
      <c r="A5571" s="0" t="s">
        <v>7349</v>
      </c>
      <c r="C5571" s="0" t="s">
        <v>1039</v>
      </c>
      <c r="D5571" s="7" t="n">
        <v>899</v>
      </c>
      <c r="E5571" s="8" t="n">
        <v>0.0171968854282536</v>
      </c>
      <c r="F5571" s="4" t="n">
        <f aca="false">D5571*E5571</f>
        <v>15.46</v>
      </c>
      <c r="G5571" s="7" t="n">
        <v>101</v>
      </c>
      <c r="H5571" s="9" t="n">
        <f aca="false">IF(G5571&gt;0,D5571/G5571,"")</f>
        <v>8.9009900990099</v>
      </c>
      <c r="I5571" s="10" t="n">
        <v>46315</v>
      </c>
      <c r="J5571" s="3" t="s">
        <v>6136</v>
      </c>
      <c r="K5571" s="10" t="n">
        <v>46310</v>
      </c>
      <c r="L5571" s="3" t="s">
        <v>19</v>
      </c>
      <c r="M5571" s="7" t="n">
        <v>1000</v>
      </c>
      <c r="N5571" s="8" t="n">
        <v>0.0172</v>
      </c>
      <c r="O5571" s="4" t="n">
        <f aca="false">M5571*N5571</f>
        <v>17.2</v>
      </c>
    </row>
    <row r="5572" customFormat="false" ht="15" hidden="false" customHeight="false" outlineLevel="0" collapsed="false">
      <c r="A5572" s="0" t="s">
        <v>7350</v>
      </c>
      <c r="C5572" s="0" t="s">
        <v>34</v>
      </c>
      <c r="D5572" s="7" t="n">
        <v>30</v>
      </c>
      <c r="E5572" s="8" t="n">
        <v>0.515333333333333</v>
      </c>
      <c r="F5572" s="4" t="n">
        <f aca="false">D5572*E5572</f>
        <v>15.46</v>
      </c>
      <c r="G5572" s="7" t="n">
        <v>6</v>
      </c>
      <c r="H5572" s="9" t="n">
        <f aca="false">IF(G5572&gt;0,D5572/G5572,"")</f>
        <v>5</v>
      </c>
      <c r="I5572" s="10" t="n">
        <v>46154</v>
      </c>
      <c r="K5572" s="10"/>
      <c r="M5572" s="7"/>
      <c r="N5572" s="8"/>
      <c r="O5572" s="4"/>
    </row>
    <row r="5573" customFormat="false" ht="15" hidden="false" customHeight="false" outlineLevel="0" collapsed="false">
      <c r="A5573" s="0" t="s">
        <v>7351</v>
      </c>
      <c r="D5573" s="7" t="n">
        <v>6</v>
      </c>
      <c r="E5573" s="8" t="n">
        <v>2.57</v>
      </c>
      <c r="F5573" s="4" t="n">
        <f aca="false">D5573*E5573</f>
        <v>15.42</v>
      </c>
      <c r="G5573" s="7" t="n">
        <v>2</v>
      </c>
      <c r="H5573" s="9" t="n">
        <f aca="false">IF(G5573&gt;0,D5573/G5573,"")</f>
        <v>3</v>
      </c>
      <c r="I5573" s="10" t="n">
        <v>46230</v>
      </c>
      <c r="K5573" s="10"/>
      <c r="M5573" s="7"/>
      <c r="N5573" s="8"/>
      <c r="O5573" s="4"/>
    </row>
    <row r="5574" customFormat="false" ht="15" hidden="false" customHeight="false" outlineLevel="0" collapsed="false">
      <c r="A5574" s="0" t="s">
        <v>7352</v>
      </c>
      <c r="C5574" s="0" t="s">
        <v>1039</v>
      </c>
      <c r="D5574" s="7" t="n">
        <v>503</v>
      </c>
      <c r="E5574" s="8" t="n">
        <v>0.0306163021868787</v>
      </c>
      <c r="F5574" s="4" t="n">
        <f aca="false">D5574*E5574</f>
        <v>15.4</v>
      </c>
      <c r="G5574" s="7" t="n">
        <v>58</v>
      </c>
      <c r="H5574" s="9" t="n">
        <f aca="false">IF(G5574&gt;0,D5574/G5574,"")</f>
        <v>8.67241379310345</v>
      </c>
      <c r="I5574" s="10" t="n">
        <v>46317</v>
      </c>
      <c r="K5574" s="10"/>
      <c r="M5574" s="7"/>
      <c r="N5574" s="8"/>
      <c r="O5574" s="4"/>
    </row>
    <row r="5575" customFormat="false" ht="15" hidden="false" customHeight="false" outlineLevel="0" collapsed="false">
      <c r="A5575" s="0" t="s">
        <v>7353</v>
      </c>
      <c r="C5575" s="0" t="s">
        <v>34</v>
      </c>
      <c r="D5575" s="7" t="n">
        <v>20</v>
      </c>
      <c r="E5575" s="8" t="n">
        <v>0.7695</v>
      </c>
      <c r="F5575" s="4" t="n">
        <f aca="false">D5575*E5575</f>
        <v>15.39</v>
      </c>
      <c r="G5575" s="7" t="n">
        <v>5</v>
      </c>
      <c r="H5575" s="9" t="n">
        <f aca="false">IF(G5575&gt;0,D5575/G5575,"")</f>
        <v>4</v>
      </c>
      <c r="I5575" s="10" t="n">
        <v>46287</v>
      </c>
      <c r="J5575" s="3" t="s">
        <v>6052</v>
      </c>
      <c r="K5575" s="10" t="n">
        <v>46281</v>
      </c>
      <c r="L5575" s="3" t="s">
        <v>19</v>
      </c>
      <c r="M5575" s="7" t="n">
        <v>25</v>
      </c>
      <c r="N5575" s="8" t="n">
        <v>0.7697</v>
      </c>
      <c r="O5575" s="4" t="n">
        <f aca="false">M5575*N5575</f>
        <v>19.2425</v>
      </c>
    </row>
    <row r="5576" customFormat="false" ht="15" hidden="false" customHeight="false" outlineLevel="0" collapsed="false">
      <c r="A5576" s="0" t="s">
        <v>7354</v>
      </c>
      <c r="C5576" s="0" t="s">
        <v>34</v>
      </c>
      <c r="D5576" s="7" t="n">
        <v>100</v>
      </c>
      <c r="E5576" s="8" t="n">
        <v>0.1538</v>
      </c>
      <c r="F5576" s="4" t="n">
        <f aca="false">D5576*E5576</f>
        <v>15.38</v>
      </c>
      <c r="G5576" s="7" t="n">
        <v>100</v>
      </c>
      <c r="H5576" s="9" t="n">
        <f aca="false">IF(G5576&gt;0,D5576/G5576,"")</f>
        <v>1</v>
      </c>
      <c r="I5576" s="10" t="n">
        <v>46050</v>
      </c>
      <c r="J5576" s="3" t="s">
        <v>587</v>
      </c>
      <c r="K5576" s="10" t="n">
        <v>45539</v>
      </c>
      <c r="L5576" s="3" t="s">
        <v>16</v>
      </c>
      <c r="M5576" s="7" t="n">
        <v>200</v>
      </c>
      <c r="N5576" s="8" t="n">
        <v>0.1538</v>
      </c>
      <c r="O5576" s="4" t="n">
        <f aca="false">M5576*N5576</f>
        <v>30.76</v>
      </c>
    </row>
    <row r="5577" customFormat="false" ht="15" hidden="false" customHeight="false" outlineLevel="0" collapsed="false">
      <c r="A5577" s="0" t="s">
        <v>7355</v>
      </c>
      <c r="C5577" s="0" t="s">
        <v>41</v>
      </c>
      <c r="D5577" s="7" t="n">
        <v>397</v>
      </c>
      <c r="E5577" s="8" t="n">
        <v>0.0387153652392947</v>
      </c>
      <c r="F5577" s="4" t="n">
        <f aca="false">D5577*E5577</f>
        <v>15.37</v>
      </c>
      <c r="G5577" s="7" t="n">
        <v>126</v>
      </c>
      <c r="H5577" s="9" t="n">
        <f aca="false">IF(G5577&gt;0,D5577/G5577,"")</f>
        <v>3.15079365079365</v>
      </c>
      <c r="I5577" s="10" t="n">
        <v>46279</v>
      </c>
      <c r="J5577" s="3" t="s">
        <v>7356</v>
      </c>
      <c r="K5577" s="10" t="n">
        <v>45996</v>
      </c>
      <c r="L5577" s="3" t="s">
        <v>19</v>
      </c>
      <c r="M5577" s="7" t="n">
        <v>500</v>
      </c>
      <c r="N5577" s="8" t="n">
        <v>0.0387</v>
      </c>
      <c r="O5577" s="4" t="n">
        <f aca="false">M5577*N5577</f>
        <v>19.35</v>
      </c>
    </row>
    <row r="5578" customFormat="false" ht="15" hidden="false" customHeight="false" outlineLevel="0" collapsed="false">
      <c r="A5578" s="0" t="s">
        <v>7357</v>
      </c>
      <c r="C5578" s="0" t="s">
        <v>715</v>
      </c>
      <c r="D5578" s="7" t="n">
        <v>680</v>
      </c>
      <c r="E5578" s="8" t="n">
        <v>0.0225294117647059</v>
      </c>
      <c r="F5578" s="4" t="n">
        <f aca="false">D5578*E5578</f>
        <v>15.32</v>
      </c>
      <c r="G5578" s="7" t="n">
        <v>340</v>
      </c>
      <c r="H5578" s="9" t="n">
        <f aca="false">IF(G5578&gt;0,D5578/G5578,"")</f>
        <v>2</v>
      </c>
      <c r="I5578" s="10" t="n">
        <v>46171</v>
      </c>
      <c r="J5578" s="3" t="s">
        <v>7011</v>
      </c>
      <c r="K5578" s="10" t="n">
        <v>45805</v>
      </c>
      <c r="L5578" s="3" t="s">
        <v>19</v>
      </c>
      <c r="M5578" s="7" t="n">
        <v>1120</v>
      </c>
      <c r="N5578" s="8" t="n">
        <v>0.0226</v>
      </c>
      <c r="O5578" s="4" t="n">
        <f aca="false">M5578*N5578</f>
        <v>25.312</v>
      </c>
    </row>
    <row r="5579" customFormat="false" ht="15" hidden="false" customHeight="false" outlineLevel="0" collapsed="false">
      <c r="A5579" s="0" t="s">
        <v>7358</v>
      </c>
      <c r="C5579" s="0" t="s">
        <v>340</v>
      </c>
      <c r="D5579" s="7" t="n">
        <v>240</v>
      </c>
      <c r="E5579" s="8" t="n">
        <v>0.0637916666666667</v>
      </c>
      <c r="F5579" s="4" t="n">
        <f aca="false">D5579*E5579</f>
        <v>15.31</v>
      </c>
      <c r="G5579" s="7" t="n">
        <v>235</v>
      </c>
      <c r="H5579" s="9" t="n">
        <f aca="false">IF(G5579&gt;0,D5579/G5579,"")</f>
        <v>1.02127659574468</v>
      </c>
      <c r="I5579" s="10" t="n">
        <v>46258</v>
      </c>
      <c r="J5579" s="3" t="s">
        <v>6125</v>
      </c>
      <c r="K5579" s="10" t="n">
        <v>46028</v>
      </c>
      <c r="L5579" s="3" t="s">
        <v>19</v>
      </c>
      <c r="M5579" s="7" t="n">
        <v>475</v>
      </c>
      <c r="N5579" s="8" t="n">
        <v>0.0638</v>
      </c>
      <c r="O5579" s="4" t="n">
        <f aca="false">M5579*N5579</f>
        <v>30.305</v>
      </c>
    </row>
    <row r="5580" customFormat="false" ht="15" hidden="false" customHeight="false" outlineLevel="0" collapsed="false">
      <c r="A5580" s="0" t="s">
        <v>7359</v>
      </c>
      <c r="C5580" s="0" t="s">
        <v>41</v>
      </c>
      <c r="D5580" s="7" t="n">
        <v>2546</v>
      </c>
      <c r="E5580" s="8" t="n">
        <v>0.00600157109190888</v>
      </c>
      <c r="F5580" s="4" t="n">
        <f aca="false">D5580*E5580</f>
        <v>15.28</v>
      </c>
      <c r="G5580" s="7" t="n">
        <v>1886</v>
      </c>
      <c r="H5580" s="9" t="n">
        <f aca="false">IF(G5580&gt;0,D5580/G5580,"")</f>
        <v>1.34994697773065</v>
      </c>
      <c r="I5580" s="10" t="n">
        <v>46302</v>
      </c>
      <c r="J5580" s="3" t="s">
        <v>2600</v>
      </c>
      <c r="K5580" s="10" t="n">
        <v>45799</v>
      </c>
      <c r="L5580" s="3" t="s">
        <v>14</v>
      </c>
      <c r="M5580" s="7" t="n">
        <v>5000</v>
      </c>
      <c r="N5580" s="8" t="n">
        <v>0.006</v>
      </c>
      <c r="O5580" s="4" t="n">
        <f aca="false">M5580*N5580</f>
        <v>30</v>
      </c>
    </row>
    <row r="5581" customFormat="false" ht="15" hidden="false" customHeight="false" outlineLevel="0" collapsed="false">
      <c r="A5581" s="0" t="s">
        <v>7360</v>
      </c>
      <c r="C5581" s="0" t="s">
        <v>38</v>
      </c>
      <c r="D5581" s="7" t="n">
        <v>157</v>
      </c>
      <c r="E5581" s="8" t="n">
        <v>0.0972611464968153</v>
      </c>
      <c r="F5581" s="4" t="n">
        <f aca="false">D5581*E5581</f>
        <v>15.27</v>
      </c>
      <c r="G5581" s="7" t="n">
        <v>25</v>
      </c>
      <c r="H5581" s="9" t="n">
        <f aca="false">IF(G5581&gt;0,D5581/G5581,"")</f>
        <v>6.28</v>
      </c>
      <c r="I5581" s="10" t="n">
        <v>46273</v>
      </c>
      <c r="J5581" s="3" t="s">
        <v>3367</v>
      </c>
      <c r="K5581" s="10" t="n">
        <v>44866</v>
      </c>
      <c r="L5581" s="3" t="s">
        <v>14</v>
      </c>
      <c r="M5581" s="7" t="n">
        <v>239</v>
      </c>
      <c r="N5581" s="8" t="n">
        <v>0.0972</v>
      </c>
      <c r="O5581" s="4" t="n">
        <f aca="false">M5581*N5581</f>
        <v>23.2308</v>
      </c>
    </row>
    <row r="5582" customFormat="false" ht="15" hidden="false" customHeight="false" outlineLevel="0" collapsed="false">
      <c r="A5582" s="0" t="s">
        <v>7361</v>
      </c>
      <c r="C5582" s="0" t="s">
        <v>34</v>
      </c>
      <c r="D5582" s="7" t="n">
        <v>93</v>
      </c>
      <c r="E5582" s="8" t="n">
        <v>0.164086021505376</v>
      </c>
      <c r="F5582" s="4" t="n">
        <f aca="false">D5582*E5582</f>
        <v>15.26</v>
      </c>
      <c r="G5582" s="7" t="n">
        <v>10</v>
      </c>
      <c r="H5582" s="9" t="n">
        <f aca="false">IF(G5582&gt;0,D5582/G5582,"")</f>
        <v>9.3</v>
      </c>
      <c r="I5582" s="10" t="n">
        <v>46129</v>
      </c>
      <c r="J5582" s="3" t="s">
        <v>4645</v>
      </c>
      <c r="K5582" s="10" t="n">
        <v>46310</v>
      </c>
      <c r="L5582" s="3" t="s">
        <v>16</v>
      </c>
      <c r="M5582" s="7" t="n">
        <v>3000</v>
      </c>
      <c r="N5582" s="8" t="n">
        <v>0.0507</v>
      </c>
      <c r="O5582" s="4" t="n">
        <f aca="false">M5582*N5582</f>
        <v>152.1</v>
      </c>
    </row>
    <row r="5583" customFormat="false" ht="15" hidden="false" customHeight="false" outlineLevel="0" collapsed="false">
      <c r="A5583" s="0" t="s">
        <v>7362</v>
      </c>
      <c r="C5583" s="0" t="s">
        <v>118</v>
      </c>
      <c r="D5583" s="7" t="n">
        <v>61</v>
      </c>
      <c r="E5583" s="8" t="n">
        <v>0.25</v>
      </c>
      <c r="F5583" s="4" t="n">
        <f aca="false">D5583*E5583</f>
        <v>15.25</v>
      </c>
      <c r="G5583" s="7" t="n">
        <v>2</v>
      </c>
      <c r="H5583" s="9" t="n">
        <f aca="false">IF(G5583&gt;0,D5583/G5583,"")</f>
        <v>30.5</v>
      </c>
      <c r="I5583" s="10" t="n">
        <v>46083</v>
      </c>
      <c r="K5583" s="10"/>
      <c r="M5583" s="7"/>
      <c r="N5583" s="8"/>
      <c r="O5583" s="4"/>
    </row>
    <row r="5584" customFormat="false" ht="15" hidden="false" customHeight="false" outlineLevel="0" collapsed="false">
      <c r="A5584" s="0" t="s">
        <v>7363</v>
      </c>
      <c r="C5584" s="0" t="s">
        <v>118</v>
      </c>
      <c r="D5584" s="7" t="n">
        <v>20</v>
      </c>
      <c r="E5584" s="8" t="n">
        <v>0.7625</v>
      </c>
      <c r="F5584" s="4" t="n">
        <f aca="false">D5584*E5584</f>
        <v>15.25</v>
      </c>
      <c r="G5584" s="7" t="n">
        <v>4</v>
      </c>
      <c r="H5584" s="9" t="n">
        <f aca="false">IF(G5584&gt;0,D5584/G5584,"")</f>
        <v>5</v>
      </c>
      <c r="I5584" s="10" t="n">
        <v>46101</v>
      </c>
      <c r="J5584" s="3" t="s">
        <v>7364</v>
      </c>
      <c r="K5584" s="10" t="n">
        <v>45142</v>
      </c>
      <c r="L5584" s="3" t="s">
        <v>19</v>
      </c>
      <c r="M5584" s="7" t="n">
        <v>50</v>
      </c>
      <c r="N5584" s="8" t="n">
        <v>0.7625</v>
      </c>
      <c r="O5584" s="4" t="n">
        <f aca="false">M5584*N5584</f>
        <v>38.125</v>
      </c>
    </row>
    <row r="5585" customFormat="false" ht="15" hidden="false" customHeight="false" outlineLevel="0" collapsed="false">
      <c r="A5585" s="0" t="s">
        <v>7365</v>
      </c>
      <c r="C5585" s="0" t="s">
        <v>34</v>
      </c>
      <c r="D5585" s="7" t="n">
        <v>470</v>
      </c>
      <c r="E5585" s="8" t="n">
        <v>0.0324042553191489</v>
      </c>
      <c r="F5585" s="4" t="n">
        <f aca="false">D5585*E5585</f>
        <v>15.23</v>
      </c>
      <c r="G5585" s="7" t="n">
        <v>150</v>
      </c>
      <c r="H5585" s="9" t="n">
        <f aca="false">IF(G5585&gt;0,D5585/G5585,"")</f>
        <v>3.13333333333333</v>
      </c>
      <c r="I5585" s="10" t="n">
        <v>46240</v>
      </c>
      <c r="J5585" s="3" t="s">
        <v>4768</v>
      </c>
      <c r="K5585" s="10" t="n">
        <v>46224</v>
      </c>
      <c r="L5585" s="3" t="s">
        <v>19</v>
      </c>
      <c r="M5585" s="7" t="n">
        <v>250</v>
      </c>
      <c r="N5585" s="8" t="n">
        <v>0.2118</v>
      </c>
      <c r="O5585" s="4" t="n">
        <f aca="false">M5585*N5585</f>
        <v>52.95</v>
      </c>
    </row>
    <row r="5586" customFormat="false" ht="15" hidden="false" customHeight="false" outlineLevel="0" collapsed="false">
      <c r="A5586" s="0" t="s">
        <v>7366</v>
      </c>
      <c r="C5586" s="0" t="s">
        <v>462</v>
      </c>
      <c r="D5586" s="7" t="n">
        <v>514</v>
      </c>
      <c r="E5586" s="8" t="n">
        <v>0.0296303501945525</v>
      </c>
      <c r="F5586" s="4" t="n">
        <f aca="false">D5586*E5586</f>
        <v>15.23</v>
      </c>
      <c r="G5586" s="7" t="n">
        <v>161</v>
      </c>
      <c r="H5586" s="9" t="n">
        <f aca="false">IF(G5586&gt;0,D5586/G5586,"")</f>
        <v>3.19254658385093</v>
      </c>
      <c r="I5586" s="10" t="n">
        <v>46160</v>
      </c>
      <c r="J5586" s="3" t="s">
        <v>7367</v>
      </c>
      <c r="K5586" s="10" t="n">
        <v>45170</v>
      </c>
      <c r="L5586" s="3" t="s">
        <v>19</v>
      </c>
      <c r="M5586" s="7" t="n">
        <v>1700</v>
      </c>
      <c r="N5586" s="8" t="n">
        <v>0.0296</v>
      </c>
      <c r="O5586" s="4" t="n">
        <f aca="false">M5586*N5586</f>
        <v>50.32</v>
      </c>
    </row>
    <row r="5587" customFormat="false" ht="15" hidden="false" customHeight="false" outlineLevel="0" collapsed="false">
      <c r="A5587" s="0" t="s">
        <v>7368</v>
      </c>
      <c r="C5587" s="0" t="s">
        <v>36</v>
      </c>
      <c r="D5587" s="7" t="n">
        <v>2175</v>
      </c>
      <c r="E5587" s="8" t="n">
        <v>0.00699770114942529</v>
      </c>
      <c r="F5587" s="4" t="n">
        <f aca="false">D5587*E5587</f>
        <v>15.22</v>
      </c>
      <c r="G5587" s="7" t="n">
        <v>420</v>
      </c>
      <c r="H5587" s="9" t="n">
        <f aca="false">IF(G5587&gt;0,D5587/G5587,"")</f>
        <v>5.17857142857143</v>
      </c>
      <c r="I5587" s="10" t="n">
        <v>46309</v>
      </c>
      <c r="K5587" s="10"/>
      <c r="M5587" s="7"/>
      <c r="N5587" s="8"/>
      <c r="O5587" s="4"/>
    </row>
    <row r="5588" customFormat="false" ht="15" hidden="false" customHeight="false" outlineLevel="0" collapsed="false">
      <c r="A5588" s="0" t="s">
        <v>7369</v>
      </c>
      <c r="C5588" s="0" t="s">
        <v>118</v>
      </c>
      <c r="D5588" s="7" t="n">
        <v>30</v>
      </c>
      <c r="E5588" s="8" t="n">
        <v>0.507333333333333</v>
      </c>
      <c r="F5588" s="4" t="n">
        <f aca="false">D5588*E5588</f>
        <v>15.22</v>
      </c>
      <c r="G5588" s="7" t="n">
        <v>14</v>
      </c>
      <c r="H5588" s="9" t="n">
        <f aca="false">IF(G5588&gt;0,D5588/G5588,"")</f>
        <v>2.14285714285714</v>
      </c>
      <c r="I5588" s="10" t="n">
        <v>46244</v>
      </c>
      <c r="J5588" s="3" t="s">
        <v>682</v>
      </c>
      <c r="K5588" s="10" t="n">
        <v>45539</v>
      </c>
      <c r="L5588" s="3" t="s">
        <v>14</v>
      </c>
      <c r="M5588" s="7" t="n">
        <v>100</v>
      </c>
      <c r="N5588" s="8" t="n">
        <v>0.5074</v>
      </c>
      <c r="O5588" s="4" t="n">
        <f aca="false">M5588*N5588</f>
        <v>50.74</v>
      </c>
    </row>
    <row r="5589" customFormat="false" ht="15" hidden="false" customHeight="false" outlineLevel="0" collapsed="false">
      <c r="A5589" s="0" t="s">
        <v>7370</v>
      </c>
      <c r="C5589" s="0" t="s">
        <v>31</v>
      </c>
      <c r="D5589" s="7" t="n">
        <v>19</v>
      </c>
      <c r="E5589" s="8" t="n">
        <v>0.800526315789474</v>
      </c>
      <c r="F5589" s="4" t="n">
        <f aca="false">D5589*E5589</f>
        <v>15.21</v>
      </c>
      <c r="G5589" s="7" t="n">
        <v>6</v>
      </c>
      <c r="H5589" s="9" t="n">
        <f aca="false">IF(G5589&gt;0,D5589/G5589,"")</f>
        <v>3.16666666666667</v>
      </c>
      <c r="I5589" s="10" t="n">
        <v>46315</v>
      </c>
      <c r="J5589" s="3" t="s">
        <v>6336</v>
      </c>
      <c r="K5589" s="10" t="n">
        <v>46314</v>
      </c>
      <c r="L5589" s="3" t="s">
        <v>19</v>
      </c>
      <c r="M5589" s="7" t="n">
        <v>25</v>
      </c>
      <c r="N5589" s="8" t="n">
        <v>0.8002</v>
      </c>
      <c r="O5589" s="4" t="n">
        <f aca="false">M5589*N5589</f>
        <v>20.005</v>
      </c>
    </row>
    <row r="5590" customFormat="false" ht="15" hidden="false" customHeight="false" outlineLevel="0" collapsed="false">
      <c r="A5590" s="0" t="s">
        <v>7371</v>
      </c>
      <c r="C5590" s="0" t="s">
        <v>118</v>
      </c>
      <c r="D5590" s="7" t="n">
        <v>16</v>
      </c>
      <c r="E5590" s="8" t="n">
        <v>0.95</v>
      </c>
      <c r="F5590" s="4" t="n">
        <f aca="false">D5590*E5590</f>
        <v>15.2</v>
      </c>
      <c r="G5590" s="7" t="n">
        <v>6</v>
      </c>
      <c r="H5590" s="9" t="n">
        <f aca="false">IF(G5590&gt;0,D5590/G5590,"")</f>
        <v>2.66666666666667</v>
      </c>
      <c r="I5590" s="10" t="n">
        <v>45961</v>
      </c>
      <c r="J5590" s="3" t="s">
        <v>4680</v>
      </c>
      <c r="K5590" s="10" t="n">
        <v>45325</v>
      </c>
      <c r="L5590" s="3" t="s">
        <v>19</v>
      </c>
      <c r="M5590" s="7" t="n">
        <v>25</v>
      </c>
      <c r="N5590" s="8" t="n">
        <v>0.9499</v>
      </c>
      <c r="O5590" s="4" t="n">
        <f aca="false">M5590*N5590</f>
        <v>23.7475</v>
      </c>
    </row>
    <row r="5591" customFormat="false" ht="15" hidden="false" customHeight="false" outlineLevel="0" collapsed="false">
      <c r="A5591" s="0" t="s">
        <v>7372</v>
      </c>
      <c r="C5591" s="0" t="s">
        <v>34</v>
      </c>
      <c r="D5591" s="7" t="n">
        <v>20</v>
      </c>
      <c r="E5591" s="8" t="n">
        <v>0.759</v>
      </c>
      <c r="F5591" s="4" t="n">
        <f aca="false">D5591*E5591</f>
        <v>15.18</v>
      </c>
      <c r="G5591" s="7" t="n">
        <v>5</v>
      </c>
      <c r="H5591" s="9" t="n">
        <f aca="false">IF(G5591&gt;0,D5591/G5591,"")</f>
        <v>4</v>
      </c>
      <c r="I5591" s="10" t="n">
        <v>46287</v>
      </c>
      <c r="J5591" s="3" t="s">
        <v>6052</v>
      </c>
      <c r="K5591" s="10" t="n">
        <v>46281</v>
      </c>
      <c r="L5591" s="3" t="s">
        <v>19</v>
      </c>
      <c r="M5591" s="7" t="n">
        <v>25</v>
      </c>
      <c r="N5591" s="8" t="n">
        <v>0.7589</v>
      </c>
      <c r="O5591" s="4" t="n">
        <f aca="false">M5591*N5591</f>
        <v>18.9725</v>
      </c>
    </row>
    <row r="5592" customFormat="false" ht="15" hidden="false" customHeight="false" outlineLevel="0" collapsed="false">
      <c r="A5592" s="0" t="s">
        <v>7373</v>
      </c>
      <c r="C5592" s="0" t="s">
        <v>32</v>
      </c>
      <c r="D5592" s="7" t="n">
        <v>13</v>
      </c>
      <c r="E5592" s="8" t="n">
        <v>1.16692307692308</v>
      </c>
      <c r="F5592" s="4" t="n">
        <f aca="false">D5592*E5592</f>
        <v>15.17</v>
      </c>
      <c r="G5592" s="7" t="n">
        <v>3</v>
      </c>
      <c r="H5592" s="9" t="n">
        <f aca="false">IF(G5592&gt;0,D5592/G5592,"")</f>
        <v>4.33333333333333</v>
      </c>
      <c r="I5592" s="10" t="n">
        <v>46189</v>
      </c>
      <c r="J5592" s="3" t="s">
        <v>7374</v>
      </c>
      <c r="K5592" s="10" t="n">
        <v>45853</v>
      </c>
      <c r="L5592" s="3" t="s">
        <v>18</v>
      </c>
      <c r="M5592" s="7" t="n">
        <v>26</v>
      </c>
      <c r="N5592" s="8" t="n">
        <v>1.1673</v>
      </c>
      <c r="O5592" s="4" t="n">
        <f aca="false">M5592*N5592</f>
        <v>30.3498</v>
      </c>
    </row>
    <row r="5593" customFormat="false" ht="15" hidden="false" customHeight="false" outlineLevel="0" collapsed="false">
      <c r="A5593" s="0" t="s">
        <v>7375</v>
      </c>
      <c r="C5593" s="0" t="s">
        <v>34</v>
      </c>
      <c r="D5593" s="7" t="n">
        <v>116</v>
      </c>
      <c r="E5593" s="8" t="n">
        <v>0.130775862068966</v>
      </c>
      <c r="F5593" s="4" t="n">
        <f aca="false">D5593*E5593</f>
        <v>15.17</v>
      </c>
      <c r="G5593" s="7" t="n">
        <v>15</v>
      </c>
      <c r="H5593" s="9" t="n">
        <f aca="false">IF(G5593&gt;0,D5593/G5593,"")</f>
        <v>7.73333333333333</v>
      </c>
      <c r="I5593" s="10" t="n">
        <v>46234</v>
      </c>
      <c r="J5593" s="3" t="s">
        <v>7376</v>
      </c>
      <c r="K5593" s="10" t="n">
        <v>45377</v>
      </c>
      <c r="L5593" s="3" t="s">
        <v>15</v>
      </c>
      <c r="M5593" s="7" t="n">
        <v>145</v>
      </c>
      <c r="N5593" s="8" t="n">
        <v>0.13064</v>
      </c>
      <c r="O5593" s="4" t="n">
        <f aca="false">M5593*N5593</f>
        <v>18.9428</v>
      </c>
    </row>
    <row r="5594" customFormat="false" ht="15" hidden="false" customHeight="false" outlineLevel="0" collapsed="false">
      <c r="A5594" s="0" t="s">
        <v>7377</v>
      </c>
      <c r="C5594" s="0" t="s">
        <v>41</v>
      </c>
      <c r="D5594" s="7" t="n">
        <v>2106</v>
      </c>
      <c r="E5594" s="8" t="n">
        <v>0.00719848053181387</v>
      </c>
      <c r="F5594" s="4" t="n">
        <f aca="false">D5594*E5594</f>
        <v>15.16</v>
      </c>
      <c r="G5594" s="7" t="n">
        <v>40</v>
      </c>
      <c r="H5594" s="9" t="n">
        <f aca="false">IF(G5594&gt;0,D5594/G5594,"")</f>
        <v>52.65</v>
      </c>
      <c r="I5594" s="10" t="n">
        <v>46006</v>
      </c>
      <c r="K5594" s="10"/>
      <c r="M5594" s="7"/>
      <c r="N5594" s="8"/>
      <c r="O5594" s="4"/>
    </row>
    <row r="5595" customFormat="false" ht="15" hidden="false" customHeight="false" outlineLevel="0" collapsed="false">
      <c r="A5595" s="0" t="s">
        <v>7378</v>
      </c>
      <c r="C5595" s="0" t="s">
        <v>31</v>
      </c>
      <c r="D5595" s="7" t="n">
        <v>2332</v>
      </c>
      <c r="E5595" s="8" t="n">
        <v>0.00649656946826758</v>
      </c>
      <c r="F5595" s="4" t="n">
        <f aca="false">D5595*E5595</f>
        <v>15.15</v>
      </c>
      <c r="G5595" s="7" t="n">
        <v>55</v>
      </c>
      <c r="H5595" s="9" t="n">
        <f aca="false">IF(G5595&gt;0,D5595/G5595,"")</f>
        <v>42.4</v>
      </c>
      <c r="I5595" s="10" t="n">
        <v>46202</v>
      </c>
      <c r="K5595" s="10"/>
      <c r="M5595" s="7"/>
      <c r="N5595" s="8"/>
      <c r="O5595" s="4"/>
    </row>
    <row r="5596" customFormat="false" ht="15" hidden="false" customHeight="false" outlineLevel="0" collapsed="false">
      <c r="A5596" s="0" t="s">
        <v>7379</v>
      </c>
      <c r="C5596" s="0" t="s">
        <v>34</v>
      </c>
      <c r="D5596" s="7" t="n">
        <v>100</v>
      </c>
      <c r="E5596" s="8" t="n">
        <v>0.1515</v>
      </c>
      <c r="F5596" s="4" t="n">
        <f aca="false">D5596*E5596</f>
        <v>15.15</v>
      </c>
      <c r="G5596" s="7" t="n">
        <v>62</v>
      </c>
      <c r="H5596" s="9" t="n">
        <f aca="false">IF(G5596&gt;0,D5596/G5596,"")</f>
        <v>1.61290322580645</v>
      </c>
      <c r="I5596" s="10" t="n">
        <v>46216</v>
      </c>
      <c r="J5596" s="3" t="s">
        <v>2662</v>
      </c>
      <c r="K5596" s="10" t="n">
        <v>46190</v>
      </c>
      <c r="L5596" s="3" t="s">
        <v>16</v>
      </c>
      <c r="M5596" s="7" t="n">
        <v>162</v>
      </c>
      <c r="N5596" s="8" t="n">
        <v>0.1515</v>
      </c>
      <c r="O5596" s="4" t="n">
        <f aca="false">M5596*N5596</f>
        <v>24.543</v>
      </c>
    </row>
    <row r="5597" customFormat="false" ht="15" hidden="false" customHeight="false" outlineLevel="0" collapsed="false">
      <c r="A5597" s="0" t="s">
        <v>7380</v>
      </c>
      <c r="C5597" s="0" t="s">
        <v>31</v>
      </c>
      <c r="D5597" s="7" t="n">
        <v>1510</v>
      </c>
      <c r="E5597" s="8" t="n">
        <v>0.0100132450331126</v>
      </c>
      <c r="F5597" s="4" t="n">
        <f aca="false">D5597*E5597</f>
        <v>15.12</v>
      </c>
      <c r="G5597" s="7" t="n">
        <v>1394</v>
      </c>
      <c r="H5597" s="9" t="n">
        <f aca="false">IF(G5597&gt;0,D5597/G5597,"")</f>
        <v>1.0832137733142</v>
      </c>
      <c r="I5597" s="10" t="n">
        <v>46309</v>
      </c>
      <c r="J5597" s="3" t="s">
        <v>2719</v>
      </c>
      <c r="K5597" s="10" t="n">
        <v>46049</v>
      </c>
      <c r="L5597" s="3" t="s">
        <v>16</v>
      </c>
      <c r="M5597" s="7" t="n">
        <v>2800</v>
      </c>
      <c r="N5597" s="8" t="n">
        <v>0.0098</v>
      </c>
      <c r="O5597" s="4" t="n">
        <f aca="false">M5597*N5597</f>
        <v>27.44</v>
      </c>
    </row>
    <row r="5598" customFormat="false" ht="15" hidden="false" customHeight="false" outlineLevel="0" collapsed="false">
      <c r="A5598" s="0" t="s">
        <v>7381</v>
      </c>
      <c r="C5598" s="0" t="s">
        <v>679</v>
      </c>
      <c r="D5598" s="7" t="n">
        <v>33</v>
      </c>
      <c r="E5598" s="8" t="n">
        <v>0.456969696969697</v>
      </c>
      <c r="F5598" s="4" t="n">
        <f aca="false">D5598*E5598</f>
        <v>15.08</v>
      </c>
      <c r="G5598" s="7" t="n">
        <v>6</v>
      </c>
      <c r="H5598" s="9" t="n">
        <f aca="false">IF(G5598&gt;0,D5598/G5598,"")</f>
        <v>5.5</v>
      </c>
      <c r="I5598" s="10" t="n">
        <v>46293</v>
      </c>
      <c r="K5598" s="10"/>
      <c r="M5598" s="7"/>
      <c r="N5598" s="8"/>
      <c r="O5598" s="4"/>
    </row>
    <row r="5599" customFormat="false" ht="15" hidden="false" customHeight="false" outlineLevel="0" collapsed="false">
      <c r="A5599" s="0" t="s">
        <v>7382</v>
      </c>
      <c r="C5599" s="0" t="s">
        <v>31</v>
      </c>
      <c r="D5599" s="7" t="n">
        <v>6894</v>
      </c>
      <c r="E5599" s="8" t="n">
        <v>0.00218740934145634</v>
      </c>
      <c r="F5599" s="4" t="n">
        <f aca="false">D5599*E5599</f>
        <v>15.08</v>
      </c>
      <c r="G5599" s="7" t="n">
        <v>845</v>
      </c>
      <c r="H5599" s="9" t="n">
        <f aca="false">IF(G5599&gt;0,D5599/G5599,"")</f>
        <v>8.1585798816568</v>
      </c>
      <c r="I5599" s="10" t="n">
        <v>46310</v>
      </c>
      <c r="J5599" s="3" t="s">
        <v>1942</v>
      </c>
      <c r="K5599" s="10" t="n">
        <v>44259</v>
      </c>
      <c r="L5599" s="3" t="s">
        <v>15</v>
      </c>
      <c r="M5599" s="7" t="n">
        <v>8900</v>
      </c>
      <c r="N5599" s="8" t="n">
        <v>0.00219</v>
      </c>
      <c r="O5599" s="4" t="n">
        <f aca="false">M5599*N5599</f>
        <v>19.491</v>
      </c>
    </row>
    <row r="5600" customFormat="false" ht="15" hidden="false" customHeight="false" outlineLevel="0" collapsed="false">
      <c r="A5600" s="0" t="s">
        <v>7383</v>
      </c>
      <c r="C5600" s="0" t="s">
        <v>31</v>
      </c>
      <c r="D5600" s="7" t="n">
        <v>689</v>
      </c>
      <c r="E5600" s="8" t="n">
        <v>0.0218867924528302</v>
      </c>
      <c r="F5600" s="4" t="n">
        <f aca="false">D5600*E5600</f>
        <v>15.08</v>
      </c>
      <c r="G5600" s="7" t="n">
        <v>40</v>
      </c>
      <c r="H5600" s="9" t="n">
        <f aca="false">IF(G5600&gt;0,D5600/G5600,"")</f>
        <v>17.225</v>
      </c>
      <c r="I5600" s="10" t="n">
        <v>46238</v>
      </c>
      <c r="K5600" s="10"/>
      <c r="M5600" s="7"/>
      <c r="N5600" s="8"/>
      <c r="O5600" s="4"/>
    </row>
    <row r="5601" customFormat="false" ht="15" hidden="false" customHeight="false" outlineLevel="0" collapsed="false">
      <c r="A5601" s="0" t="s">
        <v>7384</v>
      </c>
      <c r="C5601" s="0" t="s">
        <v>370</v>
      </c>
      <c r="D5601" s="7" t="n">
        <v>284</v>
      </c>
      <c r="E5601" s="8" t="n">
        <v>0.0529929577464789</v>
      </c>
      <c r="F5601" s="4" t="n">
        <f aca="false">D5601*E5601</f>
        <v>15.05</v>
      </c>
      <c r="G5601" s="7" t="n">
        <v>24</v>
      </c>
      <c r="H5601" s="9" t="n">
        <f aca="false">IF(G5601&gt;0,D5601/G5601,"")</f>
        <v>11.8333333333333</v>
      </c>
      <c r="I5601" s="10" t="n">
        <v>46273</v>
      </c>
      <c r="J5601" s="3" t="s">
        <v>7385</v>
      </c>
      <c r="K5601" s="10" t="n">
        <v>45379</v>
      </c>
      <c r="L5601" s="3" t="s">
        <v>21</v>
      </c>
      <c r="M5601" s="7" t="n">
        <v>5000</v>
      </c>
      <c r="N5601" s="8" t="n">
        <v>0.053</v>
      </c>
      <c r="O5601" s="4" t="n">
        <f aca="false">M5601*N5601</f>
        <v>265</v>
      </c>
    </row>
    <row r="5602" customFormat="false" ht="15" hidden="false" customHeight="false" outlineLevel="0" collapsed="false">
      <c r="A5602" s="0" t="s">
        <v>7386</v>
      </c>
      <c r="C5602" s="0" t="s">
        <v>34</v>
      </c>
      <c r="D5602" s="7" t="n">
        <v>87</v>
      </c>
      <c r="E5602" s="8" t="n">
        <v>0.172873563218391</v>
      </c>
      <c r="F5602" s="4" t="n">
        <f aca="false">D5602*E5602</f>
        <v>15.04</v>
      </c>
      <c r="G5602" s="7" t="n">
        <v>38</v>
      </c>
      <c r="H5602" s="9" t="n">
        <f aca="false">IF(G5602&gt;0,D5602/G5602,"")</f>
        <v>2.28947368421053</v>
      </c>
      <c r="I5602" s="10" t="n">
        <v>46087</v>
      </c>
      <c r="J5602" s="3" t="s">
        <v>852</v>
      </c>
      <c r="K5602" s="10" t="n">
        <v>45883</v>
      </c>
      <c r="L5602" s="3" t="s">
        <v>15</v>
      </c>
      <c r="M5602" s="7" t="n">
        <v>160</v>
      </c>
      <c r="N5602" s="8" t="n">
        <v>0.17282</v>
      </c>
      <c r="O5602" s="4" t="n">
        <f aca="false">M5602*N5602</f>
        <v>27.6512</v>
      </c>
    </row>
    <row r="5603" customFormat="false" ht="15" hidden="false" customHeight="false" outlineLevel="0" collapsed="false">
      <c r="A5603" s="0" t="s">
        <v>7387</v>
      </c>
      <c r="C5603" s="0" t="s">
        <v>1169</v>
      </c>
      <c r="D5603" s="7" t="n">
        <v>52</v>
      </c>
      <c r="E5603" s="8" t="n">
        <v>0.288653846153846</v>
      </c>
      <c r="F5603" s="4" t="n">
        <f aca="false">D5603*E5603</f>
        <v>15.01</v>
      </c>
      <c r="G5603" s="7" t="n">
        <v>28</v>
      </c>
      <c r="H5603" s="9" t="n">
        <f aca="false">IF(G5603&gt;0,D5603/G5603,"")</f>
        <v>1.85714285714286</v>
      </c>
      <c r="I5603" s="10" t="n">
        <v>46280</v>
      </c>
      <c r="J5603" s="3" t="s">
        <v>4448</v>
      </c>
      <c r="K5603" s="10" t="n">
        <v>45827</v>
      </c>
      <c r="L5603" s="3" t="s">
        <v>14</v>
      </c>
      <c r="M5603" s="7" t="n">
        <v>500</v>
      </c>
      <c r="N5603" s="8" t="n">
        <v>0.2888</v>
      </c>
      <c r="O5603" s="4" t="n">
        <f aca="false">M5603*N5603</f>
        <v>144.4</v>
      </c>
    </row>
    <row r="5604" customFormat="false" ht="15" hidden="false" customHeight="false" outlineLevel="0" collapsed="false">
      <c r="A5604" s="0" t="s">
        <v>7388</v>
      </c>
      <c r="C5604" s="0" t="s">
        <v>31</v>
      </c>
      <c r="D5604" s="7" t="n">
        <v>25</v>
      </c>
      <c r="E5604" s="8" t="n">
        <v>0.6</v>
      </c>
      <c r="F5604" s="4" t="n">
        <f aca="false">D5604*E5604</f>
        <v>15</v>
      </c>
      <c r="G5604" s="7" t="n">
        <v>5</v>
      </c>
      <c r="H5604" s="9" t="n">
        <f aca="false">IF(G5604&gt;0,D5604/G5604,"")</f>
        <v>5</v>
      </c>
      <c r="I5604" s="10" t="n">
        <v>45967</v>
      </c>
      <c r="J5604" s="3" t="s">
        <v>4598</v>
      </c>
      <c r="K5604" s="10" t="n">
        <v>45958</v>
      </c>
      <c r="L5604" s="3" t="s">
        <v>19</v>
      </c>
      <c r="M5604" s="7" t="n">
        <v>25</v>
      </c>
      <c r="N5604" s="8" t="n">
        <v>0.6</v>
      </c>
      <c r="O5604" s="4" t="n">
        <f aca="false">M5604*N5604</f>
        <v>15</v>
      </c>
    </row>
    <row r="5605" customFormat="false" ht="15" hidden="false" customHeight="false" outlineLevel="0" collapsed="false">
      <c r="A5605" s="0" t="s">
        <v>7389</v>
      </c>
      <c r="C5605" s="0" t="s">
        <v>1039</v>
      </c>
      <c r="D5605" s="7" t="n">
        <v>22</v>
      </c>
      <c r="E5605" s="8" t="n">
        <v>0.680909090909091</v>
      </c>
      <c r="F5605" s="4" t="n">
        <f aca="false">D5605*E5605</f>
        <v>14.98</v>
      </c>
      <c r="G5605" s="7" t="n">
        <v>10</v>
      </c>
      <c r="H5605" s="9" t="n">
        <f aca="false">IF(G5605&gt;0,D5605/G5605,"")</f>
        <v>2.2</v>
      </c>
      <c r="I5605" s="10" t="n">
        <v>46030</v>
      </c>
      <c r="J5605" s="3" t="s">
        <v>6911</v>
      </c>
      <c r="K5605" s="10" t="n">
        <v>44441</v>
      </c>
      <c r="L5605" s="3" t="s">
        <v>19</v>
      </c>
      <c r="M5605" s="7" t="n">
        <v>25</v>
      </c>
      <c r="N5605" s="8" t="n">
        <v>0.681</v>
      </c>
      <c r="O5605" s="4" t="n">
        <f aca="false">M5605*N5605</f>
        <v>17.025</v>
      </c>
    </row>
    <row r="5606" customFormat="false" ht="15" hidden="false" customHeight="false" outlineLevel="0" collapsed="false">
      <c r="A5606" s="0" t="s">
        <v>7390</v>
      </c>
      <c r="C5606" s="0" t="s">
        <v>360</v>
      </c>
      <c r="D5606" s="7" t="n">
        <v>88</v>
      </c>
      <c r="E5606" s="8" t="n">
        <v>0.170227272727273</v>
      </c>
      <c r="F5606" s="4" t="n">
        <f aca="false">D5606*E5606</f>
        <v>14.98</v>
      </c>
      <c r="G5606" s="7" t="n">
        <v>37</v>
      </c>
      <c r="H5606" s="9" t="n">
        <f aca="false">IF(G5606&gt;0,D5606/G5606,"")</f>
        <v>2.37837837837838</v>
      </c>
      <c r="I5606" s="10" t="n">
        <v>46154</v>
      </c>
      <c r="J5606" s="3" t="s">
        <v>1213</v>
      </c>
      <c r="K5606" s="10" t="n">
        <v>45554</v>
      </c>
      <c r="L5606" s="3" t="s">
        <v>15</v>
      </c>
      <c r="M5606" s="7" t="n">
        <v>7990</v>
      </c>
      <c r="N5606" s="8" t="n">
        <v>0.03131</v>
      </c>
      <c r="O5606" s="4" t="n">
        <f aca="false">M5606*N5606</f>
        <v>250.1669</v>
      </c>
    </row>
    <row r="5607" customFormat="false" ht="15" hidden="false" customHeight="false" outlineLevel="0" collapsed="false">
      <c r="A5607" s="0" t="s">
        <v>7391</v>
      </c>
      <c r="C5607" s="0" t="s">
        <v>1101</v>
      </c>
      <c r="D5607" s="7" t="n">
        <v>7</v>
      </c>
      <c r="E5607" s="8" t="n">
        <v>2.14</v>
      </c>
      <c r="F5607" s="4" t="n">
        <f aca="false">D5607*E5607</f>
        <v>14.98</v>
      </c>
      <c r="G5607" s="7" t="n">
        <v>1</v>
      </c>
      <c r="H5607" s="9" t="n">
        <f aca="false">IF(G5607&gt;0,D5607/G5607,"")</f>
        <v>7</v>
      </c>
      <c r="I5607" s="10" t="n">
        <v>46076</v>
      </c>
      <c r="J5607" s="3" t="s">
        <v>6535</v>
      </c>
      <c r="K5607" s="10" t="n">
        <v>45734</v>
      </c>
      <c r="L5607" s="3" t="s">
        <v>834</v>
      </c>
      <c r="M5607" s="7" t="n">
        <v>25</v>
      </c>
      <c r="N5607" s="8" t="n">
        <v>2.14</v>
      </c>
      <c r="O5607" s="4" t="n">
        <f aca="false">M5607*N5607</f>
        <v>53.5</v>
      </c>
    </row>
    <row r="5608" customFormat="false" ht="15" hidden="false" customHeight="false" outlineLevel="0" collapsed="false">
      <c r="A5608" s="0" t="s">
        <v>7392</v>
      </c>
      <c r="C5608" s="0" t="s">
        <v>31</v>
      </c>
      <c r="D5608" s="7" t="n">
        <v>91</v>
      </c>
      <c r="E5608" s="8" t="n">
        <v>0.164615384615385</v>
      </c>
      <c r="F5608" s="4" t="n">
        <f aca="false">D5608*E5608</f>
        <v>14.98</v>
      </c>
      <c r="G5608" s="7" t="n">
        <v>5</v>
      </c>
      <c r="H5608" s="9" t="n">
        <f aca="false">IF(G5608&gt;0,D5608/G5608,"")</f>
        <v>18.2</v>
      </c>
      <c r="I5608" s="10" t="n">
        <v>46076</v>
      </c>
      <c r="J5608" s="3" t="s">
        <v>2119</v>
      </c>
      <c r="K5608" s="10" t="n">
        <v>44281</v>
      </c>
      <c r="L5608" s="3" t="s">
        <v>14</v>
      </c>
      <c r="M5608" s="7" t="n">
        <v>109</v>
      </c>
      <c r="N5608" s="8" t="n">
        <v>0.1646</v>
      </c>
      <c r="O5608" s="4" t="n">
        <f aca="false">M5608*N5608</f>
        <v>17.9414</v>
      </c>
    </row>
    <row r="5609" customFormat="false" ht="15" hidden="false" customHeight="false" outlineLevel="0" collapsed="false">
      <c r="A5609" s="0" t="s">
        <v>7393</v>
      </c>
      <c r="C5609" s="0" t="s">
        <v>38</v>
      </c>
      <c r="D5609" s="7" t="n">
        <v>351</v>
      </c>
      <c r="E5609" s="8" t="n">
        <v>0.0425641025641026</v>
      </c>
      <c r="F5609" s="4" t="n">
        <f aca="false">D5609*E5609</f>
        <v>14.94</v>
      </c>
      <c r="G5609" s="7" t="n">
        <v>4</v>
      </c>
      <c r="H5609" s="9" t="n">
        <f aca="false">IF(G5609&gt;0,D5609/G5609,"")</f>
        <v>87.75</v>
      </c>
      <c r="I5609" s="10" t="n">
        <v>46008</v>
      </c>
      <c r="K5609" s="10"/>
      <c r="M5609" s="7"/>
      <c r="N5609" s="8"/>
      <c r="O5609" s="4"/>
    </row>
    <row r="5610" customFormat="false" ht="15" hidden="false" customHeight="false" outlineLevel="0" collapsed="false">
      <c r="A5610" s="0" t="s">
        <v>7394</v>
      </c>
      <c r="C5610" s="0" t="s">
        <v>40</v>
      </c>
      <c r="D5610" s="7" t="n">
        <v>10</v>
      </c>
      <c r="E5610" s="8" t="n">
        <v>1.492</v>
      </c>
      <c r="F5610" s="4" t="n">
        <f aca="false">D5610*E5610</f>
        <v>14.92</v>
      </c>
      <c r="G5610" s="7" t="n">
        <v>8</v>
      </c>
      <c r="H5610" s="9" t="n">
        <f aca="false">IF(G5610&gt;0,D5610/G5610,"")</f>
        <v>1.25</v>
      </c>
      <c r="I5610" s="10" t="n">
        <v>46253</v>
      </c>
      <c r="J5610" s="3" t="s">
        <v>421</v>
      </c>
      <c r="K5610" s="10" t="n">
        <v>46240</v>
      </c>
      <c r="L5610" s="3" t="s">
        <v>18</v>
      </c>
      <c r="M5610" s="7" t="n">
        <v>18</v>
      </c>
      <c r="N5610" s="8" t="n">
        <v>1.4924</v>
      </c>
      <c r="O5610" s="4" t="n">
        <f aca="false">M5610*N5610</f>
        <v>26.8632</v>
      </c>
    </row>
    <row r="5611" customFormat="false" ht="15" hidden="false" customHeight="false" outlineLevel="0" collapsed="false">
      <c r="A5611" s="0" t="s">
        <v>7395</v>
      </c>
      <c r="C5611" s="0" t="s">
        <v>855</v>
      </c>
      <c r="D5611" s="7" t="n">
        <v>929</v>
      </c>
      <c r="E5611" s="8" t="n">
        <v>0.0160279870828848</v>
      </c>
      <c r="F5611" s="4" t="n">
        <f aca="false">D5611*E5611</f>
        <v>14.89</v>
      </c>
      <c r="G5611" s="7" t="n">
        <v>81</v>
      </c>
      <c r="H5611" s="9" t="n">
        <f aca="false">IF(G5611&gt;0,D5611/G5611,"")</f>
        <v>11.4691358024691</v>
      </c>
      <c r="I5611" s="10" t="n">
        <v>46071</v>
      </c>
      <c r="J5611" s="3" t="s">
        <v>6200</v>
      </c>
      <c r="K5611" s="10" t="n">
        <v>45974</v>
      </c>
      <c r="L5611" s="3" t="s">
        <v>19</v>
      </c>
      <c r="M5611" s="7" t="n">
        <v>1000</v>
      </c>
      <c r="N5611" s="8" t="n">
        <v>0.0161</v>
      </c>
      <c r="O5611" s="4" t="n">
        <f aca="false">M5611*N5611</f>
        <v>16.1</v>
      </c>
    </row>
    <row r="5612" customFormat="false" ht="15" hidden="false" customHeight="false" outlineLevel="0" collapsed="false">
      <c r="A5612" s="0" t="s">
        <v>7396</v>
      </c>
      <c r="C5612" s="0" t="s">
        <v>32</v>
      </c>
      <c r="D5612" s="7" t="n">
        <v>138</v>
      </c>
      <c r="E5612" s="8" t="n">
        <v>0.10768115942029</v>
      </c>
      <c r="F5612" s="4" t="n">
        <f aca="false">D5612*E5612</f>
        <v>14.86</v>
      </c>
      <c r="G5612" s="7" t="n">
        <v>4</v>
      </c>
      <c r="H5612" s="9" t="n">
        <f aca="false">IF(G5612&gt;0,D5612/G5612,"")</f>
        <v>34.5</v>
      </c>
      <c r="I5612" s="10" t="n">
        <v>46118</v>
      </c>
      <c r="J5612" s="3" t="s">
        <v>317</v>
      </c>
      <c r="K5612" s="10" t="n">
        <v>44860</v>
      </c>
      <c r="L5612" s="3" t="s">
        <v>15</v>
      </c>
      <c r="M5612" s="7" t="n">
        <v>298</v>
      </c>
      <c r="N5612" s="8" t="n">
        <v>0.10776</v>
      </c>
      <c r="O5612" s="4" t="n">
        <f aca="false">M5612*N5612</f>
        <v>32.11248</v>
      </c>
    </row>
    <row r="5613" customFormat="false" ht="15" hidden="false" customHeight="false" outlineLevel="0" collapsed="false">
      <c r="A5613" s="0" t="s">
        <v>7397</v>
      </c>
      <c r="C5613" s="0" t="s">
        <v>340</v>
      </c>
      <c r="D5613" s="7" t="n">
        <v>1594</v>
      </c>
      <c r="E5613" s="8" t="n">
        <v>0.00931618569636136</v>
      </c>
      <c r="F5613" s="4" t="n">
        <f aca="false">D5613*E5613</f>
        <v>14.85</v>
      </c>
      <c r="G5613" s="7" t="n">
        <v>736</v>
      </c>
      <c r="H5613" s="9" t="n">
        <f aca="false">IF(G5613&gt;0,D5613/G5613,"")</f>
        <v>2.16576086956522</v>
      </c>
      <c r="I5613" s="10" t="n">
        <v>46269</v>
      </c>
      <c r="J5613" s="3" t="s">
        <v>2672</v>
      </c>
      <c r="K5613" s="10" t="n">
        <v>44670</v>
      </c>
      <c r="L5613" s="3" t="s">
        <v>15</v>
      </c>
      <c r="M5613" s="7" t="n">
        <v>5570</v>
      </c>
      <c r="N5613" s="8" t="n">
        <v>0.00932</v>
      </c>
      <c r="O5613" s="4" t="n">
        <f aca="false">M5613*N5613</f>
        <v>51.9124</v>
      </c>
    </row>
    <row r="5614" customFormat="false" ht="15" hidden="false" customHeight="false" outlineLevel="0" collapsed="false">
      <c r="A5614" s="0" t="s">
        <v>7398</v>
      </c>
      <c r="C5614" s="0" t="s">
        <v>34</v>
      </c>
      <c r="D5614" s="7" t="n">
        <v>491</v>
      </c>
      <c r="E5614" s="8" t="n">
        <v>0.03010183299389</v>
      </c>
      <c r="F5614" s="4" t="n">
        <f aca="false">D5614*E5614</f>
        <v>14.78</v>
      </c>
      <c r="G5614" s="7" t="n">
        <v>450</v>
      </c>
      <c r="H5614" s="9" t="n">
        <f aca="false">IF(G5614&gt;0,D5614/G5614,"")</f>
        <v>1.09111111111111</v>
      </c>
      <c r="I5614" s="10" t="n">
        <v>46314</v>
      </c>
      <c r="J5614" s="3" t="s">
        <v>2662</v>
      </c>
      <c r="K5614" s="10" t="n">
        <v>46190</v>
      </c>
      <c r="L5614" s="3" t="s">
        <v>16</v>
      </c>
      <c r="M5614" s="7" t="n">
        <v>700</v>
      </c>
      <c r="N5614" s="8" t="n">
        <v>0.0301</v>
      </c>
      <c r="O5614" s="4" t="n">
        <f aca="false">M5614*N5614</f>
        <v>21.07</v>
      </c>
    </row>
    <row r="5615" customFormat="false" ht="15" hidden="false" customHeight="false" outlineLevel="0" collapsed="false">
      <c r="A5615" s="0" t="s">
        <v>7399</v>
      </c>
      <c r="C5615" s="0" t="s">
        <v>34</v>
      </c>
      <c r="D5615" s="7" t="n">
        <v>27</v>
      </c>
      <c r="E5615" s="8" t="n">
        <v>0.547407407407408</v>
      </c>
      <c r="F5615" s="4" t="n">
        <f aca="false">D5615*E5615</f>
        <v>14.78</v>
      </c>
      <c r="G5615" s="7" t="n">
        <v>12</v>
      </c>
      <c r="H5615" s="9" t="n">
        <f aca="false">IF(G5615&gt;0,D5615/G5615,"")</f>
        <v>2.25</v>
      </c>
      <c r="I5615" s="10" t="n">
        <v>46083</v>
      </c>
      <c r="J5615" s="3" t="s">
        <v>6092</v>
      </c>
      <c r="K5615" s="10" t="n">
        <v>44411</v>
      </c>
      <c r="L5615" s="3" t="s">
        <v>16</v>
      </c>
      <c r="M5615" s="7" t="n">
        <v>60</v>
      </c>
      <c r="N5615" s="8" t="n">
        <v>0.5475</v>
      </c>
      <c r="O5615" s="4" t="n">
        <f aca="false">M5615*N5615</f>
        <v>32.85</v>
      </c>
    </row>
    <row r="5616" customFormat="false" ht="15" hidden="false" customHeight="false" outlineLevel="0" collapsed="false">
      <c r="A5616" s="0" t="s">
        <v>7400</v>
      </c>
      <c r="C5616" s="0" t="s">
        <v>41</v>
      </c>
      <c r="D5616" s="7" t="n">
        <v>291</v>
      </c>
      <c r="E5616" s="8" t="n">
        <v>0.0507903780068729</v>
      </c>
      <c r="F5616" s="4" t="n">
        <f aca="false">D5616*E5616</f>
        <v>14.78</v>
      </c>
      <c r="G5616" s="7" t="n">
        <v>200</v>
      </c>
      <c r="H5616" s="9" t="n">
        <f aca="false">IF(G5616&gt;0,D5616/G5616,"")</f>
        <v>1.455</v>
      </c>
      <c r="I5616" s="10" t="n">
        <v>46288</v>
      </c>
      <c r="J5616" s="3" t="s">
        <v>7254</v>
      </c>
      <c r="K5616" s="10" t="n">
        <v>45442</v>
      </c>
      <c r="L5616" s="3" t="s">
        <v>19</v>
      </c>
      <c r="M5616" s="7" t="n">
        <v>5000</v>
      </c>
      <c r="N5616" s="8" t="n">
        <v>0.0508</v>
      </c>
      <c r="O5616" s="4" t="n">
        <f aca="false">M5616*N5616</f>
        <v>254</v>
      </c>
    </row>
    <row r="5617" customFormat="false" ht="15" hidden="false" customHeight="false" outlineLevel="0" collapsed="false">
      <c r="A5617" s="0" t="s">
        <v>7401</v>
      </c>
      <c r="C5617" s="0" t="s">
        <v>34</v>
      </c>
      <c r="D5617" s="7" t="n">
        <v>200</v>
      </c>
      <c r="E5617" s="8" t="n">
        <v>0.0735</v>
      </c>
      <c r="F5617" s="4" t="n">
        <f aca="false">D5617*E5617</f>
        <v>14.7</v>
      </c>
      <c r="G5617" s="7" t="n">
        <v>59</v>
      </c>
      <c r="H5617" s="9" t="n">
        <f aca="false">IF(G5617&gt;0,D5617/G5617,"")</f>
        <v>3.38983050847458</v>
      </c>
      <c r="I5617" s="10" t="n">
        <v>46308</v>
      </c>
      <c r="J5617" s="3" t="s">
        <v>3287</v>
      </c>
      <c r="K5617" s="10" t="n">
        <v>46289</v>
      </c>
      <c r="L5617" s="3" t="s">
        <v>19</v>
      </c>
      <c r="M5617" s="7" t="n">
        <v>250</v>
      </c>
      <c r="N5617" s="8" t="n">
        <v>0.0735</v>
      </c>
      <c r="O5617" s="4" t="n">
        <f aca="false">M5617*N5617</f>
        <v>18.375</v>
      </c>
    </row>
    <row r="5618" customFormat="false" ht="15" hidden="false" customHeight="false" outlineLevel="0" collapsed="false">
      <c r="A5618" s="0" t="s">
        <v>7402</v>
      </c>
      <c r="C5618" s="0" t="s">
        <v>31</v>
      </c>
      <c r="D5618" s="7" t="n">
        <v>249</v>
      </c>
      <c r="E5618" s="8" t="n">
        <v>0.058995983935743</v>
      </c>
      <c r="F5618" s="4" t="n">
        <f aca="false">D5618*E5618</f>
        <v>14.69</v>
      </c>
      <c r="G5618" s="7" t="n">
        <v>127</v>
      </c>
      <c r="H5618" s="9" t="n">
        <f aca="false">IF(G5618&gt;0,D5618/G5618,"")</f>
        <v>1.96062992125984</v>
      </c>
      <c r="I5618" s="10" t="n">
        <v>46301</v>
      </c>
      <c r="J5618" s="3" t="s">
        <v>7403</v>
      </c>
      <c r="K5618" s="10" t="n">
        <v>44692</v>
      </c>
      <c r="L5618" s="3" t="s">
        <v>16</v>
      </c>
      <c r="M5618" s="7" t="n">
        <v>1425</v>
      </c>
      <c r="N5618" s="8" t="n">
        <v>0</v>
      </c>
      <c r="O5618" s="4" t="n">
        <v>85.7076</v>
      </c>
    </row>
    <row r="5619" customFormat="false" ht="15" hidden="false" customHeight="false" outlineLevel="0" collapsed="false">
      <c r="A5619" s="0" t="s">
        <v>7404</v>
      </c>
      <c r="C5619" s="0" t="s">
        <v>39</v>
      </c>
      <c r="D5619" s="7" t="n">
        <v>7</v>
      </c>
      <c r="E5619" s="8" t="n">
        <v>2.09571428571429</v>
      </c>
      <c r="F5619" s="4" t="n">
        <f aca="false">D5619*E5619</f>
        <v>14.67</v>
      </c>
      <c r="G5619" s="7" t="n">
        <v>5</v>
      </c>
      <c r="H5619" s="9" t="n">
        <f aca="false">IF(G5619&gt;0,D5619/G5619,"")</f>
        <v>1.4</v>
      </c>
      <c r="I5619" s="10" t="n">
        <v>46219</v>
      </c>
      <c r="J5619" s="3" t="s">
        <v>1351</v>
      </c>
      <c r="K5619" s="10" t="n">
        <v>45341</v>
      </c>
      <c r="L5619" s="3" t="s">
        <v>18</v>
      </c>
      <c r="M5619" s="7" t="n">
        <v>12</v>
      </c>
      <c r="N5619" s="8" t="n">
        <v>2.096</v>
      </c>
      <c r="O5619" s="4" t="n">
        <f aca="false">M5619*N5619</f>
        <v>25.152</v>
      </c>
    </row>
    <row r="5620" customFormat="false" ht="15" hidden="false" customHeight="false" outlineLevel="0" collapsed="false">
      <c r="A5620" s="0" t="s">
        <v>7405</v>
      </c>
      <c r="C5620" s="0" t="s">
        <v>765</v>
      </c>
      <c r="D5620" s="7" t="n">
        <v>282</v>
      </c>
      <c r="E5620" s="8" t="n">
        <v>0.0519858156028369</v>
      </c>
      <c r="F5620" s="4" t="n">
        <f aca="false">D5620*E5620</f>
        <v>14.66</v>
      </c>
      <c r="G5620" s="7" t="n">
        <v>60</v>
      </c>
      <c r="H5620" s="9" t="n">
        <f aca="false">IF(G5620&gt;0,D5620/G5620,"")</f>
        <v>4.7</v>
      </c>
      <c r="I5620" s="10" t="n">
        <v>46063</v>
      </c>
      <c r="K5620" s="10"/>
      <c r="M5620" s="7"/>
      <c r="N5620" s="8"/>
      <c r="O5620" s="4"/>
    </row>
    <row r="5621" customFormat="false" ht="15" hidden="false" customHeight="false" outlineLevel="0" collapsed="false">
      <c r="A5621" s="0" t="s">
        <v>7406</v>
      </c>
      <c r="C5621" s="0" t="s">
        <v>1039</v>
      </c>
      <c r="D5621" s="7" t="n">
        <v>852</v>
      </c>
      <c r="E5621" s="8" t="n">
        <v>0.0171948356807512</v>
      </c>
      <c r="F5621" s="4" t="n">
        <f aca="false">D5621*E5621</f>
        <v>14.65</v>
      </c>
      <c r="G5621" s="7" t="n">
        <v>812</v>
      </c>
      <c r="H5621" s="9" t="n">
        <f aca="false">IF(G5621&gt;0,D5621/G5621,"")</f>
        <v>1.04926108374384</v>
      </c>
      <c r="I5621" s="10" t="n">
        <v>46301</v>
      </c>
      <c r="J5621" s="3" t="s">
        <v>6692</v>
      </c>
      <c r="K5621" s="10" t="n">
        <v>46295</v>
      </c>
      <c r="L5621" s="3" t="s">
        <v>19</v>
      </c>
      <c r="M5621" s="7" t="n">
        <v>1000</v>
      </c>
      <c r="N5621" s="8" t="n">
        <v>0.0172</v>
      </c>
      <c r="O5621" s="4" t="n">
        <f aca="false">M5621*N5621</f>
        <v>17.2</v>
      </c>
    </row>
    <row r="5622" customFormat="false" ht="15" hidden="false" customHeight="false" outlineLevel="0" collapsed="false">
      <c r="A5622" s="0" t="s">
        <v>7407</v>
      </c>
      <c r="C5622" s="0" t="s">
        <v>1039</v>
      </c>
      <c r="D5622" s="7" t="n">
        <v>465</v>
      </c>
      <c r="E5622" s="8" t="n">
        <v>0.031505376344086</v>
      </c>
      <c r="F5622" s="4" t="n">
        <f aca="false">D5622*E5622</f>
        <v>14.65</v>
      </c>
      <c r="G5622" s="7" t="n">
        <v>35</v>
      </c>
      <c r="H5622" s="9" t="n">
        <f aca="false">IF(G5622&gt;0,D5622/G5622,"")</f>
        <v>13.2857142857143</v>
      </c>
      <c r="I5622" s="10" t="n">
        <v>46317</v>
      </c>
      <c r="J5622" s="3" t="s">
        <v>1618</v>
      </c>
      <c r="K5622" s="10" t="n">
        <v>45574</v>
      </c>
      <c r="L5622" s="3" t="s">
        <v>16</v>
      </c>
      <c r="M5622" s="7" t="n">
        <v>1000</v>
      </c>
      <c r="N5622" s="8" t="n">
        <v>0.0315</v>
      </c>
      <c r="O5622" s="4" t="n">
        <f aca="false">M5622*N5622</f>
        <v>31.5</v>
      </c>
    </row>
    <row r="5623" customFormat="false" ht="15" hidden="false" customHeight="false" outlineLevel="0" collapsed="false">
      <c r="A5623" s="0" t="s">
        <v>7408</v>
      </c>
      <c r="C5623" s="0" t="s">
        <v>36</v>
      </c>
      <c r="D5623" s="7" t="n">
        <v>56</v>
      </c>
      <c r="E5623" s="8" t="n">
        <v>0.261428571428572</v>
      </c>
      <c r="F5623" s="4" t="n">
        <f aca="false">D5623*E5623</f>
        <v>14.64</v>
      </c>
      <c r="G5623" s="7" t="n">
        <v>50</v>
      </c>
      <c r="H5623" s="9" t="n">
        <f aca="false">IF(G5623&gt;0,D5623/G5623,"")</f>
        <v>1.12</v>
      </c>
      <c r="I5623" s="10" t="n">
        <v>46084</v>
      </c>
      <c r="J5623" s="3" t="s">
        <v>6726</v>
      </c>
      <c r="K5623" s="10" t="n">
        <v>45005</v>
      </c>
      <c r="L5623" s="3" t="s">
        <v>19</v>
      </c>
      <c r="M5623" s="7" t="n">
        <v>116</v>
      </c>
      <c r="N5623" s="8" t="n">
        <v>0.2613</v>
      </c>
      <c r="O5623" s="4" t="n">
        <f aca="false">M5623*N5623</f>
        <v>30.3108</v>
      </c>
    </row>
    <row r="5624" customFormat="false" ht="15" hidden="false" customHeight="false" outlineLevel="0" collapsed="false">
      <c r="A5624" s="0" t="s">
        <v>7409</v>
      </c>
      <c r="C5624" s="0" t="s">
        <v>38</v>
      </c>
      <c r="D5624" s="7" t="n">
        <v>3948</v>
      </c>
      <c r="E5624" s="8" t="n">
        <v>0.00370060790273556</v>
      </c>
      <c r="F5624" s="4" t="n">
        <f aca="false">D5624*E5624</f>
        <v>14.61</v>
      </c>
      <c r="G5624" s="7" t="n">
        <v>200</v>
      </c>
      <c r="H5624" s="9" t="n">
        <f aca="false">IF(G5624&gt;0,D5624/G5624,"")</f>
        <v>19.74</v>
      </c>
      <c r="I5624" s="10" t="n">
        <v>46274</v>
      </c>
      <c r="K5624" s="10"/>
      <c r="M5624" s="7"/>
      <c r="N5624" s="8"/>
      <c r="O5624" s="4"/>
    </row>
    <row r="5625" customFormat="false" ht="15" hidden="false" customHeight="false" outlineLevel="0" collapsed="false">
      <c r="A5625" s="0" t="s">
        <v>7410</v>
      </c>
      <c r="C5625" s="0" t="s">
        <v>31</v>
      </c>
      <c r="D5625" s="7" t="n">
        <v>922</v>
      </c>
      <c r="E5625" s="8" t="n">
        <v>0.015824295010846</v>
      </c>
      <c r="F5625" s="4" t="n">
        <f aca="false">D5625*E5625</f>
        <v>14.59</v>
      </c>
      <c r="G5625" s="7" t="n">
        <v>194</v>
      </c>
      <c r="H5625" s="9" t="n">
        <f aca="false">IF(G5625&gt;0,D5625/G5625,"")</f>
        <v>4.75257731958763</v>
      </c>
      <c r="I5625" s="10" t="n">
        <v>46286</v>
      </c>
      <c r="K5625" s="10"/>
      <c r="M5625" s="7"/>
      <c r="N5625" s="8"/>
      <c r="O5625" s="4"/>
    </row>
    <row r="5626" customFormat="false" ht="15" hidden="false" customHeight="false" outlineLevel="0" collapsed="false">
      <c r="A5626" s="0" t="s">
        <v>7411</v>
      </c>
      <c r="C5626" s="0" t="s">
        <v>31</v>
      </c>
      <c r="D5626" s="7" t="n">
        <v>729</v>
      </c>
      <c r="E5626" s="8" t="n">
        <v>0.02</v>
      </c>
      <c r="F5626" s="4" t="n">
        <f aca="false">D5626*E5626</f>
        <v>14.58</v>
      </c>
      <c r="G5626" s="7" t="n">
        <v>281</v>
      </c>
      <c r="H5626" s="9" t="n">
        <f aca="false">IF(G5626&gt;0,D5626/G5626,"")</f>
        <v>2.59430604982206</v>
      </c>
      <c r="I5626" s="10" t="n">
        <v>46294</v>
      </c>
      <c r="K5626" s="10"/>
      <c r="M5626" s="7"/>
      <c r="N5626" s="8"/>
      <c r="O5626" s="4"/>
    </row>
    <row r="5627" customFormat="false" ht="15" hidden="false" customHeight="false" outlineLevel="0" collapsed="false">
      <c r="A5627" s="0" t="s">
        <v>7412</v>
      </c>
      <c r="C5627" s="0" t="s">
        <v>40</v>
      </c>
      <c r="D5627" s="7" t="n">
        <v>159</v>
      </c>
      <c r="E5627" s="8" t="n">
        <v>0.0916352201257862</v>
      </c>
      <c r="F5627" s="4" t="n">
        <f aca="false">D5627*E5627</f>
        <v>14.57</v>
      </c>
      <c r="G5627" s="7" t="n">
        <v>15</v>
      </c>
      <c r="H5627" s="9" t="n">
        <f aca="false">IF(G5627&gt;0,D5627/G5627,"")</f>
        <v>10.6</v>
      </c>
      <c r="I5627" s="10" t="n">
        <v>46218</v>
      </c>
      <c r="J5627" s="3" t="s">
        <v>7413</v>
      </c>
      <c r="K5627" s="10" t="n">
        <v>45223</v>
      </c>
      <c r="L5627" s="3" t="s">
        <v>18</v>
      </c>
      <c r="M5627" s="7" t="n">
        <v>1100</v>
      </c>
      <c r="N5627" s="8" t="n">
        <v>0.0917</v>
      </c>
      <c r="O5627" s="4" t="n">
        <f aca="false">M5627*N5627</f>
        <v>100.87</v>
      </c>
    </row>
    <row r="5628" customFormat="false" ht="15" hidden="false" customHeight="false" outlineLevel="0" collapsed="false">
      <c r="A5628" s="0" t="s">
        <v>7414</v>
      </c>
      <c r="C5628" s="0" t="s">
        <v>31</v>
      </c>
      <c r="D5628" s="7" t="n">
        <v>124</v>
      </c>
      <c r="E5628" s="8" t="n">
        <v>0.1175</v>
      </c>
      <c r="F5628" s="4" t="n">
        <f aca="false">D5628*E5628</f>
        <v>14.57</v>
      </c>
      <c r="G5628" s="7" t="n">
        <v>55</v>
      </c>
      <c r="H5628" s="9" t="n">
        <f aca="false">IF(G5628&gt;0,D5628/G5628,"")</f>
        <v>2.25454545454545</v>
      </c>
      <c r="I5628" s="10" t="n">
        <v>46126</v>
      </c>
      <c r="J5628" s="3" t="s">
        <v>2535</v>
      </c>
      <c r="K5628" s="10" t="n">
        <v>45098</v>
      </c>
      <c r="L5628" s="3" t="s">
        <v>19</v>
      </c>
      <c r="M5628" s="7" t="n">
        <v>500</v>
      </c>
      <c r="N5628" s="8" t="n">
        <v>0.1175</v>
      </c>
      <c r="O5628" s="4" t="n">
        <f aca="false">M5628*N5628</f>
        <v>58.75</v>
      </c>
    </row>
    <row r="5629" customFormat="false" ht="15" hidden="false" customHeight="false" outlineLevel="0" collapsed="false">
      <c r="A5629" s="0" t="s">
        <v>7415</v>
      </c>
      <c r="C5629" s="0" t="s">
        <v>31</v>
      </c>
      <c r="D5629" s="7" t="n">
        <v>728</v>
      </c>
      <c r="E5629" s="8" t="n">
        <v>0.02</v>
      </c>
      <c r="F5629" s="4" t="n">
        <f aca="false">D5629*E5629</f>
        <v>14.56</v>
      </c>
      <c r="G5629" s="7" t="n">
        <v>272</v>
      </c>
      <c r="H5629" s="9" t="n">
        <f aca="false">IF(G5629&gt;0,D5629/G5629,"")</f>
        <v>2.67647058823529</v>
      </c>
      <c r="I5629" s="10" t="n">
        <v>46233</v>
      </c>
      <c r="J5629" s="3" t="s">
        <v>1743</v>
      </c>
      <c r="K5629" s="10" t="n">
        <v>45852</v>
      </c>
      <c r="L5629" s="3" t="s">
        <v>16</v>
      </c>
      <c r="M5629" s="7" t="n">
        <v>1000</v>
      </c>
      <c r="N5629" s="8" t="n">
        <v>0.0219</v>
      </c>
      <c r="O5629" s="4" t="n">
        <f aca="false">M5629*N5629</f>
        <v>21.9</v>
      </c>
    </row>
    <row r="5630" customFormat="false" ht="15" hidden="false" customHeight="false" outlineLevel="0" collapsed="false">
      <c r="A5630" s="0" t="s">
        <v>7416</v>
      </c>
      <c r="C5630" s="0" t="s">
        <v>31</v>
      </c>
      <c r="D5630" s="7" t="n">
        <v>1672</v>
      </c>
      <c r="E5630" s="8" t="n">
        <v>0.00870215311004785</v>
      </c>
      <c r="F5630" s="4" t="n">
        <f aca="false">D5630*E5630</f>
        <v>14.55</v>
      </c>
      <c r="G5630" s="7" t="n">
        <v>135</v>
      </c>
      <c r="H5630" s="9" t="n">
        <f aca="false">IF(G5630&gt;0,D5630/G5630,"")</f>
        <v>12.3851851851852</v>
      </c>
      <c r="I5630" s="10" t="n">
        <v>46308</v>
      </c>
      <c r="K5630" s="10"/>
      <c r="M5630" s="7"/>
      <c r="N5630" s="8"/>
      <c r="O5630" s="4"/>
    </row>
    <row r="5631" customFormat="false" ht="15" hidden="false" customHeight="false" outlineLevel="0" collapsed="false">
      <c r="A5631" s="0" t="s">
        <v>7417</v>
      </c>
      <c r="C5631" s="0" t="s">
        <v>31</v>
      </c>
      <c r="D5631" s="7" t="n">
        <v>189</v>
      </c>
      <c r="E5631" s="8" t="n">
        <v>0.0769312169312169</v>
      </c>
      <c r="F5631" s="4" t="n">
        <f aca="false">D5631*E5631</f>
        <v>14.54</v>
      </c>
      <c r="G5631" s="7" t="n">
        <v>13</v>
      </c>
      <c r="H5631" s="9" t="n">
        <f aca="false">IF(G5631&gt;0,D5631/G5631,"")</f>
        <v>14.5384615384615</v>
      </c>
      <c r="I5631" s="10" t="n">
        <v>46097</v>
      </c>
      <c r="J5631" s="3" t="s">
        <v>2263</v>
      </c>
      <c r="K5631" s="10" t="n">
        <v>45630</v>
      </c>
      <c r="L5631" s="3" t="s">
        <v>15</v>
      </c>
      <c r="M5631" s="7" t="n">
        <v>202</v>
      </c>
      <c r="N5631" s="8" t="n">
        <v>0.07692</v>
      </c>
      <c r="O5631" s="4" t="n">
        <f aca="false">M5631*N5631</f>
        <v>15.53784</v>
      </c>
    </row>
    <row r="5632" customFormat="false" ht="15" hidden="false" customHeight="false" outlineLevel="0" collapsed="false">
      <c r="A5632" s="0" t="s">
        <v>7418</v>
      </c>
      <c r="C5632" s="0" t="s">
        <v>855</v>
      </c>
      <c r="D5632" s="7" t="n">
        <v>451</v>
      </c>
      <c r="E5632" s="8" t="n">
        <v>0.0321951219512195</v>
      </c>
      <c r="F5632" s="4" t="n">
        <f aca="false">D5632*E5632</f>
        <v>14.52</v>
      </c>
      <c r="G5632" s="7" t="n">
        <v>5</v>
      </c>
      <c r="H5632" s="9" t="n">
        <f aca="false">IF(G5632&gt;0,D5632/G5632,"")</f>
        <v>90.2</v>
      </c>
      <c r="I5632" s="10" t="n">
        <v>45993</v>
      </c>
      <c r="J5632" s="3" t="s">
        <v>5893</v>
      </c>
      <c r="K5632" s="10" t="n">
        <v>45355</v>
      </c>
      <c r="L5632" s="3" t="s">
        <v>19</v>
      </c>
      <c r="M5632" s="7" t="n">
        <v>500</v>
      </c>
      <c r="N5632" s="8" t="n">
        <v>0.0322</v>
      </c>
      <c r="O5632" s="4" t="n">
        <f aca="false">M5632*N5632</f>
        <v>16.1</v>
      </c>
    </row>
    <row r="5633" customFormat="false" ht="15" hidden="false" customHeight="false" outlineLevel="0" collapsed="false">
      <c r="A5633" s="0" t="s">
        <v>7419</v>
      </c>
      <c r="C5633" s="0" t="s">
        <v>31</v>
      </c>
      <c r="D5633" s="7" t="n">
        <v>448</v>
      </c>
      <c r="E5633" s="8" t="n">
        <v>0.03234375</v>
      </c>
      <c r="F5633" s="4" t="n">
        <f aca="false">D5633*E5633</f>
        <v>14.49</v>
      </c>
      <c r="G5633" s="7" t="n">
        <v>304</v>
      </c>
      <c r="H5633" s="9" t="n">
        <f aca="false">IF(G5633&gt;0,D5633/G5633,"")</f>
        <v>1.47368421052632</v>
      </c>
      <c r="I5633" s="10" t="n">
        <v>46304</v>
      </c>
      <c r="J5633" s="3" t="s">
        <v>7420</v>
      </c>
      <c r="K5633" s="10" t="n">
        <v>45147</v>
      </c>
      <c r="L5633" s="3" t="s">
        <v>14</v>
      </c>
      <c r="M5633" s="7" t="n">
        <v>1563</v>
      </c>
      <c r="N5633" s="8" t="n">
        <v>0.0324</v>
      </c>
      <c r="O5633" s="4" t="n">
        <f aca="false">M5633*N5633</f>
        <v>50.6412</v>
      </c>
    </row>
    <row r="5634" customFormat="false" ht="15" hidden="false" customHeight="false" outlineLevel="0" collapsed="false">
      <c r="A5634" s="0" t="s">
        <v>7421</v>
      </c>
      <c r="C5634" s="0" t="s">
        <v>31</v>
      </c>
      <c r="D5634" s="7" t="n">
        <v>1465</v>
      </c>
      <c r="E5634" s="8" t="n">
        <v>0.00989078498293515</v>
      </c>
      <c r="F5634" s="4" t="n">
        <f aca="false">D5634*E5634</f>
        <v>14.49</v>
      </c>
      <c r="G5634" s="7" t="n">
        <v>65</v>
      </c>
      <c r="H5634" s="9" t="n">
        <f aca="false">IF(G5634&gt;0,D5634/G5634,"")</f>
        <v>22.5384615384615</v>
      </c>
      <c r="I5634" s="10" t="n">
        <v>46086</v>
      </c>
      <c r="J5634" s="3" t="s">
        <v>673</v>
      </c>
      <c r="K5634" s="10" t="n">
        <v>44972</v>
      </c>
      <c r="L5634" s="3" t="s">
        <v>14</v>
      </c>
      <c r="M5634" s="7" t="n">
        <v>2500</v>
      </c>
      <c r="N5634" s="8" t="n">
        <v>0.0099</v>
      </c>
      <c r="O5634" s="4" t="n">
        <f aca="false">M5634*N5634</f>
        <v>24.75</v>
      </c>
    </row>
    <row r="5635" customFormat="false" ht="15" hidden="false" customHeight="false" outlineLevel="0" collapsed="false">
      <c r="A5635" s="0" t="s">
        <v>7422</v>
      </c>
      <c r="C5635" s="0" t="s">
        <v>4363</v>
      </c>
      <c r="D5635" s="7" t="n">
        <v>2</v>
      </c>
      <c r="E5635" s="8" t="n">
        <v>7.24</v>
      </c>
      <c r="F5635" s="4" t="n">
        <f aca="false">D5635*E5635</f>
        <v>14.48</v>
      </c>
      <c r="G5635" s="7" t="n">
        <v>2</v>
      </c>
      <c r="H5635" s="9" t="n">
        <f aca="false">IF(G5635&gt;0,D5635/G5635,"")</f>
        <v>1</v>
      </c>
      <c r="I5635" s="10" t="n">
        <v>46048</v>
      </c>
      <c r="J5635" s="3" t="s">
        <v>7423</v>
      </c>
      <c r="K5635" s="10" t="n">
        <v>45357</v>
      </c>
      <c r="L5635" s="3" t="s">
        <v>4365</v>
      </c>
      <c r="M5635" s="7" t="n">
        <v>5</v>
      </c>
      <c r="N5635" s="8" t="n">
        <v>7.24</v>
      </c>
      <c r="O5635" s="4" t="n">
        <f aca="false">M5635*N5635</f>
        <v>36.2</v>
      </c>
    </row>
    <row r="5636" customFormat="false" ht="15" hidden="false" customHeight="false" outlineLevel="0" collapsed="false">
      <c r="A5636" s="0" t="s">
        <v>7424</v>
      </c>
      <c r="D5636" s="7" t="n">
        <v>14</v>
      </c>
      <c r="E5636" s="8" t="n">
        <v>1.03285714285714</v>
      </c>
      <c r="F5636" s="4" t="n">
        <f aca="false">D5636*E5636</f>
        <v>14.46</v>
      </c>
      <c r="G5636" s="7" t="n">
        <v>1</v>
      </c>
      <c r="H5636" s="9" t="n">
        <f aca="false">IF(G5636&gt;0,D5636/G5636,"")</f>
        <v>14</v>
      </c>
      <c r="I5636" s="10" t="n">
        <v>46140</v>
      </c>
      <c r="J5636" s="3" t="s">
        <v>7425</v>
      </c>
      <c r="K5636" s="10" t="n">
        <v>44790</v>
      </c>
      <c r="L5636" s="3" t="s">
        <v>19</v>
      </c>
      <c r="M5636" s="7" t="n">
        <v>25</v>
      </c>
      <c r="N5636" s="8" t="n">
        <v>1.0321</v>
      </c>
      <c r="O5636" s="4" t="n">
        <f aca="false">M5636*N5636</f>
        <v>25.8025</v>
      </c>
    </row>
    <row r="5637" customFormat="false" ht="15" hidden="false" customHeight="false" outlineLevel="0" collapsed="false">
      <c r="A5637" s="0" t="s">
        <v>7426</v>
      </c>
      <c r="C5637" s="0" t="s">
        <v>31</v>
      </c>
      <c r="D5637" s="7" t="n">
        <v>78</v>
      </c>
      <c r="E5637" s="8" t="n">
        <v>0.185128205128205</v>
      </c>
      <c r="F5637" s="4" t="n">
        <f aca="false">D5637*E5637</f>
        <v>14.44</v>
      </c>
      <c r="G5637" s="7" t="n">
        <v>33</v>
      </c>
      <c r="H5637" s="9" t="n">
        <f aca="false">IF(G5637&gt;0,D5637/G5637,"")</f>
        <v>2.36363636363636</v>
      </c>
      <c r="I5637" s="10" t="n">
        <v>46176</v>
      </c>
      <c r="J5637" s="3" t="s">
        <v>1107</v>
      </c>
      <c r="K5637" s="10" t="n">
        <v>46035</v>
      </c>
      <c r="L5637" s="3" t="s">
        <v>16</v>
      </c>
      <c r="M5637" s="7" t="n">
        <v>108</v>
      </c>
      <c r="N5637" s="8" t="n">
        <v>0.18518519</v>
      </c>
      <c r="O5637" s="4" t="n">
        <f aca="false">M5637*N5637</f>
        <v>20.00000052</v>
      </c>
    </row>
    <row r="5638" customFormat="false" ht="15" hidden="false" customHeight="false" outlineLevel="0" collapsed="false">
      <c r="A5638" s="0" t="s">
        <v>7427</v>
      </c>
      <c r="C5638" s="0" t="s">
        <v>34</v>
      </c>
      <c r="D5638" s="7" t="n">
        <v>261</v>
      </c>
      <c r="E5638" s="8" t="n">
        <v>0.0552873563218391</v>
      </c>
      <c r="F5638" s="4" t="n">
        <f aca="false">D5638*E5638</f>
        <v>14.43</v>
      </c>
      <c r="G5638" s="7" t="n">
        <v>120</v>
      </c>
      <c r="H5638" s="9" t="n">
        <f aca="false">IF(G5638&gt;0,D5638/G5638,"")</f>
        <v>2.175</v>
      </c>
      <c r="I5638" s="10" t="n">
        <v>46247</v>
      </c>
      <c r="K5638" s="10"/>
      <c r="M5638" s="7"/>
      <c r="N5638" s="8"/>
      <c r="O5638" s="4"/>
    </row>
    <row r="5639" customFormat="false" ht="15" hidden="false" customHeight="false" outlineLevel="0" collapsed="false">
      <c r="A5639" s="0" t="s">
        <v>7428</v>
      </c>
      <c r="C5639" s="0" t="s">
        <v>38</v>
      </c>
      <c r="D5639" s="7" t="n">
        <v>121</v>
      </c>
      <c r="E5639" s="8" t="n">
        <v>0.11900826446281</v>
      </c>
      <c r="F5639" s="4" t="n">
        <f aca="false">D5639*E5639</f>
        <v>14.4</v>
      </c>
      <c r="G5639" s="7" t="n">
        <v>5</v>
      </c>
      <c r="H5639" s="9" t="n">
        <f aca="false">IF(G5639&gt;0,D5639/G5639,"")</f>
        <v>24.2</v>
      </c>
      <c r="I5639" s="10" t="n">
        <v>46269</v>
      </c>
      <c r="J5639" s="3" t="s">
        <v>4841</v>
      </c>
      <c r="K5639" s="10" t="n">
        <v>44313</v>
      </c>
      <c r="L5639" s="3" t="s">
        <v>19</v>
      </c>
      <c r="M5639" s="7" t="n">
        <v>420</v>
      </c>
      <c r="N5639" s="8" t="n">
        <v>0.1191</v>
      </c>
      <c r="O5639" s="4" t="n">
        <f aca="false">M5639*N5639</f>
        <v>50.022</v>
      </c>
    </row>
    <row r="5640" customFormat="false" ht="15" hidden="false" customHeight="false" outlineLevel="0" collapsed="false">
      <c r="A5640" s="0" t="s">
        <v>7429</v>
      </c>
      <c r="C5640" s="0" t="s">
        <v>298</v>
      </c>
      <c r="D5640" s="7" t="n">
        <v>71</v>
      </c>
      <c r="E5640" s="8" t="n">
        <v>0.202676056338028</v>
      </c>
      <c r="F5640" s="4" t="n">
        <f aca="false">D5640*E5640</f>
        <v>14.39</v>
      </c>
      <c r="G5640" s="7" t="n">
        <v>56</v>
      </c>
      <c r="H5640" s="9" t="n">
        <f aca="false">IF(G5640&gt;0,D5640/G5640,"")</f>
        <v>1.26785714285714</v>
      </c>
      <c r="I5640" s="10" t="n">
        <v>46309</v>
      </c>
      <c r="J5640" s="3" t="s">
        <v>7430</v>
      </c>
      <c r="K5640" s="10" t="n">
        <v>45034</v>
      </c>
      <c r="L5640" s="3" t="s">
        <v>19</v>
      </c>
      <c r="M5640" s="7" t="n">
        <v>160</v>
      </c>
      <c r="N5640" s="8" t="n">
        <v>0.2027</v>
      </c>
      <c r="O5640" s="4" t="n">
        <f aca="false">M5640*N5640</f>
        <v>32.432</v>
      </c>
    </row>
    <row r="5641" customFormat="false" ht="15" hidden="false" customHeight="false" outlineLevel="0" collapsed="false">
      <c r="A5641" s="0" t="s">
        <v>7431</v>
      </c>
      <c r="C5641" s="0" t="s">
        <v>39</v>
      </c>
      <c r="D5641" s="7" t="n">
        <v>27</v>
      </c>
      <c r="E5641" s="8" t="n">
        <v>0.532592592592593</v>
      </c>
      <c r="F5641" s="4" t="n">
        <f aca="false">D5641*E5641</f>
        <v>14.38</v>
      </c>
      <c r="G5641" s="7" t="n">
        <v>20</v>
      </c>
      <c r="H5641" s="9" t="n">
        <f aca="false">IF(G5641&gt;0,D5641/G5641,"")</f>
        <v>1.35</v>
      </c>
      <c r="I5641" s="10" t="n">
        <v>46077</v>
      </c>
      <c r="K5641" s="10"/>
      <c r="M5641" s="7"/>
      <c r="N5641" s="8"/>
      <c r="O5641" s="4"/>
    </row>
    <row r="5642" customFormat="false" ht="15" hidden="false" customHeight="false" outlineLevel="0" collapsed="false">
      <c r="A5642" s="0" t="s">
        <v>7432</v>
      </c>
      <c r="C5642" s="0" t="s">
        <v>31</v>
      </c>
      <c r="D5642" s="7" t="n">
        <v>1990</v>
      </c>
      <c r="E5642" s="8" t="n">
        <v>0.00722613065326633</v>
      </c>
      <c r="F5642" s="4" t="n">
        <f aca="false">D5642*E5642</f>
        <v>14.38</v>
      </c>
      <c r="G5642" s="7" t="n">
        <v>55</v>
      </c>
      <c r="H5642" s="9" t="n">
        <f aca="false">IF(G5642&gt;0,D5642/G5642,"")</f>
        <v>36.1818181818182</v>
      </c>
      <c r="I5642" s="10" t="n">
        <v>46062</v>
      </c>
      <c r="J5642" s="3" t="s">
        <v>5852</v>
      </c>
      <c r="K5642" s="10" t="n">
        <v>45487</v>
      </c>
      <c r="L5642" s="3" t="s">
        <v>15</v>
      </c>
      <c r="M5642" s="7" t="n">
        <v>2500</v>
      </c>
      <c r="N5642" s="8" t="n">
        <v>0.00722</v>
      </c>
      <c r="O5642" s="4" t="n">
        <f aca="false">M5642*N5642</f>
        <v>18.05</v>
      </c>
    </row>
    <row r="5643" customFormat="false" ht="15" hidden="false" customHeight="false" outlineLevel="0" collapsed="false">
      <c r="A5643" s="0" t="s">
        <v>7433</v>
      </c>
      <c r="C5643" s="0" t="s">
        <v>31</v>
      </c>
      <c r="D5643" s="7" t="n">
        <v>57</v>
      </c>
      <c r="E5643" s="8" t="n">
        <v>0.251754385964912</v>
      </c>
      <c r="F5643" s="4" t="n">
        <f aca="false">D5643*E5643</f>
        <v>14.35</v>
      </c>
      <c r="G5643" s="7" t="n">
        <v>39</v>
      </c>
      <c r="H5643" s="9" t="n">
        <f aca="false">IF(G5643&gt;0,D5643/G5643,"")</f>
        <v>1.46153846153846</v>
      </c>
      <c r="I5643" s="10" t="n">
        <v>46169</v>
      </c>
      <c r="J5643" s="3" t="s">
        <v>4213</v>
      </c>
      <c r="K5643" s="10" t="n">
        <v>45933</v>
      </c>
      <c r="L5643" s="3" t="s">
        <v>19</v>
      </c>
      <c r="M5643" s="7" t="n">
        <v>100</v>
      </c>
      <c r="N5643" s="8" t="n">
        <v>0.2517</v>
      </c>
      <c r="O5643" s="4" t="n">
        <f aca="false">M5643*N5643</f>
        <v>25.17</v>
      </c>
    </row>
    <row r="5644" customFormat="false" ht="15" hidden="false" customHeight="false" outlineLevel="0" collapsed="false">
      <c r="A5644" s="0" t="s">
        <v>7434</v>
      </c>
      <c r="C5644" s="0" t="s">
        <v>40</v>
      </c>
      <c r="D5644" s="7" t="n">
        <v>2795</v>
      </c>
      <c r="E5644" s="8" t="n">
        <v>0.00512701252236136</v>
      </c>
      <c r="F5644" s="4" t="n">
        <f aca="false">D5644*E5644</f>
        <v>14.33</v>
      </c>
      <c r="G5644" s="7" t="n">
        <v>580</v>
      </c>
      <c r="H5644" s="9" t="n">
        <f aca="false">IF(G5644&gt;0,D5644/G5644,"")</f>
        <v>4.81896551724138</v>
      </c>
      <c r="I5644" s="10" t="n">
        <v>46251</v>
      </c>
      <c r="K5644" s="10"/>
      <c r="M5644" s="7"/>
      <c r="N5644" s="8"/>
      <c r="O5644" s="4"/>
    </row>
    <row r="5645" customFormat="false" ht="15" hidden="false" customHeight="false" outlineLevel="0" collapsed="false">
      <c r="A5645" s="0" t="s">
        <v>7435</v>
      </c>
      <c r="C5645" s="0" t="s">
        <v>34</v>
      </c>
      <c r="D5645" s="7" t="n">
        <v>143</v>
      </c>
      <c r="E5645" s="8" t="n">
        <v>0.1</v>
      </c>
      <c r="F5645" s="4" t="n">
        <f aca="false">D5645*E5645</f>
        <v>14.3</v>
      </c>
      <c r="G5645" s="7" t="n">
        <v>40</v>
      </c>
      <c r="H5645" s="9" t="n">
        <f aca="false">IF(G5645&gt;0,D5645/G5645,"")</f>
        <v>3.575</v>
      </c>
      <c r="I5645" s="10" t="n">
        <v>46218</v>
      </c>
      <c r="J5645" s="3" t="s">
        <v>366</v>
      </c>
      <c r="K5645" s="10" t="n">
        <v>45721</v>
      </c>
      <c r="L5645" s="3" t="s">
        <v>16</v>
      </c>
      <c r="M5645" s="7" t="n">
        <v>200</v>
      </c>
      <c r="N5645" s="8" t="n">
        <v>0.1</v>
      </c>
      <c r="O5645" s="4" t="n">
        <f aca="false">M5645*N5645</f>
        <v>20</v>
      </c>
    </row>
    <row r="5646" customFormat="false" ht="15" hidden="false" customHeight="false" outlineLevel="0" collapsed="false">
      <c r="A5646" s="0" t="s">
        <v>7436</v>
      </c>
      <c r="C5646" s="0" t="s">
        <v>1010</v>
      </c>
      <c r="D5646" s="7" t="n">
        <v>152</v>
      </c>
      <c r="E5646" s="8" t="n">
        <v>0.0940131578947368</v>
      </c>
      <c r="F5646" s="4" t="n">
        <f aca="false">D5646*E5646</f>
        <v>14.29</v>
      </c>
      <c r="G5646" s="7" t="n">
        <v>29</v>
      </c>
      <c r="H5646" s="9" t="n">
        <f aca="false">IF(G5646&gt;0,D5646/G5646,"")</f>
        <v>5.24137931034483</v>
      </c>
      <c r="I5646" s="10" t="n">
        <v>46111</v>
      </c>
      <c r="J5646" s="3" t="s">
        <v>7437</v>
      </c>
      <c r="K5646" s="10" t="n">
        <v>44426</v>
      </c>
      <c r="L5646" s="3" t="s">
        <v>14</v>
      </c>
      <c r="M5646" s="7" t="n">
        <v>299</v>
      </c>
      <c r="N5646" s="8" t="n">
        <v>0.094</v>
      </c>
      <c r="O5646" s="4" t="n">
        <f aca="false">M5646*N5646</f>
        <v>28.106</v>
      </c>
    </row>
    <row r="5647" customFormat="false" ht="15" hidden="false" customHeight="false" outlineLevel="0" collapsed="false">
      <c r="A5647" s="0" t="s">
        <v>7438</v>
      </c>
      <c r="C5647" s="0" t="s">
        <v>38</v>
      </c>
      <c r="D5647" s="7" t="n">
        <v>516</v>
      </c>
      <c r="E5647" s="8" t="n">
        <v>0.027577519379845</v>
      </c>
      <c r="F5647" s="4" t="n">
        <f aca="false">D5647*E5647</f>
        <v>14.23</v>
      </c>
      <c r="G5647" s="7" t="n">
        <v>168</v>
      </c>
      <c r="H5647" s="9" t="n">
        <f aca="false">IF(G5647&gt;0,D5647/G5647,"")</f>
        <v>3.07142857142857</v>
      </c>
      <c r="I5647" s="10" t="n">
        <v>46220</v>
      </c>
      <c r="J5647" s="3" t="s">
        <v>4250</v>
      </c>
      <c r="K5647" s="10" t="n">
        <v>45659</v>
      </c>
      <c r="L5647" s="3" t="s">
        <v>18</v>
      </c>
      <c r="M5647" s="7" t="n">
        <v>1100</v>
      </c>
      <c r="N5647" s="8" t="n">
        <v>0.024</v>
      </c>
      <c r="O5647" s="4" t="n">
        <f aca="false">M5647*N5647</f>
        <v>26.4</v>
      </c>
    </row>
    <row r="5648" customFormat="false" ht="15" hidden="false" customHeight="false" outlineLevel="0" collapsed="false">
      <c r="A5648" s="0" t="s">
        <v>7439</v>
      </c>
      <c r="C5648" s="0" t="s">
        <v>41</v>
      </c>
      <c r="D5648" s="7" t="n">
        <v>16</v>
      </c>
      <c r="E5648" s="8" t="n">
        <v>0.889375</v>
      </c>
      <c r="F5648" s="4" t="n">
        <f aca="false">D5648*E5648</f>
        <v>14.23</v>
      </c>
      <c r="G5648" s="7" t="n">
        <v>5</v>
      </c>
      <c r="H5648" s="9" t="n">
        <f aca="false">IF(G5648&gt;0,D5648/G5648,"")</f>
        <v>3.2</v>
      </c>
      <c r="I5648" s="10" t="n">
        <v>46008</v>
      </c>
      <c r="J5648" s="3" t="s">
        <v>296</v>
      </c>
      <c r="K5648" s="10" t="n">
        <v>45975</v>
      </c>
      <c r="L5648" s="3" t="s">
        <v>16</v>
      </c>
      <c r="M5648" s="7" t="n">
        <v>21</v>
      </c>
      <c r="N5648" s="8" t="n">
        <v>0.8897</v>
      </c>
      <c r="O5648" s="4" t="n">
        <f aca="false">M5648*N5648</f>
        <v>18.6837</v>
      </c>
    </row>
    <row r="5649" customFormat="false" ht="15" hidden="false" customHeight="false" outlineLevel="0" collapsed="false">
      <c r="A5649" s="0" t="s">
        <v>7440</v>
      </c>
      <c r="C5649" s="0" t="s">
        <v>40</v>
      </c>
      <c r="D5649" s="7" t="n">
        <v>487</v>
      </c>
      <c r="E5649" s="8" t="n">
        <v>0.0291786447638604</v>
      </c>
      <c r="F5649" s="4" t="n">
        <f aca="false">D5649*E5649</f>
        <v>14.21</v>
      </c>
      <c r="G5649" s="7" t="n">
        <v>45</v>
      </c>
      <c r="H5649" s="9" t="n">
        <f aca="false">IF(G5649&gt;0,D5649/G5649,"")</f>
        <v>10.8222222222222</v>
      </c>
      <c r="I5649" s="10" t="n">
        <v>46129</v>
      </c>
      <c r="K5649" s="10"/>
      <c r="M5649" s="7"/>
      <c r="N5649" s="8"/>
      <c r="O5649" s="4"/>
    </row>
    <row r="5650" customFormat="false" ht="15" hidden="false" customHeight="false" outlineLevel="0" collapsed="false">
      <c r="A5650" s="0" t="s">
        <v>7441</v>
      </c>
      <c r="C5650" s="0" t="s">
        <v>33</v>
      </c>
      <c r="D5650" s="7" t="n">
        <v>1548</v>
      </c>
      <c r="E5650" s="8" t="n">
        <v>0.00917958656330749</v>
      </c>
      <c r="F5650" s="4" t="n">
        <f aca="false">D5650*E5650</f>
        <v>14.21</v>
      </c>
      <c r="G5650" s="7" t="n">
        <v>150</v>
      </c>
      <c r="H5650" s="9" t="n">
        <f aca="false">IF(G5650&gt;0,D5650/G5650,"")</f>
        <v>10.32</v>
      </c>
      <c r="I5650" s="10" t="n">
        <v>46238</v>
      </c>
      <c r="K5650" s="10"/>
      <c r="M5650" s="7"/>
      <c r="N5650" s="8"/>
      <c r="O5650" s="4"/>
    </row>
    <row r="5651" customFormat="false" ht="15" hidden="false" customHeight="false" outlineLevel="0" collapsed="false">
      <c r="A5651" s="0" t="s">
        <v>7442</v>
      </c>
      <c r="C5651" s="0" t="s">
        <v>31</v>
      </c>
      <c r="D5651" s="7" t="n">
        <v>107</v>
      </c>
      <c r="E5651" s="8" t="n">
        <v>0.132616822429907</v>
      </c>
      <c r="F5651" s="4" t="n">
        <f aca="false">D5651*E5651</f>
        <v>14.19</v>
      </c>
      <c r="G5651" s="7" t="n">
        <v>80</v>
      </c>
      <c r="H5651" s="9" t="n">
        <f aca="false">IF(G5651&gt;0,D5651/G5651,"")</f>
        <v>1.3375</v>
      </c>
      <c r="I5651" s="10" t="n">
        <v>46266</v>
      </c>
      <c r="J5651" s="3" t="s">
        <v>2321</v>
      </c>
      <c r="K5651" s="10" t="n">
        <v>46094</v>
      </c>
      <c r="L5651" s="3" t="s">
        <v>16</v>
      </c>
      <c r="M5651" s="7" t="n">
        <v>151</v>
      </c>
      <c r="N5651" s="8" t="n">
        <v>0.1324503</v>
      </c>
      <c r="O5651" s="4" t="n">
        <f aca="false">M5651*N5651</f>
        <v>19.9999953</v>
      </c>
    </row>
    <row r="5652" customFormat="false" ht="15" hidden="false" customHeight="false" outlineLevel="0" collapsed="false">
      <c r="A5652" s="0" t="s">
        <v>7443</v>
      </c>
      <c r="C5652" s="0" t="s">
        <v>118</v>
      </c>
      <c r="D5652" s="7" t="n">
        <v>6</v>
      </c>
      <c r="E5652" s="8" t="n">
        <v>2.365</v>
      </c>
      <c r="F5652" s="4" t="n">
        <f aca="false">D5652*E5652</f>
        <v>14.19</v>
      </c>
      <c r="G5652" s="7" t="n">
        <v>4</v>
      </c>
      <c r="H5652" s="9" t="n">
        <f aca="false">IF(G5652&gt;0,D5652/G5652,"")</f>
        <v>1.5</v>
      </c>
      <c r="I5652" s="10" t="n">
        <v>45972</v>
      </c>
      <c r="J5652" s="3" t="s">
        <v>4598</v>
      </c>
      <c r="K5652" s="10" t="n">
        <v>45958</v>
      </c>
      <c r="L5652" s="3" t="s">
        <v>19</v>
      </c>
      <c r="M5652" s="7" t="n">
        <v>10</v>
      </c>
      <c r="N5652" s="8" t="n">
        <v>2.3654</v>
      </c>
      <c r="O5652" s="4" t="n">
        <f aca="false">M5652*N5652</f>
        <v>23.654</v>
      </c>
    </row>
    <row r="5653" customFormat="false" ht="15" hidden="false" customHeight="false" outlineLevel="0" collapsed="false">
      <c r="A5653" s="0" t="s">
        <v>7444</v>
      </c>
      <c r="C5653" s="0" t="s">
        <v>777</v>
      </c>
      <c r="D5653" s="7" t="n">
        <v>54</v>
      </c>
      <c r="E5653" s="8" t="n">
        <v>0.262777777777778</v>
      </c>
      <c r="F5653" s="4" t="n">
        <f aca="false">D5653*E5653</f>
        <v>14.19</v>
      </c>
      <c r="G5653" s="7" t="n">
        <v>5</v>
      </c>
      <c r="H5653" s="9" t="n">
        <f aca="false">IF(G5653&gt;0,D5653/G5653,"")</f>
        <v>10.8</v>
      </c>
      <c r="I5653" s="10" t="n">
        <v>46168</v>
      </c>
      <c r="J5653" s="3" t="s">
        <v>341</v>
      </c>
      <c r="K5653" s="10" t="n">
        <v>46078</v>
      </c>
      <c r="L5653" s="3" t="s">
        <v>15</v>
      </c>
      <c r="M5653" s="7" t="n">
        <v>59</v>
      </c>
      <c r="N5653" s="8" t="n">
        <v>0.26264</v>
      </c>
      <c r="O5653" s="4" t="n">
        <f aca="false">M5653*N5653</f>
        <v>15.49576</v>
      </c>
    </row>
    <row r="5654" customFormat="false" ht="15" hidden="false" customHeight="false" outlineLevel="0" collapsed="false">
      <c r="A5654" s="0" t="s">
        <v>7445</v>
      </c>
      <c r="C5654" s="0" t="s">
        <v>36</v>
      </c>
      <c r="D5654" s="7" t="n">
        <v>52</v>
      </c>
      <c r="E5654" s="8" t="n">
        <v>0.272692307692308</v>
      </c>
      <c r="F5654" s="4" t="n">
        <f aca="false">D5654*E5654</f>
        <v>14.18</v>
      </c>
      <c r="G5654" s="7" t="n">
        <v>4</v>
      </c>
      <c r="H5654" s="9" t="n">
        <f aca="false">IF(G5654&gt;0,D5654/G5654,"")</f>
        <v>13</v>
      </c>
      <c r="I5654" s="10" t="n">
        <v>46069</v>
      </c>
      <c r="J5654" s="3" t="s">
        <v>6110</v>
      </c>
      <c r="K5654" s="10" t="n">
        <v>44999</v>
      </c>
      <c r="L5654" s="3" t="s">
        <v>19</v>
      </c>
      <c r="M5654" s="7" t="n">
        <v>111</v>
      </c>
      <c r="N5654" s="8" t="n">
        <v>0.2726</v>
      </c>
      <c r="O5654" s="4" t="n">
        <f aca="false">M5654*N5654</f>
        <v>30.2586</v>
      </c>
    </row>
    <row r="5655" customFormat="false" ht="15" hidden="false" customHeight="false" outlineLevel="0" collapsed="false">
      <c r="A5655" s="0" t="s">
        <v>7446</v>
      </c>
      <c r="C5655" s="0" t="s">
        <v>41</v>
      </c>
      <c r="D5655" s="7" t="n">
        <v>1506</v>
      </c>
      <c r="E5655" s="8" t="n">
        <v>0.00940903054448871</v>
      </c>
      <c r="F5655" s="4" t="n">
        <f aca="false">D5655*E5655</f>
        <v>14.17</v>
      </c>
      <c r="G5655" s="7" t="n">
        <v>301</v>
      </c>
      <c r="H5655" s="9" t="n">
        <f aca="false">IF(G5655&gt;0,D5655/G5655,"")</f>
        <v>5.00332225913621</v>
      </c>
      <c r="I5655" s="10" t="n">
        <v>46295</v>
      </c>
      <c r="K5655" s="10"/>
      <c r="M5655" s="7"/>
      <c r="N5655" s="8"/>
      <c r="O5655" s="4"/>
    </row>
    <row r="5656" customFormat="false" ht="15" hidden="false" customHeight="false" outlineLevel="0" collapsed="false">
      <c r="A5656" s="0" t="s">
        <v>7447</v>
      </c>
      <c r="C5656" s="0" t="s">
        <v>36</v>
      </c>
      <c r="D5656" s="7" t="n">
        <v>503</v>
      </c>
      <c r="E5656" s="8" t="n">
        <v>0.0280914512922465</v>
      </c>
      <c r="F5656" s="4" t="n">
        <f aca="false">D5656*E5656</f>
        <v>14.13</v>
      </c>
      <c r="G5656" s="7" t="n">
        <v>150</v>
      </c>
      <c r="H5656" s="9" t="n">
        <f aca="false">IF(G5656&gt;0,D5656/G5656,"")</f>
        <v>3.35333333333333</v>
      </c>
      <c r="I5656" s="10" t="n">
        <v>46073</v>
      </c>
      <c r="J5656" s="3" t="s">
        <v>1905</v>
      </c>
      <c r="K5656" s="10" t="n">
        <v>45672</v>
      </c>
      <c r="L5656" s="3" t="s">
        <v>18</v>
      </c>
      <c r="M5656" s="7" t="n">
        <v>900</v>
      </c>
      <c r="N5656" s="8" t="n">
        <v>0.0281</v>
      </c>
      <c r="O5656" s="4" t="n">
        <f aca="false">M5656*N5656</f>
        <v>25.29</v>
      </c>
    </row>
    <row r="5657" customFormat="false" ht="15" hidden="false" customHeight="false" outlineLevel="0" collapsed="false">
      <c r="A5657" s="0" t="s">
        <v>7448</v>
      </c>
      <c r="C5657" s="0" t="s">
        <v>31</v>
      </c>
      <c r="D5657" s="7" t="n">
        <v>1520</v>
      </c>
      <c r="E5657" s="8" t="n">
        <v>0.00928947368421053</v>
      </c>
      <c r="F5657" s="4" t="n">
        <f aca="false">D5657*E5657</f>
        <v>14.12</v>
      </c>
      <c r="G5657" s="7" t="n">
        <v>263</v>
      </c>
      <c r="H5657" s="9" t="n">
        <f aca="false">IF(G5657&gt;0,D5657/G5657,"")</f>
        <v>5.77946768060837</v>
      </c>
      <c r="I5657" s="10" t="n">
        <v>46196</v>
      </c>
      <c r="J5657" s="3" t="s">
        <v>5852</v>
      </c>
      <c r="K5657" s="10" t="n">
        <v>45487</v>
      </c>
      <c r="L5657" s="3" t="s">
        <v>15</v>
      </c>
      <c r="M5657" s="7" t="n">
        <v>1770</v>
      </c>
      <c r="N5657" s="8" t="n">
        <v>0.00929</v>
      </c>
      <c r="O5657" s="4" t="n">
        <f aca="false">M5657*N5657</f>
        <v>16.4433</v>
      </c>
    </row>
    <row r="5658" customFormat="false" ht="15" hidden="false" customHeight="false" outlineLevel="0" collapsed="false">
      <c r="A5658" s="0" t="s">
        <v>7449</v>
      </c>
      <c r="C5658" s="0" t="s">
        <v>1039</v>
      </c>
      <c r="D5658" s="7" t="n">
        <v>4953</v>
      </c>
      <c r="E5658" s="8" t="n">
        <v>0.00285079749646679</v>
      </c>
      <c r="F5658" s="4" t="n">
        <f aca="false">D5658*E5658</f>
        <v>14.12</v>
      </c>
      <c r="G5658" s="7" t="n">
        <v>2225</v>
      </c>
      <c r="H5658" s="9" t="n">
        <f aca="false">IF(G5658&gt;0,D5658/G5658,"")</f>
        <v>2.22606741573034</v>
      </c>
      <c r="I5658" s="10" t="n">
        <v>46308</v>
      </c>
      <c r="J5658" s="3" t="s">
        <v>2043</v>
      </c>
      <c r="K5658" s="10" t="n">
        <v>46104</v>
      </c>
      <c r="L5658" s="3" t="s">
        <v>16</v>
      </c>
      <c r="M5658" s="7" t="n">
        <v>7028</v>
      </c>
      <c r="N5658" s="8" t="n">
        <v>0.0028457</v>
      </c>
      <c r="O5658" s="4" t="n">
        <f aca="false">M5658*N5658</f>
        <v>19.9995796</v>
      </c>
    </row>
    <row r="5659" customFormat="false" ht="15" hidden="false" customHeight="false" outlineLevel="0" collapsed="false">
      <c r="A5659" s="0" t="s">
        <v>7450</v>
      </c>
      <c r="C5659" s="0" t="s">
        <v>31</v>
      </c>
      <c r="D5659" s="7" t="n">
        <v>2231</v>
      </c>
      <c r="E5659" s="8" t="n">
        <v>0.00630210667861945</v>
      </c>
      <c r="F5659" s="4" t="n">
        <f aca="false">D5659*E5659</f>
        <v>14.06</v>
      </c>
      <c r="G5659" s="7" t="n">
        <v>161</v>
      </c>
      <c r="H5659" s="9" t="n">
        <f aca="false">IF(G5659&gt;0,D5659/G5659,"")</f>
        <v>13.8571428571429</v>
      </c>
      <c r="I5659" s="10" t="n">
        <v>46279</v>
      </c>
      <c r="J5659" s="3" t="s">
        <v>2348</v>
      </c>
      <c r="K5659" s="10" t="n">
        <v>45789</v>
      </c>
      <c r="L5659" s="3" t="s">
        <v>14</v>
      </c>
      <c r="M5659" s="7" t="n">
        <v>2869</v>
      </c>
      <c r="N5659" s="8" t="n">
        <v>0.0063</v>
      </c>
      <c r="O5659" s="4" t="n">
        <f aca="false">M5659*N5659</f>
        <v>18.0747</v>
      </c>
    </row>
    <row r="5660" customFormat="false" ht="15" hidden="false" customHeight="false" outlineLevel="0" collapsed="false">
      <c r="A5660" s="0" t="s">
        <v>7451</v>
      </c>
      <c r="D5660" s="7" t="n">
        <v>3</v>
      </c>
      <c r="E5660" s="8" t="n">
        <v>4.68333333333333</v>
      </c>
      <c r="F5660" s="4" t="n">
        <f aca="false">D5660*E5660</f>
        <v>14.05</v>
      </c>
      <c r="G5660" s="7" t="n">
        <v>3</v>
      </c>
      <c r="H5660" s="9" t="n">
        <f aca="false">IF(G5660&gt;0,D5660/G5660,"")</f>
        <v>1</v>
      </c>
      <c r="I5660" s="10" t="n">
        <v>46128</v>
      </c>
      <c r="J5660" s="3" t="s">
        <v>1547</v>
      </c>
      <c r="K5660" s="10" t="n">
        <v>45056</v>
      </c>
      <c r="L5660" s="3" t="s">
        <v>14</v>
      </c>
      <c r="M5660" s="7" t="n">
        <v>25</v>
      </c>
      <c r="N5660" s="8" t="n">
        <v>4.6824</v>
      </c>
      <c r="O5660" s="4" t="n">
        <f aca="false">M5660*N5660</f>
        <v>117.06</v>
      </c>
    </row>
    <row r="5661" customFormat="false" ht="15" hidden="false" customHeight="false" outlineLevel="0" collapsed="false">
      <c r="A5661" s="0" t="s">
        <v>7452</v>
      </c>
      <c r="C5661" s="0" t="s">
        <v>1039</v>
      </c>
      <c r="D5661" s="7" t="n">
        <v>105</v>
      </c>
      <c r="E5661" s="8" t="n">
        <v>0.133428571428571</v>
      </c>
      <c r="F5661" s="4" t="n">
        <f aca="false">D5661*E5661</f>
        <v>14.01</v>
      </c>
      <c r="G5661" s="7" t="n">
        <v>40</v>
      </c>
      <c r="H5661" s="9" t="n">
        <f aca="false">IF(G5661&gt;0,D5661/G5661,"")</f>
        <v>2.625</v>
      </c>
      <c r="I5661" s="10" t="n">
        <v>46168</v>
      </c>
      <c r="J5661" s="3" t="s">
        <v>5340</v>
      </c>
      <c r="K5661" s="10" t="n">
        <v>44285</v>
      </c>
      <c r="L5661" s="3" t="s">
        <v>19</v>
      </c>
      <c r="M5661" s="7" t="n">
        <v>250</v>
      </c>
      <c r="N5661" s="8" t="n">
        <v>0.1334</v>
      </c>
      <c r="O5661" s="4" t="n">
        <f aca="false">M5661*N5661</f>
        <v>33.35</v>
      </c>
    </row>
    <row r="5662" customFormat="false" ht="15" hidden="false" customHeight="false" outlineLevel="0" collapsed="false">
      <c r="A5662" s="0" t="s">
        <v>7453</v>
      </c>
      <c r="C5662" s="0" t="s">
        <v>32</v>
      </c>
      <c r="D5662" s="7" t="n">
        <v>33363</v>
      </c>
      <c r="E5662" s="8" t="n">
        <v>0.000419626532386176</v>
      </c>
      <c r="F5662" s="4" t="n">
        <f aca="false">D5662*E5662</f>
        <v>14</v>
      </c>
      <c r="G5662" s="7" t="n">
        <v>8975</v>
      </c>
      <c r="H5662" s="9" t="n">
        <f aca="false">IF(G5662&gt;0,D5662/G5662,"")</f>
        <v>3.71732590529248</v>
      </c>
      <c r="I5662" s="10" t="n">
        <v>46304</v>
      </c>
      <c r="J5662" s="3" t="s">
        <v>5244</v>
      </c>
      <c r="K5662" s="10" t="n">
        <v>45821</v>
      </c>
      <c r="L5662" s="3" t="s">
        <v>18</v>
      </c>
      <c r="M5662" s="7" t="n">
        <v>14000</v>
      </c>
      <c r="N5662" s="8" t="n">
        <v>0.0032</v>
      </c>
      <c r="O5662" s="4" t="n">
        <f aca="false">M5662*N5662</f>
        <v>44.8</v>
      </c>
    </row>
    <row r="5663" customFormat="false" ht="15" hidden="false" customHeight="false" outlineLevel="0" collapsed="false">
      <c r="A5663" s="0" t="s">
        <v>7454</v>
      </c>
      <c r="C5663" s="0" t="s">
        <v>360</v>
      </c>
      <c r="D5663" s="7" t="n">
        <v>140</v>
      </c>
      <c r="E5663" s="8" t="n">
        <v>0.1</v>
      </c>
      <c r="F5663" s="4" t="n">
        <f aca="false">D5663*E5663</f>
        <v>14</v>
      </c>
      <c r="G5663" s="7" t="n">
        <v>30</v>
      </c>
      <c r="H5663" s="9" t="n">
        <f aca="false">IF(G5663&gt;0,D5663/G5663,"")</f>
        <v>4.66666666666667</v>
      </c>
      <c r="I5663" s="10" t="n">
        <v>46282</v>
      </c>
      <c r="J5663" s="3" t="s">
        <v>1134</v>
      </c>
      <c r="K5663" s="10" t="n">
        <v>44630</v>
      </c>
      <c r="L5663" s="3" t="s">
        <v>14</v>
      </c>
      <c r="M5663" s="7" t="n">
        <v>204</v>
      </c>
      <c r="N5663" s="8" t="n">
        <v>0.1</v>
      </c>
      <c r="O5663" s="4" t="n">
        <f aca="false">M5663*N5663</f>
        <v>20.4</v>
      </c>
    </row>
    <row r="5664" customFormat="false" ht="15" hidden="false" customHeight="false" outlineLevel="0" collapsed="false">
      <c r="A5664" s="0" t="s">
        <v>7455</v>
      </c>
      <c r="C5664" s="0" t="s">
        <v>31</v>
      </c>
      <c r="D5664" s="7" t="n">
        <v>44</v>
      </c>
      <c r="E5664" s="8" t="n">
        <v>0.317954545454545</v>
      </c>
      <c r="F5664" s="4" t="n">
        <f aca="false">D5664*E5664</f>
        <v>13.99</v>
      </c>
      <c r="G5664" s="7" t="n">
        <v>6</v>
      </c>
      <c r="H5664" s="9" t="n">
        <f aca="false">IF(G5664&gt;0,D5664/G5664,"")</f>
        <v>7.33333333333333</v>
      </c>
      <c r="I5664" s="10" t="n">
        <v>46133</v>
      </c>
      <c r="J5664" s="3" t="s">
        <v>6073</v>
      </c>
      <c r="K5664" s="10" t="n">
        <v>46126</v>
      </c>
      <c r="L5664" s="3" t="s">
        <v>19</v>
      </c>
      <c r="M5664" s="7" t="n">
        <v>50</v>
      </c>
      <c r="N5664" s="8" t="n">
        <v>0.3179</v>
      </c>
      <c r="O5664" s="4" t="n">
        <f aca="false">M5664*N5664</f>
        <v>15.895</v>
      </c>
    </row>
    <row r="5665" customFormat="false" ht="15" hidden="false" customHeight="false" outlineLevel="0" collapsed="false">
      <c r="A5665" s="0" t="s">
        <v>7456</v>
      </c>
      <c r="C5665" s="0" t="s">
        <v>31</v>
      </c>
      <c r="D5665" s="7" t="n">
        <v>202</v>
      </c>
      <c r="E5665" s="8" t="n">
        <v>0.0692079207920792</v>
      </c>
      <c r="F5665" s="4" t="n">
        <f aca="false">D5665*E5665</f>
        <v>13.98</v>
      </c>
      <c r="G5665" s="7" t="n">
        <v>27</v>
      </c>
      <c r="H5665" s="9" t="n">
        <f aca="false">IF(G5665&gt;0,D5665/G5665,"")</f>
        <v>7.48148148148148</v>
      </c>
      <c r="I5665" s="10" t="n">
        <v>46154</v>
      </c>
      <c r="J5665" s="3" t="s">
        <v>3397</v>
      </c>
      <c r="K5665" s="10" t="n">
        <v>45434</v>
      </c>
      <c r="L5665" s="3" t="s">
        <v>19</v>
      </c>
      <c r="M5665" s="7" t="n">
        <v>250</v>
      </c>
      <c r="N5665" s="8" t="n">
        <v>0.0692</v>
      </c>
      <c r="O5665" s="4" t="n">
        <f aca="false">M5665*N5665</f>
        <v>17.3</v>
      </c>
    </row>
    <row r="5666" customFormat="false" ht="15" hidden="false" customHeight="false" outlineLevel="0" collapsed="false">
      <c r="A5666" s="0" t="s">
        <v>7457</v>
      </c>
      <c r="C5666" s="0" t="s">
        <v>31</v>
      </c>
      <c r="D5666" s="7" t="n">
        <v>136</v>
      </c>
      <c r="E5666" s="8" t="n">
        <v>0.102573529411765</v>
      </c>
      <c r="F5666" s="4" t="n">
        <f aca="false">D5666*E5666</f>
        <v>13.95</v>
      </c>
      <c r="G5666" s="7" t="n">
        <v>35</v>
      </c>
      <c r="H5666" s="9" t="n">
        <f aca="false">IF(G5666&gt;0,D5666/G5666,"")</f>
        <v>3.88571428571429</v>
      </c>
      <c r="I5666" s="10" t="n">
        <v>46219</v>
      </c>
      <c r="J5666" s="3" t="s">
        <v>3712</v>
      </c>
      <c r="K5666" s="10" t="n">
        <v>46190</v>
      </c>
      <c r="L5666" s="3" t="s">
        <v>14</v>
      </c>
      <c r="M5666" s="7" t="n">
        <v>148</v>
      </c>
      <c r="N5666" s="8" t="n">
        <v>0.0915</v>
      </c>
      <c r="O5666" s="4" t="n">
        <f aca="false">M5666*N5666</f>
        <v>13.542</v>
      </c>
    </row>
    <row r="5667" customFormat="false" ht="15" hidden="false" customHeight="false" outlineLevel="0" collapsed="false">
      <c r="A5667" s="0" t="s">
        <v>7458</v>
      </c>
      <c r="C5667" s="0" t="s">
        <v>34</v>
      </c>
      <c r="D5667" s="7" t="n">
        <v>284</v>
      </c>
      <c r="E5667" s="8" t="n">
        <v>0.0491197183098592</v>
      </c>
      <c r="F5667" s="4" t="n">
        <f aca="false">D5667*E5667</f>
        <v>13.95</v>
      </c>
      <c r="G5667" s="7" t="n">
        <v>5</v>
      </c>
      <c r="H5667" s="9" t="n">
        <f aca="false">IF(G5667&gt;0,D5667/G5667,"")</f>
        <v>56.8</v>
      </c>
      <c r="I5667" s="10" t="n">
        <v>46141</v>
      </c>
      <c r="J5667" s="3" t="s">
        <v>929</v>
      </c>
      <c r="K5667" s="10" t="n">
        <v>44327</v>
      </c>
      <c r="L5667" s="3" t="s">
        <v>15</v>
      </c>
      <c r="M5667" s="7" t="n">
        <v>730</v>
      </c>
      <c r="N5667" s="8" t="n">
        <v>0.04917</v>
      </c>
      <c r="O5667" s="4" t="n">
        <f aca="false">M5667*N5667</f>
        <v>35.8941</v>
      </c>
    </row>
    <row r="5668" customFormat="false" ht="15" hidden="false" customHeight="false" outlineLevel="0" collapsed="false">
      <c r="A5668" s="0" t="s">
        <v>7459</v>
      </c>
      <c r="C5668" s="0" t="s">
        <v>31</v>
      </c>
      <c r="D5668" s="7" t="n">
        <v>62</v>
      </c>
      <c r="E5668" s="8" t="n">
        <v>0.224838709677419</v>
      </c>
      <c r="F5668" s="4" t="n">
        <f aca="false">D5668*E5668</f>
        <v>13.94</v>
      </c>
      <c r="G5668" s="7" t="n">
        <v>18</v>
      </c>
      <c r="H5668" s="9" t="n">
        <f aca="false">IF(G5668&gt;0,D5668/G5668,"")</f>
        <v>3.44444444444444</v>
      </c>
      <c r="I5668" s="10" t="n">
        <v>46126</v>
      </c>
      <c r="J5668" s="3" t="s">
        <v>4399</v>
      </c>
      <c r="K5668" s="10" t="n">
        <v>45407</v>
      </c>
      <c r="L5668" s="3" t="s">
        <v>19</v>
      </c>
      <c r="M5668" s="7" t="n">
        <v>100</v>
      </c>
      <c r="N5668" s="8" t="n">
        <v>0.2249</v>
      </c>
      <c r="O5668" s="4" t="n">
        <f aca="false">M5668*N5668</f>
        <v>22.49</v>
      </c>
    </row>
    <row r="5669" customFormat="false" ht="15" hidden="false" customHeight="false" outlineLevel="0" collapsed="false">
      <c r="A5669" s="0" t="s">
        <v>7460</v>
      </c>
      <c r="C5669" s="0" t="s">
        <v>33</v>
      </c>
      <c r="D5669" s="7" t="n">
        <v>9</v>
      </c>
      <c r="E5669" s="8" t="n">
        <v>1.54666666666667</v>
      </c>
      <c r="F5669" s="4" t="n">
        <f aca="false">D5669*E5669</f>
        <v>13.92</v>
      </c>
      <c r="G5669" s="7" t="n">
        <v>6</v>
      </c>
      <c r="H5669" s="9" t="n">
        <f aca="false">IF(G5669&gt;0,D5669/G5669,"")</f>
        <v>1.5</v>
      </c>
      <c r="I5669" s="10" t="n">
        <v>45968</v>
      </c>
      <c r="J5669" s="3" t="s">
        <v>4540</v>
      </c>
      <c r="K5669" s="10" t="n">
        <v>45509</v>
      </c>
      <c r="L5669" s="3" t="s">
        <v>18</v>
      </c>
      <c r="M5669" s="7" t="n">
        <v>43</v>
      </c>
      <c r="N5669" s="8" t="n">
        <v>1.5462</v>
      </c>
      <c r="O5669" s="4" t="n">
        <f aca="false">M5669*N5669</f>
        <v>66.4866</v>
      </c>
    </row>
    <row r="5670" customFormat="false" ht="15" hidden="false" customHeight="false" outlineLevel="0" collapsed="false">
      <c r="A5670" s="0" t="s">
        <v>7461</v>
      </c>
      <c r="C5670" s="0" t="s">
        <v>34</v>
      </c>
      <c r="D5670" s="7" t="n">
        <v>31</v>
      </c>
      <c r="E5670" s="8" t="n">
        <v>0.448709677419355</v>
      </c>
      <c r="F5670" s="4" t="n">
        <f aca="false">D5670*E5670</f>
        <v>13.91</v>
      </c>
      <c r="G5670" s="7" t="n">
        <v>31</v>
      </c>
      <c r="H5670" s="9" t="n">
        <f aca="false">IF(G5670&gt;0,D5670/G5670,"")</f>
        <v>1</v>
      </c>
      <c r="I5670" s="10" t="n">
        <v>46267</v>
      </c>
      <c r="J5670" s="3" t="s">
        <v>6073</v>
      </c>
      <c r="K5670" s="10" t="n">
        <v>46126</v>
      </c>
      <c r="L5670" s="3" t="s">
        <v>19</v>
      </c>
      <c r="M5670" s="7" t="n">
        <v>50</v>
      </c>
      <c r="N5670" s="8" t="n">
        <v>0.4484</v>
      </c>
      <c r="O5670" s="4" t="n">
        <f aca="false">M5670*N5670</f>
        <v>22.42</v>
      </c>
    </row>
    <row r="5671" customFormat="false" ht="15" hidden="false" customHeight="false" outlineLevel="0" collapsed="false">
      <c r="A5671" s="0" t="s">
        <v>7462</v>
      </c>
      <c r="C5671" s="0" t="s">
        <v>5255</v>
      </c>
      <c r="D5671" s="7" t="n">
        <v>10</v>
      </c>
      <c r="E5671" s="8" t="n">
        <v>1.39</v>
      </c>
      <c r="F5671" s="4" t="n">
        <f aca="false">D5671*E5671</f>
        <v>13.9</v>
      </c>
      <c r="G5671" s="7" t="n">
        <v>2</v>
      </c>
      <c r="H5671" s="9" t="n">
        <f aca="false">IF(G5671&gt;0,D5671/G5671,"")</f>
        <v>5</v>
      </c>
      <c r="I5671" s="10" t="n">
        <v>46302</v>
      </c>
      <c r="K5671" s="10"/>
      <c r="M5671" s="7"/>
      <c r="N5671" s="8"/>
      <c r="O5671" s="4"/>
    </row>
    <row r="5672" customFormat="false" ht="15" hidden="false" customHeight="false" outlineLevel="0" collapsed="false">
      <c r="A5672" s="0" t="s">
        <v>7463</v>
      </c>
      <c r="C5672" s="0" t="s">
        <v>360</v>
      </c>
      <c r="D5672" s="7" t="n">
        <v>116</v>
      </c>
      <c r="E5672" s="8" t="n">
        <v>0.119741379310345</v>
      </c>
      <c r="F5672" s="4" t="n">
        <f aca="false">D5672*E5672</f>
        <v>13.89</v>
      </c>
      <c r="G5672" s="7" t="n">
        <v>75</v>
      </c>
      <c r="H5672" s="9" t="n">
        <f aca="false">IF(G5672&gt;0,D5672/G5672,"")</f>
        <v>1.54666666666667</v>
      </c>
      <c r="I5672" s="10" t="n">
        <v>46317</v>
      </c>
      <c r="J5672" s="3" t="s">
        <v>570</v>
      </c>
      <c r="K5672" s="10" t="n">
        <v>46106</v>
      </c>
      <c r="L5672" s="3" t="s">
        <v>16</v>
      </c>
      <c r="M5672" s="7" t="n">
        <v>167</v>
      </c>
      <c r="N5672" s="8" t="n">
        <v>0.11976</v>
      </c>
      <c r="O5672" s="4" t="n">
        <f aca="false">M5672*N5672</f>
        <v>19.99992</v>
      </c>
    </row>
    <row r="5673" customFormat="false" ht="15" hidden="false" customHeight="false" outlineLevel="0" collapsed="false">
      <c r="A5673" s="0" t="s">
        <v>7464</v>
      </c>
      <c r="C5673" s="0" t="s">
        <v>36</v>
      </c>
      <c r="D5673" s="7" t="n">
        <v>3344</v>
      </c>
      <c r="E5673" s="8" t="n">
        <v>0.00415071770334928</v>
      </c>
      <c r="F5673" s="4" t="n">
        <f aca="false">D5673*E5673</f>
        <v>13.88</v>
      </c>
      <c r="G5673" s="7" t="n">
        <v>100</v>
      </c>
      <c r="H5673" s="9" t="n">
        <f aca="false">IF(G5673&gt;0,D5673/G5673,"")</f>
        <v>33.44</v>
      </c>
      <c r="I5673" s="10" t="n">
        <v>46099</v>
      </c>
      <c r="K5673" s="10"/>
      <c r="M5673" s="7"/>
      <c r="N5673" s="8"/>
      <c r="O5673" s="4"/>
    </row>
    <row r="5674" customFormat="false" ht="15" hidden="false" customHeight="false" outlineLevel="0" collapsed="false">
      <c r="A5674" s="0" t="s">
        <v>7465</v>
      </c>
      <c r="C5674" s="0" t="s">
        <v>741</v>
      </c>
      <c r="D5674" s="7" t="n">
        <v>80</v>
      </c>
      <c r="E5674" s="8" t="n">
        <v>0.1735</v>
      </c>
      <c r="F5674" s="4" t="n">
        <f aca="false">D5674*E5674</f>
        <v>13.88</v>
      </c>
      <c r="G5674" s="7" t="n">
        <v>50</v>
      </c>
      <c r="H5674" s="9" t="n">
        <f aca="false">IF(G5674&gt;0,D5674/G5674,"")</f>
        <v>1.6</v>
      </c>
      <c r="I5674" s="10" t="n">
        <v>46314</v>
      </c>
      <c r="J5674" s="3" t="s">
        <v>3849</v>
      </c>
      <c r="K5674" s="10" t="n">
        <v>45015</v>
      </c>
      <c r="L5674" s="3" t="s">
        <v>27</v>
      </c>
      <c r="M5674" s="7" t="n">
        <v>300</v>
      </c>
      <c r="N5674" s="8" t="n">
        <v>0.1692</v>
      </c>
      <c r="O5674" s="4" t="n">
        <f aca="false">M5674*N5674</f>
        <v>50.76</v>
      </c>
    </row>
    <row r="5675" customFormat="false" ht="15" hidden="false" customHeight="false" outlineLevel="0" collapsed="false">
      <c r="A5675" s="0" t="s">
        <v>7466</v>
      </c>
      <c r="C5675" s="0" t="s">
        <v>34</v>
      </c>
      <c r="D5675" s="7" t="n">
        <v>238</v>
      </c>
      <c r="E5675" s="8" t="n">
        <v>0.0583193277310924</v>
      </c>
      <c r="F5675" s="4" t="n">
        <f aca="false">D5675*E5675</f>
        <v>13.88</v>
      </c>
      <c r="G5675" s="7" t="n">
        <v>50</v>
      </c>
      <c r="H5675" s="9" t="n">
        <f aca="false">IF(G5675&gt;0,D5675/G5675,"")</f>
        <v>4.76</v>
      </c>
      <c r="I5675" s="10" t="n">
        <v>46304</v>
      </c>
      <c r="K5675" s="10"/>
      <c r="M5675" s="7"/>
      <c r="N5675" s="8"/>
      <c r="O5675" s="4"/>
    </row>
    <row r="5676" customFormat="false" ht="15" hidden="false" customHeight="false" outlineLevel="0" collapsed="false">
      <c r="A5676" s="0" t="s">
        <v>7467</v>
      </c>
      <c r="C5676" s="0" t="s">
        <v>2981</v>
      </c>
      <c r="D5676" s="7" t="n">
        <v>75</v>
      </c>
      <c r="E5676" s="8" t="n">
        <v>0.184933333333333</v>
      </c>
      <c r="F5676" s="4" t="n">
        <f aca="false">D5676*E5676</f>
        <v>13.87</v>
      </c>
      <c r="G5676" s="7" t="n">
        <v>25</v>
      </c>
      <c r="H5676" s="9" t="n">
        <f aca="false">IF(G5676&gt;0,D5676/G5676,"")</f>
        <v>3</v>
      </c>
      <c r="I5676" s="10" t="n">
        <v>46092</v>
      </c>
      <c r="J5676" s="3" t="s">
        <v>848</v>
      </c>
      <c r="K5676" s="10" t="n">
        <v>46083</v>
      </c>
      <c r="L5676" s="3" t="s">
        <v>14</v>
      </c>
      <c r="M5676" s="7" t="n">
        <v>100</v>
      </c>
      <c r="N5676" s="8" t="n">
        <v>0.1849</v>
      </c>
      <c r="O5676" s="4" t="n">
        <f aca="false">M5676*N5676</f>
        <v>18.49</v>
      </c>
    </row>
    <row r="5677" customFormat="false" ht="15" hidden="false" customHeight="false" outlineLevel="0" collapsed="false">
      <c r="A5677" s="0" t="s">
        <v>7468</v>
      </c>
      <c r="C5677" s="0" t="s">
        <v>31</v>
      </c>
      <c r="D5677" s="7" t="n">
        <v>34</v>
      </c>
      <c r="E5677" s="8" t="n">
        <v>0.407941176470588</v>
      </c>
      <c r="F5677" s="4" t="n">
        <f aca="false">D5677*E5677</f>
        <v>13.87</v>
      </c>
      <c r="G5677" s="7" t="n">
        <v>8</v>
      </c>
      <c r="H5677" s="9" t="n">
        <f aca="false">IF(G5677&gt;0,D5677/G5677,"")</f>
        <v>4.25</v>
      </c>
      <c r="I5677" s="10" t="n">
        <v>45953</v>
      </c>
      <c r="J5677" s="3" t="s">
        <v>1305</v>
      </c>
      <c r="K5677" s="10" t="n">
        <v>45266</v>
      </c>
      <c r="L5677" s="3" t="s">
        <v>19</v>
      </c>
      <c r="M5677" s="7" t="n">
        <v>100</v>
      </c>
      <c r="N5677" s="8" t="n">
        <v>0.4077</v>
      </c>
      <c r="O5677" s="4" t="n">
        <f aca="false">M5677*N5677</f>
        <v>40.77</v>
      </c>
    </row>
    <row r="5678" customFormat="false" ht="15" hidden="false" customHeight="false" outlineLevel="0" collapsed="false">
      <c r="A5678" s="0" t="s">
        <v>7469</v>
      </c>
      <c r="C5678" s="0" t="s">
        <v>31</v>
      </c>
      <c r="D5678" s="7" t="n">
        <v>17</v>
      </c>
      <c r="E5678" s="8" t="n">
        <v>0.814705882352941</v>
      </c>
      <c r="F5678" s="4" t="n">
        <f aca="false">D5678*E5678</f>
        <v>13.85</v>
      </c>
      <c r="G5678" s="7" t="n">
        <v>3</v>
      </c>
      <c r="H5678" s="9" t="n">
        <f aca="false">IF(G5678&gt;0,D5678/G5678,"")</f>
        <v>5.66666666666667</v>
      </c>
      <c r="I5678" s="10" t="n">
        <v>46183</v>
      </c>
      <c r="J5678" s="3" t="s">
        <v>7470</v>
      </c>
      <c r="K5678" s="10" t="n">
        <v>44278</v>
      </c>
      <c r="L5678" s="3" t="s">
        <v>19</v>
      </c>
      <c r="M5678" s="7" t="n">
        <v>25</v>
      </c>
      <c r="N5678" s="8" t="n">
        <v>0.8158</v>
      </c>
      <c r="O5678" s="4" t="n">
        <f aca="false">M5678*N5678</f>
        <v>20.395</v>
      </c>
    </row>
    <row r="5679" customFormat="false" ht="15" hidden="false" customHeight="false" outlineLevel="0" collapsed="false">
      <c r="A5679" s="0" t="s">
        <v>7471</v>
      </c>
      <c r="C5679" s="0" t="s">
        <v>31</v>
      </c>
      <c r="D5679" s="7" t="n">
        <v>8087</v>
      </c>
      <c r="E5679" s="8" t="n">
        <v>0.00171138864844813</v>
      </c>
      <c r="F5679" s="4" t="n">
        <f aca="false">D5679*E5679</f>
        <v>13.84</v>
      </c>
      <c r="G5679" s="7" t="n">
        <v>2265</v>
      </c>
      <c r="H5679" s="9" t="n">
        <f aca="false">IF(G5679&gt;0,D5679/G5679,"")</f>
        <v>3.57041942604857</v>
      </c>
      <c r="I5679" s="10" t="n">
        <v>46274</v>
      </c>
      <c r="K5679" s="10"/>
      <c r="M5679" s="7"/>
      <c r="N5679" s="8"/>
      <c r="O5679" s="4"/>
    </row>
    <row r="5680" customFormat="false" ht="15" hidden="false" customHeight="false" outlineLevel="0" collapsed="false">
      <c r="A5680" s="0" t="s">
        <v>7472</v>
      </c>
      <c r="C5680" s="0" t="s">
        <v>31</v>
      </c>
      <c r="D5680" s="7" t="n">
        <v>499</v>
      </c>
      <c r="E5680" s="8" t="n">
        <v>0.0277154308617235</v>
      </c>
      <c r="F5680" s="4" t="n">
        <f aca="false">D5680*E5680</f>
        <v>13.83</v>
      </c>
      <c r="G5680" s="7" t="n">
        <v>286</v>
      </c>
      <c r="H5680" s="9" t="n">
        <f aca="false">IF(G5680&gt;0,D5680/G5680,"")</f>
        <v>1.74475524475524</v>
      </c>
      <c r="I5680" s="10" t="n">
        <v>46246</v>
      </c>
      <c r="J5680" s="3" t="s">
        <v>2719</v>
      </c>
      <c r="K5680" s="10" t="n">
        <v>46049</v>
      </c>
      <c r="L5680" s="3" t="s">
        <v>16</v>
      </c>
      <c r="M5680" s="7" t="n">
        <v>750</v>
      </c>
      <c r="N5680" s="8" t="n">
        <v>0.0277</v>
      </c>
      <c r="O5680" s="4" t="n">
        <f aca="false">M5680*N5680</f>
        <v>20.775</v>
      </c>
    </row>
    <row r="5681" customFormat="false" ht="15" hidden="false" customHeight="false" outlineLevel="0" collapsed="false">
      <c r="A5681" s="0" t="s">
        <v>7473</v>
      </c>
      <c r="C5681" s="0" t="s">
        <v>979</v>
      </c>
      <c r="D5681" s="7" t="n">
        <v>65</v>
      </c>
      <c r="E5681" s="8" t="n">
        <v>0.212153846153846</v>
      </c>
      <c r="F5681" s="4" t="n">
        <f aca="false">D5681*E5681</f>
        <v>13.79</v>
      </c>
      <c r="G5681" s="7" t="n">
        <v>5</v>
      </c>
      <c r="H5681" s="9" t="n">
        <f aca="false">IF(G5681&gt;0,D5681/G5681,"")</f>
        <v>13</v>
      </c>
      <c r="I5681" s="10" t="n">
        <v>46106</v>
      </c>
      <c r="J5681" s="3" t="s">
        <v>4822</v>
      </c>
      <c r="K5681" s="10" t="n">
        <v>46085</v>
      </c>
      <c r="L5681" s="3" t="s">
        <v>18</v>
      </c>
      <c r="M5681" s="7" t="n">
        <v>70</v>
      </c>
      <c r="N5681" s="8" t="n">
        <v>0.2122</v>
      </c>
      <c r="O5681" s="4" t="n">
        <f aca="false">M5681*N5681</f>
        <v>14.854</v>
      </c>
    </row>
    <row r="5682" customFormat="false" ht="15" hidden="false" customHeight="false" outlineLevel="0" collapsed="false">
      <c r="A5682" s="0" t="s">
        <v>7474</v>
      </c>
      <c r="C5682" s="0" t="s">
        <v>34</v>
      </c>
      <c r="D5682" s="7" t="n">
        <v>30</v>
      </c>
      <c r="E5682" s="8" t="n">
        <v>0.458</v>
      </c>
      <c r="F5682" s="4" t="n">
        <f aca="false">D5682*E5682</f>
        <v>13.74</v>
      </c>
      <c r="G5682" s="7" t="n">
        <v>19</v>
      </c>
      <c r="H5682" s="9" t="n">
        <f aca="false">IF(G5682&gt;0,D5682/G5682,"")</f>
        <v>1.57894736842105</v>
      </c>
      <c r="I5682" s="10" t="n">
        <v>46251</v>
      </c>
      <c r="J5682" s="3" t="s">
        <v>4538</v>
      </c>
      <c r="K5682" s="10" t="n">
        <v>44826</v>
      </c>
      <c r="L5682" s="3" t="s">
        <v>19</v>
      </c>
      <c r="M5682" s="7" t="n">
        <v>60</v>
      </c>
      <c r="N5682" s="8" t="n">
        <v>0</v>
      </c>
      <c r="O5682" s="4" t="n">
        <v>27.9424</v>
      </c>
    </row>
    <row r="5683" customFormat="false" ht="15" hidden="false" customHeight="false" outlineLevel="0" collapsed="false">
      <c r="A5683" s="0" t="s">
        <v>7475</v>
      </c>
      <c r="C5683" s="0" t="s">
        <v>31</v>
      </c>
      <c r="D5683" s="7" t="n">
        <v>118</v>
      </c>
      <c r="E5683" s="8" t="n">
        <v>0.115847457627119</v>
      </c>
      <c r="F5683" s="4" t="n">
        <f aca="false">D5683*E5683</f>
        <v>13.67</v>
      </c>
      <c r="G5683" s="7" t="n">
        <v>6</v>
      </c>
      <c r="H5683" s="9" t="n">
        <f aca="false">IF(G5683&gt;0,D5683/G5683,"")</f>
        <v>19.6666666666667</v>
      </c>
      <c r="I5683" s="10" t="n">
        <v>46244</v>
      </c>
      <c r="K5683" s="10"/>
      <c r="M5683" s="7"/>
      <c r="N5683" s="8"/>
      <c r="O5683" s="4"/>
    </row>
    <row r="5684" customFormat="false" ht="15" hidden="false" customHeight="false" outlineLevel="0" collapsed="false">
      <c r="A5684" s="0" t="s">
        <v>7476</v>
      </c>
      <c r="C5684" s="0" t="s">
        <v>855</v>
      </c>
      <c r="D5684" s="7" t="n">
        <v>67</v>
      </c>
      <c r="E5684" s="8" t="n">
        <v>0.203880597014925</v>
      </c>
      <c r="F5684" s="4" t="n">
        <f aca="false">D5684*E5684</f>
        <v>13.66</v>
      </c>
      <c r="G5684" s="7" t="n">
        <v>16</v>
      </c>
      <c r="H5684" s="9" t="n">
        <f aca="false">IF(G5684&gt;0,D5684/G5684,"")</f>
        <v>4.1875</v>
      </c>
      <c r="I5684" s="10" t="n">
        <v>46314</v>
      </c>
      <c r="K5684" s="10"/>
      <c r="M5684" s="7"/>
      <c r="N5684" s="8"/>
      <c r="O5684" s="4"/>
    </row>
    <row r="5685" customFormat="false" ht="15" hidden="false" customHeight="false" outlineLevel="0" collapsed="false">
      <c r="A5685" s="0" t="s">
        <v>7477</v>
      </c>
      <c r="C5685" s="0" t="s">
        <v>34</v>
      </c>
      <c r="D5685" s="7" t="n">
        <v>151</v>
      </c>
      <c r="E5685" s="8" t="n">
        <v>0.0900662251655629</v>
      </c>
      <c r="F5685" s="4" t="n">
        <f aca="false">D5685*E5685</f>
        <v>13.6</v>
      </c>
      <c r="G5685" s="7" t="n">
        <v>25</v>
      </c>
      <c r="H5685" s="9" t="n">
        <f aca="false">IF(G5685&gt;0,D5685/G5685,"")</f>
        <v>6.04</v>
      </c>
      <c r="I5685" s="10" t="n">
        <v>46217</v>
      </c>
      <c r="J5685" s="3" t="s">
        <v>1588</v>
      </c>
      <c r="K5685" s="10" t="n">
        <v>44582</v>
      </c>
      <c r="L5685" s="3" t="s">
        <v>19</v>
      </c>
      <c r="M5685" s="7" t="n">
        <v>619</v>
      </c>
      <c r="N5685" s="8" t="n">
        <v>0.0925</v>
      </c>
      <c r="O5685" s="4" t="n">
        <v>56.8875</v>
      </c>
    </row>
    <row r="5686" customFormat="false" ht="15" hidden="false" customHeight="false" outlineLevel="0" collapsed="false">
      <c r="A5686" s="0" t="s">
        <v>7478</v>
      </c>
      <c r="C5686" s="0" t="s">
        <v>38</v>
      </c>
      <c r="D5686" s="7" t="n">
        <v>222</v>
      </c>
      <c r="E5686" s="8" t="n">
        <v>0.0612162162162162</v>
      </c>
      <c r="F5686" s="4" t="n">
        <f aca="false">D5686*E5686</f>
        <v>13.59</v>
      </c>
      <c r="G5686" s="7" t="n">
        <v>8</v>
      </c>
      <c r="H5686" s="9" t="n">
        <f aca="false">IF(G5686&gt;0,D5686/G5686,"")</f>
        <v>27.75</v>
      </c>
      <c r="I5686" s="10" t="n">
        <v>46154</v>
      </c>
      <c r="J5686" s="3" t="s">
        <v>7479</v>
      </c>
      <c r="K5686" s="10" t="n">
        <v>45488</v>
      </c>
      <c r="L5686" s="3" t="s">
        <v>14</v>
      </c>
      <c r="M5686" s="7" t="n">
        <v>250</v>
      </c>
      <c r="N5686" s="8" t="n">
        <v>0.0612</v>
      </c>
      <c r="O5686" s="4" t="n">
        <f aca="false">M5686*N5686</f>
        <v>15.3</v>
      </c>
    </row>
    <row r="5687" customFormat="false" ht="15" hidden="false" customHeight="false" outlineLevel="0" collapsed="false">
      <c r="A5687" s="0" t="s">
        <v>7480</v>
      </c>
      <c r="C5687" s="0" t="s">
        <v>1039</v>
      </c>
      <c r="D5687" s="7" t="n">
        <v>984</v>
      </c>
      <c r="E5687" s="8" t="n">
        <v>0.0137906504065041</v>
      </c>
      <c r="F5687" s="4" t="n">
        <f aca="false">D5687*E5687</f>
        <v>13.57</v>
      </c>
      <c r="G5687" s="7" t="n">
        <v>330</v>
      </c>
      <c r="H5687" s="9" t="n">
        <f aca="false">IF(G5687&gt;0,D5687/G5687,"")</f>
        <v>2.98181818181818</v>
      </c>
      <c r="I5687" s="10" t="n">
        <v>46174</v>
      </c>
      <c r="J5687" s="3" t="s">
        <v>5465</v>
      </c>
      <c r="K5687" s="10" t="n">
        <v>45113</v>
      </c>
      <c r="L5687" s="3" t="s">
        <v>19</v>
      </c>
      <c r="M5687" s="7" t="n">
        <v>2500</v>
      </c>
      <c r="N5687" s="8" t="n">
        <v>0.0138</v>
      </c>
      <c r="O5687" s="4" t="n">
        <f aca="false">M5687*N5687</f>
        <v>34.5</v>
      </c>
    </row>
    <row r="5688" customFormat="false" ht="15" hidden="false" customHeight="false" outlineLevel="0" collapsed="false">
      <c r="A5688" s="0" t="s">
        <v>7481</v>
      </c>
      <c r="C5688" s="0" t="s">
        <v>34</v>
      </c>
      <c r="D5688" s="7" t="n">
        <v>69</v>
      </c>
      <c r="E5688" s="8" t="n">
        <v>0.196521739130435</v>
      </c>
      <c r="F5688" s="4" t="n">
        <f aca="false">D5688*E5688</f>
        <v>13.56</v>
      </c>
      <c r="G5688" s="7" t="n">
        <v>31</v>
      </c>
      <c r="H5688" s="9" t="n">
        <f aca="false">IF(G5688&gt;0,D5688/G5688,"")</f>
        <v>2.2258064516129</v>
      </c>
      <c r="I5688" s="10" t="n">
        <v>46316</v>
      </c>
      <c r="J5688" s="3" t="s">
        <v>410</v>
      </c>
      <c r="K5688" s="10" t="n">
        <v>46303</v>
      </c>
      <c r="L5688" s="3" t="s">
        <v>16</v>
      </c>
      <c r="M5688" s="7" t="n">
        <v>3700</v>
      </c>
      <c r="N5688" s="8" t="n">
        <v>0.0406</v>
      </c>
      <c r="O5688" s="4" t="n">
        <f aca="false">M5688*N5688</f>
        <v>150.22</v>
      </c>
    </row>
    <row r="5689" customFormat="false" ht="15" hidden="false" customHeight="false" outlineLevel="0" collapsed="false">
      <c r="A5689" s="0" t="s">
        <v>7482</v>
      </c>
      <c r="C5689" s="0" t="s">
        <v>765</v>
      </c>
      <c r="D5689" s="7" t="n">
        <v>257</v>
      </c>
      <c r="E5689" s="8" t="n">
        <v>0.0526848249027237</v>
      </c>
      <c r="F5689" s="4" t="n">
        <f aca="false">D5689*E5689</f>
        <v>13.54</v>
      </c>
      <c r="G5689" s="7" t="n">
        <v>67</v>
      </c>
      <c r="H5689" s="9" t="n">
        <f aca="false">IF(G5689&gt;0,D5689/G5689,"")</f>
        <v>3.83582089552239</v>
      </c>
      <c r="I5689" s="10" t="n">
        <v>46146</v>
      </c>
      <c r="J5689" s="3" t="s">
        <v>1974</v>
      </c>
      <c r="K5689" s="10" t="n">
        <v>45287</v>
      </c>
      <c r="L5689" s="3" t="s">
        <v>14</v>
      </c>
      <c r="M5689" s="7" t="n">
        <v>1000</v>
      </c>
      <c r="N5689" s="8" t="n">
        <v>0.0528</v>
      </c>
      <c r="O5689" s="4" t="n">
        <f aca="false">M5689*N5689</f>
        <v>52.8</v>
      </c>
    </row>
    <row r="5690" customFormat="false" ht="15" hidden="false" customHeight="false" outlineLevel="0" collapsed="false">
      <c r="A5690" s="0" t="s">
        <v>7483</v>
      </c>
      <c r="C5690" s="0" t="s">
        <v>40</v>
      </c>
      <c r="D5690" s="7" t="n">
        <v>966</v>
      </c>
      <c r="E5690" s="8" t="n">
        <v>0.0139958592132505</v>
      </c>
      <c r="F5690" s="4" t="n">
        <f aca="false">D5690*E5690</f>
        <v>13.52</v>
      </c>
      <c r="G5690" s="7" t="n">
        <v>419</v>
      </c>
      <c r="H5690" s="9" t="n">
        <f aca="false">IF(G5690&gt;0,D5690/G5690,"")</f>
        <v>2.3054892601432</v>
      </c>
      <c r="I5690" s="10" t="n">
        <v>46317</v>
      </c>
      <c r="J5690" s="3" t="s">
        <v>1018</v>
      </c>
      <c r="K5690" s="10" t="n">
        <v>45912</v>
      </c>
      <c r="L5690" s="3" t="s">
        <v>15</v>
      </c>
      <c r="M5690" s="7" t="n">
        <v>1400</v>
      </c>
      <c r="N5690" s="8" t="n">
        <v>0.01399</v>
      </c>
      <c r="O5690" s="4" t="n">
        <f aca="false">M5690*N5690</f>
        <v>19.586</v>
      </c>
    </row>
    <row r="5691" customFormat="false" ht="15" hidden="false" customHeight="false" outlineLevel="0" collapsed="false">
      <c r="A5691" s="0" t="s">
        <v>7484</v>
      </c>
      <c r="C5691" s="0" t="s">
        <v>1039</v>
      </c>
      <c r="D5691" s="7" t="n">
        <v>506</v>
      </c>
      <c r="E5691" s="8" t="n">
        <v>0.026699604743083</v>
      </c>
      <c r="F5691" s="4" t="n">
        <f aca="false">D5691*E5691</f>
        <v>13.51</v>
      </c>
      <c r="G5691" s="7" t="n">
        <v>52</v>
      </c>
      <c r="H5691" s="9" t="n">
        <f aca="false">IF(G5691&gt;0,D5691/G5691,"")</f>
        <v>9.73076923076923</v>
      </c>
      <c r="I5691" s="10" t="n">
        <v>46106</v>
      </c>
      <c r="J5691" s="3" t="s">
        <v>2564</v>
      </c>
      <c r="K5691" s="10" t="n">
        <v>44403</v>
      </c>
      <c r="L5691" s="3" t="s">
        <v>19</v>
      </c>
      <c r="M5691" s="7" t="n">
        <v>800</v>
      </c>
      <c r="N5691" s="8" t="n">
        <v>0.0267</v>
      </c>
      <c r="O5691" s="4" t="n">
        <f aca="false">M5691*N5691</f>
        <v>21.36</v>
      </c>
    </row>
    <row r="5692" customFormat="false" ht="15" hidden="false" customHeight="false" outlineLevel="0" collapsed="false">
      <c r="A5692" s="0" t="s">
        <v>7485</v>
      </c>
      <c r="C5692" s="0" t="s">
        <v>1101</v>
      </c>
      <c r="D5692" s="7" t="n">
        <v>5</v>
      </c>
      <c r="E5692" s="8" t="n">
        <v>2.7</v>
      </c>
      <c r="F5692" s="4" t="n">
        <f aca="false">D5692*E5692</f>
        <v>13.5</v>
      </c>
      <c r="G5692" s="7" t="n">
        <v>4</v>
      </c>
      <c r="H5692" s="9" t="n">
        <f aca="false">IF(G5692&gt;0,D5692/G5692,"")</f>
        <v>1.25</v>
      </c>
      <c r="I5692" s="10" t="n">
        <v>46209</v>
      </c>
      <c r="K5692" s="10"/>
      <c r="M5692" s="7"/>
      <c r="N5692" s="8"/>
      <c r="O5692" s="4"/>
    </row>
    <row r="5693" customFormat="false" ht="15" hidden="false" customHeight="false" outlineLevel="0" collapsed="false">
      <c r="A5693" s="0" t="s">
        <v>7486</v>
      </c>
      <c r="C5693" s="0" t="s">
        <v>31</v>
      </c>
      <c r="D5693" s="7" t="n">
        <v>2075</v>
      </c>
      <c r="E5693" s="8" t="n">
        <v>0.00650120481927711</v>
      </c>
      <c r="F5693" s="4" t="n">
        <f aca="false">D5693*E5693</f>
        <v>13.49</v>
      </c>
      <c r="G5693" s="7" t="n">
        <v>75</v>
      </c>
      <c r="H5693" s="9" t="n">
        <f aca="false">IF(G5693&gt;0,D5693/G5693,"")</f>
        <v>27.6666666666667</v>
      </c>
      <c r="I5693" s="10" t="n">
        <v>46230</v>
      </c>
      <c r="K5693" s="10"/>
      <c r="M5693" s="7"/>
      <c r="N5693" s="8"/>
      <c r="O5693" s="4"/>
    </row>
    <row r="5694" customFormat="false" ht="15" hidden="false" customHeight="false" outlineLevel="0" collapsed="false">
      <c r="A5694" s="0" t="s">
        <v>7487</v>
      </c>
      <c r="C5694" s="0" t="s">
        <v>39</v>
      </c>
      <c r="D5694" s="7" t="n">
        <v>4</v>
      </c>
      <c r="E5694" s="8" t="n">
        <v>3.3675</v>
      </c>
      <c r="F5694" s="4" t="n">
        <f aca="false">D5694*E5694</f>
        <v>13.47</v>
      </c>
      <c r="G5694" s="7" t="n">
        <v>3</v>
      </c>
      <c r="H5694" s="9" t="n">
        <f aca="false">IF(G5694&gt;0,D5694/G5694,"")</f>
        <v>1.33333333333333</v>
      </c>
      <c r="I5694" s="10" t="n">
        <v>46139</v>
      </c>
      <c r="J5694" s="3" t="s">
        <v>135</v>
      </c>
      <c r="K5694" s="10" t="n">
        <v>45316</v>
      </c>
      <c r="L5694" s="3" t="s">
        <v>18</v>
      </c>
      <c r="M5694" s="7" t="n">
        <v>20</v>
      </c>
      <c r="N5694" s="8" t="n">
        <v>3.3672</v>
      </c>
      <c r="O5694" s="4" t="n">
        <f aca="false">M5694*N5694</f>
        <v>67.344</v>
      </c>
    </row>
    <row r="5695" customFormat="false" ht="15" hidden="false" customHeight="false" outlineLevel="0" collapsed="false">
      <c r="A5695" s="0" t="s">
        <v>7488</v>
      </c>
      <c r="C5695" s="0" t="s">
        <v>31</v>
      </c>
      <c r="D5695" s="7" t="n">
        <v>191</v>
      </c>
      <c r="E5695" s="8" t="n">
        <v>0.0703141361256544</v>
      </c>
      <c r="F5695" s="4" t="n">
        <f aca="false">D5695*E5695</f>
        <v>13.43</v>
      </c>
      <c r="G5695" s="7" t="n">
        <v>109</v>
      </c>
      <c r="H5695" s="9" t="n">
        <f aca="false">IF(G5695&gt;0,D5695/G5695,"")</f>
        <v>1.75229357798165</v>
      </c>
      <c r="I5695" s="10" t="n">
        <v>46254</v>
      </c>
      <c r="J5695" s="3" t="s">
        <v>478</v>
      </c>
      <c r="K5695" s="10" t="n">
        <v>46185</v>
      </c>
      <c r="L5695" s="3" t="s">
        <v>16</v>
      </c>
      <c r="M5695" s="7" t="n">
        <v>285</v>
      </c>
      <c r="N5695" s="8" t="n">
        <v>0.0703</v>
      </c>
      <c r="O5695" s="4" t="n">
        <f aca="false">M5695*N5695</f>
        <v>20.0355</v>
      </c>
    </row>
    <row r="5696" customFormat="false" ht="15" hidden="false" customHeight="false" outlineLevel="0" collapsed="false">
      <c r="A5696" s="0" t="s">
        <v>7489</v>
      </c>
      <c r="C5696" s="0" t="s">
        <v>32</v>
      </c>
      <c r="D5696" s="7" t="n">
        <v>21</v>
      </c>
      <c r="E5696" s="8" t="n">
        <v>0.638571428571429</v>
      </c>
      <c r="F5696" s="4" t="n">
        <f aca="false">D5696*E5696</f>
        <v>13.41</v>
      </c>
      <c r="G5696" s="7" t="n">
        <v>21</v>
      </c>
      <c r="H5696" s="9" t="n">
        <f aca="false">IF(G5696&gt;0,D5696/G5696,"")</f>
        <v>1</v>
      </c>
      <c r="I5696" s="10" t="n">
        <v>46182</v>
      </c>
      <c r="J5696" s="3" t="s">
        <v>7490</v>
      </c>
      <c r="K5696" s="10" t="n">
        <v>45229</v>
      </c>
      <c r="L5696" s="3" t="s">
        <v>18</v>
      </c>
      <c r="M5696" s="7" t="n">
        <v>140</v>
      </c>
      <c r="N5696" s="8" t="n">
        <v>0.6388</v>
      </c>
      <c r="O5696" s="4" t="n">
        <f aca="false">M5696*N5696</f>
        <v>89.432</v>
      </c>
    </row>
    <row r="5697" customFormat="false" ht="15" hidden="false" customHeight="false" outlineLevel="0" collapsed="false">
      <c r="A5697" s="0" t="s">
        <v>7491</v>
      </c>
      <c r="C5697" s="0" t="s">
        <v>31</v>
      </c>
      <c r="D5697" s="7" t="n">
        <v>29</v>
      </c>
      <c r="E5697" s="8" t="n">
        <v>0.462413793103448</v>
      </c>
      <c r="F5697" s="4" t="n">
        <f aca="false">D5697*E5697</f>
        <v>13.41</v>
      </c>
      <c r="G5697" s="7" t="n">
        <v>3</v>
      </c>
      <c r="H5697" s="9" t="n">
        <f aca="false">IF(G5697&gt;0,D5697/G5697,"")</f>
        <v>9.66666666666667</v>
      </c>
      <c r="I5697" s="10" t="n">
        <v>46114</v>
      </c>
      <c r="J5697" s="3" t="s">
        <v>6831</v>
      </c>
      <c r="K5697" s="10" t="n">
        <v>44749</v>
      </c>
      <c r="L5697" s="3" t="s">
        <v>19</v>
      </c>
      <c r="M5697" s="7" t="n">
        <v>100</v>
      </c>
      <c r="N5697" s="8" t="n">
        <v>0.4625</v>
      </c>
      <c r="O5697" s="4" t="n">
        <f aca="false">M5697*N5697</f>
        <v>46.25</v>
      </c>
    </row>
    <row r="5698" customFormat="false" ht="15" hidden="false" customHeight="false" outlineLevel="0" collapsed="false">
      <c r="A5698" s="0" t="s">
        <v>7492</v>
      </c>
      <c r="C5698" s="0" t="s">
        <v>31</v>
      </c>
      <c r="D5698" s="7" t="n">
        <v>122</v>
      </c>
      <c r="E5698" s="8" t="n">
        <v>0.109918032786885</v>
      </c>
      <c r="F5698" s="4" t="n">
        <f aca="false">D5698*E5698</f>
        <v>13.41</v>
      </c>
      <c r="G5698" s="7" t="n">
        <v>68</v>
      </c>
      <c r="H5698" s="9" t="n">
        <f aca="false">IF(G5698&gt;0,D5698/G5698,"")</f>
        <v>1.79411764705882</v>
      </c>
      <c r="I5698" s="10" t="n">
        <v>46294</v>
      </c>
      <c r="J5698" s="3" t="s">
        <v>2739</v>
      </c>
      <c r="K5698" s="10" t="n">
        <v>46142</v>
      </c>
      <c r="L5698" s="3" t="s">
        <v>16</v>
      </c>
      <c r="M5698" s="7" t="n">
        <v>182</v>
      </c>
      <c r="N5698" s="8" t="n">
        <v>0.10989</v>
      </c>
      <c r="O5698" s="4" t="n">
        <f aca="false">M5698*N5698</f>
        <v>19.99998</v>
      </c>
    </row>
    <row r="5699" customFormat="false" ht="15" hidden="false" customHeight="false" outlineLevel="0" collapsed="false">
      <c r="A5699" s="0" t="s">
        <v>7493</v>
      </c>
      <c r="C5699" s="0" t="s">
        <v>34</v>
      </c>
      <c r="D5699" s="7" t="n">
        <v>99</v>
      </c>
      <c r="E5699" s="8" t="n">
        <v>0.135252525252525</v>
      </c>
      <c r="F5699" s="4" t="n">
        <f aca="false">D5699*E5699</f>
        <v>13.39</v>
      </c>
      <c r="G5699" s="7" t="n">
        <v>85</v>
      </c>
      <c r="H5699" s="9" t="n">
        <f aca="false">IF(G5699&gt;0,D5699/G5699,"")</f>
        <v>1.16470588235294</v>
      </c>
      <c r="I5699" s="10" t="n">
        <v>46209</v>
      </c>
      <c r="J5699" s="3" t="s">
        <v>4632</v>
      </c>
      <c r="K5699" s="10" t="n">
        <v>45552</v>
      </c>
      <c r="L5699" s="3" t="s">
        <v>16</v>
      </c>
      <c r="M5699" s="7" t="n">
        <v>200</v>
      </c>
      <c r="N5699" s="8" t="n">
        <v>0.1352</v>
      </c>
      <c r="O5699" s="4" t="n">
        <f aca="false">M5699*N5699</f>
        <v>27.04</v>
      </c>
    </row>
    <row r="5700" customFormat="false" ht="15" hidden="false" customHeight="false" outlineLevel="0" collapsed="false">
      <c r="A5700" s="0" t="s">
        <v>7494</v>
      </c>
      <c r="D5700" s="7" t="n">
        <v>4</v>
      </c>
      <c r="E5700" s="8" t="n">
        <v>3.345</v>
      </c>
      <c r="F5700" s="4" t="n">
        <f aca="false">D5700*E5700</f>
        <v>13.38</v>
      </c>
      <c r="G5700" s="7" t="n">
        <v>2</v>
      </c>
      <c r="H5700" s="9" t="n">
        <f aca="false">IF(G5700&gt;0,D5700/G5700,"")</f>
        <v>2</v>
      </c>
      <c r="I5700" s="10" t="n">
        <v>45967</v>
      </c>
      <c r="K5700" s="10"/>
      <c r="M5700" s="7"/>
      <c r="N5700" s="8"/>
      <c r="O5700" s="4"/>
    </row>
    <row r="5701" customFormat="false" ht="15" hidden="false" customHeight="false" outlineLevel="0" collapsed="false">
      <c r="A5701" s="0" t="s">
        <v>7495</v>
      </c>
      <c r="C5701" s="0" t="s">
        <v>34</v>
      </c>
      <c r="D5701" s="7" t="n">
        <v>105</v>
      </c>
      <c r="E5701" s="8" t="n">
        <v>0.127238095238095</v>
      </c>
      <c r="F5701" s="4" t="n">
        <f aca="false">D5701*E5701</f>
        <v>13.36</v>
      </c>
      <c r="G5701" s="7" t="n">
        <v>35</v>
      </c>
      <c r="H5701" s="9" t="n">
        <f aca="false">IF(G5701&gt;0,D5701/G5701,"")</f>
        <v>3</v>
      </c>
      <c r="I5701" s="10" t="n">
        <v>46188</v>
      </c>
      <c r="J5701" s="3" t="s">
        <v>7496</v>
      </c>
      <c r="K5701" s="10" t="n">
        <v>45304</v>
      </c>
      <c r="L5701" s="3" t="s">
        <v>19</v>
      </c>
      <c r="M5701" s="7" t="n">
        <v>250</v>
      </c>
      <c r="N5701" s="8" t="n">
        <v>0.1272</v>
      </c>
      <c r="O5701" s="4" t="n">
        <f aca="false">M5701*N5701</f>
        <v>31.8</v>
      </c>
    </row>
    <row r="5702" customFormat="false" ht="15" hidden="false" customHeight="false" outlineLevel="0" collapsed="false">
      <c r="A5702" s="0" t="s">
        <v>7497</v>
      </c>
      <c r="C5702" s="0" t="s">
        <v>741</v>
      </c>
      <c r="D5702" s="7" t="n">
        <v>58</v>
      </c>
      <c r="E5702" s="8" t="n">
        <v>0.23</v>
      </c>
      <c r="F5702" s="4" t="n">
        <f aca="false">D5702*E5702</f>
        <v>13.34</v>
      </c>
      <c r="G5702" s="7" t="n">
        <v>4</v>
      </c>
      <c r="H5702" s="9" t="n">
        <f aca="false">IF(G5702&gt;0,D5702/G5702,"")</f>
        <v>14.5</v>
      </c>
      <c r="I5702" s="10" t="n">
        <v>46219</v>
      </c>
      <c r="K5702" s="10"/>
      <c r="M5702" s="7"/>
      <c r="N5702" s="8"/>
      <c r="O5702" s="4"/>
    </row>
    <row r="5703" customFormat="false" ht="15" hidden="false" customHeight="false" outlineLevel="0" collapsed="false">
      <c r="A5703" s="0" t="s">
        <v>7498</v>
      </c>
      <c r="C5703" s="0" t="s">
        <v>37</v>
      </c>
      <c r="D5703" s="7" t="n">
        <v>320</v>
      </c>
      <c r="E5703" s="8" t="n">
        <v>0.04165625</v>
      </c>
      <c r="F5703" s="4" t="n">
        <f aca="false">D5703*E5703</f>
        <v>13.33</v>
      </c>
      <c r="G5703" s="7" t="n">
        <v>145</v>
      </c>
      <c r="H5703" s="9" t="n">
        <f aca="false">IF(G5703&gt;0,D5703/G5703,"")</f>
        <v>2.20689655172414</v>
      </c>
      <c r="I5703" s="10" t="n">
        <v>46273</v>
      </c>
      <c r="J5703" s="3" t="s">
        <v>6838</v>
      </c>
      <c r="K5703" s="10" t="n">
        <v>44335</v>
      </c>
      <c r="L5703" s="3" t="s">
        <v>19</v>
      </c>
      <c r="M5703" s="7" t="n">
        <v>1200</v>
      </c>
      <c r="N5703" s="8" t="n">
        <v>0.0417</v>
      </c>
      <c r="O5703" s="4" t="n">
        <f aca="false">M5703*N5703</f>
        <v>50.04</v>
      </c>
    </row>
    <row r="5704" customFormat="false" ht="15" hidden="false" customHeight="false" outlineLevel="0" collapsed="false">
      <c r="A5704" s="0" t="s">
        <v>7499</v>
      </c>
      <c r="C5704" s="0" t="s">
        <v>31</v>
      </c>
      <c r="D5704" s="7" t="n">
        <v>96</v>
      </c>
      <c r="E5704" s="8" t="n">
        <v>0.138645833333333</v>
      </c>
      <c r="F5704" s="4" t="n">
        <f aca="false">D5704*E5704</f>
        <v>13.31</v>
      </c>
      <c r="G5704" s="7" t="n">
        <v>17</v>
      </c>
      <c r="H5704" s="9" t="n">
        <f aca="false">IF(G5704&gt;0,D5704/G5704,"")</f>
        <v>5.64705882352941</v>
      </c>
      <c r="I5704" s="10" t="n">
        <v>46108</v>
      </c>
      <c r="J5704" s="3" t="s">
        <v>2221</v>
      </c>
      <c r="K5704" s="10" t="n">
        <v>45770</v>
      </c>
      <c r="L5704" s="3" t="s">
        <v>2203</v>
      </c>
      <c r="M5704" s="7" t="n">
        <v>250</v>
      </c>
      <c r="N5704" s="8" t="n">
        <v>0.1386</v>
      </c>
      <c r="O5704" s="4" t="n">
        <f aca="false">M5704*N5704</f>
        <v>34.65</v>
      </c>
    </row>
    <row r="5705" customFormat="false" ht="15" hidden="false" customHeight="false" outlineLevel="0" collapsed="false">
      <c r="A5705" s="0" t="s">
        <v>7500</v>
      </c>
      <c r="C5705" s="0" t="s">
        <v>38</v>
      </c>
      <c r="D5705" s="7" t="n">
        <v>113</v>
      </c>
      <c r="E5705" s="8" t="n">
        <v>0.117699115044248</v>
      </c>
      <c r="F5705" s="4" t="n">
        <f aca="false">D5705*E5705</f>
        <v>13.3</v>
      </c>
      <c r="G5705" s="7" t="n">
        <v>57</v>
      </c>
      <c r="H5705" s="9" t="n">
        <f aca="false">IF(G5705&gt;0,D5705/G5705,"")</f>
        <v>1.98245614035088</v>
      </c>
      <c r="I5705" s="10" t="n">
        <v>46260</v>
      </c>
      <c r="J5705" s="3" t="s">
        <v>682</v>
      </c>
      <c r="K5705" s="10" t="n">
        <v>45539</v>
      </c>
      <c r="L5705" s="3" t="s">
        <v>14</v>
      </c>
      <c r="M5705" s="7" t="n">
        <v>200</v>
      </c>
      <c r="N5705" s="8" t="n">
        <v>0.3351</v>
      </c>
      <c r="O5705" s="4" t="n">
        <f aca="false">M5705*N5705</f>
        <v>67.02</v>
      </c>
    </row>
    <row r="5706" customFormat="false" ht="15" hidden="false" customHeight="false" outlineLevel="0" collapsed="false">
      <c r="A5706" s="0" t="s">
        <v>7501</v>
      </c>
      <c r="C5706" s="0" t="s">
        <v>295</v>
      </c>
      <c r="D5706" s="7" t="n">
        <v>50</v>
      </c>
      <c r="E5706" s="8" t="n">
        <v>0.2654</v>
      </c>
      <c r="F5706" s="4" t="n">
        <f aca="false">D5706*E5706</f>
        <v>13.27</v>
      </c>
      <c r="G5706" s="7" t="n">
        <v>16</v>
      </c>
      <c r="H5706" s="9" t="n">
        <f aca="false">IF(G5706&gt;0,D5706/G5706,"")</f>
        <v>3.125</v>
      </c>
      <c r="I5706" s="10" t="n">
        <v>45967</v>
      </c>
      <c r="J5706" s="3" t="s">
        <v>7502</v>
      </c>
      <c r="K5706" s="10" t="n">
        <v>44430</v>
      </c>
      <c r="L5706" s="3" t="s">
        <v>19</v>
      </c>
      <c r="M5706" s="7" t="n">
        <v>92</v>
      </c>
      <c r="N5706" s="8" t="n">
        <v>0</v>
      </c>
      <c r="O5706" s="4" t="n">
        <v>24.6428</v>
      </c>
    </row>
    <row r="5707" customFormat="false" ht="15" hidden="false" customHeight="false" outlineLevel="0" collapsed="false">
      <c r="A5707" s="0" t="s">
        <v>7503</v>
      </c>
      <c r="C5707" s="0" t="s">
        <v>39</v>
      </c>
      <c r="D5707" s="7" t="n">
        <v>1326</v>
      </c>
      <c r="E5707" s="8" t="n">
        <v>0.01</v>
      </c>
      <c r="F5707" s="4" t="n">
        <f aca="false">D5707*E5707</f>
        <v>13.26</v>
      </c>
      <c r="G5707" s="7" t="n">
        <v>200</v>
      </c>
      <c r="H5707" s="9" t="n">
        <f aca="false">IF(G5707&gt;0,D5707/G5707,"")</f>
        <v>6.63</v>
      </c>
      <c r="I5707" s="10" t="n">
        <v>46254</v>
      </c>
      <c r="K5707" s="10"/>
      <c r="M5707" s="7"/>
      <c r="N5707" s="8"/>
      <c r="O5707" s="4"/>
    </row>
    <row r="5708" customFormat="false" ht="15" hidden="false" customHeight="false" outlineLevel="0" collapsed="false">
      <c r="A5708" s="0" t="s">
        <v>7504</v>
      </c>
      <c r="C5708" s="0" t="s">
        <v>40</v>
      </c>
      <c r="D5708" s="7" t="n">
        <v>451</v>
      </c>
      <c r="E5708" s="8" t="n">
        <v>0.0293348115299335</v>
      </c>
      <c r="F5708" s="4" t="n">
        <f aca="false">D5708*E5708</f>
        <v>13.23</v>
      </c>
      <c r="G5708" s="7" t="n">
        <v>84</v>
      </c>
      <c r="H5708" s="9" t="n">
        <f aca="false">IF(G5708&gt;0,D5708/G5708,"")</f>
        <v>5.36904761904762</v>
      </c>
      <c r="I5708" s="10" t="n">
        <v>46300</v>
      </c>
      <c r="K5708" s="10"/>
      <c r="M5708" s="7"/>
      <c r="N5708" s="8"/>
      <c r="O5708" s="4"/>
    </row>
    <row r="5709" customFormat="false" ht="15" hidden="false" customHeight="false" outlineLevel="0" collapsed="false">
      <c r="A5709" s="0" t="s">
        <v>7505</v>
      </c>
      <c r="C5709" s="0" t="s">
        <v>40</v>
      </c>
      <c r="D5709" s="7" t="n">
        <v>3076</v>
      </c>
      <c r="E5709" s="8" t="n">
        <v>0.00430104031209363</v>
      </c>
      <c r="F5709" s="4" t="n">
        <f aca="false">D5709*E5709</f>
        <v>13.23</v>
      </c>
      <c r="G5709" s="7" t="n">
        <v>100</v>
      </c>
      <c r="H5709" s="9" t="n">
        <f aca="false">IF(G5709&gt;0,D5709/G5709,"")</f>
        <v>30.76</v>
      </c>
      <c r="I5709" s="10" t="n">
        <v>46203</v>
      </c>
      <c r="K5709" s="10"/>
      <c r="M5709" s="7"/>
      <c r="N5709" s="8"/>
      <c r="O5709" s="4"/>
    </row>
    <row r="5710" customFormat="false" ht="15" hidden="false" customHeight="false" outlineLevel="0" collapsed="false">
      <c r="A5710" s="0" t="s">
        <v>7506</v>
      </c>
      <c r="C5710" s="0" t="s">
        <v>285</v>
      </c>
      <c r="D5710" s="7" t="n">
        <v>212</v>
      </c>
      <c r="E5710" s="8" t="n">
        <v>0.0623584905660377</v>
      </c>
      <c r="F5710" s="4" t="n">
        <f aca="false">D5710*E5710</f>
        <v>13.22</v>
      </c>
      <c r="G5710" s="7" t="n">
        <v>16</v>
      </c>
      <c r="H5710" s="9" t="n">
        <f aca="false">IF(G5710&gt;0,D5710/G5710,"")</f>
        <v>13.25</v>
      </c>
      <c r="I5710" s="10" t="n">
        <v>46129</v>
      </c>
      <c r="J5710" s="3" t="s">
        <v>4102</v>
      </c>
      <c r="K5710" s="10" t="n">
        <v>45588</v>
      </c>
      <c r="L5710" s="3" t="s">
        <v>15</v>
      </c>
      <c r="M5710" s="7" t="n">
        <v>1830</v>
      </c>
      <c r="N5710" s="8" t="n">
        <v>0.06243</v>
      </c>
      <c r="O5710" s="4" t="n">
        <f aca="false">M5710*N5710</f>
        <v>114.2469</v>
      </c>
    </row>
    <row r="5711" customFormat="false" ht="15" hidden="false" customHeight="false" outlineLevel="0" collapsed="false">
      <c r="A5711" s="0" t="s">
        <v>7507</v>
      </c>
      <c r="C5711" s="0" t="s">
        <v>31</v>
      </c>
      <c r="D5711" s="7" t="n">
        <v>18</v>
      </c>
      <c r="E5711" s="8" t="n">
        <v>0.733888888888889</v>
      </c>
      <c r="F5711" s="4" t="n">
        <f aca="false">D5711*E5711</f>
        <v>13.21</v>
      </c>
      <c r="G5711" s="7" t="n">
        <v>17</v>
      </c>
      <c r="H5711" s="9" t="n">
        <f aca="false">IF(G5711&gt;0,D5711/G5711,"")</f>
        <v>1.05882352941176</v>
      </c>
      <c r="I5711" s="10" t="n">
        <v>46253</v>
      </c>
      <c r="J5711" s="3" t="s">
        <v>6073</v>
      </c>
      <c r="K5711" s="10" t="n">
        <v>46126</v>
      </c>
      <c r="L5711" s="3" t="s">
        <v>19</v>
      </c>
      <c r="M5711" s="7" t="n">
        <v>25</v>
      </c>
      <c r="N5711" s="8" t="n">
        <v>0.7339</v>
      </c>
      <c r="O5711" s="4" t="n">
        <f aca="false">M5711*N5711</f>
        <v>18.3475</v>
      </c>
    </row>
    <row r="5712" customFormat="false" ht="15" hidden="false" customHeight="false" outlineLevel="0" collapsed="false">
      <c r="A5712" s="0" t="s">
        <v>7508</v>
      </c>
      <c r="C5712" s="0" t="s">
        <v>370</v>
      </c>
      <c r="D5712" s="7" t="n">
        <v>59</v>
      </c>
      <c r="E5712" s="8" t="n">
        <v>0.223389830508475</v>
      </c>
      <c r="F5712" s="4" t="n">
        <f aca="false">D5712*E5712</f>
        <v>13.18</v>
      </c>
      <c r="G5712" s="7" t="n">
        <v>6</v>
      </c>
      <c r="H5712" s="9" t="n">
        <f aca="false">IF(G5712&gt;0,D5712/G5712,"")</f>
        <v>9.83333333333333</v>
      </c>
      <c r="I5712" s="10" t="n">
        <v>46304</v>
      </c>
      <c r="J5712" s="3" t="s">
        <v>5117</v>
      </c>
      <c r="K5712" s="10" t="n">
        <v>44232</v>
      </c>
      <c r="L5712" s="3" t="s">
        <v>19</v>
      </c>
      <c r="M5712" s="7" t="n">
        <v>100</v>
      </c>
      <c r="N5712" s="8" t="n">
        <v>0.2233</v>
      </c>
      <c r="O5712" s="4" t="n">
        <f aca="false">M5712*N5712</f>
        <v>22.33</v>
      </c>
    </row>
    <row r="5713" customFormat="false" ht="15" hidden="false" customHeight="false" outlineLevel="0" collapsed="false">
      <c r="A5713" s="0" t="s">
        <v>7509</v>
      </c>
      <c r="C5713" s="0" t="s">
        <v>765</v>
      </c>
      <c r="D5713" s="7" t="n">
        <v>414</v>
      </c>
      <c r="E5713" s="8" t="n">
        <v>0.0317874396135266</v>
      </c>
      <c r="F5713" s="4" t="n">
        <f aca="false">D5713*E5713</f>
        <v>13.16</v>
      </c>
      <c r="G5713" s="7" t="n">
        <v>31</v>
      </c>
      <c r="H5713" s="9" t="n">
        <f aca="false">IF(G5713&gt;0,D5713/G5713,"")</f>
        <v>13.3548387096774</v>
      </c>
      <c r="I5713" s="10" t="n">
        <v>46244</v>
      </c>
      <c r="K5713" s="10"/>
      <c r="M5713" s="7"/>
      <c r="N5713" s="8"/>
      <c r="O5713" s="4"/>
    </row>
    <row r="5714" customFormat="false" ht="15" hidden="false" customHeight="false" outlineLevel="0" collapsed="false">
      <c r="A5714" s="0" t="s">
        <v>7510</v>
      </c>
      <c r="C5714" s="0" t="s">
        <v>34</v>
      </c>
      <c r="D5714" s="7" t="n">
        <v>62</v>
      </c>
      <c r="E5714" s="8" t="n">
        <v>0.212258064516129</v>
      </c>
      <c r="F5714" s="4" t="n">
        <f aca="false">D5714*E5714</f>
        <v>13.16</v>
      </c>
      <c r="G5714" s="7" t="n">
        <v>20</v>
      </c>
      <c r="H5714" s="9" t="n">
        <f aca="false">IF(G5714&gt;0,D5714/G5714,"")</f>
        <v>3.1</v>
      </c>
      <c r="I5714" s="10" t="n">
        <v>46219</v>
      </c>
      <c r="K5714" s="10"/>
      <c r="M5714" s="7"/>
      <c r="N5714" s="8"/>
      <c r="O5714" s="4"/>
    </row>
    <row r="5715" customFormat="false" ht="15" hidden="false" customHeight="false" outlineLevel="0" collapsed="false">
      <c r="A5715" s="0" t="s">
        <v>7511</v>
      </c>
      <c r="C5715" s="0" t="s">
        <v>34</v>
      </c>
      <c r="D5715" s="7" t="n">
        <v>127</v>
      </c>
      <c r="E5715" s="8" t="n">
        <v>0.103622047244095</v>
      </c>
      <c r="F5715" s="4" t="n">
        <f aca="false">D5715*E5715</f>
        <v>13.16</v>
      </c>
      <c r="G5715" s="7" t="n">
        <v>10</v>
      </c>
      <c r="H5715" s="9" t="n">
        <f aca="false">IF(G5715&gt;0,D5715/G5715,"")</f>
        <v>12.7</v>
      </c>
      <c r="I5715" s="10" t="n">
        <v>46055</v>
      </c>
      <c r="K5715" s="10"/>
      <c r="M5715" s="7"/>
      <c r="N5715" s="8"/>
      <c r="O5715" s="4"/>
    </row>
    <row r="5716" customFormat="false" ht="15" hidden="false" customHeight="false" outlineLevel="0" collapsed="false">
      <c r="A5716" s="0" t="s">
        <v>7512</v>
      </c>
      <c r="C5716" s="0" t="s">
        <v>1010</v>
      </c>
      <c r="D5716" s="7" t="n">
        <v>124</v>
      </c>
      <c r="E5716" s="8" t="n">
        <v>0.105967741935484</v>
      </c>
      <c r="F5716" s="4" t="n">
        <f aca="false">D5716*E5716</f>
        <v>13.14</v>
      </c>
      <c r="G5716" s="7" t="n">
        <v>76</v>
      </c>
      <c r="H5716" s="9" t="n">
        <f aca="false">IF(G5716&gt;0,D5716/G5716,"")</f>
        <v>1.63157894736842</v>
      </c>
      <c r="I5716" s="10" t="n">
        <v>46168</v>
      </c>
      <c r="J5716" s="3" t="s">
        <v>296</v>
      </c>
      <c r="K5716" s="10" t="n">
        <v>45975</v>
      </c>
      <c r="L5716" s="3" t="s">
        <v>16</v>
      </c>
      <c r="M5716" s="7" t="n">
        <v>200</v>
      </c>
      <c r="N5716" s="8" t="n">
        <v>0.1059</v>
      </c>
      <c r="O5716" s="4" t="n">
        <f aca="false">M5716*N5716</f>
        <v>21.18</v>
      </c>
    </row>
    <row r="5717" customFormat="false" ht="15" hidden="false" customHeight="false" outlineLevel="0" collapsed="false">
      <c r="A5717" s="0" t="s">
        <v>7513</v>
      </c>
      <c r="C5717" s="0" t="s">
        <v>31</v>
      </c>
      <c r="D5717" s="7" t="n">
        <v>701</v>
      </c>
      <c r="E5717" s="8" t="n">
        <v>0.0187018544935806</v>
      </c>
      <c r="F5717" s="4" t="n">
        <f aca="false">D5717*E5717</f>
        <v>13.11</v>
      </c>
      <c r="G5717" s="7" t="n">
        <v>11</v>
      </c>
      <c r="H5717" s="9" t="n">
        <f aca="false">IF(G5717&gt;0,D5717/G5717,"")</f>
        <v>63.7272727272727</v>
      </c>
      <c r="I5717" s="10" t="n">
        <v>46098</v>
      </c>
      <c r="J5717" s="3" t="s">
        <v>907</v>
      </c>
      <c r="K5717" s="10" t="n">
        <v>45359</v>
      </c>
      <c r="L5717" s="3" t="s">
        <v>15</v>
      </c>
      <c r="M5717" s="7" t="n">
        <v>893</v>
      </c>
      <c r="N5717" s="8" t="n">
        <v>0.0187</v>
      </c>
      <c r="O5717" s="4" t="n">
        <f aca="false">M5717*N5717</f>
        <v>16.6991</v>
      </c>
    </row>
    <row r="5718" customFormat="false" ht="15" hidden="false" customHeight="false" outlineLevel="0" collapsed="false">
      <c r="A5718" s="0" t="s">
        <v>7514</v>
      </c>
      <c r="C5718" s="0" t="s">
        <v>31</v>
      </c>
      <c r="D5718" s="7" t="n">
        <v>248</v>
      </c>
      <c r="E5718" s="8" t="n">
        <v>0.0528225806451613</v>
      </c>
      <c r="F5718" s="4" t="n">
        <f aca="false">D5718*E5718</f>
        <v>13.1</v>
      </c>
      <c r="G5718" s="7" t="n">
        <v>96</v>
      </c>
      <c r="H5718" s="9" t="n">
        <f aca="false">IF(G5718&gt;0,D5718/G5718,"")</f>
        <v>2.58333333333333</v>
      </c>
      <c r="I5718" s="10" t="n">
        <v>46182</v>
      </c>
      <c r="K5718" s="10"/>
      <c r="M5718" s="7"/>
      <c r="N5718" s="8"/>
      <c r="O5718" s="4"/>
    </row>
    <row r="5719" customFormat="false" ht="15" hidden="false" customHeight="false" outlineLevel="0" collapsed="false">
      <c r="A5719" s="0" t="s">
        <v>7515</v>
      </c>
      <c r="C5719" s="0" t="s">
        <v>295</v>
      </c>
      <c r="D5719" s="7" t="n">
        <v>82</v>
      </c>
      <c r="E5719" s="8" t="n">
        <v>0.159512195121951</v>
      </c>
      <c r="F5719" s="4" t="n">
        <f aca="false">D5719*E5719</f>
        <v>13.08</v>
      </c>
      <c r="G5719" s="7" t="n">
        <v>5</v>
      </c>
      <c r="H5719" s="9" t="n">
        <f aca="false">IF(G5719&gt;0,D5719/G5719,"")</f>
        <v>16.4</v>
      </c>
      <c r="I5719" s="10" t="n">
        <v>46133</v>
      </c>
      <c r="K5719" s="10"/>
      <c r="M5719" s="7"/>
      <c r="N5719" s="8"/>
      <c r="O5719" s="4"/>
    </row>
    <row r="5720" customFormat="false" ht="15" hidden="false" customHeight="false" outlineLevel="0" collapsed="false">
      <c r="A5720" s="0" t="s">
        <v>7516</v>
      </c>
      <c r="C5720" s="0" t="s">
        <v>31</v>
      </c>
      <c r="D5720" s="7" t="n">
        <v>1486</v>
      </c>
      <c r="E5720" s="8" t="n">
        <v>0.00879542395693136</v>
      </c>
      <c r="F5720" s="4" t="n">
        <f aca="false">D5720*E5720</f>
        <v>13.07</v>
      </c>
      <c r="G5720" s="7" t="n">
        <v>150</v>
      </c>
      <c r="H5720" s="9" t="n">
        <f aca="false">IF(G5720&gt;0,D5720/G5720,"")</f>
        <v>9.90666666666667</v>
      </c>
      <c r="I5720" s="10" t="n">
        <v>46021</v>
      </c>
      <c r="J5720" s="3" t="s">
        <v>7070</v>
      </c>
      <c r="K5720" s="10" t="n">
        <v>45254</v>
      </c>
      <c r="L5720" s="3" t="s">
        <v>19</v>
      </c>
      <c r="M5720" s="7" t="n">
        <v>2500</v>
      </c>
      <c r="N5720" s="8" t="n">
        <v>0.0088</v>
      </c>
      <c r="O5720" s="4" t="n">
        <f aca="false">M5720*N5720</f>
        <v>22</v>
      </c>
    </row>
    <row r="5721" customFormat="false" ht="15" hidden="false" customHeight="false" outlineLevel="0" collapsed="false">
      <c r="A5721" s="0" t="s">
        <v>7517</v>
      </c>
      <c r="C5721" s="0" t="s">
        <v>31</v>
      </c>
      <c r="D5721" s="7" t="n">
        <v>27</v>
      </c>
      <c r="E5721" s="8" t="n">
        <v>0.483333333333333</v>
      </c>
      <c r="F5721" s="4" t="n">
        <f aca="false">D5721*E5721</f>
        <v>13.05</v>
      </c>
      <c r="G5721" s="7" t="n">
        <v>10</v>
      </c>
      <c r="H5721" s="9" t="n">
        <f aca="false">IF(G5721&gt;0,D5721/G5721,"")</f>
        <v>2.7</v>
      </c>
      <c r="I5721" s="10" t="n">
        <v>46315</v>
      </c>
      <c r="J5721" s="3" t="s">
        <v>6136</v>
      </c>
      <c r="K5721" s="10" t="n">
        <v>46310</v>
      </c>
      <c r="L5721" s="3" t="s">
        <v>19</v>
      </c>
      <c r="M5721" s="7" t="n">
        <v>28</v>
      </c>
      <c r="N5721" s="8" t="n">
        <v>0.5357</v>
      </c>
      <c r="O5721" s="4" t="n">
        <f aca="false">M5721*N5721</f>
        <v>14.9996</v>
      </c>
    </row>
    <row r="5722" customFormat="false" ht="15" hidden="false" customHeight="false" outlineLevel="0" collapsed="false">
      <c r="A5722" s="0" t="s">
        <v>7518</v>
      </c>
      <c r="C5722" s="0" t="s">
        <v>31</v>
      </c>
      <c r="D5722" s="7" t="n">
        <v>185</v>
      </c>
      <c r="E5722" s="8" t="n">
        <v>0.0704864864864865</v>
      </c>
      <c r="F5722" s="4" t="n">
        <f aca="false">D5722*E5722</f>
        <v>13.04</v>
      </c>
      <c r="G5722" s="7" t="n">
        <v>40</v>
      </c>
      <c r="H5722" s="9" t="n">
        <f aca="false">IF(G5722&gt;0,D5722/G5722,"")</f>
        <v>4.625</v>
      </c>
      <c r="I5722" s="10" t="n">
        <v>46293</v>
      </c>
      <c r="K5722" s="10"/>
      <c r="M5722" s="7"/>
      <c r="N5722" s="8"/>
      <c r="O5722" s="4"/>
    </row>
    <row r="5723" customFormat="false" ht="15" hidden="false" customHeight="false" outlineLevel="0" collapsed="false">
      <c r="A5723" s="0" t="s">
        <v>7519</v>
      </c>
      <c r="C5723" s="0" t="s">
        <v>340</v>
      </c>
      <c r="D5723" s="7" t="n">
        <v>105</v>
      </c>
      <c r="E5723" s="8" t="n">
        <v>0.123904761904762</v>
      </c>
      <c r="F5723" s="4" t="n">
        <f aca="false">D5723*E5723</f>
        <v>13.01</v>
      </c>
      <c r="G5723" s="7" t="n">
        <v>89</v>
      </c>
      <c r="H5723" s="9" t="n">
        <f aca="false">IF(G5723&gt;0,D5723/G5723,"")</f>
        <v>1.17977528089888</v>
      </c>
      <c r="I5723" s="10" t="n">
        <v>46273</v>
      </c>
      <c r="J5723" s="3" t="s">
        <v>1733</v>
      </c>
      <c r="K5723" s="10" t="n">
        <v>44689</v>
      </c>
      <c r="L5723" s="3" t="s">
        <v>19</v>
      </c>
      <c r="M5723" s="7" t="n">
        <v>743</v>
      </c>
      <c r="N5723" s="8" t="n">
        <v>0</v>
      </c>
      <c r="O5723" s="4" t="n">
        <v>93.462</v>
      </c>
    </row>
    <row r="5724" customFormat="false" ht="15" hidden="false" customHeight="false" outlineLevel="0" collapsed="false">
      <c r="A5724" s="0" t="s">
        <v>7520</v>
      </c>
      <c r="D5724" s="7" t="n">
        <v>4</v>
      </c>
      <c r="E5724" s="8" t="n">
        <v>3.25</v>
      </c>
      <c r="F5724" s="4" t="n">
        <f aca="false">D5724*E5724</f>
        <v>13</v>
      </c>
      <c r="G5724" s="7" t="n">
        <v>1</v>
      </c>
      <c r="H5724" s="9" t="n">
        <f aca="false">IF(G5724&gt;0,D5724/G5724,"")</f>
        <v>4</v>
      </c>
      <c r="I5724" s="10" t="n">
        <v>46265</v>
      </c>
      <c r="K5724" s="10"/>
      <c r="M5724" s="7"/>
      <c r="N5724" s="8"/>
      <c r="O5724" s="4"/>
    </row>
    <row r="5725" customFormat="false" ht="15" hidden="false" customHeight="false" outlineLevel="0" collapsed="false">
      <c r="A5725" s="0" t="s">
        <v>7521</v>
      </c>
      <c r="C5725" s="0" t="s">
        <v>31</v>
      </c>
      <c r="D5725" s="7" t="n">
        <v>125</v>
      </c>
      <c r="E5725" s="8" t="n">
        <v>0.1036</v>
      </c>
      <c r="F5725" s="4" t="n">
        <f aca="false">D5725*E5725</f>
        <v>12.95</v>
      </c>
      <c r="G5725" s="7" t="n">
        <v>51</v>
      </c>
      <c r="H5725" s="9" t="n">
        <f aca="false">IF(G5725&gt;0,D5725/G5725,"")</f>
        <v>2.45098039215686</v>
      </c>
      <c r="I5725" s="10" t="n">
        <v>46308</v>
      </c>
      <c r="J5725" s="3" t="s">
        <v>3412</v>
      </c>
      <c r="K5725" s="10" t="n">
        <v>46303</v>
      </c>
      <c r="L5725" s="3" t="s">
        <v>19</v>
      </c>
      <c r="M5725" s="7" t="n">
        <v>144</v>
      </c>
      <c r="N5725" s="8" t="n">
        <v>0.10416</v>
      </c>
      <c r="O5725" s="4" t="n">
        <f aca="false">M5725*N5725</f>
        <v>14.99904</v>
      </c>
    </row>
    <row r="5726" customFormat="false" ht="15" hidden="false" customHeight="false" outlineLevel="0" collapsed="false">
      <c r="A5726" s="0" t="s">
        <v>7522</v>
      </c>
      <c r="C5726" s="0" t="s">
        <v>31</v>
      </c>
      <c r="D5726" s="7" t="n">
        <v>179</v>
      </c>
      <c r="E5726" s="8" t="n">
        <v>0.0722346368715084</v>
      </c>
      <c r="F5726" s="4" t="n">
        <f aca="false">D5726*E5726</f>
        <v>12.93</v>
      </c>
      <c r="G5726" s="7" t="n">
        <v>56</v>
      </c>
      <c r="H5726" s="9" t="n">
        <f aca="false">IF(G5726&gt;0,D5726/G5726,"")</f>
        <v>3.19642857142857</v>
      </c>
      <c r="I5726" s="10" t="n">
        <v>46283</v>
      </c>
      <c r="J5726" s="3" t="s">
        <v>6125</v>
      </c>
      <c r="K5726" s="10" t="n">
        <v>46028</v>
      </c>
      <c r="L5726" s="3" t="s">
        <v>19</v>
      </c>
      <c r="M5726" s="7" t="n">
        <v>250</v>
      </c>
      <c r="N5726" s="8" t="n">
        <v>0.0722</v>
      </c>
      <c r="O5726" s="4" t="n">
        <f aca="false">M5726*N5726</f>
        <v>18.05</v>
      </c>
    </row>
    <row r="5727" customFormat="false" ht="15" hidden="false" customHeight="false" outlineLevel="0" collapsed="false">
      <c r="A5727" s="0" t="s">
        <v>7523</v>
      </c>
      <c r="C5727" s="0" t="s">
        <v>1039</v>
      </c>
      <c r="D5727" s="7" t="n">
        <v>27</v>
      </c>
      <c r="E5727" s="8" t="n">
        <v>0.478518518518519</v>
      </c>
      <c r="F5727" s="4" t="n">
        <f aca="false">D5727*E5727</f>
        <v>12.92</v>
      </c>
      <c r="G5727" s="7" t="n">
        <v>23</v>
      </c>
      <c r="H5727" s="9" t="n">
        <f aca="false">IF(G5727&gt;0,D5727/G5727,"")</f>
        <v>1.17391304347826</v>
      </c>
      <c r="I5727" s="10" t="n">
        <v>46175</v>
      </c>
      <c r="J5727" s="3" t="s">
        <v>6879</v>
      </c>
      <c r="K5727" s="10" t="n">
        <v>45956</v>
      </c>
      <c r="L5727" s="3" t="s">
        <v>19</v>
      </c>
      <c r="M5727" s="7" t="n">
        <v>50</v>
      </c>
      <c r="N5727" s="8" t="n">
        <v>0.4785</v>
      </c>
      <c r="O5727" s="4" t="n">
        <f aca="false">M5727*N5727</f>
        <v>23.925</v>
      </c>
    </row>
    <row r="5728" customFormat="false" ht="15" hidden="false" customHeight="false" outlineLevel="0" collapsed="false">
      <c r="A5728" s="0" t="s">
        <v>7524</v>
      </c>
      <c r="D5728" s="7" t="n">
        <v>34</v>
      </c>
      <c r="E5728" s="8" t="n">
        <v>0.379411764705882</v>
      </c>
      <c r="F5728" s="4" t="n">
        <f aca="false">D5728*E5728</f>
        <v>12.9</v>
      </c>
      <c r="G5728" s="7" t="n">
        <v>20</v>
      </c>
      <c r="H5728" s="9" t="n">
        <f aca="false">IF(G5728&gt;0,D5728/G5728,"")</f>
        <v>1.7</v>
      </c>
      <c r="I5728" s="10" t="n">
        <v>45965</v>
      </c>
      <c r="J5728" s="3" t="s">
        <v>7525</v>
      </c>
      <c r="K5728" s="10" t="n">
        <v>44306</v>
      </c>
      <c r="L5728" s="3" t="s">
        <v>14</v>
      </c>
      <c r="M5728" s="7" t="n">
        <v>100</v>
      </c>
      <c r="N5728" s="8" t="n">
        <v>0.3795</v>
      </c>
      <c r="O5728" s="4" t="n">
        <f aca="false">M5728*N5728</f>
        <v>37.95</v>
      </c>
    </row>
    <row r="5729" customFormat="false" ht="15" hidden="false" customHeight="false" outlineLevel="0" collapsed="false">
      <c r="A5729" s="0" t="s">
        <v>7526</v>
      </c>
      <c r="C5729" s="0" t="s">
        <v>118</v>
      </c>
      <c r="D5729" s="7" t="n">
        <v>74</v>
      </c>
      <c r="E5729" s="8" t="n">
        <v>0.174189189189189</v>
      </c>
      <c r="F5729" s="4" t="n">
        <f aca="false">D5729*E5729</f>
        <v>12.89</v>
      </c>
      <c r="G5729" s="7" t="n">
        <v>2</v>
      </c>
      <c r="H5729" s="9" t="n">
        <f aca="false">IF(G5729&gt;0,D5729/G5729,"")</f>
        <v>37</v>
      </c>
      <c r="I5729" s="10" t="n">
        <v>46042</v>
      </c>
      <c r="K5729" s="10"/>
      <c r="M5729" s="7"/>
      <c r="N5729" s="8"/>
      <c r="O5729" s="4"/>
    </row>
    <row r="5730" customFormat="false" ht="15" hidden="false" customHeight="false" outlineLevel="0" collapsed="false">
      <c r="A5730" s="0" t="s">
        <v>7527</v>
      </c>
      <c r="C5730" s="0" t="s">
        <v>1039</v>
      </c>
      <c r="D5730" s="7" t="n">
        <v>1287</v>
      </c>
      <c r="E5730" s="8" t="n">
        <v>0.01</v>
      </c>
      <c r="F5730" s="4" t="n">
        <f aca="false">D5730*E5730</f>
        <v>12.87</v>
      </c>
      <c r="G5730" s="7" t="n">
        <v>623</v>
      </c>
      <c r="H5730" s="9" t="n">
        <f aca="false">IF(G5730&gt;0,D5730/G5730,"")</f>
        <v>2.06581059390048</v>
      </c>
      <c r="I5730" s="10" t="n">
        <v>46288</v>
      </c>
      <c r="J5730" s="3" t="s">
        <v>7528</v>
      </c>
      <c r="K5730" s="10" t="n">
        <v>45153</v>
      </c>
      <c r="L5730" s="3" t="s">
        <v>19</v>
      </c>
      <c r="M5730" s="7" t="n">
        <v>2500</v>
      </c>
      <c r="N5730" s="8" t="n">
        <v>0.013</v>
      </c>
      <c r="O5730" s="4" t="n">
        <f aca="false">M5730*N5730</f>
        <v>32.5</v>
      </c>
    </row>
    <row r="5731" customFormat="false" ht="15" hidden="false" customHeight="false" outlineLevel="0" collapsed="false">
      <c r="A5731" s="0" t="s">
        <v>7529</v>
      </c>
      <c r="C5731" s="0" t="s">
        <v>40</v>
      </c>
      <c r="D5731" s="7" t="n">
        <v>2993</v>
      </c>
      <c r="E5731" s="8" t="n">
        <v>0.00430003341129302</v>
      </c>
      <c r="F5731" s="4" t="n">
        <f aca="false">D5731*E5731</f>
        <v>12.87</v>
      </c>
      <c r="G5731" s="7" t="n">
        <v>101</v>
      </c>
      <c r="H5731" s="9" t="n">
        <f aca="false">IF(G5731&gt;0,D5731/G5731,"")</f>
        <v>29.6336633663366</v>
      </c>
      <c r="I5731" s="10" t="n">
        <v>46203</v>
      </c>
      <c r="K5731" s="10"/>
      <c r="M5731" s="7"/>
      <c r="N5731" s="8"/>
      <c r="O5731" s="4"/>
    </row>
    <row r="5732" customFormat="false" ht="15" hidden="false" customHeight="false" outlineLevel="0" collapsed="false">
      <c r="A5732" s="0" t="s">
        <v>7530</v>
      </c>
      <c r="C5732" s="0" t="s">
        <v>979</v>
      </c>
      <c r="D5732" s="7" t="n">
        <v>7</v>
      </c>
      <c r="E5732" s="8" t="n">
        <v>1.83857142857143</v>
      </c>
      <c r="F5732" s="4" t="n">
        <f aca="false">D5732*E5732</f>
        <v>12.87</v>
      </c>
      <c r="G5732" s="7" t="n">
        <v>4</v>
      </c>
      <c r="H5732" s="9" t="n">
        <f aca="false">IF(G5732&gt;0,D5732/G5732,"")</f>
        <v>1.75</v>
      </c>
      <c r="I5732" s="10" t="n">
        <v>46076</v>
      </c>
      <c r="J5732" s="3" t="s">
        <v>1028</v>
      </c>
      <c r="K5732" s="10" t="n">
        <v>45689</v>
      </c>
      <c r="L5732" s="3" t="s">
        <v>18</v>
      </c>
      <c r="M5732" s="7" t="n">
        <v>16</v>
      </c>
      <c r="N5732" s="8" t="n">
        <v>1.8391</v>
      </c>
      <c r="O5732" s="4" t="n">
        <f aca="false">M5732*N5732</f>
        <v>29.4256</v>
      </c>
    </row>
    <row r="5733" customFormat="false" ht="15" hidden="false" customHeight="false" outlineLevel="0" collapsed="false">
      <c r="A5733" s="0" t="s">
        <v>7531</v>
      </c>
      <c r="C5733" s="0" t="s">
        <v>31</v>
      </c>
      <c r="D5733" s="7" t="n">
        <v>1045</v>
      </c>
      <c r="E5733" s="8" t="n">
        <v>0.0123062200956938</v>
      </c>
      <c r="F5733" s="4" t="n">
        <f aca="false">D5733*E5733</f>
        <v>12.86</v>
      </c>
      <c r="G5733" s="7" t="n">
        <v>115</v>
      </c>
      <c r="H5733" s="9" t="n">
        <f aca="false">IF(G5733&gt;0,D5733/G5733,"")</f>
        <v>9.08695652173913</v>
      </c>
      <c r="I5733" s="10" t="n">
        <v>46098</v>
      </c>
      <c r="J5733" s="3" t="s">
        <v>4801</v>
      </c>
      <c r="K5733" s="10" t="n">
        <v>46290</v>
      </c>
      <c r="L5733" s="3" t="s">
        <v>16</v>
      </c>
      <c r="M5733" s="7" t="n">
        <v>12200</v>
      </c>
      <c r="N5733" s="8" t="n">
        <v>0.0123</v>
      </c>
      <c r="O5733" s="4" t="n">
        <f aca="false">M5733*N5733</f>
        <v>150.06</v>
      </c>
    </row>
    <row r="5734" customFormat="false" ht="15" hidden="false" customHeight="false" outlineLevel="0" collapsed="false">
      <c r="A5734" s="0" t="s">
        <v>7532</v>
      </c>
      <c r="C5734" s="0" t="s">
        <v>31</v>
      </c>
      <c r="D5734" s="7" t="n">
        <v>68</v>
      </c>
      <c r="E5734" s="8" t="n">
        <v>0.188970588235294</v>
      </c>
      <c r="F5734" s="4" t="n">
        <f aca="false">D5734*E5734</f>
        <v>12.85</v>
      </c>
      <c r="G5734" s="7" t="n">
        <v>36</v>
      </c>
      <c r="H5734" s="9" t="n">
        <f aca="false">IF(G5734&gt;0,D5734/G5734,"")</f>
        <v>1.88888888888889</v>
      </c>
      <c r="I5734" s="10" t="n">
        <v>46133</v>
      </c>
      <c r="J5734" s="3" t="s">
        <v>4598</v>
      </c>
      <c r="K5734" s="10" t="n">
        <v>45958</v>
      </c>
      <c r="L5734" s="3" t="s">
        <v>19</v>
      </c>
      <c r="M5734" s="7" t="n">
        <v>100</v>
      </c>
      <c r="N5734" s="8" t="n">
        <v>0.1889</v>
      </c>
      <c r="O5734" s="4" t="n">
        <f aca="false">M5734*N5734</f>
        <v>18.89</v>
      </c>
    </row>
    <row r="5735" customFormat="false" ht="15" hidden="false" customHeight="false" outlineLevel="0" collapsed="false">
      <c r="A5735" s="0" t="s">
        <v>7533</v>
      </c>
      <c r="C5735" s="0" t="s">
        <v>462</v>
      </c>
      <c r="D5735" s="7" t="n">
        <v>199</v>
      </c>
      <c r="E5735" s="8" t="n">
        <v>0.064572864321608</v>
      </c>
      <c r="F5735" s="4" t="n">
        <f aca="false">D5735*E5735</f>
        <v>12.85</v>
      </c>
      <c r="G5735" s="7" t="n">
        <v>8</v>
      </c>
      <c r="H5735" s="9" t="n">
        <f aca="false">IF(G5735&gt;0,D5735/G5735,"")</f>
        <v>24.875</v>
      </c>
      <c r="I5735" s="10" t="n">
        <v>46251</v>
      </c>
      <c r="J5735" s="3" t="s">
        <v>7534</v>
      </c>
      <c r="K5735" s="10" t="n">
        <v>44523</v>
      </c>
      <c r="L5735" s="3" t="s">
        <v>19</v>
      </c>
      <c r="M5735" s="7" t="n">
        <v>250</v>
      </c>
      <c r="N5735" s="8" t="n">
        <v>0.0646</v>
      </c>
      <c r="O5735" s="4" t="n">
        <f aca="false">M5735*N5735</f>
        <v>16.15</v>
      </c>
    </row>
    <row r="5736" customFormat="false" ht="15" hidden="false" customHeight="false" outlineLevel="0" collapsed="false">
      <c r="A5736" s="0" t="s">
        <v>7535</v>
      </c>
      <c r="C5736" s="0" t="s">
        <v>31</v>
      </c>
      <c r="D5736" s="7" t="n">
        <v>47</v>
      </c>
      <c r="E5736" s="8" t="n">
        <v>0.272765957446809</v>
      </c>
      <c r="F5736" s="4" t="n">
        <f aca="false">D5736*E5736</f>
        <v>12.82</v>
      </c>
      <c r="G5736" s="7" t="n">
        <v>33</v>
      </c>
      <c r="H5736" s="9" t="n">
        <f aca="false">IF(G5736&gt;0,D5736/G5736,"")</f>
        <v>1.42424242424242</v>
      </c>
      <c r="I5736" s="10" t="n">
        <v>46154</v>
      </c>
      <c r="J5736" s="3" t="s">
        <v>6425</v>
      </c>
      <c r="K5736" s="10" t="n">
        <v>44839</v>
      </c>
      <c r="L5736" s="3" t="s">
        <v>19</v>
      </c>
      <c r="M5736" s="7" t="n">
        <v>200</v>
      </c>
      <c r="N5736" s="8" t="n">
        <v>0.2727</v>
      </c>
      <c r="O5736" s="4" t="n">
        <f aca="false">M5736*N5736</f>
        <v>54.54</v>
      </c>
    </row>
    <row r="5737" customFormat="false" ht="15" hidden="false" customHeight="false" outlineLevel="0" collapsed="false">
      <c r="A5737" s="0" t="s">
        <v>7536</v>
      </c>
      <c r="D5737" s="7" t="n">
        <v>7</v>
      </c>
      <c r="E5737" s="8" t="n">
        <v>1.83</v>
      </c>
      <c r="F5737" s="4" t="n">
        <f aca="false">D5737*E5737</f>
        <v>12.81</v>
      </c>
      <c r="G5737" s="7" t="n">
        <v>1</v>
      </c>
      <c r="H5737" s="9" t="n">
        <f aca="false">IF(G5737&gt;0,D5737/G5737,"")</f>
        <v>7</v>
      </c>
      <c r="I5737" s="10" t="n">
        <v>46129</v>
      </c>
      <c r="K5737" s="10"/>
      <c r="M5737" s="7"/>
      <c r="N5737" s="8"/>
      <c r="O5737" s="4"/>
    </row>
    <row r="5738" customFormat="false" ht="15" hidden="false" customHeight="false" outlineLevel="0" collapsed="false">
      <c r="A5738" s="0" t="s">
        <v>7537</v>
      </c>
      <c r="C5738" s="0" t="s">
        <v>31</v>
      </c>
      <c r="D5738" s="7" t="n">
        <v>493</v>
      </c>
      <c r="E5738" s="8" t="n">
        <v>0.0259229208924949</v>
      </c>
      <c r="F5738" s="4" t="n">
        <f aca="false">D5738*E5738</f>
        <v>12.78</v>
      </c>
      <c r="G5738" s="7" t="n">
        <v>9</v>
      </c>
      <c r="H5738" s="9" t="n">
        <f aca="false">IF(G5738&gt;0,D5738/G5738,"")</f>
        <v>54.7777777777778</v>
      </c>
      <c r="I5738" s="10" t="n">
        <v>45964</v>
      </c>
      <c r="J5738" s="3" t="s">
        <v>2648</v>
      </c>
      <c r="K5738" s="10" t="n">
        <v>45218</v>
      </c>
      <c r="L5738" s="3" t="s">
        <v>15</v>
      </c>
      <c r="M5738" s="7" t="n">
        <v>560</v>
      </c>
      <c r="N5738" s="8" t="n">
        <v>0.02593</v>
      </c>
      <c r="O5738" s="4" t="n">
        <f aca="false">M5738*N5738</f>
        <v>14.5208</v>
      </c>
    </row>
    <row r="5739" customFormat="false" ht="15" hidden="false" customHeight="false" outlineLevel="0" collapsed="false">
      <c r="A5739" s="0" t="s">
        <v>7538</v>
      </c>
      <c r="C5739" s="0" t="s">
        <v>1039</v>
      </c>
      <c r="D5739" s="7" t="n">
        <v>91</v>
      </c>
      <c r="E5739" s="8" t="n">
        <v>0.14043956043956</v>
      </c>
      <c r="F5739" s="4" t="n">
        <f aca="false">D5739*E5739</f>
        <v>12.78</v>
      </c>
      <c r="G5739" s="7" t="n">
        <v>73</v>
      </c>
      <c r="H5739" s="9" t="n">
        <f aca="false">IF(G5739&gt;0,D5739/G5739,"")</f>
        <v>1.24657534246575</v>
      </c>
      <c r="I5739" s="10" t="n">
        <v>46171</v>
      </c>
      <c r="J5739" s="3" t="s">
        <v>6692</v>
      </c>
      <c r="K5739" s="10" t="n">
        <v>46295</v>
      </c>
      <c r="L5739" s="3" t="s">
        <v>19</v>
      </c>
      <c r="M5739" s="7" t="n">
        <v>100</v>
      </c>
      <c r="N5739" s="8" t="n">
        <v>0.1547</v>
      </c>
      <c r="O5739" s="4" t="n">
        <f aca="false">M5739*N5739</f>
        <v>15.47</v>
      </c>
    </row>
    <row r="5740" customFormat="false" ht="15" hidden="false" customHeight="false" outlineLevel="0" collapsed="false">
      <c r="A5740" s="0" t="s">
        <v>7539</v>
      </c>
      <c r="C5740" s="0" t="s">
        <v>36</v>
      </c>
      <c r="D5740" s="7" t="n">
        <v>150</v>
      </c>
      <c r="E5740" s="8" t="n">
        <v>0.0850666666666667</v>
      </c>
      <c r="F5740" s="4" t="n">
        <f aca="false">D5740*E5740</f>
        <v>12.76</v>
      </c>
      <c r="G5740" s="7" t="n">
        <v>12</v>
      </c>
      <c r="H5740" s="9" t="n">
        <f aca="false">IF(G5740&gt;0,D5740/G5740,"")</f>
        <v>12.5</v>
      </c>
      <c r="I5740" s="10" t="n">
        <v>46112</v>
      </c>
      <c r="J5740" s="3" t="s">
        <v>4735</v>
      </c>
      <c r="K5740" s="10" t="n">
        <v>45642</v>
      </c>
      <c r="L5740" s="3" t="s">
        <v>18</v>
      </c>
      <c r="M5740" s="7" t="n">
        <v>1200</v>
      </c>
      <c r="N5740" s="8" t="n">
        <v>0.0851</v>
      </c>
      <c r="O5740" s="4" t="n">
        <f aca="false">M5740*N5740</f>
        <v>102.12</v>
      </c>
    </row>
    <row r="5741" customFormat="false" ht="15" hidden="false" customHeight="false" outlineLevel="0" collapsed="false">
      <c r="A5741" s="0" t="s">
        <v>7540</v>
      </c>
      <c r="C5741" s="0" t="s">
        <v>37</v>
      </c>
      <c r="D5741" s="7" t="n">
        <v>285</v>
      </c>
      <c r="E5741" s="8" t="n">
        <v>0.0447368421052632</v>
      </c>
      <c r="F5741" s="4" t="n">
        <f aca="false">D5741*E5741</f>
        <v>12.75</v>
      </c>
      <c r="G5741" s="7" t="n">
        <v>230</v>
      </c>
      <c r="H5741" s="9" t="n">
        <f aca="false">IF(G5741&gt;0,D5741/G5741,"")</f>
        <v>1.23913043478261</v>
      </c>
      <c r="I5741" s="10" t="n">
        <v>46118</v>
      </c>
      <c r="J5741" s="3" t="s">
        <v>2208</v>
      </c>
      <c r="K5741" s="10" t="n">
        <v>45040</v>
      </c>
      <c r="L5741" s="3" t="s">
        <v>15</v>
      </c>
      <c r="M5741" s="7" t="n">
        <v>3625</v>
      </c>
      <c r="N5741" s="8" t="n">
        <v>0.04475</v>
      </c>
      <c r="O5741" s="4" t="n">
        <f aca="false">M5741*N5741</f>
        <v>162.21875</v>
      </c>
    </row>
    <row r="5742" customFormat="false" ht="15" hidden="false" customHeight="false" outlineLevel="0" collapsed="false">
      <c r="A5742" s="0" t="s">
        <v>7541</v>
      </c>
      <c r="C5742" s="0" t="s">
        <v>777</v>
      </c>
      <c r="D5742" s="7" t="n">
        <v>140</v>
      </c>
      <c r="E5742" s="8" t="n">
        <v>0.091</v>
      </c>
      <c r="F5742" s="4" t="n">
        <f aca="false">D5742*E5742</f>
        <v>12.74</v>
      </c>
      <c r="G5742" s="7" t="n">
        <v>140</v>
      </c>
      <c r="H5742" s="9" t="n">
        <f aca="false">IF(G5742&gt;0,D5742/G5742,"")</f>
        <v>1</v>
      </c>
      <c r="I5742" s="10" t="n">
        <v>46062</v>
      </c>
      <c r="J5742" s="3" t="s">
        <v>616</v>
      </c>
      <c r="K5742" s="10" t="n">
        <v>46038</v>
      </c>
      <c r="L5742" s="3" t="s">
        <v>15</v>
      </c>
      <c r="M5742" s="7" t="n">
        <v>280</v>
      </c>
      <c r="N5742" s="8" t="n">
        <v>0.091</v>
      </c>
      <c r="O5742" s="4" t="n">
        <f aca="false">M5742*N5742</f>
        <v>25.48</v>
      </c>
    </row>
    <row r="5743" customFormat="false" ht="15" hidden="false" customHeight="false" outlineLevel="0" collapsed="false">
      <c r="A5743" s="0" t="s">
        <v>7542</v>
      </c>
      <c r="C5743" s="0" t="s">
        <v>340</v>
      </c>
      <c r="D5743" s="7" t="n">
        <v>185</v>
      </c>
      <c r="E5743" s="8" t="n">
        <v>0.0687567567567568</v>
      </c>
      <c r="F5743" s="4" t="n">
        <f aca="false">D5743*E5743</f>
        <v>12.72</v>
      </c>
      <c r="G5743" s="7" t="n">
        <v>115</v>
      </c>
      <c r="H5743" s="9" t="n">
        <f aca="false">IF(G5743&gt;0,D5743/G5743,"")</f>
        <v>1.60869565217391</v>
      </c>
      <c r="I5743" s="10" t="n">
        <v>46301</v>
      </c>
      <c r="J5743" s="3" t="s">
        <v>341</v>
      </c>
      <c r="K5743" s="10" t="n">
        <v>46078</v>
      </c>
      <c r="L5743" s="3" t="s">
        <v>15</v>
      </c>
      <c r="M5743" s="7" t="n">
        <v>300</v>
      </c>
      <c r="N5743" s="8" t="n">
        <v>0.06877</v>
      </c>
      <c r="O5743" s="4" t="n">
        <f aca="false">M5743*N5743</f>
        <v>20.631</v>
      </c>
    </row>
    <row r="5744" customFormat="false" ht="15" hidden="false" customHeight="false" outlineLevel="0" collapsed="false">
      <c r="A5744" s="0" t="s">
        <v>7543</v>
      </c>
      <c r="C5744" s="0" t="s">
        <v>31</v>
      </c>
      <c r="D5744" s="7" t="n">
        <v>184</v>
      </c>
      <c r="E5744" s="8" t="n">
        <v>0.0691304347826087</v>
      </c>
      <c r="F5744" s="4" t="n">
        <f aca="false">D5744*E5744</f>
        <v>12.72</v>
      </c>
      <c r="G5744" s="7" t="n">
        <v>20</v>
      </c>
      <c r="H5744" s="9" t="n">
        <f aca="false">IF(G5744&gt;0,D5744/G5744,"")</f>
        <v>9.2</v>
      </c>
      <c r="I5744" s="10" t="n">
        <v>46009</v>
      </c>
      <c r="J5744" s="3" t="s">
        <v>7376</v>
      </c>
      <c r="K5744" s="10" t="n">
        <v>45377</v>
      </c>
      <c r="L5744" s="3" t="s">
        <v>15</v>
      </c>
      <c r="M5744" s="7" t="n">
        <v>258</v>
      </c>
      <c r="N5744" s="8" t="n">
        <v>0.0691</v>
      </c>
      <c r="O5744" s="4" t="n">
        <f aca="false">M5744*N5744</f>
        <v>17.8278</v>
      </c>
    </row>
    <row r="5745" customFormat="false" ht="15" hidden="false" customHeight="false" outlineLevel="0" collapsed="false">
      <c r="A5745" s="0" t="s">
        <v>7544</v>
      </c>
      <c r="C5745" s="0" t="s">
        <v>34</v>
      </c>
      <c r="D5745" s="7" t="n">
        <v>32</v>
      </c>
      <c r="E5745" s="8" t="n">
        <v>0.3971875</v>
      </c>
      <c r="F5745" s="4" t="n">
        <f aca="false">D5745*E5745</f>
        <v>12.71</v>
      </c>
      <c r="G5745" s="7" t="n">
        <v>12</v>
      </c>
      <c r="H5745" s="9" t="n">
        <f aca="false">IF(G5745&gt;0,D5745/G5745,"")</f>
        <v>2.66666666666667</v>
      </c>
      <c r="I5745" s="10" t="n">
        <v>46220</v>
      </c>
      <c r="J5745" s="3" t="s">
        <v>682</v>
      </c>
      <c r="K5745" s="10" t="n">
        <v>45539</v>
      </c>
      <c r="L5745" s="3" t="s">
        <v>14</v>
      </c>
      <c r="M5745" s="7" t="n">
        <v>64</v>
      </c>
      <c r="N5745" s="8" t="n">
        <v>0.397</v>
      </c>
      <c r="O5745" s="4" t="n">
        <f aca="false">M5745*N5745</f>
        <v>25.408</v>
      </c>
    </row>
    <row r="5746" customFormat="false" ht="15" hidden="false" customHeight="false" outlineLevel="0" collapsed="false">
      <c r="A5746" s="0" t="s">
        <v>7545</v>
      </c>
      <c r="C5746" s="0" t="s">
        <v>34</v>
      </c>
      <c r="D5746" s="7" t="n">
        <v>29</v>
      </c>
      <c r="E5746" s="8" t="n">
        <v>0.437931034482759</v>
      </c>
      <c r="F5746" s="4" t="n">
        <f aca="false">D5746*E5746</f>
        <v>12.7</v>
      </c>
      <c r="G5746" s="7" t="n">
        <v>10</v>
      </c>
      <c r="H5746" s="9" t="n">
        <f aca="false">IF(G5746&gt;0,D5746/G5746,"")</f>
        <v>2.9</v>
      </c>
      <c r="I5746" s="10" t="n">
        <v>46154</v>
      </c>
      <c r="J5746" s="3" t="s">
        <v>6308</v>
      </c>
      <c r="K5746" s="10" t="n">
        <v>45714</v>
      </c>
      <c r="L5746" s="3" t="s">
        <v>19</v>
      </c>
      <c r="M5746" s="7" t="n">
        <v>50</v>
      </c>
      <c r="N5746" s="8" t="n">
        <v>0.438</v>
      </c>
      <c r="O5746" s="4" t="n">
        <f aca="false">M5746*N5746</f>
        <v>21.9</v>
      </c>
    </row>
    <row r="5747" customFormat="false" ht="15" hidden="false" customHeight="false" outlineLevel="0" collapsed="false">
      <c r="A5747" s="0" t="s">
        <v>7546</v>
      </c>
      <c r="C5747" s="0" t="s">
        <v>31</v>
      </c>
      <c r="D5747" s="7" t="n">
        <v>378</v>
      </c>
      <c r="E5747" s="8" t="n">
        <v>0.0334656084656085</v>
      </c>
      <c r="F5747" s="4" t="n">
        <f aca="false">D5747*E5747</f>
        <v>12.65</v>
      </c>
      <c r="G5747" s="7" t="n">
        <v>55</v>
      </c>
      <c r="H5747" s="9" t="n">
        <f aca="false">IF(G5747&gt;0,D5747/G5747,"")</f>
        <v>6.87272727272727</v>
      </c>
      <c r="I5747" s="10" t="n">
        <v>46244</v>
      </c>
      <c r="J5747" s="3" t="s">
        <v>4429</v>
      </c>
      <c r="K5747" s="10" t="n">
        <v>45415</v>
      </c>
      <c r="L5747" s="3" t="s">
        <v>19</v>
      </c>
      <c r="M5747" s="7" t="n">
        <v>532</v>
      </c>
      <c r="N5747" s="8" t="n">
        <v>0.0334</v>
      </c>
      <c r="O5747" s="4" t="n">
        <f aca="false">M5747*N5747</f>
        <v>17.7688</v>
      </c>
    </row>
    <row r="5748" customFormat="false" ht="15" hidden="false" customHeight="false" outlineLevel="0" collapsed="false">
      <c r="A5748" s="0" t="s">
        <v>7547</v>
      </c>
      <c r="C5748" s="0" t="s">
        <v>34</v>
      </c>
      <c r="D5748" s="7" t="n">
        <v>31</v>
      </c>
      <c r="E5748" s="8" t="n">
        <v>0.40741935483871</v>
      </c>
      <c r="F5748" s="4" t="n">
        <f aca="false">D5748*E5748</f>
        <v>12.63</v>
      </c>
      <c r="G5748" s="7" t="n">
        <v>17</v>
      </c>
      <c r="H5748" s="9" t="n">
        <f aca="false">IF(G5748&gt;0,D5748/G5748,"")</f>
        <v>1.82352941176471</v>
      </c>
      <c r="I5748" s="10" t="n">
        <v>46150</v>
      </c>
      <c r="J5748" s="3" t="s">
        <v>7548</v>
      </c>
      <c r="K5748" s="10" t="n">
        <v>45028</v>
      </c>
      <c r="L5748" s="3" t="s">
        <v>19</v>
      </c>
      <c r="M5748" s="7" t="n">
        <v>50</v>
      </c>
      <c r="N5748" s="8" t="n">
        <v>0.4076</v>
      </c>
      <c r="O5748" s="4" t="n">
        <f aca="false">M5748*N5748</f>
        <v>20.38</v>
      </c>
    </row>
    <row r="5749" customFormat="false" ht="15" hidden="false" customHeight="false" outlineLevel="0" collapsed="false">
      <c r="A5749" s="0" t="s">
        <v>7549</v>
      </c>
      <c r="C5749" s="0" t="s">
        <v>38</v>
      </c>
      <c r="D5749" s="7" t="n">
        <v>156</v>
      </c>
      <c r="E5749" s="8" t="n">
        <v>0.0805769230769231</v>
      </c>
      <c r="F5749" s="4" t="n">
        <f aca="false">D5749*E5749</f>
        <v>12.57</v>
      </c>
      <c r="G5749" s="7" t="n">
        <v>69</v>
      </c>
      <c r="H5749" s="9" t="n">
        <f aca="false">IF(G5749&gt;0,D5749/G5749,"")</f>
        <v>2.26086956521739</v>
      </c>
      <c r="I5749" s="10" t="n">
        <v>46093</v>
      </c>
      <c r="J5749" s="3" t="s">
        <v>4250</v>
      </c>
      <c r="K5749" s="10" t="n">
        <v>45659</v>
      </c>
      <c r="L5749" s="3" t="s">
        <v>18</v>
      </c>
      <c r="M5749" s="7" t="n">
        <v>330</v>
      </c>
      <c r="N5749" s="8" t="n">
        <v>0.0806</v>
      </c>
      <c r="O5749" s="4" t="n">
        <f aca="false">M5749*N5749</f>
        <v>26.598</v>
      </c>
    </row>
    <row r="5750" customFormat="false" ht="15" hidden="false" customHeight="false" outlineLevel="0" collapsed="false">
      <c r="A5750" s="0" t="s">
        <v>7550</v>
      </c>
      <c r="C5750" s="0" t="s">
        <v>855</v>
      </c>
      <c r="D5750" s="7" t="n">
        <v>340</v>
      </c>
      <c r="E5750" s="8" t="n">
        <v>0.0369705882352941</v>
      </c>
      <c r="F5750" s="4" t="n">
        <f aca="false">D5750*E5750</f>
        <v>12.57</v>
      </c>
      <c r="G5750" s="7" t="n">
        <v>4</v>
      </c>
      <c r="H5750" s="9" t="n">
        <f aca="false">IF(G5750&gt;0,D5750/G5750,"")</f>
        <v>85</v>
      </c>
      <c r="I5750" s="10" t="n">
        <v>46139</v>
      </c>
      <c r="K5750" s="10"/>
      <c r="M5750" s="7"/>
      <c r="N5750" s="8"/>
      <c r="O5750" s="4"/>
    </row>
    <row r="5751" customFormat="false" ht="15" hidden="false" customHeight="false" outlineLevel="0" collapsed="false">
      <c r="A5751" s="0" t="s">
        <v>7551</v>
      </c>
      <c r="C5751" s="0" t="s">
        <v>31</v>
      </c>
      <c r="D5751" s="7" t="n">
        <v>3940</v>
      </c>
      <c r="E5751" s="8" t="n">
        <v>0.00318527918781726</v>
      </c>
      <c r="F5751" s="4" t="n">
        <f aca="false">D5751*E5751</f>
        <v>12.55</v>
      </c>
      <c r="G5751" s="7" t="n">
        <v>625</v>
      </c>
      <c r="H5751" s="9" t="n">
        <f aca="false">IF(G5751&gt;0,D5751/G5751,"")</f>
        <v>6.304</v>
      </c>
      <c r="I5751" s="10" t="n">
        <v>46220</v>
      </c>
      <c r="J5751" s="3" t="s">
        <v>2672</v>
      </c>
      <c r="K5751" s="10" t="n">
        <v>44670</v>
      </c>
      <c r="L5751" s="3" t="s">
        <v>15</v>
      </c>
      <c r="M5751" s="7" t="n">
        <v>5528</v>
      </c>
      <c r="N5751" s="8" t="n">
        <v>0.00324</v>
      </c>
      <c r="O5751" s="4" t="n">
        <v>17.658</v>
      </c>
    </row>
    <row r="5752" customFormat="false" ht="15" hidden="false" customHeight="false" outlineLevel="0" collapsed="false">
      <c r="A5752" s="0" t="s">
        <v>7552</v>
      </c>
      <c r="C5752" s="0" t="s">
        <v>31</v>
      </c>
      <c r="D5752" s="7" t="n">
        <v>603</v>
      </c>
      <c r="E5752" s="8" t="n">
        <v>0.0207794361525705</v>
      </c>
      <c r="F5752" s="4" t="n">
        <f aca="false">D5752*E5752</f>
        <v>12.53</v>
      </c>
      <c r="G5752" s="7" t="n">
        <v>133</v>
      </c>
      <c r="H5752" s="9" t="n">
        <f aca="false">IF(G5752&gt;0,D5752/G5752,"")</f>
        <v>4.53383458646617</v>
      </c>
      <c r="I5752" s="10" t="n">
        <v>46265</v>
      </c>
      <c r="J5752" s="3" t="s">
        <v>3921</v>
      </c>
      <c r="K5752" s="10" t="n">
        <v>45203</v>
      </c>
      <c r="L5752" s="3" t="s">
        <v>19</v>
      </c>
      <c r="M5752" s="7" t="n">
        <v>1000</v>
      </c>
      <c r="N5752" s="8" t="n">
        <v>0.0208</v>
      </c>
      <c r="O5752" s="4" t="n">
        <f aca="false">M5752*N5752</f>
        <v>20.8</v>
      </c>
    </row>
    <row r="5753" customFormat="false" ht="15" hidden="false" customHeight="false" outlineLevel="0" collapsed="false">
      <c r="A5753" s="0" t="s">
        <v>7553</v>
      </c>
      <c r="C5753" s="0" t="s">
        <v>38</v>
      </c>
      <c r="D5753" s="7" t="n">
        <v>45</v>
      </c>
      <c r="E5753" s="8" t="n">
        <v>0.278444444444444</v>
      </c>
      <c r="F5753" s="4" t="n">
        <f aca="false">D5753*E5753</f>
        <v>12.53</v>
      </c>
      <c r="G5753" s="7" t="n">
        <v>5</v>
      </c>
      <c r="H5753" s="9" t="n">
        <f aca="false">IF(G5753&gt;0,D5753/G5753,"")</f>
        <v>9</v>
      </c>
      <c r="I5753" s="10" t="n">
        <v>46126</v>
      </c>
      <c r="J5753" s="3" t="s">
        <v>7554</v>
      </c>
      <c r="K5753" s="10" t="n">
        <v>45474</v>
      </c>
      <c r="L5753" s="3" t="s">
        <v>19</v>
      </c>
      <c r="M5753" s="7" t="n">
        <v>131</v>
      </c>
      <c r="N5753" s="8" t="n">
        <v>0.1909</v>
      </c>
      <c r="O5753" s="4" t="n">
        <f aca="false">M5753*N5753</f>
        <v>25.0079</v>
      </c>
    </row>
    <row r="5754" customFormat="false" ht="15" hidden="false" customHeight="false" outlineLevel="0" collapsed="false">
      <c r="A5754" s="0" t="s">
        <v>7555</v>
      </c>
      <c r="C5754" s="0" t="s">
        <v>31</v>
      </c>
      <c r="D5754" s="7" t="n">
        <v>269</v>
      </c>
      <c r="E5754" s="8" t="n">
        <v>0.0464312267657993</v>
      </c>
      <c r="F5754" s="4" t="n">
        <f aca="false">D5754*E5754</f>
        <v>12.49</v>
      </c>
      <c r="G5754" s="7" t="n">
        <v>19</v>
      </c>
      <c r="H5754" s="9" t="n">
        <f aca="false">IF(G5754&gt;0,D5754/G5754,"")</f>
        <v>14.1578947368421</v>
      </c>
      <c r="I5754" s="10" t="n">
        <v>46037</v>
      </c>
      <c r="K5754" s="10"/>
      <c r="M5754" s="7"/>
      <c r="N5754" s="8"/>
      <c r="O5754" s="4"/>
    </row>
    <row r="5755" customFormat="false" ht="15" hidden="false" customHeight="false" outlineLevel="0" collapsed="false">
      <c r="A5755" s="0" t="s">
        <v>7556</v>
      </c>
      <c r="C5755" s="0" t="s">
        <v>31</v>
      </c>
      <c r="D5755" s="7" t="n">
        <v>63</v>
      </c>
      <c r="E5755" s="8" t="n">
        <v>0.197619047619048</v>
      </c>
      <c r="F5755" s="4" t="n">
        <f aca="false">D5755*E5755</f>
        <v>12.45</v>
      </c>
      <c r="G5755" s="7" t="n">
        <v>20</v>
      </c>
      <c r="H5755" s="9" t="n">
        <f aca="false">IF(G5755&gt;0,D5755/G5755,"")</f>
        <v>3.15</v>
      </c>
      <c r="I5755" s="10" t="n">
        <v>46315</v>
      </c>
      <c r="J5755" s="3" t="s">
        <v>6136</v>
      </c>
      <c r="K5755" s="10" t="n">
        <v>46310</v>
      </c>
      <c r="L5755" s="3" t="s">
        <v>19</v>
      </c>
      <c r="M5755" s="7" t="n">
        <v>74</v>
      </c>
      <c r="N5755" s="8" t="n">
        <v>0.2027</v>
      </c>
      <c r="O5755" s="4" t="n">
        <f aca="false">M5755*N5755</f>
        <v>14.9998</v>
      </c>
    </row>
    <row r="5756" customFormat="false" ht="15" hidden="false" customHeight="false" outlineLevel="0" collapsed="false">
      <c r="A5756" s="0" t="s">
        <v>7557</v>
      </c>
      <c r="C5756" s="0" t="s">
        <v>5091</v>
      </c>
      <c r="D5756" s="7" t="n">
        <v>32</v>
      </c>
      <c r="E5756" s="8" t="n">
        <v>0.38875</v>
      </c>
      <c r="F5756" s="4" t="n">
        <f aca="false">D5756*E5756</f>
        <v>12.44</v>
      </c>
      <c r="G5756" s="7" t="n">
        <v>8</v>
      </c>
      <c r="H5756" s="9" t="n">
        <f aca="false">IF(G5756&gt;0,D5756/G5756,"")</f>
        <v>4</v>
      </c>
      <c r="I5756" s="10" t="n">
        <v>46218</v>
      </c>
      <c r="J5756" s="3" t="s">
        <v>2558</v>
      </c>
      <c r="K5756" s="10" t="n">
        <v>44623</v>
      </c>
      <c r="L5756" s="3" t="s">
        <v>19</v>
      </c>
      <c r="M5756" s="7" t="n">
        <v>50</v>
      </c>
      <c r="N5756" s="8" t="n">
        <v>0.3885</v>
      </c>
      <c r="O5756" s="4" t="n">
        <f aca="false">M5756*N5756</f>
        <v>19.425</v>
      </c>
    </row>
    <row r="5757" customFormat="false" ht="15" hidden="false" customHeight="false" outlineLevel="0" collapsed="false">
      <c r="A5757" s="0" t="s">
        <v>7558</v>
      </c>
      <c r="C5757" s="0" t="s">
        <v>1039</v>
      </c>
      <c r="D5757" s="7" t="n">
        <v>166</v>
      </c>
      <c r="E5757" s="8" t="n">
        <v>0.0748795180722892</v>
      </c>
      <c r="F5757" s="4" t="n">
        <f aca="false">D5757*E5757</f>
        <v>12.43</v>
      </c>
      <c r="G5757" s="7" t="n">
        <v>129</v>
      </c>
      <c r="H5757" s="9" t="n">
        <f aca="false">IF(G5757&gt;0,D5757/G5757,"")</f>
        <v>1.28682170542636</v>
      </c>
      <c r="I5757" s="10" t="n">
        <v>46195</v>
      </c>
      <c r="J5757" s="3" t="s">
        <v>6530</v>
      </c>
      <c r="K5757" s="10" t="n">
        <v>46127</v>
      </c>
      <c r="L5757" s="3" t="s">
        <v>19</v>
      </c>
      <c r="M5757" s="7" t="n">
        <v>250</v>
      </c>
      <c r="N5757" s="8" t="n">
        <v>0.0772</v>
      </c>
      <c r="O5757" s="4" t="n">
        <f aca="false">M5757*N5757</f>
        <v>19.3</v>
      </c>
    </row>
    <row r="5758" customFormat="false" ht="15" hidden="false" customHeight="false" outlineLevel="0" collapsed="false">
      <c r="A5758" s="0" t="s">
        <v>7559</v>
      </c>
      <c r="C5758" s="0" t="s">
        <v>31</v>
      </c>
      <c r="D5758" s="7" t="n">
        <v>425</v>
      </c>
      <c r="E5758" s="8" t="n">
        <v>0.0292235294117647</v>
      </c>
      <c r="F5758" s="4" t="n">
        <f aca="false">D5758*E5758</f>
        <v>12.42</v>
      </c>
      <c r="G5758" s="7" t="n">
        <v>161</v>
      </c>
      <c r="H5758" s="9" t="n">
        <f aca="false">IF(G5758&gt;0,D5758/G5758,"")</f>
        <v>2.63975155279503</v>
      </c>
      <c r="I5758" s="10" t="n">
        <v>46293</v>
      </c>
      <c r="J5758" s="3" t="s">
        <v>7560</v>
      </c>
      <c r="K5758" s="10" t="n">
        <v>45369</v>
      </c>
      <c r="L5758" s="3" t="s">
        <v>19</v>
      </c>
      <c r="M5758" s="7" t="n">
        <v>1506</v>
      </c>
      <c r="N5758" s="8" t="n">
        <v>0.029</v>
      </c>
      <c r="O5758" s="4" t="n">
        <f aca="false">M5758*N5758</f>
        <v>43.674</v>
      </c>
    </row>
    <row r="5759" customFormat="false" ht="15" hidden="false" customHeight="false" outlineLevel="0" collapsed="false">
      <c r="A5759" s="0" t="s">
        <v>7561</v>
      </c>
      <c r="C5759" s="0" t="s">
        <v>34</v>
      </c>
      <c r="D5759" s="7" t="n">
        <v>135</v>
      </c>
      <c r="E5759" s="8" t="n">
        <v>0.0917037037037037</v>
      </c>
      <c r="F5759" s="4" t="n">
        <f aca="false">D5759*E5759</f>
        <v>12.38</v>
      </c>
      <c r="G5759" s="7" t="n">
        <v>20</v>
      </c>
      <c r="H5759" s="9" t="n">
        <f aca="false">IF(G5759&gt;0,D5759/G5759,"")</f>
        <v>6.75</v>
      </c>
      <c r="I5759" s="10" t="n">
        <v>46302</v>
      </c>
      <c r="J5759" s="3" t="s">
        <v>6416</v>
      </c>
      <c r="K5759" s="10" t="n">
        <v>46317</v>
      </c>
      <c r="L5759" s="3" t="s">
        <v>16</v>
      </c>
      <c r="M5759" s="7" t="n">
        <v>390</v>
      </c>
      <c r="N5759" s="8" t="n">
        <v>0.1283</v>
      </c>
      <c r="O5759" s="4" t="n">
        <f aca="false">M5759*N5759</f>
        <v>50.037</v>
      </c>
    </row>
    <row r="5760" customFormat="false" ht="15" hidden="false" customHeight="false" outlineLevel="0" collapsed="false">
      <c r="A5760" s="0" t="s">
        <v>7562</v>
      </c>
      <c r="C5760" s="0" t="s">
        <v>38</v>
      </c>
      <c r="D5760" s="7" t="n">
        <v>59</v>
      </c>
      <c r="E5760" s="8" t="n">
        <v>0.209830508474576</v>
      </c>
      <c r="F5760" s="4" t="n">
        <f aca="false">D5760*E5760</f>
        <v>12.38</v>
      </c>
      <c r="G5760" s="7" t="n">
        <v>32</v>
      </c>
      <c r="H5760" s="9" t="n">
        <f aca="false">IF(G5760&gt;0,D5760/G5760,"")</f>
        <v>1.84375</v>
      </c>
      <c r="I5760" s="10" t="n">
        <v>46181</v>
      </c>
      <c r="J5760" s="3" t="s">
        <v>5603</v>
      </c>
      <c r="K5760" s="10" t="n">
        <v>44280</v>
      </c>
      <c r="L5760" s="3" t="s">
        <v>19</v>
      </c>
      <c r="M5760" s="7" t="n">
        <v>250</v>
      </c>
      <c r="N5760" s="8" t="n">
        <v>0.2098</v>
      </c>
      <c r="O5760" s="4" t="n">
        <f aca="false">M5760*N5760</f>
        <v>52.45</v>
      </c>
    </row>
    <row r="5761" customFormat="false" ht="15" hidden="false" customHeight="false" outlineLevel="0" collapsed="false">
      <c r="A5761" s="0" t="s">
        <v>7563</v>
      </c>
      <c r="C5761" s="0" t="s">
        <v>31</v>
      </c>
      <c r="D5761" s="7" t="n">
        <v>3545</v>
      </c>
      <c r="E5761" s="8" t="n">
        <v>0.00349224259520451</v>
      </c>
      <c r="F5761" s="4" t="n">
        <f aca="false">D5761*E5761</f>
        <v>12.38</v>
      </c>
      <c r="G5761" s="7" t="n">
        <v>1032</v>
      </c>
      <c r="H5761" s="9" t="n">
        <f aca="false">IF(G5761&gt;0,D5761/G5761,"")</f>
        <v>3.43507751937985</v>
      </c>
      <c r="I5761" s="10" t="n">
        <v>46230</v>
      </c>
      <c r="J5761" s="3" t="s">
        <v>3379</v>
      </c>
      <c r="K5761" s="10" t="n">
        <v>44645</v>
      </c>
      <c r="L5761" s="3" t="s">
        <v>15</v>
      </c>
      <c r="M5761" s="7" t="n">
        <v>9472</v>
      </c>
      <c r="N5761" s="8" t="n">
        <v>0.00348</v>
      </c>
      <c r="O5761" s="4" t="n">
        <f aca="false">M5761*N5761</f>
        <v>32.96256</v>
      </c>
    </row>
    <row r="5762" customFormat="false" ht="15" hidden="false" customHeight="false" outlineLevel="0" collapsed="false">
      <c r="A5762" s="0" t="s">
        <v>7564</v>
      </c>
      <c r="C5762" s="0" t="s">
        <v>31</v>
      </c>
      <c r="D5762" s="7" t="n">
        <v>76</v>
      </c>
      <c r="E5762" s="8" t="n">
        <v>0.162894736842105</v>
      </c>
      <c r="F5762" s="4" t="n">
        <f aca="false">D5762*E5762</f>
        <v>12.38</v>
      </c>
      <c r="G5762" s="7" t="n">
        <v>4</v>
      </c>
      <c r="H5762" s="9" t="n">
        <f aca="false">IF(G5762&gt;0,D5762/G5762,"")</f>
        <v>19</v>
      </c>
      <c r="I5762" s="10" t="n">
        <v>45967</v>
      </c>
      <c r="J5762" s="3" t="s">
        <v>467</v>
      </c>
      <c r="K5762" s="10" t="n">
        <v>45967</v>
      </c>
      <c r="L5762" s="3" t="s">
        <v>14</v>
      </c>
      <c r="M5762" s="7" t="n">
        <v>76</v>
      </c>
      <c r="N5762" s="8" t="n">
        <v>0.1629</v>
      </c>
      <c r="O5762" s="4" t="n">
        <f aca="false">M5762*N5762</f>
        <v>12.3804</v>
      </c>
    </row>
    <row r="5763" customFormat="false" ht="15" hidden="false" customHeight="false" outlineLevel="0" collapsed="false">
      <c r="A5763" s="0" t="s">
        <v>7565</v>
      </c>
      <c r="C5763" s="0" t="s">
        <v>298</v>
      </c>
      <c r="D5763" s="7" t="n">
        <v>22</v>
      </c>
      <c r="E5763" s="8" t="n">
        <v>0.561363636363636</v>
      </c>
      <c r="F5763" s="4" t="n">
        <f aca="false">D5763*E5763</f>
        <v>12.35</v>
      </c>
      <c r="G5763" s="7" t="n">
        <v>4</v>
      </c>
      <c r="H5763" s="9" t="n">
        <f aca="false">IF(G5763&gt;0,D5763/G5763,"")</f>
        <v>5.5</v>
      </c>
      <c r="I5763" s="10" t="n">
        <v>46000</v>
      </c>
      <c r="K5763" s="10"/>
      <c r="M5763" s="7"/>
      <c r="N5763" s="8"/>
      <c r="O5763" s="4"/>
    </row>
    <row r="5764" customFormat="false" ht="15" hidden="false" customHeight="false" outlineLevel="0" collapsed="false">
      <c r="A5764" s="0" t="s">
        <v>7566</v>
      </c>
      <c r="C5764" s="0" t="s">
        <v>1169</v>
      </c>
      <c r="D5764" s="7" t="n">
        <v>76</v>
      </c>
      <c r="E5764" s="8" t="n">
        <v>0.1625</v>
      </c>
      <c r="F5764" s="4" t="n">
        <f aca="false">D5764*E5764</f>
        <v>12.35</v>
      </c>
      <c r="G5764" s="7" t="n">
        <v>50</v>
      </c>
      <c r="H5764" s="9" t="n">
        <f aca="false">IF(G5764&gt;0,D5764/G5764,"")</f>
        <v>1.52</v>
      </c>
      <c r="I5764" s="10" t="n">
        <v>46156</v>
      </c>
      <c r="J5764" s="3" t="s">
        <v>4726</v>
      </c>
      <c r="K5764" s="10" t="n">
        <v>46149</v>
      </c>
      <c r="L5764" s="3" t="s">
        <v>19</v>
      </c>
      <c r="M5764" s="7" t="n">
        <v>100</v>
      </c>
      <c r="N5764" s="8" t="n">
        <v>0.1625</v>
      </c>
      <c r="O5764" s="4" t="n">
        <f aca="false">M5764*N5764</f>
        <v>16.25</v>
      </c>
    </row>
    <row r="5765" customFormat="false" ht="15" hidden="false" customHeight="false" outlineLevel="0" collapsed="false">
      <c r="A5765" s="0" t="s">
        <v>7567</v>
      </c>
      <c r="C5765" s="0" t="s">
        <v>1010</v>
      </c>
      <c r="D5765" s="7" t="n">
        <v>100</v>
      </c>
      <c r="E5765" s="8" t="n">
        <v>0.123</v>
      </c>
      <c r="F5765" s="4" t="n">
        <f aca="false">D5765*E5765</f>
        <v>12.3</v>
      </c>
      <c r="G5765" s="7" t="n">
        <v>35</v>
      </c>
      <c r="H5765" s="9" t="n">
        <f aca="false">IF(G5765&gt;0,D5765/G5765,"")</f>
        <v>2.85714285714286</v>
      </c>
      <c r="I5765" s="10" t="n">
        <v>46126</v>
      </c>
      <c r="K5765" s="10"/>
      <c r="M5765" s="7"/>
      <c r="N5765" s="8"/>
      <c r="O5765" s="4"/>
    </row>
    <row r="5766" customFormat="false" ht="15" hidden="false" customHeight="false" outlineLevel="0" collapsed="false">
      <c r="A5766" s="0" t="s">
        <v>7568</v>
      </c>
      <c r="C5766" s="0" t="s">
        <v>31</v>
      </c>
      <c r="D5766" s="7" t="n">
        <v>410</v>
      </c>
      <c r="E5766" s="8" t="n">
        <v>0.03</v>
      </c>
      <c r="F5766" s="4" t="n">
        <f aca="false">D5766*E5766</f>
        <v>12.3</v>
      </c>
      <c r="G5766" s="7" t="n">
        <v>114</v>
      </c>
      <c r="H5766" s="9" t="n">
        <f aca="false">IF(G5766&gt;0,D5766/G5766,"")</f>
        <v>3.59649122807018</v>
      </c>
      <c r="I5766" s="10" t="n">
        <v>46310</v>
      </c>
      <c r="J5766" s="3" t="s">
        <v>2417</v>
      </c>
      <c r="K5766" s="10" t="n">
        <v>46049</v>
      </c>
      <c r="L5766" s="3" t="s">
        <v>19</v>
      </c>
      <c r="M5766" s="7" t="n">
        <v>500</v>
      </c>
      <c r="N5766" s="8" t="n">
        <v>0.03</v>
      </c>
      <c r="O5766" s="4" t="n">
        <f aca="false">M5766*N5766</f>
        <v>15</v>
      </c>
    </row>
    <row r="5767" customFormat="false" ht="15" hidden="false" customHeight="false" outlineLevel="0" collapsed="false">
      <c r="A5767" s="0" t="s">
        <v>7569</v>
      </c>
      <c r="C5767" s="0" t="s">
        <v>765</v>
      </c>
      <c r="D5767" s="7" t="n">
        <v>75</v>
      </c>
      <c r="E5767" s="8" t="n">
        <v>0.163866666666667</v>
      </c>
      <c r="F5767" s="4" t="n">
        <f aca="false">D5767*E5767</f>
        <v>12.29</v>
      </c>
      <c r="G5767" s="7" t="n">
        <v>18</v>
      </c>
      <c r="H5767" s="9" t="n">
        <f aca="false">IF(G5767&gt;0,D5767/G5767,"")</f>
        <v>4.16666666666667</v>
      </c>
      <c r="I5767" s="10" t="n">
        <v>46105</v>
      </c>
      <c r="K5767" s="10"/>
      <c r="M5767" s="7"/>
      <c r="N5767" s="8"/>
      <c r="O5767" s="4"/>
    </row>
    <row r="5768" customFormat="false" ht="15" hidden="false" customHeight="false" outlineLevel="0" collapsed="false">
      <c r="A5768" s="0" t="s">
        <v>7570</v>
      </c>
      <c r="C5768" s="0" t="s">
        <v>285</v>
      </c>
      <c r="D5768" s="7" t="n">
        <v>28</v>
      </c>
      <c r="E5768" s="8" t="n">
        <v>0.438214285714286</v>
      </c>
      <c r="F5768" s="4" t="n">
        <f aca="false">D5768*E5768</f>
        <v>12.27</v>
      </c>
      <c r="G5768" s="7" t="n">
        <v>4</v>
      </c>
      <c r="H5768" s="9" t="n">
        <f aca="false">IF(G5768&gt;0,D5768/G5768,"")</f>
        <v>7</v>
      </c>
      <c r="I5768" s="10" t="n">
        <v>46121</v>
      </c>
      <c r="K5768" s="10"/>
      <c r="M5768" s="7"/>
      <c r="N5768" s="8"/>
      <c r="O5768" s="4"/>
    </row>
    <row r="5769" customFormat="false" ht="15" hidden="false" customHeight="false" outlineLevel="0" collapsed="false">
      <c r="A5769" s="0" t="s">
        <v>7571</v>
      </c>
      <c r="C5769" s="0" t="s">
        <v>497</v>
      </c>
      <c r="D5769" s="7" t="n">
        <v>65</v>
      </c>
      <c r="E5769" s="8" t="n">
        <v>0.188461538461539</v>
      </c>
      <c r="F5769" s="4" t="n">
        <f aca="false">D5769*E5769</f>
        <v>12.25</v>
      </c>
      <c r="G5769" s="7" t="n">
        <v>60</v>
      </c>
      <c r="H5769" s="9" t="n">
        <f aca="false">IF(G5769&gt;0,D5769/G5769,"")</f>
        <v>1.08333333333333</v>
      </c>
      <c r="I5769" s="10" t="n">
        <v>46304</v>
      </c>
      <c r="K5769" s="10"/>
      <c r="M5769" s="7"/>
      <c r="N5769" s="8"/>
      <c r="O5769" s="4"/>
    </row>
    <row r="5770" customFormat="false" ht="15" hidden="false" customHeight="false" outlineLevel="0" collapsed="false">
      <c r="A5770" s="0" t="s">
        <v>7572</v>
      </c>
      <c r="C5770" s="0" t="s">
        <v>1039</v>
      </c>
      <c r="D5770" s="7" t="n">
        <v>144</v>
      </c>
      <c r="E5770" s="8" t="n">
        <v>0.0850694444444445</v>
      </c>
      <c r="F5770" s="4" t="n">
        <f aca="false">D5770*E5770</f>
        <v>12.25</v>
      </c>
      <c r="G5770" s="7" t="n">
        <v>10</v>
      </c>
      <c r="H5770" s="9" t="n">
        <f aca="false">IF(G5770&gt;0,D5770/G5770,"")</f>
        <v>14.4</v>
      </c>
      <c r="I5770" s="10" t="n">
        <v>46140</v>
      </c>
      <c r="J5770" s="3" t="s">
        <v>7573</v>
      </c>
      <c r="K5770" s="10" t="n">
        <v>44271</v>
      </c>
      <c r="L5770" s="3" t="s">
        <v>19</v>
      </c>
      <c r="M5770" s="7" t="n">
        <v>250</v>
      </c>
      <c r="N5770" s="8" t="n">
        <v>0.0851</v>
      </c>
      <c r="O5770" s="4" t="n">
        <f aca="false">M5770*N5770</f>
        <v>21.275</v>
      </c>
    </row>
    <row r="5771" customFormat="false" ht="15" hidden="false" customHeight="false" outlineLevel="0" collapsed="false">
      <c r="A5771" s="0" t="s">
        <v>7574</v>
      </c>
      <c r="C5771" s="0" t="s">
        <v>36</v>
      </c>
      <c r="D5771" s="7" t="n">
        <v>1197</v>
      </c>
      <c r="E5771" s="8" t="n">
        <v>0.0102088554720134</v>
      </c>
      <c r="F5771" s="4" t="n">
        <f aca="false">D5771*E5771</f>
        <v>12.22</v>
      </c>
      <c r="G5771" s="7" t="n">
        <v>250</v>
      </c>
      <c r="H5771" s="9" t="n">
        <f aca="false">IF(G5771&gt;0,D5771/G5771,"")</f>
        <v>4.788</v>
      </c>
      <c r="I5771" s="10" t="n">
        <v>46073</v>
      </c>
      <c r="K5771" s="10"/>
      <c r="M5771" s="7"/>
      <c r="N5771" s="8"/>
      <c r="O5771" s="4"/>
    </row>
    <row r="5772" customFormat="false" ht="15" hidden="false" customHeight="false" outlineLevel="0" collapsed="false">
      <c r="A5772" s="0" t="s">
        <v>7575</v>
      </c>
      <c r="C5772" s="0" t="s">
        <v>370</v>
      </c>
      <c r="D5772" s="7" t="n">
        <v>31</v>
      </c>
      <c r="E5772" s="8" t="n">
        <v>0.392903225806452</v>
      </c>
      <c r="F5772" s="4" t="n">
        <f aca="false">D5772*E5772</f>
        <v>12.18</v>
      </c>
      <c r="G5772" s="7" t="n">
        <v>5</v>
      </c>
      <c r="H5772" s="9" t="n">
        <f aca="false">IF(G5772&gt;0,D5772/G5772,"")</f>
        <v>6.2</v>
      </c>
      <c r="I5772" s="10" t="n">
        <v>46203</v>
      </c>
      <c r="J5772" s="3" t="s">
        <v>6911</v>
      </c>
      <c r="K5772" s="10" t="n">
        <v>44441</v>
      </c>
      <c r="L5772" s="3" t="s">
        <v>19</v>
      </c>
      <c r="M5772" s="7" t="n">
        <v>204</v>
      </c>
      <c r="N5772" s="8" t="n">
        <v>0.4511</v>
      </c>
      <c r="O5772" s="4" t="n">
        <v>90.22</v>
      </c>
    </row>
    <row r="5773" customFormat="false" ht="15" hidden="false" customHeight="false" outlineLevel="0" collapsed="false">
      <c r="A5773" s="0" t="s">
        <v>7576</v>
      </c>
      <c r="C5773" s="0" t="s">
        <v>295</v>
      </c>
      <c r="D5773" s="7" t="n">
        <v>8</v>
      </c>
      <c r="E5773" s="8" t="n">
        <v>1.52125</v>
      </c>
      <c r="F5773" s="4" t="n">
        <f aca="false">D5773*E5773</f>
        <v>12.17</v>
      </c>
      <c r="G5773" s="7" t="n">
        <v>2</v>
      </c>
      <c r="H5773" s="9" t="n">
        <f aca="false">IF(G5773&gt;0,D5773/G5773,"")</f>
        <v>4</v>
      </c>
      <c r="I5773" s="10" t="n">
        <v>46121</v>
      </c>
      <c r="J5773" s="3" t="s">
        <v>576</v>
      </c>
      <c r="K5773" s="10" t="n">
        <v>45819</v>
      </c>
      <c r="L5773" s="3" t="s">
        <v>19</v>
      </c>
      <c r="M5773" s="7" t="n">
        <v>110</v>
      </c>
      <c r="N5773" s="8" t="n">
        <v>1.5211</v>
      </c>
      <c r="O5773" s="4" t="n">
        <f aca="false">M5773*N5773</f>
        <v>167.321</v>
      </c>
    </row>
    <row r="5774" customFormat="false" ht="15" hidden="false" customHeight="false" outlineLevel="0" collapsed="false">
      <c r="A5774" s="0" t="s">
        <v>7577</v>
      </c>
      <c r="C5774" s="0" t="s">
        <v>79</v>
      </c>
      <c r="D5774" s="7" t="n">
        <v>35</v>
      </c>
      <c r="E5774" s="8" t="n">
        <v>0.347428571428571</v>
      </c>
      <c r="F5774" s="4" t="n">
        <f aca="false">D5774*E5774</f>
        <v>12.16</v>
      </c>
      <c r="G5774" s="7" t="n">
        <v>5</v>
      </c>
      <c r="H5774" s="9" t="n">
        <f aca="false">IF(G5774&gt;0,D5774/G5774,"")</f>
        <v>7</v>
      </c>
      <c r="I5774" s="10" t="n">
        <v>45953</v>
      </c>
      <c r="K5774" s="10"/>
      <c r="M5774" s="7"/>
      <c r="N5774" s="8"/>
      <c r="O5774" s="4"/>
    </row>
    <row r="5775" customFormat="false" ht="15" hidden="false" customHeight="false" outlineLevel="0" collapsed="false">
      <c r="A5775" s="0" t="s">
        <v>7578</v>
      </c>
      <c r="C5775" s="0" t="s">
        <v>31</v>
      </c>
      <c r="D5775" s="7" t="n">
        <v>64</v>
      </c>
      <c r="E5775" s="8" t="n">
        <v>0.18984375</v>
      </c>
      <c r="F5775" s="4" t="n">
        <f aca="false">D5775*E5775</f>
        <v>12.15</v>
      </c>
      <c r="G5775" s="7" t="n">
        <v>15</v>
      </c>
      <c r="H5775" s="9" t="n">
        <f aca="false">IF(G5775&gt;0,D5775/G5775,"")</f>
        <v>4.26666666666667</v>
      </c>
      <c r="I5775" s="10" t="n">
        <v>46315</v>
      </c>
      <c r="J5775" s="3" t="s">
        <v>6136</v>
      </c>
      <c r="K5775" s="10" t="n">
        <v>46310</v>
      </c>
      <c r="L5775" s="3" t="s">
        <v>19</v>
      </c>
      <c r="M5775" s="7" t="n">
        <v>79</v>
      </c>
      <c r="N5775" s="8" t="n">
        <v>0.18987</v>
      </c>
      <c r="O5775" s="4" t="n">
        <f aca="false">M5775*N5775</f>
        <v>14.99973</v>
      </c>
    </row>
    <row r="5776" customFormat="false" ht="15" hidden="false" customHeight="false" outlineLevel="0" collapsed="false">
      <c r="A5776" s="0" t="s">
        <v>7579</v>
      </c>
      <c r="C5776" s="0" t="s">
        <v>40</v>
      </c>
      <c r="D5776" s="7" t="n">
        <v>454</v>
      </c>
      <c r="E5776" s="8" t="n">
        <v>0.0267180616740088</v>
      </c>
      <c r="F5776" s="4" t="n">
        <f aca="false">D5776*E5776</f>
        <v>12.13</v>
      </c>
      <c r="G5776" s="7" t="n">
        <v>372</v>
      </c>
      <c r="H5776" s="9" t="n">
        <f aca="false">IF(G5776&gt;0,D5776/G5776,"")</f>
        <v>1.22043010752688</v>
      </c>
      <c r="I5776" s="10" t="n">
        <v>46185</v>
      </c>
      <c r="K5776" s="10"/>
      <c r="M5776" s="7"/>
      <c r="N5776" s="8"/>
      <c r="O5776" s="4"/>
    </row>
    <row r="5777" customFormat="false" ht="15" hidden="false" customHeight="false" outlineLevel="0" collapsed="false">
      <c r="A5777" s="0" t="s">
        <v>7580</v>
      </c>
      <c r="C5777" s="0" t="s">
        <v>1010</v>
      </c>
      <c r="D5777" s="7" t="n">
        <v>9</v>
      </c>
      <c r="E5777" s="8" t="n">
        <v>1.34777777777778</v>
      </c>
      <c r="F5777" s="4" t="n">
        <f aca="false">D5777*E5777</f>
        <v>12.13</v>
      </c>
      <c r="G5777" s="7" t="n">
        <v>7</v>
      </c>
      <c r="H5777" s="9" t="n">
        <f aca="false">IF(G5777&gt;0,D5777/G5777,"")</f>
        <v>1.28571428571429</v>
      </c>
      <c r="I5777" s="10" t="n">
        <v>46006</v>
      </c>
      <c r="J5777" s="3" t="s">
        <v>2888</v>
      </c>
      <c r="K5777" s="10" t="n">
        <v>45984</v>
      </c>
      <c r="L5777" s="3" t="s">
        <v>16</v>
      </c>
      <c r="M5777" s="7" t="n">
        <v>16</v>
      </c>
      <c r="N5777" s="8" t="n">
        <v>1.3472</v>
      </c>
      <c r="O5777" s="4" t="n">
        <f aca="false">M5777*N5777</f>
        <v>21.5552</v>
      </c>
    </row>
    <row r="5778" customFormat="false" ht="15" hidden="false" customHeight="false" outlineLevel="0" collapsed="false">
      <c r="A5778" s="0" t="s">
        <v>7581</v>
      </c>
      <c r="C5778" s="0" t="s">
        <v>34</v>
      </c>
      <c r="D5778" s="7" t="n">
        <v>198</v>
      </c>
      <c r="E5778" s="8" t="n">
        <v>0.0611616161616162</v>
      </c>
      <c r="F5778" s="4" t="n">
        <f aca="false">D5778*E5778</f>
        <v>12.11</v>
      </c>
      <c r="G5778" s="7" t="n">
        <v>5</v>
      </c>
      <c r="H5778" s="9" t="n">
        <f aca="false">IF(G5778&gt;0,D5778/G5778,"")</f>
        <v>39.6</v>
      </c>
      <c r="I5778" s="10" t="n">
        <v>46118</v>
      </c>
      <c r="J5778" s="3" t="s">
        <v>5295</v>
      </c>
      <c r="K5778" s="10" t="n">
        <v>44356</v>
      </c>
      <c r="L5778" s="3" t="s">
        <v>15</v>
      </c>
      <c r="M5778" s="7" t="n">
        <v>720</v>
      </c>
      <c r="N5778" s="8" t="n">
        <v>0.06116</v>
      </c>
      <c r="O5778" s="4" t="n">
        <f aca="false">M5778*N5778</f>
        <v>44.0352</v>
      </c>
    </row>
    <row r="5779" customFormat="false" ht="15" hidden="false" customHeight="false" outlineLevel="0" collapsed="false">
      <c r="A5779" s="0" t="s">
        <v>7582</v>
      </c>
      <c r="C5779" s="0" t="s">
        <v>34</v>
      </c>
      <c r="D5779" s="7" t="n">
        <v>67</v>
      </c>
      <c r="E5779" s="8" t="n">
        <v>0.180597014925373</v>
      </c>
      <c r="F5779" s="4" t="n">
        <f aca="false">D5779*E5779</f>
        <v>12.1</v>
      </c>
      <c r="G5779" s="7" t="n">
        <v>57</v>
      </c>
      <c r="H5779" s="9" t="n">
        <f aca="false">IF(G5779&gt;0,D5779/G5779,"")</f>
        <v>1.17543859649123</v>
      </c>
      <c r="I5779" s="10" t="n">
        <v>46265</v>
      </c>
      <c r="J5779" s="3" t="s">
        <v>7583</v>
      </c>
      <c r="K5779" s="10" t="n">
        <v>44546</v>
      </c>
      <c r="L5779" s="3" t="s">
        <v>19</v>
      </c>
      <c r="M5779" s="7" t="n">
        <v>171</v>
      </c>
      <c r="N5779" s="8" t="n">
        <v>0.1833</v>
      </c>
      <c r="O5779" s="4" t="n">
        <v>31.161</v>
      </c>
    </row>
    <row r="5780" customFormat="false" ht="15" hidden="false" customHeight="false" outlineLevel="0" collapsed="false">
      <c r="A5780" s="0" t="s">
        <v>7584</v>
      </c>
      <c r="C5780" s="0" t="s">
        <v>979</v>
      </c>
      <c r="D5780" s="7" t="n">
        <v>16</v>
      </c>
      <c r="E5780" s="8" t="n">
        <v>0.75625</v>
      </c>
      <c r="F5780" s="4" t="n">
        <f aca="false">D5780*E5780</f>
        <v>12.1</v>
      </c>
      <c r="G5780" s="7" t="n">
        <v>6</v>
      </c>
      <c r="H5780" s="9" t="n">
        <f aca="false">IF(G5780&gt;0,D5780/G5780,"")</f>
        <v>2.66666666666667</v>
      </c>
      <c r="I5780" s="10" t="n">
        <v>46202</v>
      </c>
      <c r="K5780" s="10"/>
      <c r="M5780" s="7"/>
      <c r="N5780" s="8"/>
      <c r="O5780" s="4"/>
    </row>
    <row r="5781" customFormat="false" ht="15" hidden="false" customHeight="false" outlineLevel="0" collapsed="false">
      <c r="A5781" s="0" t="s">
        <v>7585</v>
      </c>
      <c r="C5781" s="0" t="s">
        <v>118</v>
      </c>
      <c r="D5781" s="7" t="n">
        <v>169</v>
      </c>
      <c r="E5781" s="8" t="n">
        <v>0.0715384615384615</v>
      </c>
      <c r="F5781" s="4" t="n">
        <f aca="false">D5781*E5781</f>
        <v>12.09</v>
      </c>
      <c r="G5781" s="7" t="n">
        <v>95</v>
      </c>
      <c r="H5781" s="9" t="n">
        <f aca="false">IF(G5781&gt;0,D5781/G5781,"")</f>
        <v>1.77894736842105</v>
      </c>
      <c r="I5781" s="10" t="n">
        <v>46205</v>
      </c>
      <c r="J5781" s="3" t="s">
        <v>5547</v>
      </c>
      <c r="K5781" s="10" t="n">
        <v>44734</v>
      </c>
      <c r="L5781" s="3" t="s">
        <v>19</v>
      </c>
      <c r="M5781" s="7" t="n">
        <v>1039</v>
      </c>
      <c r="N5781" s="8" t="n">
        <v>0</v>
      </c>
      <c r="O5781" s="4" t="n">
        <v>92.9</v>
      </c>
    </row>
    <row r="5782" customFormat="false" ht="15" hidden="false" customHeight="false" outlineLevel="0" collapsed="false">
      <c r="A5782" s="0" t="s">
        <v>7586</v>
      </c>
      <c r="C5782" s="0" t="s">
        <v>33</v>
      </c>
      <c r="D5782" s="7" t="n">
        <v>7</v>
      </c>
      <c r="E5782" s="8" t="n">
        <v>1.72571428571429</v>
      </c>
      <c r="F5782" s="4" t="n">
        <f aca="false">D5782*E5782</f>
        <v>12.08</v>
      </c>
      <c r="G5782" s="7" t="n">
        <v>4</v>
      </c>
      <c r="H5782" s="9" t="n">
        <f aca="false">IF(G5782&gt;0,D5782/G5782,"")</f>
        <v>1.75</v>
      </c>
      <c r="I5782" s="10" t="n">
        <v>46283</v>
      </c>
      <c r="J5782" s="3" t="s">
        <v>7587</v>
      </c>
      <c r="K5782" s="10" t="n">
        <v>45287</v>
      </c>
      <c r="L5782" s="3" t="s">
        <v>18</v>
      </c>
      <c r="M5782" s="7" t="n">
        <v>14</v>
      </c>
      <c r="N5782" s="8" t="n">
        <v>1.7256</v>
      </c>
      <c r="O5782" s="4" t="n">
        <f aca="false">M5782*N5782</f>
        <v>24.1584</v>
      </c>
    </row>
    <row r="5783" customFormat="false" ht="15" hidden="false" customHeight="false" outlineLevel="0" collapsed="false">
      <c r="A5783" s="0" t="s">
        <v>7588</v>
      </c>
      <c r="C5783" s="0" t="s">
        <v>32</v>
      </c>
      <c r="D5783" s="7" t="n">
        <v>148</v>
      </c>
      <c r="E5783" s="8" t="n">
        <v>0.0816216216216216</v>
      </c>
      <c r="F5783" s="4" t="n">
        <f aca="false">D5783*E5783</f>
        <v>12.08</v>
      </c>
      <c r="G5783" s="7" t="n">
        <v>102</v>
      </c>
      <c r="H5783" s="9" t="n">
        <f aca="false">IF(G5783&gt;0,D5783/G5783,"")</f>
        <v>1.45098039215686</v>
      </c>
      <c r="I5783" s="10" t="n">
        <v>46301</v>
      </c>
      <c r="J5783" s="3" t="s">
        <v>478</v>
      </c>
      <c r="K5783" s="10" t="n">
        <v>46185</v>
      </c>
      <c r="L5783" s="3" t="s">
        <v>16</v>
      </c>
      <c r="M5783" s="7" t="n">
        <v>250</v>
      </c>
      <c r="N5783" s="8" t="n">
        <v>0.0816</v>
      </c>
      <c r="O5783" s="4" t="n">
        <f aca="false">M5783*N5783</f>
        <v>20.4</v>
      </c>
    </row>
    <row r="5784" customFormat="false" ht="15" hidden="false" customHeight="false" outlineLevel="0" collapsed="false">
      <c r="A5784" s="0" t="s">
        <v>7589</v>
      </c>
      <c r="C5784" s="0" t="s">
        <v>34</v>
      </c>
      <c r="D5784" s="7" t="n">
        <v>2388</v>
      </c>
      <c r="E5784" s="8" t="n">
        <v>0.00505025125628141</v>
      </c>
      <c r="F5784" s="4" t="n">
        <f aca="false">D5784*E5784</f>
        <v>12.06</v>
      </c>
      <c r="G5784" s="7" t="n">
        <v>2243</v>
      </c>
      <c r="H5784" s="9" t="n">
        <f aca="false">IF(G5784&gt;0,D5784/G5784,"")</f>
        <v>1.06464556397682</v>
      </c>
      <c r="I5784" s="10" t="n">
        <v>46290</v>
      </c>
      <c r="J5784" s="3" t="s">
        <v>7590</v>
      </c>
      <c r="K5784" s="10" t="n">
        <v>44438</v>
      </c>
      <c r="L5784" s="3" t="s">
        <v>14</v>
      </c>
      <c r="M5784" s="7" t="n">
        <v>2500</v>
      </c>
      <c r="N5784" s="8" t="n">
        <v>0.0901</v>
      </c>
      <c r="O5784" s="4" t="n">
        <f aca="false">M5784*N5784</f>
        <v>225.25</v>
      </c>
    </row>
    <row r="5785" customFormat="false" ht="15" hidden="false" customHeight="false" outlineLevel="0" collapsed="false">
      <c r="A5785" s="0" t="s">
        <v>7591</v>
      </c>
      <c r="C5785" s="0" t="s">
        <v>855</v>
      </c>
      <c r="D5785" s="7" t="n">
        <v>635</v>
      </c>
      <c r="E5785" s="8" t="n">
        <v>0.018992125984252</v>
      </c>
      <c r="F5785" s="4" t="n">
        <f aca="false">D5785*E5785</f>
        <v>12.06</v>
      </c>
      <c r="G5785" s="7" t="n">
        <v>220</v>
      </c>
      <c r="H5785" s="9" t="n">
        <f aca="false">IF(G5785&gt;0,D5785/G5785,"")</f>
        <v>2.88636363636364</v>
      </c>
      <c r="I5785" s="10" t="n">
        <v>46268</v>
      </c>
      <c r="J5785" s="3" t="s">
        <v>4893</v>
      </c>
      <c r="K5785" s="10" t="n">
        <v>45429</v>
      </c>
      <c r="L5785" s="3" t="s">
        <v>25</v>
      </c>
      <c r="M5785" s="7" t="n">
        <v>5000</v>
      </c>
      <c r="N5785" s="8" t="n">
        <v>0.019</v>
      </c>
      <c r="O5785" s="4" t="n">
        <f aca="false">M5785*N5785</f>
        <v>95</v>
      </c>
    </row>
    <row r="5786" customFormat="false" ht="15" hidden="false" customHeight="false" outlineLevel="0" collapsed="false">
      <c r="A5786" s="0" t="s">
        <v>7592</v>
      </c>
      <c r="C5786" s="0" t="s">
        <v>31</v>
      </c>
      <c r="D5786" s="7" t="n">
        <v>3014</v>
      </c>
      <c r="E5786" s="8" t="n">
        <v>0.00399800928998009</v>
      </c>
      <c r="F5786" s="4" t="n">
        <f aca="false">D5786*E5786</f>
        <v>12.05</v>
      </c>
      <c r="G5786" s="7" t="n">
        <v>638</v>
      </c>
      <c r="H5786" s="9" t="n">
        <f aca="false">IF(G5786&gt;0,D5786/G5786,"")</f>
        <v>4.72413793103448</v>
      </c>
      <c r="I5786" s="10" t="n">
        <v>46310</v>
      </c>
      <c r="K5786" s="10"/>
      <c r="M5786" s="7"/>
      <c r="N5786" s="8"/>
      <c r="O5786" s="4"/>
    </row>
    <row r="5787" customFormat="false" ht="15" hidden="false" customHeight="false" outlineLevel="0" collapsed="false">
      <c r="A5787" s="0" t="s">
        <v>7593</v>
      </c>
      <c r="C5787" s="0" t="s">
        <v>609</v>
      </c>
      <c r="D5787" s="7" t="n">
        <v>7</v>
      </c>
      <c r="E5787" s="8" t="n">
        <v>1.72</v>
      </c>
      <c r="F5787" s="4" t="n">
        <f aca="false">D5787*E5787</f>
        <v>12.04</v>
      </c>
      <c r="G5787" s="7" t="n">
        <v>5</v>
      </c>
      <c r="H5787" s="9" t="n">
        <f aca="false">IF(G5787&gt;0,D5787/G5787,"")</f>
        <v>1.4</v>
      </c>
      <c r="I5787" s="10" t="n">
        <v>46093</v>
      </c>
      <c r="J5787" s="3" t="s">
        <v>6482</v>
      </c>
      <c r="K5787" s="10" t="n">
        <v>45412</v>
      </c>
      <c r="L5787" s="3" t="s">
        <v>1878</v>
      </c>
      <c r="M5787" s="7" t="n">
        <v>25</v>
      </c>
      <c r="N5787" s="8" t="n">
        <v>1.72</v>
      </c>
      <c r="O5787" s="4" t="n">
        <f aca="false">M5787*N5787</f>
        <v>43</v>
      </c>
    </row>
    <row r="5788" customFormat="false" ht="15" hidden="false" customHeight="false" outlineLevel="0" collapsed="false">
      <c r="A5788" s="0" t="s">
        <v>7594</v>
      </c>
      <c r="C5788" s="0" t="s">
        <v>31</v>
      </c>
      <c r="D5788" s="7" t="n">
        <v>30</v>
      </c>
      <c r="E5788" s="8" t="n">
        <v>0.4</v>
      </c>
      <c r="F5788" s="4" t="n">
        <f aca="false">D5788*E5788</f>
        <v>12</v>
      </c>
      <c r="G5788" s="7" t="n">
        <v>20</v>
      </c>
      <c r="H5788" s="9" t="n">
        <f aca="false">IF(G5788&gt;0,D5788/G5788,"")</f>
        <v>1.5</v>
      </c>
      <c r="I5788" s="10" t="n">
        <v>46189</v>
      </c>
      <c r="J5788" s="3" t="s">
        <v>2716</v>
      </c>
      <c r="K5788" s="10" t="n">
        <v>46160</v>
      </c>
      <c r="L5788" s="3" t="s">
        <v>16</v>
      </c>
      <c r="M5788" s="7" t="n">
        <v>50</v>
      </c>
      <c r="N5788" s="8" t="n">
        <v>0.4</v>
      </c>
      <c r="O5788" s="4" t="n">
        <f aca="false">M5788*N5788</f>
        <v>20</v>
      </c>
    </row>
    <row r="5789" customFormat="false" ht="15" hidden="false" customHeight="false" outlineLevel="0" collapsed="false">
      <c r="A5789" s="0" t="s">
        <v>7595</v>
      </c>
      <c r="C5789" s="0" t="s">
        <v>855</v>
      </c>
      <c r="D5789" s="7" t="n">
        <v>1929</v>
      </c>
      <c r="E5789" s="8" t="n">
        <v>0.00620528771384137</v>
      </c>
      <c r="F5789" s="4" t="n">
        <f aca="false">D5789*E5789</f>
        <v>11.97</v>
      </c>
      <c r="G5789" s="7" t="n">
        <v>1181</v>
      </c>
      <c r="H5789" s="9" t="n">
        <f aca="false">IF(G5789&gt;0,D5789/G5789,"")</f>
        <v>1.63336155800169</v>
      </c>
      <c r="I5789" s="10" t="n">
        <v>46083</v>
      </c>
      <c r="K5789" s="10"/>
      <c r="M5789" s="7"/>
      <c r="N5789" s="8"/>
      <c r="O5789" s="4"/>
    </row>
    <row r="5790" customFormat="false" ht="15" hidden="false" customHeight="false" outlineLevel="0" collapsed="false">
      <c r="A5790" s="0" t="s">
        <v>7596</v>
      </c>
      <c r="C5790" s="0" t="s">
        <v>40</v>
      </c>
      <c r="D5790" s="7" t="n">
        <v>1005</v>
      </c>
      <c r="E5790" s="8" t="n">
        <v>0.0119004975124378</v>
      </c>
      <c r="F5790" s="4" t="n">
        <f aca="false">D5790*E5790</f>
        <v>11.96</v>
      </c>
      <c r="G5790" s="7" t="n">
        <v>25</v>
      </c>
      <c r="H5790" s="9" t="n">
        <f aca="false">IF(G5790&gt;0,D5790/G5790,"")</f>
        <v>40.2</v>
      </c>
      <c r="I5790" s="10" t="n">
        <v>46057</v>
      </c>
      <c r="K5790" s="10"/>
      <c r="M5790" s="7"/>
      <c r="N5790" s="8"/>
      <c r="O5790" s="4"/>
    </row>
    <row r="5791" customFormat="false" ht="15" hidden="false" customHeight="false" outlineLevel="0" collapsed="false">
      <c r="A5791" s="0" t="s">
        <v>7597</v>
      </c>
      <c r="C5791" s="0" t="s">
        <v>544</v>
      </c>
      <c r="D5791" s="7" t="n">
        <v>94</v>
      </c>
      <c r="E5791" s="8" t="n">
        <v>0.127234042553192</v>
      </c>
      <c r="F5791" s="4" t="n">
        <f aca="false">D5791*E5791</f>
        <v>11.96</v>
      </c>
      <c r="G5791" s="7" t="n">
        <v>1</v>
      </c>
      <c r="H5791" s="9" t="n">
        <f aca="false">IF(G5791&gt;0,D5791/G5791,"")</f>
        <v>94</v>
      </c>
      <c r="I5791" s="10" t="n">
        <v>45996</v>
      </c>
      <c r="J5791" s="3" t="s">
        <v>7598</v>
      </c>
      <c r="K5791" s="10" t="n">
        <v>45691</v>
      </c>
      <c r="L5791" s="3" t="s">
        <v>7328</v>
      </c>
      <c r="M5791" s="7" t="n">
        <v>100</v>
      </c>
      <c r="N5791" s="8" t="n">
        <v>0.1273</v>
      </c>
      <c r="O5791" s="4" t="n">
        <f aca="false">M5791*N5791</f>
        <v>12.73</v>
      </c>
    </row>
    <row r="5792" customFormat="false" ht="15" hidden="false" customHeight="false" outlineLevel="0" collapsed="false">
      <c r="A5792" s="0" t="s">
        <v>7599</v>
      </c>
      <c r="C5792" s="0" t="s">
        <v>31</v>
      </c>
      <c r="D5792" s="7" t="n">
        <v>1818</v>
      </c>
      <c r="E5792" s="8" t="n">
        <v>0.00656215621562156</v>
      </c>
      <c r="F5792" s="4" t="n">
        <f aca="false">D5792*E5792</f>
        <v>11.93</v>
      </c>
      <c r="G5792" s="7" t="n">
        <v>379</v>
      </c>
      <c r="H5792" s="9" t="n">
        <f aca="false">IF(G5792&gt;0,D5792/G5792,"")</f>
        <v>4.79683377308707</v>
      </c>
      <c r="I5792" s="10" t="n">
        <v>46192</v>
      </c>
      <c r="K5792" s="10"/>
      <c r="M5792" s="7"/>
      <c r="N5792" s="8"/>
      <c r="O5792" s="4"/>
    </row>
    <row r="5793" customFormat="false" ht="15" hidden="false" customHeight="false" outlineLevel="0" collapsed="false">
      <c r="A5793" s="0" t="s">
        <v>7600</v>
      </c>
      <c r="C5793" s="0" t="s">
        <v>360</v>
      </c>
      <c r="D5793" s="7" t="n">
        <v>100</v>
      </c>
      <c r="E5793" s="8" t="n">
        <v>0.1192</v>
      </c>
      <c r="F5793" s="4" t="n">
        <f aca="false">D5793*E5793</f>
        <v>11.92</v>
      </c>
      <c r="G5793" s="7" t="n">
        <v>15</v>
      </c>
      <c r="H5793" s="9" t="n">
        <f aca="false">IF(G5793&gt;0,D5793/G5793,"")</f>
        <v>6.66666666666667</v>
      </c>
      <c r="I5793" s="10" t="n">
        <v>46121</v>
      </c>
      <c r="K5793" s="10"/>
      <c r="M5793" s="7"/>
      <c r="N5793" s="8"/>
      <c r="O5793" s="4"/>
    </row>
    <row r="5794" customFormat="false" ht="15" hidden="false" customHeight="false" outlineLevel="0" collapsed="false">
      <c r="A5794" s="0" t="s">
        <v>7601</v>
      </c>
      <c r="C5794" s="0" t="s">
        <v>41</v>
      </c>
      <c r="D5794" s="7" t="n">
        <v>308</v>
      </c>
      <c r="E5794" s="8" t="n">
        <v>0.0386688311688312</v>
      </c>
      <c r="F5794" s="4" t="n">
        <f aca="false">D5794*E5794</f>
        <v>11.91</v>
      </c>
      <c r="G5794" s="7" t="n">
        <v>50</v>
      </c>
      <c r="H5794" s="9" t="n">
        <f aca="false">IF(G5794&gt;0,D5794/G5794,"")</f>
        <v>6.16</v>
      </c>
      <c r="I5794" s="10" t="n">
        <v>46091</v>
      </c>
      <c r="J5794" s="3" t="s">
        <v>5893</v>
      </c>
      <c r="K5794" s="10" t="n">
        <v>45355</v>
      </c>
      <c r="L5794" s="3" t="s">
        <v>19</v>
      </c>
      <c r="M5794" s="7" t="n">
        <v>500</v>
      </c>
      <c r="N5794" s="8" t="n">
        <v>0.0392</v>
      </c>
      <c r="O5794" s="4" t="n">
        <f aca="false">M5794*N5794</f>
        <v>19.6</v>
      </c>
    </row>
    <row r="5795" customFormat="false" ht="15" hidden="false" customHeight="false" outlineLevel="0" collapsed="false">
      <c r="A5795" s="0" t="s">
        <v>7602</v>
      </c>
      <c r="C5795" s="0" t="s">
        <v>1039</v>
      </c>
      <c r="D5795" s="7" t="n">
        <v>3174</v>
      </c>
      <c r="E5795" s="8" t="n">
        <v>0.00374921235034657</v>
      </c>
      <c r="F5795" s="4" t="n">
        <f aca="false">D5795*E5795</f>
        <v>11.9</v>
      </c>
      <c r="G5795" s="7" t="n">
        <v>853</v>
      </c>
      <c r="H5795" s="9" t="n">
        <f aca="false">IF(G5795&gt;0,D5795/G5795,"")</f>
        <v>3.72098475967175</v>
      </c>
      <c r="I5795" s="10" t="n">
        <v>46290</v>
      </c>
      <c r="J5795" s="3" t="s">
        <v>302</v>
      </c>
      <c r="K5795" s="10" t="n">
        <v>45520</v>
      </c>
      <c r="L5795" s="3" t="s">
        <v>15</v>
      </c>
      <c r="M5795" s="7" t="n">
        <v>4920</v>
      </c>
      <c r="N5795" s="8" t="n">
        <v>0.00375</v>
      </c>
      <c r="O5795" s="4" t="n">
        <f aca="false">M5795*N5795</f>
        <v>18.45</v>
      </c>
    </row>
    <row r="5796" customFormat="false" ht="15" hidden="false" customHeight="false" outlineLevel="0" collapsed="false">
      <c r="A5796" s="0" t="s">
        <v>7603</v>
      </c>
      <c r="C5796" s="0" t="s">
        <v>31</v>
      </c>
      <c r="D5796" s="7" t="n">
        <v>19</v>
      </c>
      <c r="E5796" s="8" t="n">
        <v>0.624736842105263</v>
      </c>
      <c r="F5796" s="4" t="n">
        <f aca="false">D5796*E5796</f>
        <v>11.87</v>
      </c>
      <c r="G5796" s="7" t="n">
        <v>12</v>
      </c>
      <c r="H5796" s="9" t="n">
        <f aca="false">IF(G5796&gt;0,D5796/G5796,"")</f>
        <v>1.58333333333333</v>
      </c>
      <c r="I5796" s="10" t="n">
        <v>46281</v>
      </c>
      <c r="J5796" s="3" t="s">
        <v>4832</v>
      </c>
      <c r="K5796" s="10" t="n">
        <v>46279</v>
      </c>
      <c r="L5796" s="3" t="s">
        <v>19</v>
      </c>
      <c r="M5796" s="7" t="n">
        <v>24</v>
      </c>
      <c r="N5796" s="8" t="n">
        <v>0.625</v>
      </c>
      <c r="O5796" s="4" t="n">
        <f aca="false">M5796*N5796</f>
        <v>15</v>
      </c>
    </row>
    <row r="5797" customFormat="false" ht="15" hidden="false" customHeight="false" outlineLevel="0" collapsed="false">
      <c r="A5797" s="0" t="s">
        <v>7604</v>
      </c>
      <c r="C5797" s="0" t="s">
        <v>765</v>
      </c>
      <c r="D5797" s="7" t="n">
        <v>431</v>
      </c>
      <c r="E5797" s="8" t="n">
        <v>0.0274941995359629</v>
      </c>
      <c r="F5797" s="4" t="n">
        <f aca="false">D5797*E5797</f>
        <v>11.85</v>
      </c>
      <c r="G5797" s="7" t="n">
        <v>100</v>
      </c>
      <c r="H5797" s="9" t="n">
        <f aca="false">IF(G5797&gt;0,D5797/G5797,"")</f>
        <v>4.31</v>
      </c>
      <c r="I5797" s="10" t="n">
        <v>46104</v>
      </c>
      <c r="K5797" s="10"/>
      <c r="M5797" s="7"/>
      <c r="N5797" s="8"/>
      <c r="O5797" s="4"/>
    </row>
    <row r="5798" customFormat="false" ht="15" hidden="false" customHeight="false" outlineLevel="0" collapsed="false">
      <c r="A5798" s="0" t="s">
        <v>7605</v>
      </c>
      <c r="C5798" s="0" t="s">
        <v>855</v>
      </c>
      <c r="D5798" s="7" t="n">
        <v>426</v>
      </c>
      <c r="E5798" s="8" t="n">
        <v>0.0278169014084507</v>
      </c>
      <c r="F5798" s="4" t="n">
        <f aca="false">D5798*E5798</f>
        <v>11.85</v>
      </c>
      <c r="G5798" s="7" t="n">
        <v>68</v>
      </c>
      <c r="H5798" s="9" t="n">
        <f aca="false">IF(G5798&gt;0,D5798/G5798,"")</f>
        <v>6.26470588235294</v>
      </c>
      <c r="I5798" s="10" t="n">
        <v>46224</v>
      </c>
      <c r="J5798" s="3" t="s">
        <v>1791</v>
      </c>
      <c r="K5798" s="10" t="n">
        <v>45475</v>
      </c>
      <c r="L5798" s="3" t="s">
        <v>16</v>
      </c>
      <c r="M5798" s="7" t="n">
        <v>1000</v>
      </c>
      <c r="N5798" s="8" t="n">
        <v>0.0278</v>
      </c>
      <c r="O5798" s="4" t="n">
        <f aca="false">M5798*N5798</f>
        <v>27.8</v>
      </c>
    </row>
    <row r="5799" customFormat="false" ht="15" hidden="false" customHeight="false" outlineLevel="0" collapsed="false">
      <c r="A5799" s="0" t="s">
        <v>7606</v>
      </c>
      <c r="C5799" s="0" t="s">
        <v>889</v>
      </c>
      <c r="D5799" s="7" t="n">
        <v>10</v>
      </c>
      <c r="E5799" s="8" t="n">
        <v>1.18</v>
      </c>
      <c r="F5799" s="4" t="n">
        <f aca="false">D5799*E5799</f>
        <v>11.8</v>
      </c>
      <c r="G5799" s="7" t="n">
        <v>2</v>
      </c>
      <c r="H5799" s="9" t="n">
        <f aca="false">IF(G5799&gt;0,D5799/G5799,"")</f>
        <v>5</v>
      </c>
      <c r="I5799" s="10" t="n">
        <v>46021</v>
      </c>
      <c r="K5799" s="10"/>
      <c r="M5799" s="7"/>
      <c r="N5799" s="8"/>
      <c r="O5799" s="4"/>
    </row>
    <row r="5800" customFormat="false" ht="15" hidden="false" customHeight="false" outlineLevel="0" collapsed="false">
      <c r="A5800" s="0" t="s">
        <v>7607</v>
      </c>
      <c r="C5800" s="0" t="s">
        <v>34</v>
      </c>
      <c r="D5800" s="7" t="n">
        <v>30</v>
      </c>
      <c r="E5800" s="8" t="n">
        <v>0.393333333333333</v>
      </c>
      <c r="F5800" s="4" t="n">
        <f aca="false">D5800*E5800</f>
        <v>11.8</v>
      </c>
      <c r="G5800" s="7" t="n">
        <v>12</v>
      </c>
      <c r="H5800" s="9" t="n">
        <f aca="false">IF(G5800&gt;0,D5800/G5800,"")</f>
        <v>2.5</v>
      </c>
      <c r="I5800" s="10" t="n">
        <v>46086</v>
      </c>
      <c r="J5800" s="3" t="s">
        <v>727</v>
      </c>
      <c r="K5800" s="10" t="n">
        <v>44860</v>
      </c>
      <c r="L5800" s="3" t="s">
        <v>19</v>
      </c>
      <c r="M5800" s="7" t="n">
        <v>50</v>
      </c>
      <c r="N5800" s="8" t="n">
        <v>0.3934</v>
      </c>
      <c r="O5800" s="4" t="n">
        <f aca="false">M5800*N5800</f>
        <v>19.67</v>
      </c>
    </row>
    <row r="5801" customFormat="false" ht="15" hidden="false" customHeight="false" outlineLevel="0" collapsed="false">
      <c r="A5801" s="0" t="s">
        <v>7608</v>
      </c>
      <c r="C5801" s="0" t="s">
        <v>855</v>
      </c>
      <c r="D5801" s="7" t="n">
        <v>307</v>
      </c>
      <c r="E5801" s="8" t="n">
        <v>0.0384039087947883</v>
      </c>
      <c r="F5801" s="4" t="n">
        <f aca="false">D5801*E5801</f>
        <v>11.79</v>
      </c>
      <c r="G5801" s="7" t="n">
        <v>268</v>
      </c>
      <c r="H5801" s="9" t="n">
        <f aca="false">IF(G5801&gt;0,D5801/G5801,"")</f>
        <v>1.1455223880597</v>
      </c>
      <c r="I5801" s="10" t="n">
        <v>46231</v>
      </c>
      <c r="J5801" s="3" t="s">
        <v>7045</v>
      </c>
      <c r="K5801" s="10" t="n">
        <v>45784</v>
      </c>
      <c r="L5801" s="3" t="s">
        <v>19</v>
      </c>
      <c r="M5801" s="7" t="n">
        <v>500</v>
      </c>
      <c r="N5801" s="8" t="n">
        <v>0.0384</v>
      </c>
      <c r="O5801" s="4" t="n">
        <f aca="false">M5801*N5801</f>
        <v>19.2</v>
      </c>
    </row>
    <row r="5802" customFormat="false" ht="15" hidden="false" customHeight="false" outlineLevel="0" collapsed="false">
      <c r="A5802" s="0" t="s">
        <v>7609</v>
      </c>
      <c r="C5802" s="0" t="s">
        <v>31</v>
      </c>
      <c r="D5802" s="7" t="n">
        <v>604</v>
      </c>
      <c r="E5802" s="8" t="n">
        <v>0.0195033112582781</v>
      </c>
      <c r="F5802" s="4" t="n">
        <f aca="false">D5802*E5802</f>
        <v>11.78</v>
      </c>
      <c r="G5802" s="7" t="n">
        <v>78</v>
      </c>
      <c r="H5802" s="9" t="n">
        <f aca="false">IF(G5802&gt;0,D5802/G5802,"")</f>
        <v>7.74358974358974</v>
      </c>
      <c r="I5802" s="10" t="n">
        <v>46086</v>
      </c>
      <c r="J5802" s="3" t="s">
        <v>5886</v>
      </c>
      <c r="K5802" s="10" t="n">
        <v>44552</v>
      </c>
      <c r="L5802" s="3" t="s">
        <v>19</v>
      </c>
      <c r="M5802" s="7" t="n">
        <v>965</v>
      </c>
      <c r="N5802" s="8" t="n">
        <v>0.0195</v>
      </c>
      <c r="O5802" s="4" t="n">
        <f aca="false">M5802*N5802</f>
        <v>18.8175</v>
      </c>
    </row>
    <row r="5803" customFormat="false" ht="15" hidden="false" customHeight="false" outlineLevel="0" collapsed="false">
      <c r="A5803" s="0" t="s">
        <v>7610</v>
      </c>
      <c r="C5803" s="0" t="s">
        <v>41</v>
      </c>
      <c r="D5803" s="7" t="n">
        <v>650</v>
      </c>
      <c r="E5803" s="8" t="n">
        <v>0.0181230769230769</v>
      </c>
      <c r="F5803" s="4" t="n">
        <f aca="false">D5803*E5803</f>
        <v>11.78</v>
      </c>
      <c r="G5803" s="7" t="n">
        <v>92</v>
      </c>
      <c r="H5803" s="9" t="n">
        <f aca="false">IF(G5803&gt;0,D5803/G5803,"")</f>
        <v>7.06521739130435</v>
      </c>
      <c r="I5803" s="10" t="n">
        <v>46154</v>
      </c>
      <c r="K5803" s="10"/>
      <c r="M5803" s="7"/>
      <c r="N5803" s="8"/>
      <c r="O5803" s="4"/>
    </row>
    <row r="5804" customFormat="false" ht="15" hidden="false" customHeight="false" outlineLevel="0" collapsed="false">
      <c r="A5804" s="0" t="s">
        <v>7611</v>
      </c>
      <c r="C5804" s="0" t="s">
        <v>36</v>
      </c>
      <c r="D5804" s="7" t="n">
        <v>28</v>
      </c>
      <c r="E5804" s="8" t="n">
        <v>0.42</v>
      </c>
      <c r="F5804" s="4" t="n">
        <f aca="false">D5804*E5804</f>
        <v>11.76</v>
      </c>
      <c r="G5804" s="7" t="n">
        <v>2</v>
      </c>
      <c r="H5804" s="9" t="n">
        <f aca="false">IF(G5804&gt;0,D5804/G5804,"")</f>
        <v>14</v>
      </c>
      <c r="I5804" s="10" t="n">
        <v>46042</v>
      </c>
      <c r="K5804" s="10"/>
      <c r="M5804" s="7"/>
      <c r="N5804" s="8"/>
      <c r="O5804" s="4"/>
    </row>
    <row r="5805" customFormat="false" ht="15" hidden="false" customHeight="false" outlineLevel="0" collapsed="false">
      <c r="A5805" s="0" t="s">
        <v>7612</v>
      </c>
      <c r="C5805" s="0" t="s">
        <v>31</v>
      </c>
      <c r="D5805" s="7" t="n">
        <v>45</v>
      </c>
      <c r="E5805" s="8" t="n">
        <v>0.260888888888889</v>
      </c>
      <c r="F5805" s="4" t="n">
        <f aca="false">D5805*E5805</f>
        <v>11.74</v>
      </c>
      <c r="G5805" s="7" t="n">
        <v>30</v>
      </c>
      <c r="H5805" s="9" t="n">
        <f aca="false">IF(G5805&gt;0,D5805/G5805,"")</f>
        <v>1.5</v>
      </c>
      <c r="I5805" s="10" t="n">
        <v>46163</v>
      </c>
      <c r="K5805" s="10"/>
      <c r="M5805" s="7"/>
      <c r="N5805" s="8"/>
      <c r="O5805" s="4"/>
    </row>
    <row r="5806" customFormat="false" ht="15" hidden="false" customHeight="false" outlineLevel="0" collapsed="false">
      <c r="A5806" s="0" t="s">
        <v>7613</v>
      </c>
      <c r="C5806" s="0" t="s">
        <v>34</v>
      </c>
      <c r="D5806" s="7" t="n">
        <v>56</v>
      </c>
      <c r="E5806" s="8" t="n">
        <v>0.209464285714286</v>
      </c>
      <c r="F5806" s="4" t="n">
        <f aca="false">D5806*E5806</f>
        <v>11.73</v>
      </c>
      <c r="G5806" s="7" t="n">
        <v>27</v>
      </c>
      <c r="H5806" s="9" t="n">
        <f aca="false">IF(G5806&gt;0,D5806/G5806,"")</f>
        <v>2.07407407407407</v>
      </c>
      <c r="I5806" s="10" t="n">
        <v>46119</v>
      </c>
      <c r="K5806" s="10"/>
      <c r="M5806" s="7"/>
      <c r="N5806" s="8"/>
      <c r="O5806" s="4"/>
    </row>
    <row r="5807" customFormat="false" ht="15" hidden="false" customHeight="false" outlineLevel="0" collapsed="false">
      <c r="A5807" s="0" t="s">
        <v>7614</v>
      </c>
      <c r="C5807" s="0" t="s">
        <v>40</v>
      </c>
      <c r="D5807" s="7" t="n">
        <v>302</v>
      </c>
      <c r="E5807" s="8" t="n">
        <v>0.0387417218543046</v>
      </c>
      <c r="F5807" s="4" t="n">
        <f aca="false">D5807*E5807</f>
        <v>11.7</v>
      </c>
      <c r="G5807" s="7" t="n">
        <v>45</v>
      </c>
      <c r="H5807" s="9" t="n">
        <f aca="false">IF(G5807&gt;0,D5807/G5807,"")</f>
        <v>6.71111111111111</v>
      </c>
      <c r="I5807" s="10" t="n">
        <v>46044</v>
      </c>
      <c r="K5807" s="10"/>
      <c r="M5807" s="7"/>
      <c r="N5807" s="8"/>
      <c r="O5807" s="4"/>
    </row>
    <row r="5808" customFormat="false" ht="15" hidden="false" customHeight="false" outlineLevel="0" collapsed="false">
      <c r="A5808" s="0" t="s">
        <v>7615</v>
      </c>
      <c r="C5808" s="0" t="s">
        <v>31</v>
      </c>
      <c r="D5808" s="7" t="n">
        <v>1671</v>
      </c>
      <c r="E5808" s="8" t="n">
        <v>0.00700179533213645</v>
      </c>
      <c r="F5808" s="4" t="n">
        <f aca="false">D5808*E5808</f>
        <v>11.7</v>
      </c>
      <c r="G5808" s="7" t="n">
        <v>370</v>
      </c>
      <c r="H5808" s="9" t="n">
        <f aca="false">IF(G5808&gt;0,D5808/G5808,"")</f>
        <v>4.51621621621622</v>
      </c>
      <c r="I5808" s="10" t="n">
        <v>46237</v>
      </c>
      <c r="J5808" s="3" t="s">
        <v>6003</v>
      </c>
      <c r="K5808" s="10" t="n">
        <v>45581</v>
      </c>
      <c r="L5808" s="3" t="s">
        <v>14</v>
      </c>
      <c r="M5808" s="7" t="n">
        <v>3554</v>
      </c>
      <c r="N5808" s="8" t="n">
        <v>0.007</v>
      </c>
      <c r="O5808" s="4" t="n">
        <f aca="false">M5808*N5808</f>
        <v>24.878</v>
      </c>
    </row>
    <row r="5809" customFormat="false" ht="15" hidden="false" customHeight="false" outlineLevel="0" collapsed="false">
      <c r="A5809" s="0" t="s">
        <v>7616</v>
      </c>
      <c r="C5809" s="0" t="s">
        <v>855</v>
      </c>
      <c r="D5809" s="7" t="n">
        <v>215</v>
      </c>
      <c r="E5809" s="8" t="n">
        <v>0.0543720930232558</v>
      </c>
      <c r="F5809" s="4" t="n">
        <f aca="false">D5809*E5809</f>
        <v>11.69</v>
      </c>
      <c r="G5809" s="7" t="n">
        <v>100</v>
      </c>
      <c r="H5809" s="9" t="n">
        <f aca="false">IF(G5809&gt;0,D5809/G5809,"")</f>
        <v>2.15</v>
      </c>
      <c r="I5809" s="10" t="n">
        <v>45958</v>
      </c>
      <c r="K5809" s="10"/>
      <c r="M5809" s="7"/>
      <c r="N5809" s="8"/>
      <c r="O5809" s="4"/>
    </row>
    <row r="5810" customFormat="false" ht="15" hidden="false" customHeight="false" outlineLevel="0" collapsed="false">
      <c r="A5810" s="0" t="s">
        <v>7617</v>
      </c>
      <c r="C5810" s="0" t="s">
        <v>34</v>
      </c>
      <c r="D5810" s="7" t="n">
        <v>5</v>
      </c>
      <c r="E5810" s="8" t="n">
        <v>2.336</v>
      </c>
      <c r="F5810" s="4" t="n">
        <f aca="false">D5810*E5810</f>
        <v>11.68</v>
      </c>
      <c r="G5810" s="7" t="n">
        <v>1</v>
      </c>
      <c r="H5810" s="9" t="n">
        <f aca="false">IF(G5810&gt;0,D5810/G5810,"")</f>
        <v>5</v>
      </c>
      <c r="I5810" s="10" t="n">
        <v>46121</v>
      </c>
      <c r="J5810" s="3" t="s">
        <v>7146</v>
      </c>
      <c r="K5810" s="10" t="n">
        <v>44915</v>
      </c>
      <c r="L5810" s="3" t="s">
        <v>19</v>
      </c>
      <c r="M5810" s="7" t="n">
        <v>12</v>
      </c>
      <c r="N5810" s="8" t="n">
        <v>2.276</v>
      </c>
      <c r="O5810" s="4" t="n">
        <f aca="false">M5810*N5810</f>
        <v>27.312</v>
      </c>
    </row>
    <row r="5811" customFormat="false" ht="15" hidden="false" customHeight="false" outlineLevel="0" collapsed="false">
      <c r="A5811" s="0" t="s">
        <v>7618</v>
      </c>
      <c r="C5811" s="0" t="s">
        <v>340</v>
      </c>
      <c r="D5811" s="7" t="n">
        <v>52</v>
      </c>
      <c r="E5811" s="8" t="n">
        <v>0.224615384615385</v>
      </c>
      <c r="F5811" s="4" t="n">
        <f aca="false">D5811*E5811</f>
        <v>11.68</v>
      </c>
      <c r="G5811" s="7" t="n">
        <v>5</v>
      </c>
      <c r="H5811" s="9" t="n">
        <f aca="false">IF(G5811&gt;0,D5811/G5811,"")</f>
        <v>10.4</v>
      </c>
      <c r="I5811" s="10" t="n">
        <v>46185</v>
      </c>
      <c r="J5811" s="3" t="s">
        <v>341</v>
      </c>
      <c r="K5811" s="10" t="n">
        <v>46078</v>
      </c>
      <c r="L5811" s="3" t="s">
        <v>15</v>
      </c>
      <c r="M5811" s="7" t="n">
        <v>14</v>
      </c>
      <c r="N5811" s="8" t="n">
        <v>0.19336</v>
      </c>
      <c r="O5811" s="4" t="n">
        <f aca="false">M5811*N5811</f>
        <v>2.70704</v>
      </c>
    </row>
    <row r="5812" customFormat="false" ht="15" hidden="false" customHeight="false" outlineLevel="0" collapsed="false">
      <c r="A5812" s="0" t="s">
        <v>7619</v>
      </c>
      <c r="C5812" s="0" t="s">
        <v>34</v>
      </c>
      <c r="D5812" s="7" t="n">
        <v>38</v>
      </c>
      <c r="E5812" s="8" t="n">
        <v>0.307105263157895</v>
      </c>
      <c r="F5812" s="4" t="n">
        <f aca="false">D5812*E5812</f>
        <v>11.67</v>
      </c>
      <c r="G5812" s="7" t="n">
        <v>5</v>
      </c>
      <c r="H5812" s="9" t="n">
        <f aca="false">IF(G5812&gt;0,D5812/G5812,"")</f>
        <v>7.6</v>
      </c>
      <c r="I5812" s="10" t="n">
        <v>46224</v>
      </c>
      <c r="J5812" s="3" t="s">
        <v>1448</v>
      </c>
      <c r="K5812" s="10" t="n">
        <v>45531</v>
      </c>
      <c r="L5812" s="3" t="s">
        <v>19</v>
      </c>
      <c r="M5812" s="7" t="n">
        <v>50</v>
      </c>
      <c r="N5812" s="8" t="n">
        <v>0.307</v>
      </c>
      <c r="O5812" s="4" t="n">
        <f aca="false">M5812*N5812</f>
        <v>15.35</v>
      </c>
    </row>
    <row r="5813" customFormat="false" ht="15" hidden="false" customHeight="false" outlineLevel="0" collapsed="false">
      <c r="A5813" s="0" t="s">
        <v>7620</v>
      </c>
      <c r="C5813" s="0" t="s">
        <v>31</v>
      </c>
      <c r="D5813" s="7" t="n">
        <v>34</v>
      </c>
      <c r="E5813" s="8" t="n">
        <v>0.342941176470588</v>
      </c>
      <c r="F5813" s="4" t="n">
        <f aca="false">D5813*E5813</f>
        <v>11.66</v>
      </c>
      <c r="G5813" s="7" t="n">
        <v>6</v>
      </c>
      <c r="H5813" s="9" t="n">
        <f aca="false">IF(G5813&gt;0,D5813/G5813,"")</f>
        <v>5.66666666666667</v>
      </c>
      <c r="I5813" s="10" t="n">
        <v>46253</v>
      </c>
      <c r="J5813" s="3" t="s">
        <v>6449</v>
      </c>
      <c r="K5813" s="10" t="n">
        <v>44341</v>
      </c>
      <c r="L5813" s="3" t="s">
        <v>19</v>
      </c>
      <c r="M5813" s="7" t="n">
        <v>50</v>
      </c>
      <c r="N5813" s="8" t="n">
        <v>0.343</v>
      </c>
      <c r="O5813" s="4" t="n">
        <f aca="false">M5813*N5813</f>
        <v>17.15</v>
      </c>
    </row>
    <row r="5814" customFormat="false" ht="15" hidden="false" customHeight="false" outlineLevel="0" collapsed="false">
      <c r="A5814" s="0" t="s">
        <v>7621</v>
      </c>
      <c r="C5814" s="0" t="s">
        <v>715</v>
      </c>
      <c r="D5814" s="7" t="n">
        <v>213</v>
      </c>
      <c r="E5814" s="8" t="n">
        <v>0.0546478873239437</v>
      </c>
      <c r="F5814" s="4" t="n">
        <f aca="false">D5814*E5814</f>
        <v>11.64</v>
      </c>
      <c r="G5814" s="7" t="n">
        <v>100</v>
      </c>
      <c r="H5814" s="9" t="n">
        <f aca="false">IF(G5814&gt;0,D5814/G5814,"")</f>
        <v>2.13</v>
      </c>
      <c r="I5814" s="10" t="n">
        <v>46140</v>
      </c>
      <c r="J5814" s="3" t="s">
        <v>4763</v>
      </c>
      <c r="K5814" s="10" t="n">
        <v>44980</v>
      </c>
      <c r="L5814" s="3" t="s">
        <v>19</v>
      </c>
      <c r="M5814" s="7" t="n">
        <v>1071</v>
      </c>
      <c r="N5814" s="8" t="n">
        <v>0.054</v>
      </c>
      <c r="O5814" s="4" t="n">
        <f aca="false">M5814*N5814</f>
        <v>57.834</v>
      </c>
    </row>
    <row r="5815" customFormat="false" ht="15" hidden="false" customHeight="false" outlineLevel="0" collapsed="false">
      <c r="A5815" s="0" t="s">
        <v>7622</v>
      </c>
      <c r="C5815" s="0" t="s">
        <v>31</v>
      </c>
      <c r="D5815" s="7" t="n">
        <v>1059</v>
      </c>
      <c r="E5815" s="8" t="n">
        <v>0.0109915014164306</v>
      </c>
      <c r="F5815" s="4" t="n">
        <f aca="false">D5815*E5815</f>
        <v>11.64</v>
      </c>
      <c r="G5815" s="7" t="n">
        <v>416</v>
      </c>
      <c r="H5815" s="9" t="n">
        <f aca="false">IF(G5815&gt;0,D5815/G5815,"")</f>
        <v>2.54567307692308</v>
      </c>
      <c r="I5815" s="10" t="n">
        <v>46281</v>
      </c>
      <c r="J5815" s="3" t="s">
        <v>7623</v>
      </c>
      <c r="K5815" s="10" t="n">
        <v>45567</v>
      </c>
      <c r="L5815" s="3" t="s">
        <v>19</v>
      </c>
      <c r="M5815" s="7" t="n">
        <v>2500</v>
      </c>
      <c r="N5815" s="8" t="n">
        <v>0.011</v>
      </c>
      <c r="O5815" s="4" t="n">
        <f aca="false">M5815*N5815</f>
        <v>27.5</v>
      </c>
    </row>
    <row r="5816" customFormat="false" ht="15" hidden="false" customHeight="false" outlineLevel="0" collapsed="false">
      <c r="A5816" s="0" t="s">
        <v>7624</v>
      </c>
      <c r="C5816" s="0" t="s">
        <v>79</v>
      </c>
      <c r="D5816" s="7" t="n">
        <v>8</v>
      </c>
      <c r="E5816" s="8" t="n">
        <v>1.45375</v>
      </c>
      <c r="F5816" s="4" t="n">
        <f aca="false">D5816*E5816</f>
        <v>11.63</v>
      </c>
      <c r="G5816" s="7" t="n">
        <v>3</v>
      </c>
      <c r="H5816" s="9" t="n">
        <f aca="false">IF(G5816&gt;0,D5816/G5816,"")</f>
        <v>2.66666666666667</v>
      </c>
      <c r="I5816" s="10" t="n">
        <v>46295</v>
      </c>
      <c r="K5816" s="10"/>
      <c r="M5816" s="7"/>
      <c r="N5816" s="8"/>
      <c r="O5816" s="4"/>
    </row>
    <row r="5817" customFormat="false" ht="15" hidden="false" customHeight="false" outlineLevel="0" collapsed="false">
      <c r="A5817" s="0" t="s">
        <v>7625</v>
      </c>
      <c r="C5817" s="0" t="s">
        <v>855</v>
      </c>
      <c r="D5817" s="7" t="n">
        <v>298</v>
      </c>
      <c r="E5817" s="8" t="n">
        <v>0.0390268456375839</v>
      </c>
      <c r="F5817" s="4" t="n">
        <f aca="false">D5817*E5817</f>
        <v>11.63</v>
      </c>
      <c r="G5817" s="7" t="n">
        <v>123</v>
      </c>
      <c r="H5817" s="9" t="n">
        <f aca="false">IF(G5817&gt;0,D5817/G5817,"")</f>
        <v>2.42276422764228</v>
      </c>
      <c r="I5817" s="10" t="n">
        <v>46304</v>
      </c>
      <c r="J5817" s="3" t="s">
        <v>1466</v>
      </c>
      <c r="K5817" s="10" t="n">
        <v>44456</v>
      </c>
      <c r="L5817" s="3" t="s">
        <v>16</v>
      </c>
      <c r="M5817" s="7" t="n">
        <v>1501</v>
      </c>
      <c r="N5817" s="8" t="n">
        <v>0</v>
      </c>
      <c r="O5817" s="4" t="n">
        <v>58.8</v>
      </c>
    </row>
    <row r="5818" customFormat="false" ht="15" hidden="false" customHeight="false" outlineLevel="0" collapsed="false">
      <c r="A5818" s="0" t="s">
        <v>7626</v>
      </c>
      <c r="C5818" s="0" t="s">
        <v>118</v>
      </c>
      <c r="D5818" s="7" t="n">
        <v>125</v>
      </c>
      <c r="E5818" s="8" t="n">
        <v>0.09304</v>
      </c>
      <c r="F5818" s="4" t="n">
        <f aca="false">D5818*E5818</f>
        <v>11.63</v>
      </c>
      <c r="G5818" s="7" t="n">
        <v>38</v>
      </c>
      <c r="H5818" s="9" t="n">
        <f aca="false">IF(G5818&gt;0,D5818/G5818,"")</f>
        <v>3.28947368421053</v>
      </c>
      <c r="I5818" s="10" t="n">
        <v>46244</v>
      </c>
      <c r="J5818" s="3" t="s">
        <v>1912</v>
      </c>
      <c r="K5818" s="10" t="n">
        <v>44320</v>
      </c>
      <c r="L5818" s="3" t="s">
        <v>15</v>
      </c>
      <c r="M5818" s="7" t="n">
        <v>470</v>
      </c>
      <c r="N5818" s="8" t="n">
        <v>0.09314</v>
      </c>
      <c r="O5818" s="4" t="n">
        <f aca="false">M5818*N5818</f>
        <v>43.7758</v>
      </c>
    </row>
    <row r="5819" customFormat="false" ht="15" hidden="false" customHeight="false" outlineLevel="0" collapsed="false">
      <c r="A5819" s="0" t="s">
        <v>7627</v>
      </c>
      <c r="C5819" s="0" t="s">
        <v>40</v>
      </c>
      <c r="D5819" s="7" t="n">
        <v>2479</v>
      </c>
      <c r="E5819" s="8" t="n">
        <v>0.00468737394110529</v>
      </c>
      <c r="F5819" s="4" t="n">
        <f aca="false">D5819*E5819</f>
        <v>11.62</v>
      </c>
      <c r="G5819" s="7" t="n">
        <v>100</v>
      </c>
      <c r="H5819" s="9" t="n">
        <f aca="false">IF(G5819&gt;0,D5819/G5819,"")</f>
        <v>24.79</v>
      </c>
      <c r="I5819" s="10" t="n">
        <v>46212</v>
      </c>
      <c r="K5819" s="10"/>
      <c r="M5819" s="7"/>
      <c r="N5819" s="8"/>
      <c r="O5819" s="4"/>
    </row>
    <row r="5820" customFormat="false" ht="15" hidden="false" customHeight="false" outlineLevel="0" collapsed="false">
      <c r="A5820" s="0" t="s">
        <v>7628</v>
      </c>
      <c r="C5820" s="0" t="s">
        <v>40</v>
      </c>
      <c r="D5820" s="7" t="n">
        <v>81</v>
      </c>
      <c r="E5820" s="8" t="n">
        <v>0.143456790123457</v>
      </c>
      <c r="F5820" s="4" t="n">
        <f aca="false">D5820*E5820</f>
        <v>11.62</v>
      </c>
      <c r="G5820" s="7" t="n">
        <v>50</v>
      </c>
      <c r="H5820" s="9" t="n">
        <f aca="false">IF(G5820&gt;0,D5820/G5820,"")</f>
        <v>1.62</v>
      </c>
      <c r="I5820" s="10" t="n">
        <v>46253</v>
      </c>
      <c r="K5820" s="10"/>
      <c r="M5820" s="7"/>
      <c r="N5820" s="8"/>
      <c r="O5820" s="4"/>
    </row>
    <row r="5821" customFormat="false" ht="15" hidden="false" customHeight="false" outlineLevel="0" collapsed="false">
      <c r="A5821" s="0" t="s">
        <v>7629</v>
      </c>
      <c r="C5821" s="0" t="s">
        <v>36</v>
      </c>
      <c r="D5821" s="7" t="n">
        <v>247</v>
      </c>
      <c r="E5821" s="8" t="n">
        <v>0.0468825910931174</v>
      </c>
      <c r="F5821" s="4" t="n">
        <f aca="false">D5821*E5821</f>
        <v>11.58</v>
      </c>
      <c r="G5821" s="7" t="n">
        <v>60</v>
      </c>
      <c r="H5821" s="9" t="n">
        <f aca="false">IF(G5821&gt;0,D5821/G5821,"")</f>
        <v>4.11666666666667</v>
      </c>
      <c r="I5821" s="10" t="n">
        <v>46203</v>
      </c>
      <c r="J5821" s="3" t="s">
        <v>1840</v>
      </c>
      <c r="K5821" s="10" t="n">
        <v>44230</v>
      </c>
      <c r="L5821" s="3" t="s">
        <v>19</v>
      </c>
      <c r="M5821" s="7" t="n">
        <v>1065</v>
      </c>
      <c r="N5821" s="8" t="n">
        <v>0.0469</v>
      </c>
      <c r="O5821" s="4" t="n">
        <f aca="false">M5821*N5821</f>
        <v>49.9485</v>
      </c>
    </row>
    <row r="5822" customFormat="false" ht="15" hidden="false" customHeight="false" outlineLevel="0" collapsed="false">
      <c r="A5822" s="0" t="s">
        <v>7630</v>
      </c>
      <c r="C5822" s="0" t="s">
        <v>855</v>
      </c>
      <c r="D5822" s="7" t="n">
        <v>565</v>
      </c>
      <c r="E5822" s="8" t="n">
        <v>0.0204955752212389</v>
      </c>
      <c r="F5822" s="4" t="n">
        <f aca="false">D5822*E5822</f>
        <v>11.58</v>
      </c>
      <c r="G5822" s="7" t="n">
        <v>100</v>
      </c>
      <c r="H5822" s="9" t="n">
        <f aca="false">IF(G5822&gt;0,D5822/G5822,"")</f>
        <v>5.65</v>
      </c>
      <c r="I5822" s="10" t="n">
        <v>46275</v>
      </c>
      <c r="J5822" s="3" t="s">
        <v>7631</v>
      </c>
      <c r="K5822" s="10" t="n">
        <v>45195</v>
      </c>
      <c r="L5822" s="3" t="s">
        <v>19</v>
      </c>
      <c r="M5822" s="7" t="n">
        <v>1000</v>
      </c>
      <c r="N5822" s="8" t="n">
        <v>0.0205</v>
      </c>
      <c r="O5822" s="4" t="n">
        <f aca="false">M5822*N5822</f>
        <v>20.5</v>
      </c>
    </row>
    <row r="5823" customFormat="false" ht="15" hidden="false" customHeight="false" outlineLevel="0" collapsed="false">
      <c r="A5823" s="0" t="s">
        <v>7632</v>
      </c>
      <c r="C5823" s="0" t="s">
        <v>855</v>
      </c>
      <c r="D5823" s="7" t="n">
        <v>596</v>
      </c>
      <c r="E5823" s="8" t="n">
        <v>0.0193959731543624</v>
      </c>
      <c r="F5823" s="4" t="n">
        <f aca="false">D5823*E5823</f>
        <v>11.56</v>
      </c>
      <c r="G5823" s="7" t="n">
        <v>318</v>
      </c>
      <c r="H5823" s="9" t="n">
        <f aca="false">IF(G5823&gt;0,D5823/G5823,"")</f>
        <v>1.87421383647799</v>
      </c>
      <c r="I5823" s="10" t="n">
        <v>46202</v>
      </c>
      <c r="K5823" s="10"/>
      <c r="M5823" s="7"/>
      <c r="N5823" s="8"/>
      <c r="O5823" s="4"/>
    </row>
    <row r="5824" customFormat="false" ht="15" hidden="false" customHeight="false" outlineLevel="0" collapsed="false">
      <c r="A5824" s="0" t="s">
        <v>7633</v>
      </c>
      <c r="C5824" s="0" t="s">
        <v>33</v>
      </c>
      <c r="D5824" s="7" t="n">
        <v>4</v>
      </c>
      <c r="E5824" s="8" t="n">
        <v>2.8875</v>
      </c>
      <c r="F5824" s="4" t="n">
        <f aca="false">D5824*E5824</f>
        <v>11.55</v>
      </c>
      <c r="G5824" s="7" t="n">
        <v>4</v>
      </c>
      <c r="H5824" s="9" t="n">
        <f aca="false">IF(G5824&gt;0,D5824/G5824,"")</f>
        <v>1</v>
      </c>
      <c r="I5824" s="10" t="n">
        <v>46283</v>
      </c>
      <c r="J5824" s="3" t="s">
        <v>7587</v>
      </c>
      <c r="K5824" s="10" t="n">
        <v>45287</v>
      </c>
      <c r="L5824" s="3" t="s">
        <v>18</v>
      </c>
      <c r="M5824" s="7" t="n">
        <v>10</v>
      </c>
      <c r="N5824" s="8" t="n">
        <v>2.8879</v>
      </c>
      <c r="O5824" s="4" t="n">
        <f aca="false">M5824*N5824</f>
        <v>28.879</v>
      </c>
    </row>
    <row r="5825" customFormat="false" ht="15" hidden="false" customHeight="false" outlineLevel="0" collapsed="false">
      <c r="A5825" s="0" t="s">
        <v>7634</v>
      </c>
      <c r="C5825" s="0" t="s">
        <v>34</v>
      </c>
      <c r="D5825" s="7" t="n">
        <v>142</v>
      </c>
      <c r="E5825" s="8" t="n">
        <v>0.0812676056338028</v>
      </c>
      <c r="F5825" s="4" t="n">
        <f aca="false">D5825*E5825</f>
        <v>11.54</v>
      </c>
      <c r="G5825" s="7" t="n">
        <v>68</v>
      </c>
      <c r="H5825" s="9" t="n">
        <f aca="false">IF(G5825&gt;0,D5825/G5825,"")</f>
        <v>2.08823529411765</v>
      </c>
      <c r="I5825" s="10" t="n">
        <v>46066</v>
      </c>
      <c r="K5825" s="10"/>
      <c r="M5825" s="7"/>
      <c r="N5825" s="8"/>
      <c r="O5825" s="4"/>
    </row>
    <row r="5826" customFormat="false" ht="15" hidden="false" customHeight="false" outlineLevel="0" collapsed="false">
      <c r="A5826" s="0" t="s">
        <v>7635</v>
      </c>
      <c r="D5826" s="7" t="n">
        <v>14</v>
      </c>
      <c r="E5826" s="8" t="n">
        <v>0.823571428571429</v>
      </c>
      <c r="F5826" s="4" t="n">
        <f aca="false">D5826*E5826</f>
        <v>11.53</v>
      </c>
      <c r="G5826" s="7" t="n">
        <v>4</v>
      </c>
      <c r="H5826" s="9" t="n">
        <f aca="false">IF(G5826&gt;0,D5826/G5826,"")</f>
        <v>3.5</v>
      </c>
      <c r="I5826" s="10" t="n">
        <v>46030</v>
      </c>
      <c r="J5826" s="3" t="s">
        <v>2558</v>
      </c>
      <c r="K5826" s="10" t="n">
        <v>44623</v>
      </c>
      <c r="L5826" s="3" t="s">
        <v>19</v>
      </c>
      <c r="M5826" s="7" t="n">
        <v>25</v>
      </c>
      <c r="N5826" s="8" t="n">
        <v>0.823</v>
      </c>
      <c r="O5826" s="4" t="n">
        <f aca="false">M5826*N5826</f>
        <v>20.575</v>
      </c>
    </row>
    <row r="5827" customFormat="false" ht="15" hidden="false" customHeight="false" outlineLevel="0" collapsed="false">
      <c r="A5827" s="0" t="s">
        <v>7636</v>
      </c>
      <c r="C5827" s="0" t="s">
        <v>31</v>
      </c>
      <c r="D5827" s="7" t="n">
        <v>101</v>
      </c>
      <c r="E5827" s="8" t="n">
        <v>0.114059405940594</v>
      </c>
      <c r="F5827" s="4" t="n">
        <f aca="false">D5827*E5827</f>
        <v>11.52</v>
      </c>
      <c r="G5827" s="7" t="n">
        <v>9</v>
      </c>
      <c r="H5827" s="9" t="n">
        <f aca="false">IF(G5827&gt;0,D5827/G5827,"")</f>
        <v>11.2222222222222</v>
      </c>
      <c r="I5827" s="10" t="n">
        <v>46118</v>
      </c>
      <c r="J5827" s="3" t="s">
        <v>768</v>
      </c>
      <c r="K5827" s="10" t="n">
        <v>46014</v>
      </c>
      <c r="L5827" s="3" t="s">
        <v>14</v>
      </c>
      <c r="M5827" s="7" t="n">
        <v>109</v>
      </c>
      <c r="N5827" s="8" t="n">
        <v>0.114</v>
      </c>
      <c r="O5827" s="4" t="n">
        <f aca="false">M5827*N5827</f>
        <v>12.426</v>
      </c>
    </row>
    <row r="5828" customFormat="false" ht="15" hidden="false" customHeight="false" outlineLevel="0" collapsed="false">
      <c r="A5828" s="0" t="s">
        <v>7637</v>
      </c>
      <c r="C5828" s="0" t="s">
        <v>31</v>
      </c>
      <c r="D5828" s="7" t="n">
        <v>94</v>
      </c>
      <c r="E5828" s="8" t="n">
        <v>0.122446808510638</v>
      </c>
      <c r="F5828" s="4" t="n">
        <f aca="false">D5828*E5828</f>
        <v>11.51</v>
      </c>
      <c r="G5828" s="7" t="n">
        <v>12</v>
      </c>
      <c r="H5828" s="9" t="n">
        <f aca="false">IF(G5828&gt;0,D5828/G5828,"")</f>
        <v>7.83333333333333</v>
      </c>
      <c r="I5828" s="10" t="n">
        <v>46241</v>
      </c>
      <c r="K5828" s="10"/>
      <c r="M5828" s="7"/>
      <c r="N5828" s="8"/>
      <c r="O5828" s="4"/>
    </row>
    <row r="5829" customFormat="false" ht="15" hidden="false" customHeight="false" outlineLevel="0" collapsed="false">
      <c r="A5829" s="0" t="s">
        <v>7638</v>
      </c>
      <c r="C5829" s="0" t="s">
        <v>166</v>
      </c>
      <c r="D5829" s="7" t="n">
        <v>7</v>
      </c>
      <c r="E5829" s="8" t="n">
        <v>1.64</v>
      </c>
      <c r="F5829" s="4" t="n">
        <f aca="false">D5829*E5829</f>
        <v>11.48</v>
      </c>
      <c r="G5829" s="7" t="n">
        <v>2</v>
      </c>
      <c r="H5829" s="9" t="n">
        <f aca="false">IF(G5829&gt;0,D5829/G5829,"")</f>
        <v>3.5</v>
      </c>
      <c r="I5829" s="10" t="n">
        <v>46129</v>
      </c>
      <c r="K5829" s="10"/>
      <c r="M5829" s="7"/>
      <c r="N5829" s="8"/>
      <c r="O5829" s="4"/>
    </row>
    <row r="5830" customFormat="false" ht="15" hidden="false" customHeight="false" outlineLevel="0" collapsed="false">
      <c r="A5830" s="0" t="s">
        <v>7639</v>
      </c>
      <c r="C5830" s="0" t="s">
        <v>39</v>
      </c>
      <c r="D5830" s="7" t="n">
        <v>9</v>
      </c>
      <c r="E5830" s="8" t="n">
        <v>1.27444444444444</v>
      </c>
      <c r="F5830" s="4" t="n">
        <f aca="false">D5830*E5830</f>
        <v>11.47</v>
      </c>
      <c r="G5830" s="7" t="n">
        <v>2</v>
      </c>
      <c r="H5830" s="9" t="n">
        <f aca="false">IF(G5830&gt;0,D5830/G5830,"")</f>
        <v>4.5</v>
      </c>
      <c r="I5830" s="10" t="n">
        <v>45958</v>
      </c>
      <c r="J5830" s="3" t="s">
        <v>2449</v>
      </c>
      <c r="K5830" s="10" t="n">
        <v>45434</v>
      </c>
      <c r="L5830" s="3" t="s">
        <v>18</v>
      </c>
      <c r="M5830" s="7" t="n">
        <v>19</v>
      </c>
      <c r="N5830" s="8" t="n">
        <v>1.275</v>
      </c>
      <c r="O5830" s="4" t="n">
        <f aca="false">M5830*N5830</f>
        <v>24.225</v>
      </c>
    </row>
    <row r="5831" customFormat="false" ht="15" hidden="false" customHeight="false" outlineLevel="0" collapsed="false">
      <c r="A5831" s="0" t="s">
        <v>7640</v>
      </c>
      <c r="C5831" s="0" t="s">
        <v>38</v>
      </c>
      <c r="D5831" s="7" t="n">
        <v>39</v>
      </c>
      <c r="E5831" s="8" t="n">
        <v>0.293589743589744</v>
      </c>
      <c r="F5831" s="4" t="n">
        <f aca="false">D5831*E5831</f>
        <v>11.45</v>
      </c>
      <c r="G5831" s="7" t="n">
        <v>14</v>
      </c>
      <c r="H5831" s="9" t="n">
        <f aca="false">IF(G5831&gt;0,D5831/G5831,"")</f>
        <v>2.78571428571429</v>
      </c>
      <c r="I5831" s="10" t="n">
        <v>46136</v>
      </c>
      <c r="K5831" s="10"/>
      <c r="M5831" s="7"/>
      <c r="N5831" s="8"/>
      <c r="O5831" s="4"/>
    </row>
    <row r="5832" customFormat="false" ht="15" hidden="false" customHeight="false" outlineLevel="0" collapsed="false">
      <c r="A5832" s="0" t="s">
        <v>7641</v>
      </c>
      <c r="C5832" s="0" t="s">
        <v>31</v>
      </c>
      <c r="D5832" s="7" t="n">
        <v>716</v>
      </c>
      <c r="E5832" s="8" t="n">
        <v>0.0159916201117318</v>
      </c>
      <c r="F5832" s="4" t="n">
        <f aca="false">D5832*E5832</f>
        <v>11.45</v>
      </c>
      <c r="G5832" s="7" t="n">
        <v>25</v>
      </c>
      <c r="H5832" s="9" t="n">
        <f aca="false">IF(G5832&gt;0,D5832/G5832,"")</f>
        <v>28.64</v>
      </c>
      <c r="I5832" s="10" t="n">
        <v>46276</v>
      </c>
      <c r="J5832" s="3" t="s">
        <v>6913</v>
      </c>
      <c r="K5832" s="10" t="n">
        <v>45279</v>
      </c>
      <c r="L5832" s="3" t="s">
        <v>19</v>
      </c>
      <c r="M5832" s="7" t="n">
        <v>1000</v>
      </c>
      <c r="N5832" s="8" t="n">
        <v>0.016</v>
      </c>
      <c r="O5832" s="4" t="n">
        <f aca="false">M5832*N5832</f>
        <v>16</v>
      </c>
    </row>
    <row r="5833" customFormat="false" ht="15" hidden="false" customHeight="false" outlineLevel="0" collapsed="false">
      <c r="A5833" s="0" t="s">
        <v>7642</v>
      </c>
      <c r="C5833" s="0" t="s">
        <v>31</v>
      </c>
      <c r="D5833" s="7" t="n">
        <v>3208</v>
      </c>
      <c r="E5833" s="8" t="n">
        <v>0.00356608478802993</v>
      </c>
      <c r="F5833" s="4" t="n">
        <f aca="false">D5833*E5833</f>
        <v>11.44</v>
      </c>
      <c r="G5833" s="7" t="n">
        <v>227</v>
      </c>
      <c r="H5833" s="9" t="n">
        <f aca="false">IF(G5833&gt;0,D5833/G5833,"")</f>
        <v>14.1321585903084</v>
      </c>
      <c r="I5833" s="10" t="n">
        <v>46232</v>
      </c>
      <c r="J5833" s="3" t="s">
        <v>3568</v>
      </c>
      <c r="K5833" s="10" t="n">
        <v>45924</v>
      </c>
      <c r="L5833" s="3" t="s">
        <v>19</v>
      </c>
      <c r="M5833" s="7" t="n">
        <v>1000</v>
      </c>
      <c r="N5833" s="8" t="n">
        <v>0.055</v>
      </c>
      <c r="O5833" s="4" t="n">
        <f aca="false">M5833*N5833</f>
        <v>55</v>
      </c>
    </row>
    <row r="5834" customFormat="false" ht="15" hidden="false" customHeight="false" outlineLevel="0" collapsed="false">
      <c r="A5834" s="0" t="s">
        <v>7643</v>
      </c>
      <c r="C5834" s="0" t="s">
        <v>31</v>
      </c>
      <c r="D5834" s="7" t="n">
        <v>109</v>
      </c>
      <c r="E5834" s="8" t="n">
        <v>0.104954128440367</v>
      </c>
      <c r="F5834" s="4" t="n">
        <f aca="false">D5834*E5834</f>
        <v>11.44</v>
      </c>
      <c r="G5834" s="7" t="n">
        <v>63</v>
      </c>
      <c r="H5834" s="9" t="n">
        <f aca="false">IF(G5834&gt;0,D5834/G5834,"")</f>
        <v>1.73015873015873</v>
      </c>
      <c r="I5834" s="10" t="n">
        <v>46308</v>
      </c>
      <c r="J5834" s="3" t="s">
        <v>7644</v>
      </c>
      <c r="K5834" s="10" t="n">
        <v>44593</v>
      </c>
      <c r="L5834" s="3" t="s">
        <v>19</v>
      </c>
      <c r="M5834" s="7" t="n">
        <v>250</v>
      </c>
      <c r="N5834" s="8" t="n">
        <v>0.1049</v>
      </c>
      <c r="O5834" s="4" t="n">
        <f aca="false">M5834*N5834</f>
        <v>26.225</v>
      </c>
    </row>
    <row r="5835" customFormat="false" ht="15" hidden="false" customHeight="false" outlineLevel="0" collapsed="false">
      <c r="A5835" s="0" t="s">
        <v>7645</v>
      </c>
      <c r="C5835" s="0" t="s">
        <v>7258</v>
      </c>
      <c r="D5835" s="7" t="n">
        <v>2</v>
      </c>
      <c r="E5835" s="8" t="n">
        <v>5.72</v>
      </c>
      <c r="F5835" s="4" t="n">
        <f aca="false">D5835*E5835</f>
        <v>11.44</v>
      </c>
      <c r="G5835" s="7" t="n">
        <v>2</v>
      </c>
      <c r="H5835" s="9" t="n">
        <f aca="false">IF(G5835&gt;0,D5835/G5835,"")</f>
        <v>1</v>
      </c>
      <c r="I5835" s="10" t="n">
        <v>46197</v>
      </c>
      <c r="J5835" s="3" t="s">
        <v>7646</v>
      </c>
      <c r="K5835" s="10" t="n">
        <v>44469</v>
      </c>
      <c r="L5835" s="3" t="s">
        <v>7260</v>
      </c>
      <c r="M5835" s="7" t="n">
        <v>10</v>
      </c>
      <c r="N5835" s="8" t="n">
        <v>5.72</v>
      </c>
      <c r="O5835" s="4" t="n">
        <f aca="false">M5835*N5835</f>
        <v>57.2</v>
      </c>
    </row>
    <row r="5836" customFormat="false" ht="15" hidden="false" customHeight="false" outlineLevel="0" collapsed="false">
      <c r="A5836" s="0" t="s">
        <v>7647</v>
      </c>
      <c r="C5836" s="0" t="s">
        <v>31</v>
      </c>
      <c r="D5836" s="7" t="n">
        <v>442</v>
      </c>
      <c r="E5836" s="8" t="n">
        <v>0.0258597285067873</v>
      </c>
      <c r="F5836" s="4" t="n">
        <f aca="false">D5836*E5836</f>
        <v>11.43</v>
      </c>
      <c r="G5836" s="7" t="n">
        <v>50</v>
      </c>
      <c r="H5836" s="9" t="n">
        <f aca="false">IF(G5836&gt;0,D5836/G5836,"")</f>
        <v>8.84</v>
      </c>
      <c r="I5836" s="10" t="n">
        <v>46034</v>
      </c>
      <c r="J5836" s="3" t="s">
        <v>6575</v>
      </c>
      <c r="K5836" s="10" t="n">
        <v>44455</v>
      </c>
      <c r="L5836" s="3" t="s">
        <v>19</v>
      </c>
      <c r="M5836" s="7" t="n">
        <v>700</v>
      </c>
      <c r="N5836" s="8" t="n">
        <v>0.0259</v>
      </c>
      <c r="O5836" s="4" t="n">
        <f aca="false">M5836*N5836</f>
        <v>18.13</v>
      </c>
    </row>
    <row r="5837" customFormat="false" ht="15" hidden="false" customHeight="false" outlineLevel="0" collapsed="false">
      <c r="A5837" s="0" t="s">
        <v>7648</v>
      </c>
      <c r="C5837" s="0" t="s">
        <v>31</v>
      </c>
      <c r="D5837" s="7" t="n">
        <v>634</v>
      </c>
      <c r="E5837" s="8" t="n">
        <v>0.01801261829653</v>
      </c>
      <c r="F5837" s="4" t="n">
        <f aca="false">D5837*E5837</f>
        <v>11.42</v>
      </c>
      <c r="G5837" s="7" t="n">
        <v>86</v>
      </c>
      <c r="H5837" s="9" t="n">
        <f aca="false">IF(G5837&gt;0,D5837/G5837,"")</f>
        <v>7.37209302325581</v>
      </c>
      <c r="I5837" s="10" t="n">
        <v>46220</v>
      </c>
      <c r="J5837" s="3" t="s">
        <v>3074</v>
      </c>
      <c r="K5837" s="10" t="n">
        <v>44242</v>
      </c>
      <c r="L5837" s="3" t="s">
        <v>19</v>
      </c>
      <c r="M5837" s="7" t="n">
        <v>1000</v>
      </c>
      <c r="N5837" s="8" t="n">
        <v>0.018</v>
      </c>
      <c r="O5837" s="4" t="n">
        <f aca="false">M5837*N5837</f>
        <v>18</v>
      </c>
    </row>
    <row r="5838" customFormat="false" ht="15" hidden="false" customHeight="false" outlineLevel="0" collapsed="false">
      <c r="A5838" s="0" t="s">
        <v>7649</v>
      </c>
      <c r="C5838" s="0" t="s">
        <v>31</v>
      </c>
      <c r="D5838" s="7" t="n">
        <v>126</v>
      </c>
      <c r="E5838" s="8" t="n">
        <v>0.0906349206349206</v>
      </c>
      <c r="F5838" s="4" t="n">
        <f aca="false">D5838*E5838</f>
        <v>11.42</v>
      </c>
      <c r="G5838" s="7" t="n">
        <v>65</v>
      </c>
      <c r="H5838" s="9" t="n">
        <f aca="false">IF(G5838&gt;0,D5838/G5838,"")</f>
        <v>1.93846153846154</v>
      </c>
      <c r="I5838" s="10" t="n">
        <v>46128</v>
      </c>
      <c r="J5838" s="3" t="s">
        <v>7650</v>
      </c>
      <c r="K5838" s="10" t="n">
        <v>44572</v>
      </c>
      <c r="L5838" s="3" t="s">
        <v>16</v>
      </c>
      <c r="M5838" s="7" t="n">
        <v>501</v>
      </c>
      <c r="N5838" s="8" t="n">
        <v>0</v>
      </c>
      <c r="O5838" s="4" t="n">
        <v>45.7</v>
      </c>
    </row>
    <row r="5839" customFormat="false" ht="15" hidden="false" customHeight="false" outlineLevel="0" collapsed="false">
      <c r="A5839" s="0" t="s">
        <v>7651</v>
      </c>
      <c r="C5839" s="0" t="s">
        <v>32</v>
      </c>
      <c r="D5839" s="7" t="n">
        <v>70</v>
      </c>
      <c r="E5839" s="8" t="n">
        <v>0.162428571428571</v>
      </c>
      <c r="F5839" s="4" t="n">
        <f aca="false">D5839*E5839</f>
        <v>11.37</v>
      </c>
      <c r="G5839" s="7" t="n">
        <v>18</v>
      </c>
      <c r="H5839" s="9" t="n">
        <f aca="false">IF(G5839&gt;0,D5839/G5839,"")</f>
        <v>3.88888888888889</v>
      </c>
      <c r="I5839" s="10" t="n">
        <v>46195</v>
      </c>
      <c r="J5839" s="3" t="s">
        <v>3754</v>
      </c>
      <c r="K5839" s="10" t="n">
        <v>45559</v>
      </c>
      <c r="L5839" s="3" t="s">
        <v>14</v>
      </c>
      <c r="M5839" s="7" t="n">
        <v>100</v>
      </c>
      <c r="N5839" s="8" t="n">
        <v>0.1623</v>
      </c>
      <c r="O5839" s="4" t="n">
        <f aca="false">M5839*N5839</f>
        <v>16.23</v>
      </c>
    </row>
    <row r="5840" customFormat="false" ht="15" hidden="false" customHeight="false" outlineLevel="0" collapsed="false">
      <c r="A5840" s="0" t="s">
        <v>7652</v>
      </c>
      <c r="C5840" s="0" t="s">
        <v>298</v>
      </c>
      <c r="D5840" s="7" t="n">
        <v>171</v>
      </c>
      <c r="E5840" s="8" t="n">
        <v>0.066374269005848</v>
      </c>
      <c r="F5840" s="4" t="n">
        <f aca="false">D5840*E5840</f>
        <v>11.35</v>
      </c>
      <c r="G5840" s="7" t="n">
        <v>133</v>
      </c>
      <c r="H5840" s="9" t="n">
        <f aca="false">IF(G5840&gt;0,D5840/G5840,"")</f>
        <v>1.28571428571429</v>
      </c>
      <c r="I5840" s="10" t="n">
        <v>46182</v>
      </c>
      <c r="J5840" s="3" t="s">
        <v>4650</v>
      </c>
      <c r="K5840" s="10" t="n">
        <v>46317</v>
      </c>
      <c r="L5840" s="3" t="s">
        <v>15</v>
      </c>
      <c r="M5840" s="7" t="n">
        <v>1029</v>
      </c>
      <c r="N5840" s="8" t="n">
        <v>0.05504</v>
      </c>
      <c r="O5840" s="4" t="n">
        <f aca="false">M5840*N5840</f>
        <v>56.63616</v>
      </c>
    </row>
    <row r="5841" customFormat="false" ht="15" hidden="false" customHeight="false" outlineLevel="0" collapsed="false">
      <c r="A5841" s="0" t="s">
        <v>7653</v>
      </c>
      <c r="C5841" s="0" t="s">
        <v>31</v>
      </c>
      <c r="D5841" s="7" t="n">
        <v>31</v>
      </c>
      <c r="E5841" s="8" t="n">
        <v>0.365806451612903</v>
      </c>
      <c r="F5841" s="4" t="n">
        <f aca="false">D5841*E5841</f>
        <v>11.34</v>
      </c>
      <c r="G5841" s="7" t="n">
        <v>20</v>
      </c>
      <c r="H5841" s="9" t="n">
        <f aca="false">IF(G5841&gt;0,D5841/G5841,"")</f>
        <v>1.55</v>
      </c>
      <c r="I5841" s="10" t="n">
        <v>46225</v>
      </c>
      <c r="J5841" s="3" t="s">
        <v>1574</v>
      </c>
      <c r="K5841" s="10" t="n">
        <v>46062</v>
      </c>
      <c r="L5841" s="3" t="s">
        <v>19</v>
      </c>
      <c r="M5841" s="7" t="n">
        <v>50</v>
      </c>
      <c r="N5841" s="8" t="n">
        <v>0.3612</v>
      </c>
      <c r="O5841" s="4" t="n">
        <f aca="false">M5841*N5841</f>
        <v>18.06</v>
      </c>
    </row>
    <row r="5842" customFormat="false" ht="15" hidden="false" customHeight="false" outlineLevel="0" collapsed="false">
      <c r="A5842" s="0" t="s">
        <v>7654</v>
      </c>
      <c r="C5842" s="0" t="s">
        <v>855</v>
      </c>
      <c r="D5842" s="7" t="n">
        <v>178</v>
      </c>
      <c r="E5842" s="8" t="n">
        <v>0.0637078651685393</v>
      </c>
      <c r="F5842" s="4" t="n">
        <f aca="false">D5842*E5842</f>
        <v>11.34</v>
      </c>
      <c r="G5842" s="7" t="n">
        <v>40</v>
      </c>
      <c r="H5842" s="9" t="n">
        <f aca="false">IF(G5842&gt;0,D5842/G5842,"")</f>
        <v>4.45</v>
      </c>
      <c r="I5842" s="10" t="n">
        <v>46244</v>
      </c>
      <c r="K5842" s="10"/>
      <c r="M5842" s="7"/>
      <c r="N5842" s="8"/>
      <c r="O5842" s="4"/>
    </row>
    <row r="5843" customFormat="false" ht="15" hidden="false" customHeight="false" outlineLevel="0" collapsed="false">
      <c r="A5843" s="0" t="s">
        <v>7655</v>
      </c>
      <c r="C5843" s="0" t="s">
        <v>855</v>
      </c>
      <c r="D5843" s="7" t="n">
        <v>315</v>
      </c>
      <c r="E5843" s="8" t="n">
        <v>0.036</v>
      </c>
      <c r="F5843" s="4" t="n">
        <f aca="false">D5843*E5843</f>
        <v>11.34</v>
      </c>
      <c r="G5843" s="7" t="n">
        <v>18</v>
      </c>
      <c r="H5843" s="9" t="n">
        <f aca="false">IF(G5843&gt;0,D5843/G5843,"")</f>
        <v>17.5</v>
      </c>
      <c r="I5843" s="10" t="n">
        <v>46078</v>
      </c>
      <c r="J5843" s="3" t="s">
        <v>1630</v>
      </c>
      <c r="K5843" s="10" t="n">
        <v>45448</v>
      </c>
      <c r="L5843" s="3" t="s">
        <v>19</v>
      </c>
      <c r="M5843" s="7" t="n">
        <v>500</v>
      </c>
      <c r="N5843" s="8" t="n">
        <v>0.036</v>
      </c>
      <c r="O5843" s="4" t="n">
        <f aca="false">M5843*N5843</f>
        <v>18</v>
      </c>
    </row>
    <row r="5844" customFormat="false" ht="15" hidden="false" customHeight="false" outlineLevel="0" collapsed="false">
      <c r="A5844" s="0" t="s">
        <v>7656</v>
      </c>
      <c r="C5844" s="0" t="s">
        <v>31</v>
      </c>
      <c r="D5844" s="7" t="n">
        <v>73</v>
      </c>
      <c r="E5844" s="8" t="n">
        <v>0.155205479452055</v>
      </c>
      <c r="F5844" s="4" t="n">
        <f aca="false">D5844*E5844</f>
        <v>11.33</v>
      </c>
      <c r="G5844" s="7" t="n">
        <v>22</v>
      </c>
      <c r="H5844" s="9" t="n">
        <f aca="false">IF(G5844&gt;0,D5844/G5844,"")</f>
        <v>3.31818181818182</v>
      </c>
      <c r="I5844" s="10" t="n">
        <v>46315</v>
      </c>
      <c r="J5844" s="3" t="s">
        <v>7657</v>
      </c>
      <c r="K5844" s="10" t="n">
        <v>45307</v>
      </c>
      <c r="L5844" s="3" t="s">
        <v>19</v>
      </c>
      <c r="M5844" s="7" t="n">
        <v>2608</v>
      </c>
      <c r="N5844" s="8" t="n">
        <v>0.1552</v>
      </c>
      <c r="O5844" s="4" t="n">
        <f aca="false">M5844*N5844</f>
        <v>404.7616</v>
      </c>
    </row>
    <row r="5845" customFormat="false" ht="15" hidden="false" customHeight="false" outlineLevel="0" collapsed="false">
      <c r="A5845" s="0" t="s">
        <v>7658</v>
      </c>
      <c r="C5845" s="0" t="s">
        <v>41</v>
      </c>
      <c r="D5845" s="7" t="n">
        <v>377</v>
      </c>
      <c r="E5845" s="8" t="n">
        <v>0.03</v>
      </c>
      <c r="F5845" s="4" t="n">
        <f aca="false">D5845*E5845</f>
        <v>11.31</v>
      </c>
      <c r="G5845" s="7" t="n">
        <v>24</v>
      </c>
      <c r="H5845" s="9" t="n">
        <f aca="false">IF(G5845&gt;0,D5845/G5845,"")</f>
        <v>15.7083333333333</v>
      </c>
      <c r="I5845" s="10" t="n">
        <v>46009</v>
      </c>
      <c r="J5845" s="3" t="s">
        <v>641</v>
      </c>
      <c r="K5845" s="10" t="n">
        <v>45826</v>
      </c>
      <c r="L5845" s="3" t="s">
        <v>19</v>
      </c>
      <c r="M5845" s="7" t="n">
        <v>500</v>
      </c>
      <c r="N5845" s="8" t="n">
        <v>0.03</v>
      </c>
      <c r="O5845" s="4" t="n">
        <f aca="false">M5845*N5845</f>
        <v>15</v>
      </c>
    </row>
    <row r="5846" customFormat="false" ht="15" hidden="false" customHeight="false" outlineLevel="0" collapsed="false">
      <c r="A5846" s="0" t="s">
        <v>7659</v>
      </c>
      <c r="C5846" s="0" t="s">
        <v>33</v>
      </c>
      <c r="D5846" s="7" t="n">
        <v>4</v>
      </c>
      <c r="E5846" s="8" t="n">
        <v>2.825</v>
      </c>
      <c r="F5846" s="4" t="n">
        <f aca="false">D5846*E5846</f>
        <v>11.3</v>
      </c>
      <c r="G5846" s="7" t="n">
        <v>4</v>
      </c>
      <c r="H5846" s="9" t="n">
        <f aca="false">IF(G5846&gt;0,D5846/G5846,"")</f>
        <v>1</v>
      </c>
      <c r="I5846" s="10" t="n">
        <v>46283</v>
      </c>
      <c r="J5846" s="3" t="s">
        <v>7587</v>
      </c>
      <c r="K5846" s="10" t="n">
        <v>45287</v>
      </c>
      <c r="L5846" s="3" t="s">
        <v>18</v>
      </c>
      <c r="M5846" s="7" t="n">
        <v>11</v>
      </c>
      <c r="N5846" s="8" t="n">
        <v>2.8259</v>
      </c>
      <c r="O5846" s="4" t="n">
        <f aca="false">M5846*N5846</f>
        <v>31.0849</v>
      </c>
    </row>
    <row r="5847" customFormat="false" ht="15" hidden="false" customHeight="false" outlineLevel="0" collapsed="false">
      <c r="A5847" s="0" t="s">
        <v>7660</v>
      </c>
      <c r="C5847" s="0" t="s">
        <v>34</v>
      </c>
      <c r="D5847" s="7" t="n">
        <v>8</v>
      </c>
      <c r="E5847" s="8" t="n">
        <v>1.41</v>
      </c>
      <c r="F5847" s="4" t="n">
        <f aca="false">D5847*E5847</f>
        <v>11.28</v>
      </c>
      <c r="G5847" s="7" t="n">
        <v>3</v>
      </c>
      <c r="H5847" s="9" t="n">
        <f aca="false">IF(G5847&gt;0,D5847/G5847,"")</f>
        <v>2.66666666666667</v>
      </c>
      <c r="I5847" s="10" t="n">
        <v>46192</v>
      </c>
      <c r="K5847" s="10"/>
      <c r="M5847" s="7"/>
      <c r="N5847" s="8"/>
      <c r="O5847" s="4"/>
    </row>
    <row r="5848" customFormat="false" ht="15" hidden="false" customHeight="false" outlineLevel="0" collapsed="false">
      <c r="A5848" s="0" t="s">
        <v>7661</v>
      </c>
      <c r="C5848" s="0" t="s">
        <v>31</v>
      </c>
      <c r="D5848" s="7" t="n">
        <v>1175</v>
      </c>
      <c r="E5848" s="8" t="n">
        <v>0.00959148936170213</v>
      </c>
      <c r="F5848" s="4" t="n">
        <f aca="false">D5848*E5848</f>
        <v>11.27</v>
      </c>
      <c r="G5848" s="7" t="n">
        <v>125</v>
      </c>
      <c r="H5848" s="9" t="n">
        <f aca="false">IF(G5848&gt;0,D5848/G5848,"")</f>
        <v>9.4</v>
      </c>
      <c r="I5848" s="10" t="n">
        <v>46297</v>
      </c>
      <c r="J5848" s="3" t="s">
        <v>5154</v>
      </c>
      <c r="K5848" s="10" t="n">
        <v>45334</v>
      </c>
      <c r="L5848" s="3" t="s">
        <v>19</v>
      </c>
      <c r="M5848" s="7" t="n">
        <v>2500</v>
      </c>
      <c r="N5848" s="8" t="n">
        <v>0.0096</v>
      </c>
      <c r="O5848" s="4" t="n">
        <f aca="false">M5848*N5848</f>
        <v>24</v>
      </c>
    </row>
    <row r="5849" customFormat="false" ht="15" hidden="false" customHeight="false" outlineLevel="0" collapsed="false">
      <c r="A5849" s="0" t="s">
        <v>7662</v>
      </c>
      <c r="C5849" s="0" t="s">
        <v>36</v>
      </c>
      <c r="D5849" s="7" t="n">
        <v>11</v>
      </c>
      <c r="E5849" s="8" t="n">
        <v>1.02363636363636</v>
      </c>
      <c r="F5849" s="4" t="n">
        <f aca="false">D5849*E5849</f>
        <v>11.26</v>
      </c>
      <c r="G5849" s="7" t="n">
        <v>10</v>
      </c>
      <c r="H5849" s="9" t="n">
        <f aca="false">IF(G5849&gt;0,D5849/G5849,"")</f>
        <v>1.1</v>
      </c>
      <c r="I5849" s="10" t="n">
        <v>46057</v>
      </c>
      <c r="J5849" s="3" t="s">
        <v>2789</v>
      </c>
      <c r="K5849" s="10" t="n">
        <v>44256</v>
      </c>
      <c r="L5849" s="3" t="s">
        <v>15</v>
      </c>
      <c r="M5849" s="7" t="n">
        <v>39</v>
      </c>
      <c r="N5849" s="8" t="n">
        <v>1.02358</v>
      </c>
      <c r="O5849" s="4" t="n">
        <f aca="false">M5849*N5849</f>
        <v>39.91962</v>
      </c>
    </row>
    <row r="5850" customFormat="false" ht="15" hidden="false" customHeight="false" outlineLevel="0" collapsed="false">
      <c r="A5850" s="0" t="s">
        <v>7663</v>
      </c>
      <c r="C5850" s="0" t="s">
        <v>79</v>
      </c>
      <c r="D5850" s="7" t="n">
        <v>22</v>
      </c>
      <c r="E5850" s="8" t="n">
        <v>0.511818181818182</v>
      </c>
      <c r="F5850" s="4" t="n">
        <f aca="false">D5850*E5850</f>
        <v>11.26</v>
      </c>
      <c r="G5850" s="7" t="n">
        <v>5</v>
      </c>
      <c r="H5850" s="9" t="n">
        <f aca="false">IF(G5850&gt;0,D5850/G5850,"")</f>
        <v>4.4</v>
      </c>
      <c r="I5850" s="10" t="n">
        <v>46113</v>
      </c>
      <c r="K5850" s="10"/>
      <c r="M5850" s="7"/>
      <c r="N5850" s="8"/>
      <c r="O5850" s="4"/>
    </row>
    <row r="5851" customFormat="false" ht="15" hidden="false" customHeight="false" outlineLevel="0" collapsed="false">
      <c r="A5851" s="0" t="s">
        <v>7664</v>
      </c>
      <c r="C5851" s="0" t="s">
        <v>69</v>
      </c>
      <c r="D5851" s="7" t="n">
        <v>34</v>
      </c>
      <c r="E5851" s="8" t="n">
        <v>0.330882352941177</v>
      </c>
      <c r="F5851" s="4" t="n">
        <f aca="false">D5851*E5851</f>
        <v>11.25</v>
      </c>
      <c r="G5851" s="7" t="n">
        <v>19</v>
      </c>
      <c r="H5851" s="9" t="n">
        <f aca="false">IF(G5851&gt;0,D5851/G5851,"")</f>
        <v>1.78947368421053</v>
      </c>
      <c r="I5851" s="10" t="n">
        <v>46071</v>
      </c>
      <c r="J5851" s="3" t="s">
        <v>2073</v>
      </c>
      <c r="K5851" s="10" t="n">
        <v>46231</v>
      </c>
      <c r="L5851" s="3" t="s">
        <v>16</v>
      </c>
      <c r="M5851" s="7" t="n">
        <v>1312</v>
      </c>
      <c r="N5851" s="8" t="n">
        <v>0.3122256</v>
      </c>
      <c r="O5851" s="4" t="n">
        <f aca="false">M5851*N5851</f>
        <v>409.6399872</v>
      </c>
    </row>
    <row r="5852" customFormat="false" ht="15" hidden="false" customHeight="false" outlineLevel="0" collapsed="false">
      <c r="A5852" s="0" t="s">
        <v>7665</v>
      </c>
      <c r="C5852" s="0" t="s">
        <v>1039</v>
      </c>
      <c r="D5852" s="7" t="n">
        <v>146</v>
      </c>
      <c r="E5852" s="8" t="n">
        <v>0.0768493150684932</v>
      </c>
      <c r="F5852" s="4" t="n">
        <f aca="false">D5852*E5852</f>
        <v>11.22</v>
      </c>
      <c r="G5852" s="7" t="n">
        <v>56</v>
      </c>
      <c r="H5852" s="9" t="n">
        <f aca="false">IF(G5852&gt;0,D5852/G5852,"")</f>
        <v>2.60714285714286</v>
      </c>
      <c r="I5852" s="10" t="n">
        <v>46317</v>
      </c>
      <c r="J5852" s="3" t="s">
        <v>7666</v>
      </c>
      <c r="K5852" s="10" t="n">
        <v>44321</v>
      </c>
      <c r="L5852" s="3" t="s">
        <v>19</v>
      </c>
      <c r="M5852" s="7" t="n">
        <v>250</v>
      </c>
      <c r="N5852" s="8" t="n">
        <v>0.0768</v>
      </c>
      <c r="O5852" s="4" t="n">
        <f aca="false">M5852*N5852</f>
        <v>19.2</v>
      </c>
    </row>
    <row r="5853" customFormat="false" ht="15" hidden="false" customHeight="false" outlineLevel="0" collapsed="false">
      <c r="A5853" s="0" t="s">
        <v>7667</v>
      </c>
      <c r="C5853" s="0" t="s">
        <v>31</v>
      </c>
      <c r="D5853" s="7" t="n">
        <v>2879</v>
      </c>
      <c r="E5853" s="8" t="n">
        <v>0.00389371309482459</v>
      </c>
      <c r="F5853" s="4" t="n">
        <f aca="false">D5853*E5853</f>
        <v>11.21</v>
      </c>
      <c r="G5853" s="7" t="n">
        <v>472</v>
      </c>
      <c r="H5853" s="9" t="n">
        <f aca="false">IF(G5853&gt;0,D5853/G5853,"")</f>
        <v>6.09957627118644</v>
      </c>
      <c r="I5853" s="10" t="n">
        <v>46300</v>
      </c>
      <c r="J5853" s="3" t="s">
        <v>7668</v>
      </c>
      <c r="K5853" s="10" t="n">
        <v>44246</v>
      </c>
      <c r="L5853" s="3" t="s">
        <v>19</v>
      </c>
      <c r="M5853" s="7" t="n">
        <v>10000</v>
      </c>
      <c r="N5853" s="8" t="n">
        <v>0.0039</v>
      </c>
      <c r="O5853" s="4" t="n">
        <f aca="false">M5853*N5853</f>
        <v>39</v>
      </c>
    </row>
    <row r="5854" customFormat="false" ht="15" hidden="false" customHeight="false" outlineLevel="0" collapsed="false">
      <c r="A5854" s="0" t="s">
        <v>7669</v>
      </c>
      <c r="C5854" s="0" t="s">
        <v>31</v>
      </c>
      <c r="D5854" s="7" t="n">
        <v>563</v>
      </c>
      <c r="E5854" s="8" t="n">
        <v>0.0198934280639432</v>
      </c>
      <c r="F5854" s="4" t="n">
        <f aca="false">D5854*E5854</f>
        <v>11.2</v>
      </c>
      <c r="G5854" s="7" t="n">
        <v>535</v>
      </c>
      <c r="H5854" s="9" t="n">
        <f aca="false">IF(G5854&gt;0,D5854/G5854,"")</f>
        <v>1.05233644859813</v>
      </c>
      <c r="I5854" s="10" t="n">
        <v>46309</v>
      </c>
      <c r="J5854" s="3" t="s">
        <v>2719</v>
      </c>
      <c r="K5854" s="10" t="n">
        <v>46049</v>
      </c>
      <c r="L5854" s="3" t="s">
        <v>16</v>
      </c>
      <c r="M5854" s="7" t="n">
        <v>1100</v>
      </c>
      <c r="N5854" s="8" t="n">
        <v>0.0199</v>
      </c>
      <c r="O5854" s="4" t="n">
        <f aca="false">M5854*N5854</f>
        <v>21.89</v>
      </c>
    </row>
    <row r="5855" customFormat="false" ht="15" hidden="false" customHeight="false" outlineLevel="0" collapsed="false">
      <c r="A5855" s="0" t="s">
        <v>7670</v>
      </c>
      <c r="C5855" s="0" t="s">
        <v>41</v>
      </c>
      <c r="D5855" s="7" t="n">
        <v>131</v>
      </c>
      <c r="E5855" s="8" t="n">
        <v>0.0853435114503817</v>
      </c>
      <c r="F5855" s="4" t="n">
        <f aca="false">D5855*E5855</f>
        <v>11.18</v>
      </c>
      <c r="G5855" s="7" t="n">
        <v>124</v>
      </c>
      <c r="H5855" s="9" t="n">
        <f aca="false">IF(G5855&gt;0,D5855/G5855,"")</f>
        <v>1.05645161290323</v>
      </c>
      <c r="I5855" s="10" t="n">
        <v>46209</v>
      </c>
      <c r="J5855" s="3" t="s">
        <v>6505</v>
      </c>
      <c r="K5855" s="10" t="n">
        <v>45984</v>
      </c>
      <c r="L5855" s="3" t="s">
        <v>19</v>
      </c>
      <c r="M5855" s="7" t="n">
        <v>250</v>
      </c>
      <c r="N5855" s="8" t="n">
        <v>0.0853</v>
      </c>
      <c r="O5855" s="4" t="n">
        <f aca="false">M5855*N5855</f>
        <v>21.325</v>
      </c>
    </row>
    <row r="5856" customFormat="false" ht="15" hidden="false" customHeight="false" outlineLevel="0" collapsed="false">
      <c r="A5856" s="0" t="s">
        <v>7671</v>
      </c>
      <c r="C5856" s="0" t="s">
        <v>38</v>
      </c>
      <c r="D5856" s="7" t="n">
        <v>163</v>
      </c>
      <c r="E5856" s="8" t="n">
        <v>0.0685276073619632</v>
      </c>
      <c r="F5856" s="4" t="n">
        <f aca="false">D5856*E5856</f>
        <v>11.17</v>
      </c>
      <c r="G5856" s="7" t="n">
        <v>10</v>
      </c>
      <c r="H5856" s="9" t="n">
        <f aca="false">IF(G5856&gt;0,D5856/G5856,"")</f>
        <v>16.3</v>
      </c>
      <c r="I5856" s="10" t="n">
        <v>46295</v>
      </c>
      <c r="K5856" s="10"/>
      <c r="M5856" s="7"/>
      <c r="N5856" s="8"/>
      <c r="O5856" s="4"/>
    </row>
    <row r="5857" customFormat="false" ht="15" hidden="false" customHeight="false" outlineLevel="0" collapsed="false">
      <c r="A5857" s="0" t="s">
        <v>7672</v>
      </c>
      <c r="C5857" s="0" t="s">
        <v>31</v>
      </c>
      <c r="D5857" s="7" t="n">
        <v>58</v>
      </c>
      <c r="E5857" s="8" t="n">
        <v>0.192241379310345</v>
      </c>
      <c r="F5857" s="4" t="n">
        <f aca="false">D5857*E5857</f>
        <v>11.15</v>
      </c>
      <c r="G5857" s="7" t="n">
        <v>20</v>
      </c>
      <c r="H5857" s="9" t="n">
        <f aca="false">IF(G5857&gt;0,D5857/G5857,"")</f>
        <v>2.9</v>
      </c>
      <c r="I5857" s="10" t="n">
        <v>46315</v>
      </c>
      <c r="J5857" s="3" t="s">
        <v>6136</v>
      </c>
      <c r="K5857" s="10" t="n">
        <v>46310</v>
      </c>
      <c r="L5857" s="3" t="s">
        <v>19</v>
      </c>
      <c r="M5857" s="7" t="n">
        <v>78</v>
      </c>
      <c r="N5857" s="8" t="n">
        <v>0.1923</v>
      </c>
      <c r="O5857" s="4" t="n">
        <f aca="false">M5857*N5857</f>
        <v>14.9994</v>
      </c>
    </row>
    <row r="5858" customFormat="false" ht="15" hidden="false" customHeight="false" outlineLevel="0" collapsed="false">
      <c r="A5858" s="0" t="s">
        <v>7673</v>
      </c>
      <c r="C5858" s="0" t="s">
        <v>31</v>
      </c>
      <c r="D5858" s="7" t="n">
        <v>906</v>
      </c>
      <c r="E5858" s="8" t="n">
        <v>0.0122958057395144</v>
      </c>
      <c r="F5858" s="4" t="n">
        <f aca="false">D5858*E5858</f>
        <v>11.14</v>
      </c>
      <c r="G5858" s="7" t="n">
        <v>445</v>
      </c>
      <c r="H5858" s="9" t="n">
        <f aca="false">IF(G5858&gt;0,D5858/G5858,"")</f>
        <v>2.03595505617978</v>
      </c>
      <c r="I5858" s="10" t="n">
        <v>46245</v>
      </c>
      <c r="J5858" s="3" t="s">
        <v>4221</v>
      </c>
      <c r="K5858" s="10" t="n">
        <v>44698</v>
      </c>
      <c r="L5858" s="3" t="s">
        <v>19</v>
      </c>
      <c r="M5858" s="7" t="n">
        <v>7071</v>
      </c>
      <c r="N5858" s="8" t="n">
        <v>0</v>
      </c>
      <c r="O5858" s="4" t="n">
        <v>102.9888</v>
      </c>
    </row>
    <row r="5859" customFormat="false" ht="15" hidden="false" customHeight="false" outlineLevel="0" collapsed="false">
      <c r="A5859" s="0" t="s">
        <v>7674</v>
      </c>
      <c r="C5859" s="0" t="s">
        <v>855</v>
      </c>
      <c r="D5859" s="7" t="n">
        <v>82</v>
      </c>
      <c r="E5859" s="8" t="n">
        <v>0.135609756097561</v>
      </c>
      <c r="F5859" s="4" t="n">
        <f aca="false">D5859*E5859</f>
        <v>11.12</v>
      </c>
      <c r="G5859" s="7" t="n">
        <v>10</v>
      </c>
      <c r="H5859" s="9" t="n">
        <f aca="false">IF(G5859&gt;0,D5859/G5859,"")</f>
        <v>8.2</v>
      </c>
      <c r="I5859" s="10" t="n">
        <v>46059</v>
      </c>
      <c r="J5859" s="3" t="s">
        <v>7554</v>
      </c>
      <c r="K5859" s="10" t="n">
        <v>45474</v>
      </c>
      <c r="L5859" s="3" t="s">
        <v>19</v>
      </c>
      <c r="M5859" s="7" t="n">
        <v>250</v>
      </c>
      <c r="N5859" s="8" t="n">
        <v>0.1356</v>
      </c>
      <c r="O5859" s="4" t="n">
        <f aca="false">M5859*N5859</f>
        <v>33.9</v>
      </c>
    </row>
    <row r="5860" customFormat="false" ht="15" hidden="false" customHeight="false" outlineLevel="0" collapsed="false">
      <c r="A5860" s="0" t="s">
        <v>7675</v>
      </c>
      <c r="C5860" s="0" t="s">
        <v>34</v>
      </c>
      <c r="D5860" s="7" t="n">
        <v>165</v>
      </c>
      <c r="E5860" s="8" t="n">
        <v>0.0672121212121212</v>
      </c>
      <c r="F5860" s="4" t="n">
        <f aca="false">D5860*E5860</f>
        <v>11.09</v>
      </c>
      <c r="G5860" s="7" t="n">
        <v>20</v>
      </c>
      <c r="H5860" s="9" t="n">
        <f aca="false">IF(G5860&gt;0,D5860/G5860,"")</f>
        <v>8.25</v>
      </c>
      <c r="I5860" s="10" t="n">
        <v>46202</v>
      </c>
      <c r="J5860" s="3" t="s">
        <v>2917</v>
      </c>
      <c r="K5860" s="10" t="n">
        <v>45494</v>
      </c>
      <c r="L5860" s="3" t="s">
        <v>14</v>
      </c>
      <c r="M5860" s="7" t="n">
        <v>500</v>
      </c>
      <c r="N5860" s="8" t="n">
        <v>0.0672</v>
      </c>
      <c r="O5860" s="4" t="n">
        <f aca="false">M5860*N5860</f>
        <v>33.6</v>
      </c>
    </row>
    <row r="5861" customFormat="false" ht="15" hidden="false" customHeight="false" outlineLevel="0" collapsed="false">
      <c r="A5861" s="0" t="s">
        <v>7676</v>
      </c>
      <c r="C5861" s="0" t="s">
        <v>35</v>
      </c>
      <c r="D5861" s="7" t="n">
        <v>51</v>
      </c>
      <c r="E5861" s="8" t="n">
        <v>0.217254901960784</v>
      </c>
      <c r="F5861" s="4" t="n">
        <f aca="false">D5861*E5861</f>
        <v>11.08</v>
      </c>
      <c r="G5861" s="7" t="n">
        <v>6</v>
      </c>
      <c r="H5861" s="9" t="n">
        <f aca="false">IF(G5861&gt;0,D5861/G5861,"")</f>
        <v>8.5</v>
      </c>
      <c r="I5861" s="10" t="n">
        <v>46190</v>
      </c>
      <c r="J5861" s="3" t="s">
        <v>6123</v>
      </c>
      <c r="K5861" s="10" t="n">
        <v>45065</v>
      </c>
      <c r="L5861" s="3" t="s">
        <v>14</v>
      </c>
      <c r="M5861" s="7" t="n">
        <v>250</v>
      </c>
      <c r="N5861" s="8" t="n">
        <v>0.2172</v>
      </c>
      <c r="O5861" s="4" t="n">
        <f aca="false">M5861*N5861</f>
        <v>54.3</v>
      </c>
    </row>
    <row r="5862" customFormat="false" ht="15" hidden="false" customHeight="false" outlineLevel="0" collapsed="false">
      <c r="A5862" s="0" t="s">
        <v>7677</v>
      </c>
      <c r="C5862" s="0" t="s">
        <v>38</v>
      </c>
      <c r="D5862" s="7" t="n">
        <v>164</v>
      </c>
      <c r="E5862" s="8" t="n">
        <v>0.0675</v>
      </c>
      <c r="F5862" s="4" t="n">
        <f aca="false">D5862*E5862</f>
        <v>11.07</v>
      </c>
      <c r="G5862" s="7" t="n">
        <v>11</v>
      </c>
      <c r="H5862" s="9" t="n">
        <f aca="false">IF(G5862&gt;0,D5862/G5862,"")</f>
        <v>14.9090909090909</v>
      </c>
      <c r="I5862" s="10" t="n">
        <v>46174</v>
      </c>
      <c r="K5862" s="10"/>
      <c r="M5862" s="7"/>
      <c r="N5862" s="8"/>
      <c r="O5862" s="4"/>
    </row>
    <row r="5863" customFormat="false" ht="15" hidden="false" customHeight="false" outlineLevel="0" collapsed="false">
      <c r="A5863" s="0" t="s">
        <v>7678</v>
      </c>
      <c r="C5863" s="0" t="s">
        <v>4363</v>
      </c>
      <c r="D5863" s="7" t="n">
        <v>3</v>
      </c>
      <c r="E5863" s="8" t="n">
        <v>3.69</v>
      </c>
      <c r="F5863" s="4" t="n">
        <f aca="false">D5863*E5863</f>
        <v>11.07</v>
      </c>
      <c r="G5863" s="7" t="n">
        <v>1</v>
      </c>
      <c r="H5863" s="9" t="n">
        <f aca="false">IF(G5863&gt;0,D5863/G5863,"")</f>
        <v>3</v>
      </c>
      <c r="I5863" s="10" t="n">
        <v>46021</v>
      </c>
      <c r="K5863" s="10"/>
      <c r="M5863" s="7"/>
      <c r="N5863" s="8"/>
      <c r="O5863" s="4"/>
    </row>
    <row r="5864" customFormat="false" ht="15" hidden="false" customHeight="false" outlineLevel="0" collapsed="false">
      <c r="A5864" s="0" t="s">
        <v>7679</v>
      </c>
      <c r="C5864" s="0" t="s">
        <v>855</v>
      </c>
      <c r="D5864" s="7" t="n">
        <v>221</v>
      </c>
      <c r="E5864" s="8" t="n">
        <v>0.05</v>
      </c>
      <c r="F5864" s="4" t="n">
        <f aca="false">D5864*E5864</f>
        <v>11.05</v>
      </c>
      <c r="G5864" s="7" t="n">
        <v>12</v>
      </c>
      <c r="H5864" s="9" t="n">
        <f aca="false">IF(G5864&gt;0,D5864/G5864,"")</f>
        <v>18.4166666666667</v>
      </c>
      <c r="I5864" s="10" t="n">
        <v>46282</v>
      </c>
      <c r="J5864" s="3" t="s">
        <v>4632</v>
      </c>
      <c r="K5864" s="10" t="n">
        <v>45552</v>
      </c>
      <c r="L5864" s="3" t="s">
        <v>16</v>
      </c>
      <c r="M5864" s="7" t="n">
        <v>400</v>
      </c>
      <c r="N5864" s="8" t="n">
        <v>0.05</v>
      </c>
      <c r="O5864" s="4" t="n">
        <f aca="false">M5864*N5864</f>
        <v>20</v>
      </c>
    </row>
    <row r="5865" customFormat="false" ht="15" hidden="false" customHeight="false" outlineLevel="0" collapsed="false">
      <c r="A5865" s="0" t="s">
        <v>7680</v>
      </c>
      <c r="C5865" s="0" t="s">
        <v>855</v>
      </c>
      <c r="D5865" s="7" t="n">
        <v>188</v>
      </c>
      <c r="E5865" s="8" t="n">
        <v>0.0587234042553192</v>
      </c>
      <c r="F5865" s="4" t="n">
        <f aca="false">D5865*E5865</f>
        <v>11.04</v>
      </c>
      <c r="G5865" s="7" t="n">
        <v>12</v>
      </c>
      <c r="H5865" s="9" t="n">
        <f aca="false">IF(G5865&gt;0,D5865/G5865,"")</f>
        <v>15.6666666666667</v>
      </c>
      <c r="I5865" s="10" t="n">
        <v>45958</v>
      </c>
      <c r="J5865" s="3" t="s">
        <v>7502</v>
      </c>
      <c r="K5865" s="10" t="n">
        <v>44430</v>
      </c>
      <c r="L5865" s="3" t="s">
        <v>19</v>
      </c>
      <c r="M5865" s="7" t="n">
        <v>250</v>
      </c>
      <c r="N5865" s="8" t="n">
        <v>0.0587</v>
      </c>
      <c r="O5865" s="4" t="n">
        <f aca="false">M5865*N5865</f>
        <v>14.675</v>
      </c>
    </row>
    <row r="5866" customFormat="false" ht="15" hidden="false" customHeight="false" outlineLevel="0" collapsed="false">
      <c r="A5866" s="0" t="s">
        <v>7681</v>
      </c>
      <c r="C5866" s="0" t="s">
        <v>295</v>
      </c>
      <c r="D5866" s="7" t="n">
        <v>199</v>
      </c>
      <c r="E5866" s="8" t="n">
        <v>0.055427135678392</v>
      </c>
      <c r="F5866" s="4" t="n">
        <f aca="false">D5866*E5866</f>
        <v>11.03</v>
      </c>
      <c r="G5866" s="7" t="n">
        <v>186</v>
      </c>
      <c r="H5866" s="9" t="n">
        <f aca="false">IF(G5866&gt;0,D5866/G5866,"")</f>
        <v>1.06989247311828</v>
      </c>
      <c r="I5866" s="10" t="n">
        <v>46230</v>
      </c>
      <c r="J5866" s="3" t="s">
        <v>2509</v>
      </c>
      <c r="K5866" s="10" t="n">
        <v>44988</v>
      </c>
      <c r="L5866" s="3" t="s">
        <v>19</v>
      </c>
      <c r="M5866" s="7" t="n">
        <v>1042</v>
      </c>
      <c r="N5866" s="8" t="n">
        <v>0.0554</v>
      </c>
      <c r="O5866" s="4" t="n">
        <f aca="false">M5866*N5866</f>
        <v>57.7268</v>
      </c>
    </row>
    <row r="5867" customFormat="false" ht="15" hidden="false" customHeight="false" outlineLevel="0" collapsed="false">
      <c r="A5867" s="0" t="s">
        <v>7682</v>
      </c>
      <c r="C5867" s="0" t="s">
        <v>31</v>
      </c>
      <c r="D5867" s="7" t="n">
        <v>373</v>
      </c>
      <c r="E5867" s="8" t="n">
        <v>0.0295710455764075</v>
      </c>
      <c r="F5867" s="4" t="n">
        <f aca="false">D5867*E5867</f>
        <v>11.03</v>
      </c>
      <c r="G5867" s="7" t="n">
        <v>10</v>
      </c>
      <c r="H5867" s="9" t="n">
        <f aca="false">IF(G5867&gt;0,D5867/G5867,"")</f>
        <v>37.3</v>
      </c>
      <c r="I5867" s="10" t="n">
        <v>46044</v>
      </c>
      <c r="J5867" s="3" t="s">
        <v>1840</v>
      </c>
      <c r="K5867" s="10" t="n">
        <v>44230</v>
      </c>
      <c r="L5867" s="3" t="s">
        <v>19</v>
      </c>
      <c r="M5867" s="7" t="n">
        <v>500</v>
      </c>
      <c r="N5867" s="8" t="n">
        <v>0.0296</v>
      </c>
      <c r="O5867" s="4" t="n">
        <f aca="false">M5867*N5867</f>
        <v>14.8</v>
      </c>
    </row>
    <row r="5868" customFormat="false" ht="15" hidden="false" customHeight="false" outlineLevel="0" collapsed="false">
      <c r="A5868" s="0" t="s">
        <v>7683</v>
      </c>
      <c r="C5868" s="0" t="s">
        <v>34</v>
      </c>
      <c r="D5868" s="7" t="n">
        <v>58</v>
      </c>
      <c r="E5868" s="8" t="n">
        <v>0.19</v>
      </c>
      <c r="F5868" s="4" t="n">
        <f aca="false">D5868*E5868</f>
        <v>11.02</v>
      </c>
      <c r="G5868" s="7" t="n">
        <v>5</v>
      </c>
      <c r="H5868" s="9" t="n">
        <f aca="false">IF(G5868&gt;0,D5868/G5868,"")</f>
        <v>11.6</v>
      </c>
      <c r="I5868" s="10" t="n">
        <v>46216</v>
      </c>
      <c r="J5868" s="3" t="s">
        <v>2561</v>
      </c>
      <c r="K5868" s="10" t="n">
        <v>44680</v>
      </c>
      <c r="L5868" s="3" t="s">
        <v>15</v>
      </c>
      <c r="M5868" s="7" t="n">
        <v>170</v>
      </c>
      <c r="N5868" s="8" t="n">
        <v>0.19162</v>
      </c>
      <c r="O5868" s="4" t="n">
        <f aca="false">M5868*N5868</f>
        <v>32.5754</v>
      </c>
    </row>
    <row r="5869" customFormat="false" ht="15" hidden="false" customHeight="false" outlineLevel="0" collapsed="false">
      <c r="A5869" s="0" t="s">
        <v>7684</v>
      </c>
      <c r="C5869" s="0" t="s">
        <v>4363</v>
      </c>
      <c r="D5869" s="7" t="n">
        <v>3</v>
      </c>
      <c r="E5869" s="8" t="n">
        <v>3.67</v>
      </c>
      <c r="F5869" s="4" t="n">
        <f aca="false">D5869*E5869</f>
        <v>11.01</v>
      </c>
      <c r="G5869" s="7" t="n">
        <v>2</v>
      </c>
      <c r="H5869" s="9" t="n">
        <f aca="false">IF(G5869&gt;0,D5869/G5869,"")</f>
        <v>1.5</v>
      </c>
      <c r="I5869" s="10" t="n">
        <v>46261</v>
      </c>
      <c r="J5869" s="3" t="s">
        <v>7685</v>
      </c>
      <c r="K5869" s="10" t="n">
        <v>44959</v>
      </c>
      <c r="L5869" s="3" t="s">
        <v>4365</v>
      </c>
      <c r="M5869" s="7" t="n">
        <v>5</v>
      </c>
      <c r="N5869" s="8" t="n">
        <v>3.67</v>
      </c>
      <c r="O5869" s="4" t="n">
        <f aca="false">M5869*N5869</f>
        <v>18.35</v>
      </c>
    </row>
    <row r="5870" customFormat="false" ht="15" hidden="false" customHeight="false" outlineLevel="0" collapsed="false">
      <c r="A5870" s="0" t="s">
        <v>7686</v>
      </c>
      <c r="C5870" s="0" t="s">
        <v>31</v>
      </c>
      <c r="D5870" s="7" t="n">
        <v>1427</v>
      </c>
      <c r="E5870" s="8" t="n">
        <v>0.00770147161878066</v>
      </c>
      <c r="F5870" s="4" t="n">
        <f aca="false">D5870*E5870</f>
        <v>10.99</v>
      </c>
      <c r="G5870" s="7" t="n">
        <v>871</v>
      </c>
      <c r="H5870" s="9" t="n">
        <f aca="false">IF(G5870&gt;0,D5870/G5870,"")</f>
        <v>1.63834672789897</v>
      </c>
      <c r="I5870" s="10" t="n">
        <v>46286</v>
      </c>
      <c r="J5870" s="3" t="s">
        <v>7011</v>
      </c>
      <c r="K5870" s="10" t="n">
        <v>45805</v>
      </c>
      <c r="L5870" s="3" t="s">
        <v>19</v>
      </c>
      <c r="M5870" s="7" t="n">
        <v>2500</v>
      </c>
      <c r="N5870" s="8" t="n">
        <v>0.0077</v>
      </c>
      <c r="O5870" s="4" t="n">
        <f aca="false">M5870*N5870</f>
        <v>19.25</v>
      </c>
    </row>
    <row r="5871" customFormat="false" ht="15" hidden="false" customHeight="false" outlineLevel="0" collapsed="false">
      <c r="A5871" s="0" t="s">
        <v>7687</v>
      </c>
      <c r="C5871" s="0" t="s">
        <v>34</v>
      </c>
      <c r="D5871" s="7" t="n">
        <v>574</v>
      </c>
      <c r="E5871" s="8" t="n">
        <v>0.0191289198606272</v>
      </c>
      <c r="F5871" s="4" t="n">
        <f aca="false">D5871*E5871</f>
        <v>10.98</v>
      </c>
      <c r="G5871" s="7" t="n">
        <v>357</v>
      </c>
      <c r="H5871" s="9" t="n">
        <f aca="false">IF(G5871&gt;0,D5871/G5871,"")</f>
        <v>1.6078431372549</v>
      </c>
      <c r="I5871" s="10" t="n">
        <v>46314</v>
      </c>
      <c r="J5871" s="3" t="s">
        <v>366</v>
      </c>
      <c r="K5871" s="10" t="n">
        <v>45721</v>
      </c>
      <c r="L5871" s="3" t="s">
        <v>16</v>
      </c>
      <c r="M5871" s="7" t="n">
        <v>1045</v>
      </c>
      <c r="N5871" s="8" t="n">
        <v>0.0191387</v>
      </c>
      <c r="O5871" s="4" t="n">
        <f aca="false">M5871*N5871</f>
        <v>19.9999415</v>
      </c>
    </row>
    <row r="5872" customFormat="false" ht="15" hidden="false" customHeight="false" outlineLevel="0" collapsed="false">
      <c r="A5872" s="0" t="s">
        <v>7688</v>
      </c>
      <c r="C5872" s="0" t="s">
        <v>79</v>
      </c>
      <c r="D5872" s="7" t="n">
        <v>4</v>
      </c>
      <c r="E5872" s="8" t="n">
        <v>2.7425</v>
      </c>
      <c r="F5872" s="4" t="n">
        <f aca="false">D5872*E5872</f>
        <v>10.97</v>
      </c>
      <c r="G5872" s="7" t="n">
        <v>2</v>
      </c>
      <c r="H5872" s="9" t="n">
        <f aca="false">IF(G5872&gt;0,D5872/G5872,"")</f>
        <v>2</v>
      </c>
      <c r="I5872" s="10" t="n">
        <v>46304</v>
      </c>
      <c r="K5872" s="10"/>
      <c r="M5872" s="7"/>
      <c r="N5872" s="8"/>
      <c r="O5872" s="4"/>
    </row>
    <row r="5873" customFormat="false" ht="15" hidden="false" customHeight="false" outlineLevel="0" collapsed="false">
      <c r="A5873" s="0" t="s">
        <v>7689</v>
      </c>
      <c r="C5873" s="0" t="s">
        <v>31</v>
      </c>
      <c r="D5873" s="7" t="n">
        <v>211</v>
      </c>
      <c r="E5873" s="8" t="n">
        <v>0.0519431279620853</v>
      </c>
      <c r="F5873" s="4" t="n">
        <f aca="false">D5873*E5873</f>
        <v>10.96</v>
      </c>
      <c r="G5873" s="7" t="n">
        <v>195</v>
      </c>
      <c r="H5873" s="9" t="n">
        <f aca="false">IF(G5873&gt;0,D5873/G5873,"")</f>
        <v>1.08205128205128</v>
      </c>
      <c r="I5873" s="10" t="n">
        <v>46185</v>
      </c>
      <c r="J5873" s="3" t="s">
        <v>3518</v>
      </c>
      <c r="K5873" s="10" t="n">
        <v>45828</v>
      </c>
      <c r="L5873" s="3" t="s">
        <v>19</v>
      </c>
      <c r="M5873" s="7" t="n">
        <v>499</v>
      </c>
      <c r="N5873" s="8" t="n">
        <v>0.0415</v>
      </c>
      <c r="O5873" s="4" t="n">
        <f aca="false">M5873*N5873</f>
        <v>20.7085</v>
      </c>
    </row>
    <row r="5874" customFormat="false" ht="15" hidden="false" customHeight="false" outlineLevel="0" collapsed="false">
      <c r="A5874" s="0" t="s">
        <v>7690</v>
      </c>
      <c r="C5874" s="0" t="s">
        <v>31</v>
      </c>
      <c r="D5874" s="7" t="n">
        <v>94</v>
      </c>
      <c r="E5874" s="8" t="n">
        <v>0.116382978723404</v>
      </c>
      <c r="F5874" s="4" t="n">
        <f aca="false">D5874*E5874</f>
        <v>10.94</v>
      </c>
      <c r="G5874" s="7" t="n">
        <v>16</v>
      </c>
      <c r="H5874" s="9" t="n">
        <f aca="false">IF(G5874&gt;0,D5874/G5874,"")</f>
        <v>5.875</v>
      </c>
      <c r="I5874" s="10" t="n">
        <v>46090</v>
      </c>
      <c r="J5874" s="3" t="s">
        <v>4230</v>
      </c>
      <c r="K5874" s="10" t="n">
        <v>44312</v>
      </c>
      <c r="L5874" s="3" t="s">
        <v>15</v>
      </c>
      <c r="M5874" s="7" t="n">
        <v>155</v>
      </c>
      <c r="N5874" s="8" t="n">
        <v>0.11653</v>
      </c>
      <c r="O5874" s="4" t="n">
        <f aca="false">M5874*N5874</f>
        <v>18.06215</v>
      </c>
    </row>
    <row r="5875" customFormat="false" ht="15" hidden="false" customHeight="false" outlineLevel="0" collapsed="false">
      <c r="A5875" s="0" t="s">
        <v>7691</v>
      </c>
      <c r="C5875" s="0" t="s">
        <v>31</v>
      </c>
      <c r="D5875" s="7" t="n">
        <v>31</v>
      </c>
      <c r="E5875" s="8" t="n">
        <v>0.351290322580645</v>
      </c>
      <c r="F5875" s="4" t="n">
        <f aca="false">D5875*E5875</f>
        <v>10.89</v>
      </c>
      <c r="G5875" s="7" t="n">
        <v>12</v>
      </c>
      <c r="H5875" s="9" t="n">
        <f aca="false">IF(G5875&gt;0,D5875/G5875,"")</f>
        <v>2.58333333333333</v>
      </c>
      <c r="I5875" s="10" t="n">
        <v>46163</v>
      </c>
      <c r="K5875" s="10"/>
      <c r="M5875" s="7"/>
      <c r="N5875" s="8"/>
      <c r="O5875" s="4"/>
    </row>
    <row r="5876" customFormat="false" ht="15" hidden="false" customHeight="false" outlineLevel="0" collapsed="false">
      <c r="A5876" s="0" t="s">
        <v>7692</v>
      </c>
      <c r="C5876" s="0" t="s">
        <v>95</v>
      </c>
      <c r="D5876" s="7" t="n">
        <v>1210</v>
      </c>
      <c r="E5876" s="8" t="n">
        <v>0.009</v>
      </c>
      <c r="F5876" s="4" t="n">
        <f aca="false">D5876*E5876</f>
        <v>10.89</v>
      </c>
      <c r="G5876" s="7" t="n">
        <v>340</v>
      </c>
      <c r="H5876" s="9" t="n">
        <f aca="false">IF(G5876&gt;0,D5876/G5876,"")</f>
        <v>3.55882352941176</v>
      </c>
      <c r="I5876" s="10" t="n">
        <v>46288</v>
      </c>
      <c r="J5876" s="3" t="s">
        <v>7693</v>
      </c>
      <c r="K5876" s="10" t="n">
        <v>45041</v>
      </c>
      <c r="L5876" s="3" t="s">
        <v>25</v>
      </c>
      <c r="M5876" s="7" t="n">
        <v>10000</v>
      </c>
      <c r="N5876" s="8" t="n">
        <v>0.009</v>
      </c>
      <c r="O5876" s="4" t="n">
        <f aca="false">M5876*N5876</f>
        <v>90</v>
      </c>
    </row>
    <row r="5877" customFormat="false" ht="15" hidden="false" customHeight="false" outlineLevel="0" collapsed="false">
      <c r="A5877" s="0" t="s">
        <v>7694</v>
      </c>
      <c r="C5877" s="0" t="s">
        <v>31</v>
      </c>
      <c r="D5877" s="7" t="n">
        <v>124</v>
      </c>
      <c r="E5877" s="8" t="n">
        <v>0.087741935483871</v>
      </c>
      <c r="F5877" s="4" t="n">
        <f aca="false">D5877*E5877</f>
        <v>10.88</v>
      </c>
      <c r="G5877" s="7" t="n">
        <v>20</v>
      </c>
      <c r="H5877" s="9" t="n">
        <f aca="false">IF(G5877&gt;0,D5877/G5877,"")</f>
        <v>6.2</v>
      </c>
      <c r="I5877" s="10" t="n">
        <v>46139</v>
      </c>
      <c r="J5877" s="3" t="s">
        <v>5772</v>
      </c>
      <c r="K5877" s="10" t="n">
        <v>45012</v>
      </c>
      <c r="L5877" s="3" t="s">
        <v>19</v>
      </c>
      <c r="M5877" s="7" t="n">
        <v>250</v>
      </c>
      <c r="N5877" s="8" t="n">
        <v>0.0878</v>
      </c>
      <c r="O5877" s="4" t="n">
        <f aca="false">M5877*N5877</f>
        <v>21.95</v>
      </c>
    </row>
    <row r="5878" customFormat="false" ht="15" hidden="false" customHeight="false" outlineLevel="0" collapsed="false">
      <c r="A5878" s="0" t="s">
        <v>7695</v>
      </c>
      <c r="C5878" s="0" t="s">
        <v>295</v>
      </c>
      <c r="D5878" s="7" t="n">
        <v>141</v>
      </c>
      <c r="E5878" s="8" t="n">
        <v>0.0770921985815603</v>
      </c>
      <c r="F5878" s="4" t="n">
        <f aca="false">D5878*E5878</f>
        <v>10.87</v>
      </c>
      <c r="G5878" s="7" t="n">
        <v>20</v>
      </c>
      <c r="H5878" s="9" t="n">
        <f aca="false">IF(G5878&gt;0,D5878/G5878,"")</f>
        <v>7.05</v>
      </c>
      <c r="I5878" s="10" t="n">
        <v>46119</v>
      </c>
      <c r="K5878" s="10"/>
      <c r="M5878" s="7"/>
      <c r="N5878" s="8"/>
      <c r="O5878" s="4"/>
    </row>
    <row r="5879" customFormat="false" ht="15" hidden="false" customHeight="false" outlineLevel="0" collapsed="false">
      <c r="A5879" s="0" t="s">
        <v>7696</v>
      </c>
      <c r="C5879" s="0" t="s">
        <v>31</v>
      </c>
      <c r="D5879" s="7" t="n">
        <v>513</v>
      </c>
      <c r="E5879" s="8" t="n">
        <v>0.0211890838206628</v>
      </c>
      <c r="F5879" s="4" t="n">
        <f aca="false">D5879*E5879</f>
        <v>10.87</v>
      </c>
      <c r="G5879" s="7" t="n">
        <v>240</v>
      </c>
      <c r="H5879" s="9" t="n">
        <f aca="false">IF(G5879&gt;0,D5879/G5879,"")</f>
        <v>2.1375</v>
      </c>
      <c r="I5879" s="10" t="n">
        <v>46308</v>
      </c>
      <c r="J5879" s="3" t="s">
        <v>4643</v>
      </c>
      <c r="K5879" s="10" t="n">
        <v>45159</v>
      </c>
      <c r="L5879" s="3" t="s">
        <v>19</v>
      </c>
      <c r="M5879" s="7" t="n">
        <v>1000</v>
      </c>
      <c r="N5879" s="8" t="n">
        <v>0.0212</v>
      </c>
      <c r="O5879" s="4" t="n">
        <f aca="false">M5879*N5879</f>
        <v>21.2</v>
      </c>
    </row>
    <row r="5880" customFormat="false" ht="15" hidden="false" customHeight="false" outlineLevel="0" collapsed="false">
      <c r="A5880" s="0" t="s">
        <v>7697</v>
      </c>
      <c r="C5880" s="0" t="s">
        <v>1010</v>
      </c>
      <c r="D5880" s="7" t="n">
        <v>155</v>
      </c>
      <c r="E5880" s="8" t="n">
        <v>0.07</v>
      </c>
      <c r="F5880" s="4" t="n">
        <f aca="false">D5880*E5880</f>
        <v>10.85</v>
      </c>
      <c r="G5880" s="7" t="n">
        <v>20</v>
      </c>
      <c r="H5880" s="9" t="n">
        <f aca="false">IF(G5880&gt;0,D5880/G5880,"")</f>
        <v>7.75</v>
      </c>
      <c r="I5880" s="10" t="n">
        <v>46111</v>
      </c>
      <c r="K5880" s="10"/>
      <c r="M5880" s="7"/>
      <c r="N5880" s="8"/>
      <c r="O5880" s="4"/>
    </row>
    <row r="5881" customFormat="false" ht="15" hidden="false" customHeight="false" outlineLevel="0" collapsed="false">
      <c r="A5881" s="0" t="s">
        <v>7698</v>
      </c>
      <c r="C5881" s="0" t="s">
        <v>31</v>
      </c>
      <c r="D5881" s="7" t="n">
        <v>1405</v>
      </c>
      <c r="E5881" s="8" t="n">
        <v>0.00770106761565836</v>
      </c>
      <c r="F5881" s="4" t="n">
        <f aca="false">D5881*E5881</f>
        <v>10.82</v>
      </c>
      <c r="G5881" s="7" t="n">
        <v>761</v>
      </c>
      <c r="H5881" s="9" t="n">
        <f aca="false">IF(G5881&gt;0,D5881/G5881,"")</f>
        <v>1.84625492772668</v>
      </c>
      <c r="I5881" s="10" t="n">
        <v>46304</v>
      </c>
      <c r="J5881" s="3" t="s">
        <v>7699</v>
      </c>
      <c r="K5881" s="10" t="n">
        <v>45471</v>
      </c>
      <c r="L5881" s="3" t="s">
        <v>19</v>
      </c>
      <c r="M5881" s="7" t="n">
        <v>2500</v>
      </c>
      <c r="N5881" s="8" t="n">
        <v>0.0077</v>
      </c>
      <c r="O5881" s="4" t="n">
        <f aca="false">M5881*N5881</f>
        <v>19.25</v>
      </c>
    </row>
    <row r="5882" customFormat="false" ht="15" hidden="false" customHeight="false" outlineLevel="0" collapsed="false">
      <c r="A5882" s="0" t="s">
        <v>7700</v>
      </c>
      <c r="C5882" s="0" t="s">
        <v>41</v>
      </c>
      <c r="D5882" s="7" t="n">
        <v>296</v>
      </c>
      <c r="E5882" s="8" t="n">
        <v>0.0365540540540541</v>
      </c>
      <c r="F5882" s="4" t="n">
        <f aca="false">D5882*E5882</f>
        <v>10.82</v>
      </c>
      <c r="G5882" s="7" t="n">
        <v>48</v>
      </c>
      <c r="H5882" s="9" t="n">
        <f aca="false">IF(G5882&gt;0,D5882/G5882,"")</f>
        <v>6.16666666666667</v>
      </c>
      <c r="I5882" s="10" t="n">
        <v>46244</v>
      </c>
      <c r="K5882" s="10"/>
      <c r="M5882" s="7"/>
      <c r="N5882" s="8"/>
      <c r="O5882" s="4"/>
    </row>
    <row r="5883" customFormat="false" ht="15" hidden="false" customHeight="false" outlineLevel="0" collapsed="false">
      <c r="A5883" s="0" t="s">
        <v>7701</v>
      </c>
      <c r="C5883" s="0" t="s">
        <v>765</v>
      </c>
      <c r="D5883" s="7" t="n">
        <v>328</v>
      </c>
      <c r="E5883" s="8" t="n">
        <v>0.0328963414634146</v>
      </c>
      <c r="F5883" s="4" t="n">
        <f aca="false">D5883*E5883</f>
        <v>10.79</v>
      </c>
      <c r="G5883" s="7" t="n">
        <v>100</v>
      </c>
      <c r="H5883" s="9" t="n">
        <f aca="false">IF(G5883&gt;0,D5883/G5883,"")</f>
        <v>3.28</v>
      </c>
      <c r="I5883" s="10" t="n">
        <v>46114</v>
      </c>
      <c r="K5883" s="10"/>
      <c r="M5883" s="7"/>
      <c r="N5883" s="8"/>
      <c r="O5883" s="4"/>
    </row>
    <row r="5884" customFormat="false" ht="15" hidden="false" customHeight="false" outlineLevel="0" collapsed="false">
      <c r="A5884" s="0" t="s">
        <v>7702</v>
      </c>
      <c r="C5884" s="0" t="s">
        <v>765</v>
      </c>
      <c r="D5884" s="7" t="n">
        <v>150</v>
      </c>
      <c r="E5884" s="8" t="n">
        <v>0.0718666666666667</v>
      </c>
      <c r="F5884" s="4" t="n">
        <f aca="false">D5884*E5884</f>
        <v>10.78</v>
      </c>
      <c r="G5884" s="7" t="n">
        <v>76</v>
      </c>
      <c r="H5884" s="9" t="n">
        <f aca="false">IF(G5884&gt;0,D5884/G5884,"")</f>
        <v>1.97368421052632</v>
      </c>
      <c r="I5884" s="10" t="n">
        <v>46160</v>
      </c>
      <c r="J5884" s="3" t="s">
        <v>7703</v>
      </c>
      <c r="K5884" s="10" t="n">
        <v>45383</v>
      </c>
      <c r="L5884" s="3" t="s">
        <v>19</v>
      </c>
      <c r="M5884" s="7" t="n">
        <v>250</v>
      </c>
      <c r="N5884" s="8" t="n">
        <v>0.0719</v>
      </c>
      <c r="O5884" s="4" t="n">
        <f aca="false">M5884*N5884</f>
        <v>17.975</v>
      </c>
    </row>
    <row r="5885" customFormat="false" ht="15" hidden="false" customHeight="false" outlineLevel="0" collapsed="false">
      <c r="A5885" s="0" t="s">
        <v>7704</v>
      </c>
      <c r="C5885" s="0" t="s">
        <v>31</v>
      </c>
      <c r="D5885" s="7" t="n">
        <v>24</v>
      </c>
      <c r="E5885" s="8" t="n">
        <v>0.44875</v>
      </c>
      <c r="F5885" s="4" t="n">
        <f aca="false">D5885*E5885</f>
        <v>10.77</v>
      </c>
      <c r="G5885" s="7" t="n">
        <v>8</v>
      </c>
      <c r="H5885" s="9" t="n">
        <f aca="false">IF(G5885&gt;0,D5885/G5885,"")</f>
        <v>3</v>
      </c>
      <c r="I5885" s="10" t="n">
        <v>46037</v>
      </c>
      <c r="J5885" s="3" t="s">
        <v>6226</v>
      </c>
      <c r="K5885" s="10" t="n">
        <v>45162</v>
      </c>
      <c r="L5885" s="3" t="s">
        <v>14</v>
      </c>
      <c r="M5885" s="7" t="n">
        <v>50</v>
      </c>
      <c r="N5885" s="8" t="n">
        <v>0.449</v>
      </c>
      <c r="O5885" s="4" t="n">
        <f aca="false">M5885*N5885</f>
        <v>22.45</v>
      </c>
    </row>
    <row r="5886" customFormat="false" ht="15" hidden="false" customHeight="false" outlineLevel="0" collapsed="false">
      <c r="A5886" s="0" t="s">
        <v>7705</v>
      </c>
      <c r="C5886" s="0" t="s">
        <v>39</v>
      </c>
      <c r="D5886" s="7" t="n">
        <v>19</v>
      </c>
      <c r="E5886" s="8" t="n">
        <v>0.565789473684211</v>
      </c>
      <c r="F5886" s="4" t="n">
        <f aca="false">D5886*E5886</f>
        <v>10.75</v>
      </c>
      <c r="G5886" s="7" t="n">
        <v>6</v>
      </c>
      <c r="H5886" s="9" t="n">
        <f aca="false">IF(G5886&gt;0,D5886/G5886,"")</f>
        <v>3.16666666666667</v>
      </c>
      <c r="I5886" s="10" t="n">
        <v>46205</v>
      </c>
      <c r="K5886" s="10"/>
      <c r="M5886" s="7"/>
      <c r="N5886" s="8"/>
      <c r="O5886" s="4"/>
    </row>
    <row r="5887" customFormat="false" ht="15" hidden="false" customHeight="false" outlineLevel="0" collapsed="false">
      <c r="A5887" s="0" t="s">
        <v>7706</v>
      </c>
      <c r="D5887" s="7" t="n">
        <v>4550</v>
      </c>
      <c r="E5887" s="8" t="n">
        <v>0.00236043956043956</v>
      </c>
      <c r="F5887" s="4" t="n">
        <f aca="false">D5887*E5887</f>
        <v>10.74</v>
      </c>
      <c r="G5887" s="7" t="n">
        <v>150</v>
      </c>
      <c r="H5887" s="9" t="n">
        <f aca="false">IF(G5887&gt;0,D5887/G5887,"")</f>
        <v>30.3333333333333</v>
      </c>
      <c r="I5887" s="10" t="n">
        <v>46083</v>
      </c>
      <c r="K5887" s="10"/>
      <c r="M5887" s="7"/>
      <c r="N5887" s="8"/>
      <c r="O5887" s="4"/>
    </row>
    <row r="5888" customFormat="false" ht="15" hidden="false" customHeight="false" outlineLevel="0" collapsed="false">
      <c r="A5888" s="0" t="s">
        <v>7707</v>
      </c>
      <c r="C5888" s="0" t="s">
        <v>1017</v>
      </c>
      <c r="D5888" s="7" t="n">
        <v>380</v>
      </c>
      <c r="E5888" s="8" t="n">
        <v>0.0282631578947368</v>
      </c>
      <c r="F5888" s="4" t="n">
        <f aca="false">D5888*E5888</f>
        <v>10.74</v>
      </c>
      <c r="G5888" s="7" t="n">
        <v>20</v>
      </c>
      <c r="H5888" s="9" t="n">
        <f aca="false">IF(G5888&gt;0,D5888/G5888,"")</f>
        <v>19</v>
      </c>
      <c r="I5888" s="10" t="n">
        <v>46183</v>
      </c>
      <c r="J5888" s="3" t="s">
        <v>341</v>
      </c>
      <c r="K5888" s="10" t="n">
        <v>46078</v>
      </c>
      <c r="L5888" s="3" t="s">
        <v>15</v>
      </c>
      <c r="M5888" s="7" t="n">
        <v>400</v>
      </c>
      <c r="N5888" s="8" t="n">
        <v>0.02828</v>
      </c>
      <c r="O5888" s="4" t="n">
        <f aca="false">M5888*N5888</f>
        <v>11.312</v>
      </c>
    </row>
    <row r="5889" customFormat="false" ht="15" hidden="false" customHeight="false" outlineLevel="0" collapsed="false">
      <c r="A5889" s="0" t="s">
        <v>7708</v>
      </c>
      <c r="C5889" s="0" t="s">
        <v>1039</v>
      </c>
      <c r="D5889" s="7" t="n">
        <v>1652</v>
      </c>
      <c r="E5889" s="8" t="n">
        <v>0.00649515738498789</v>
      </c>
      <c r="F5889" s="4" t="n">
        <f aca="false">D5889*E5889</f>
        <v>10.73</v>
      </c>
      <c r="G5889" s="7" t="n">
        <v>1446</v>
      </c>
      <c r="H5889" s="9" t="n">
        <f aca="false">IF(G5889&gt;0,D5889/G5889,"")</f>
        <v>1.14246196403873</v>
      </c>
      <c r="I5889" s="10" t="n">
        <v>46308</v>
      </c>
      <c r="J5889" s="3" t="s">
        <v>5541</v>
      </c>
      <c r="K5889" s="10" t="n">
        <v>46043</v>
      </c>
      <c r="L5889" s="3" t="s">
        <v>14</v>
      </c>
      <c r="M5889" s="7" t="n">
        <v>2943</v>
      </c>
      <c r="N5889" s="8" t="n">
        <v>0.0065</v>
      </c>
      <c r="O5889" s="4" t="n">
        <f aca="false">M5889*N5889</f>
        <v>19.1295</v>
      </c>
    </row>
    <row r="5890" customFormat="false" ht="15" hidden="false" customHeight="false" outlineLevel="0" collapsed="false">
      <c r="A5890" s="0" t="s">
        <v>7709</v>
      </c>
      <c r="C5890" s="0" t="s">
        <v>32</v>
      </c>
      <c r="D5890" s="7" t="n">
        <v>58</v>
      </c>
      <c r="E5890" s="8" t="n">
        <v>0.184655172413793</v>
      </c>
      <c r="F5890" s="4" t="n">
        <f aca="false">D5890*E5890</f>
        <v>10.71</v>
      </c>
      <c r="G5890" s="7" t="n">
        <v>41</v>
      </c>
      <c r="H5890" s="9" t="n">
        <f aca="false">IF(G5890&gt;0,D5890/G5890,"")</f>
        <v>1.41463414634146</v>
      </c>
      <c r="I5890" s="10" t="n">
        <v>46127</v>
      </c>
      <c r="J5890" s="3" t="s">
        <v>5730</v>
      </c>
      <c r="K5890" s="10" t="n">
        <v>44717</v>
      </c>
      <c r="L5890" s="3" t="s">
        <v>19</v>
      </c>
      <c r="M5890" s="7" t="n">
        <v>200</v>
      </c>
      <c r="N5890" s="8" t="n">
        <v>0.1847</v>
      </c>
      <c r="O5890" s="4" t="n">
        <f aca="false">M5890*N5890</f>
        <v>36.94</v>
      </c>
    </row>
    <row r="5891" customFormat="false" ht="15" hidden="false" customHeight="false" outlineLevel="0" collapsed="false">
      <c r="A5891" s="0" t="s">
        <v>7710</v>
      </c>
      <c r="C5891" s="0" t="s">
        <v>38</v>
      </c>
      <c r="D5891" s="7" t="n">
        <v>25</v>
      </c>
      <c r="E5891" s="8" t="n">
        <v>0.4284</v>
      </c>
      <c r="F5891" s="4" t="n">
        <f aca="false">D5891*E5891</f>
        <v>10.71</v>
      </c>
      <c r="G5891" s="7" t="n">
        <v>10</v>
      </c>
      <c r="H5891" s="9" t="n">
        <f aca="false">IF(G5891&gt;0,D5891/G5891,"")</f>
        <v>2.5</v>
      </c>
      <c r="I5891" s="10" t="n">
        <v>46066</v>
      </c>
      <c r="J5891" s="3" t="s">
        <v>5895</v>
      </c>
      <c r="K5891" s="10" t="n">
        <v>46059</v>
      </c>
      <c r="L5891" s="3" t="s">
        <v>19</v>
      </c>
      <c r="M5891" s="7" t="n">
        <v>35</v>
      </c>
      <c r="N5891" s="8" t="n">
        <v>0.4285714</v>
      </c>
      <c r="O5891" s="4" t="n">
        <f aca="false">M5891*N5891</f>
        <v>14.999999</v>
      </c>
    </row>
    <row r="5892" customFormat="false" ht="15" hidden="false" customHeight="false" outlineLevel="0" collapsed="false">
      <c r="A5892" s="0" t="s">
        <v>7711</v>
      </c>
      <c r="C5892" s="0" t="s">
        <v>31</v>
      </c>
      <c r="D5892" s="7" t="n">
        <v>9</v>
      </c>
      <c r="E5892" s="8" t="n">
        <v>1.19</v>
      </c>
      <c r="F5892" s="4" t="n">
        <f aca="false">D5892*E5892</f>
        <v>10.71</v>
      </c>
      <c r="G5892" s="7" t="n">
        <v>7</v>
      </c>
      <c r="H5892" s="9" t="n">
        <f aca="false">IF(G5892&gt;0,D5892/G5892,"")</f>
        <v>1.28571428571429</v>
      </c>
      <c r="I5892" s="10" t="n">
        <v>45958</v>
      </c>
      <c r="J5892" s="3" t="s">
        <v>4213</v>
      </c>
      <c r="K5892" s="10" t="n">
        <v>45933</v>
      </c>
      <c r="L5892" s="3" t="s">
        <v>19</v>
      </c>
      <c r="M5892" s="7" t="n">
        <v>10</v>
      </c>
      <c r="N5892" s="8" t="n">
        <v>2.0965</v>
      </c>
      <c r="O5892" s="4" t="n">
        <f aca="false">M5892*N5892</f>
        <v>20.965</v>
      </c>
    </row>
    <row r="5893" customFormat="false" ht="15" hidden="false" customHeight="false" outlineLevel="0" collapsed="false">
      <c r="A5893" s="0" t="s">
        <v>7712</v>
      </c>
      <c r="C5893" s="0" t="s">
        <v>31</v>
      </c>
      <c r="D5893" s="7" t="n">
        <v>39</v>
      </c>
      <c r="E5893" s="8" t="n">
        <v>0.274102564102564</v>
      </c>
      <c r="F5893" s="4" t="n">
        <f aca="false">D5893*E5893</f>
        <v>10.69</v>
      </c>
      <c r="G5893" s="7" t="n">
        <v>5</v>
      </c>
      <c r="H5893" s="9" t="n">
        <f aca="false">IF(G5893&gt;0,D5893/G5893,"")</f>
        <v>7.8</v>
      </c>
      <c r="I5893" s="10" t="n">
        <v>46254</v>
      </c>
      <c r="K5893" s="10"/>
      <c r="M5893" s="7"/>
      <c r="N5893" s="8"/>
      <c r="O5893" s="4"/>
    </row>
    <row r="5894" customFormat="false" ht="15" hidden="false" customHeight="false" outlineLevel="0" collapsed="false">
      <c r="A5894" s="0" t="s">
        <v>7713</v>
      </c>
      <c r="C5894" s="0" t="s">
        <v>41</v>
      </c>
      <c r="D5894" s="7" t="n">
        <v>321</v>
      </c>
      <c r="E5894" s="8" t="n">
        <v>0.0333021806853583</v>
      </c>
      <c r="F5894" s="4" t="n">
        <f aca="false">D5894*E5894</f>
        <v>10.69</v>
      </c>
      <c r="G5894" s="7" t="n">
        <v>112</v>
      </c>
      <c r="H5894" s="9" t="n">
        <f aca="false">IF(G5894&gt;0,D5894/G5894,"")</f>
        <v>2.86607142857143</v>
      </c>
      <c r="I5894" s="10" t="n">
        <v>46265</v>
      </c>
      <c r="J5894" s="3" t="s">
        <v>2232</v>
      </c>
      <c r="K5894" s="10" t="n">
        <v>45734</v>
      </c>
      <c r="L5894" s="3" t="s">
        <v>19</v>
      </c>
      <c r="M5894" s="7" t="n">
        <v>450</v>
      </c>
      <c r="N5894" s="8" t="n">
        <v>0.03333333</v>
      </c>
      <c r="O5894" s="4" t="n">
        <f aca="false">M5894*N5894</f>
        <v>14.9999985</v>
      </c>
    </row>
    <row r="5895" customFormat="false" ht="15" hidden="false" customHeight="false" outlineLevel="0" collapsed="false">
      <c r="A5895" s="0" t="s">
        <v>7714</v>
      </c>
      <c r="C5895" s="0" t="s">
        <v>889</v>
      </c>
      <c r="D5895" s="7" t="n">
        <v>2741</v>
      </c>
      <c r="E5895" s="8" t="n">
        <v>0.00389638817949653</v>
      </c>
      <c r="F5895" s="4" t="n">
        <f aca="false">D5895*E5895</f>
        <v>10.68</v>
      </c>
      <c r="G5895" s="7" t="n">
        <v>220</v>
      </c>
      <c r="H5895" s="9" t="n">
        <f aca="false">IF(G5895&gt;0,D5895/G5895,"")</f>
        <v>12.4590909090909</v>
      </c>
      <c r="I5895" s="10" t="n">
        <v>46254</v>
      </c>
      <c r="J5895" s="3" t="s">
        <v>1369</v>
      </c>
      <c r="K5895" s="10" t="n">
        <v>44299</v>
      </c>
      <c r="L5895" s="3" t="s">
        <v>15</v>
      </c>
      <c r="M5895" s="7" t="n">
        <v>4390</v>
      </c>
      <c r="N5895" s="8" t="n">
        <v>0.00299</v>
      </c>
      <c r="O5895" s="4" t="n">
        <f aca="false">M5895*N5895</f>
        <v>13.1261</v>
      </c>
    </row>
    <row r="5896" customFormat="false" ht="15" hidden="false" customHeight="false" outlineLevel="0" collapsed="false">
      <c r="A5896" s="0" t="s">
        <v>7715</v>
      </c>
      <c r="C5896" s="0" t="s">
        <v>34</v>
      </c>
      <c r="D5896" s="7" t="n">
        <v>19</v>
      </c>
      <c r="E5896" s="8" t="n">
        <v>0.561578947368421</v>
      </c>
      <c r="F5896" s="4" t="n">
        <f aca="false">D5896*E5896</f>
        <v>10.67</v>
      </c>
      <c r="G5896" s="7" t="n">
        <v>5</v>
      </c>
      <c r="H5896" s="9" t="n">
        <f aca="false">IF(G5896&gt;0,D5896/G5896,"")</f>
        <v>3.8</v>
      </c>
      <c r="I5896" s="10" t="n">
        <v>46304</v>
      </c>
      <c r="K5896" s="10"/>
      <c r="M5896" s="7"/>
      <c r="N5896" s="8"/>
      <c r="O5896" s="4"/>
    </row>
    <row r="5897" customFormat="false" ht="15" hidden="false" customHeight="false" outlineLevel="0" collapsed="false">
      <c r="A5897" s="0" t="s">
        <v>7716</v>
      </c>
      <c r="C5897" s="0" t="s">
        <v>31</v>
      </c>
      <c r="D5897" s="7" t="n">
        <v>47</v>
      </c>
      <c r="E5897" s="8" t="n">
        <v>0.225957446808511</v>
      </c>
      <c r="F5897" s="4" t="n">
        <f aca="false">D5897*E5897</f>
        <v>10.62</v>
      </c>
      <c r="G5897" s="7" t="n">
        <v>22</v>
      </c>
      <c r="H5897" s="9" t="n">
        <f aca="false">IF(G5897&gt;0,D5897/G5897,"")</f>
        <v>2.13636363636364</v>
      </c>
      <c r="I5897" s="10" t="n">
        <v>46282</v>
      </c>
      <c r="K5897" s="10"/>
      <c r="M5897" s="7"/>
      <c r="N5897" s="8"/>
      <c r="O5897" s="4"/>
    </row>
    <row r="5898" customFormat="false" ht="15" hidden="false" customHeight="false" outlineLevel="0" collapsed="false">
      <c r="A5898" s="0" t="s">
        <v>7717</v>
      </c>
      <c r="C5898" s="0" t="s">
        <v>31</v>
      </c>
      <c r="D5898" s="7" t="n">
        <v>171</v>
      </c>
      <c r="E5898" s="8" t="n">
        <v>0.0619883040935673</v>
      </c>
      <c r="F5898" s="4" t="n">
        <f aca="false">D5898*E5898</f>
        <v>10.6</v>
      </c>
      <c r="G5898" s="7" t="n">
        <v>35</v>
      </c>
      <c r="H5898" s="9" t="n">
        <f aca="false">IF(G5898&gt;0,D5898/G5898,"")</f>
        <v>4.88571428571429</v>
      </c>
      <c r="I5898" s="10" t="n">
        <v>46304</v>
      </c>
      <c r="J5898" s="3" t="s">
        <v>538</v>
      </c>
      <c r="K5898" s="10" t="n">
        <v>45832</v>
      </c>
      <c r="L5898" s="3" t="s">
        <v>14</v>
      </c>
      <c r="M5898" s="7" t="n">
        <v>877</v>
      </c>
      <c r="N5898" s="8" t="n">
        <v>0.06199544</v>
      </c>
      <c r="O5898" s="4" t="n">
        <f aca="false">M5898*N5898</f>
        <v>54.37000088</v>
      </c>
    </row>
    <row r="5899" customFormat="false" ht="15" hidden="false" customHeight="false" outlineLevel="0" collapsed="false">
      <c r="A5899" s="0" t="s">
        <v>7718</v>
      </c>
      <c r="C5899" s="0" t="s">
        <v>40</v>
      </c>
      <c r="D5899" s="7" t="n">
        <v>25</v>
      </c>
      <c r="E5899" s="8" t="n">
        <v>0.4236</v>
      </c>
      <c r="F5899" s="4" t="n">
        <f aca="false">D5899*E5899</f>
        <v>10.59</v>
      </c>
      <c r="G5899" s="7" t="n">
        <v>2</v>
      </c>
      <c r="H5899" s="9" t="n">
        <f aca="false">IF(G5899&gt;0,D5899/G5899,"")</f>
        <v>12.5</v>
      </c>
      <c r="I5899" s="10" t="n">
        <v>46168</v>
      </c>
      <c r="J5899" s="3" t="s">
        <v>7719</v>
      </c>
      <c r="K5899" s="10" t="n">
        <v>44953</v>
      </c>
      <c r="L5899" s="3" t="s">
        <v>18</v>
      </c>
      <c r="M5899" s="7" t="n">
        <v>63</v>
      </c>
      <c r="N5899" s="8" t="n">
        <v>0.4235</v>
      </c>
      <c r="O5899" s="4" t="n">
        <f aca="false">M5899*N5899</f>
        <v>26.6805</v>
      </c>
    </row>
    <row r="5900" customFormat="false" ht="15" hidden="false" customHeight="false" outlineLevel="0" collapsed="false">
      <c r="A5900" s="0" t="s">
        <v>7720</v>
      </c>
      <c r="C5900" s="0" t="s">
        <v>31</v>
      </c>
      <c r="D5900" s="7" t="n">
        <v>93</v>
      </c>
      <c r="E5900" s="8" t="n">
        <v>0.113548387096774</v>
      </c>
      <c r="F5900" s="4" t="n">
        <f aca="false">D5900*E5900</f>
        <v>10.56</v>
      </c>
      <c r="G5900" s="7" t="n">
        <v>38</v>
      </c>
      <c r="H5900" s="9" t="n">
        <f aca="false">IF(G5900&gt;0,D5900/G5900,"")</f>
        <v>2.44736842105263</v>
      </c>
      <c r="I5900" s="10" t="n">
        <v>46163</v>
      </c>
      <c r="J5900" s="3" t="s">
        <v>180</v>
      </c>
      <c r="K5900" s="10" t="n">
        <v>45540</v>
      </c>
      <c r="L5900" s="3" t="s">
        <v>19</v>
      </c>
      <c r="M5900" s="7" t="n">
        <v>250</v>
      </c>
      <c r="N5900" s="8" t="n">
        <v>0.1135</v>
      </c>
      <c r="O5900" s="4" t="n">
        <f aca="false">M5900*N5900</f>
        <v>28.375</v>
      </c>
    </row>
    <row r="5901" customFormat="false" ht="15" hidden="false" customHeight="false" outlineLevel="0" collapsed="false">
      <c r="A5901" s="0" t="s">
        <v>7721</v>
      </c>
      <c r="C5901" s="0" t="s">
        <v>741</v>
      </c>
      <c r="D5901" s="7" t="n">
        <v>54</v>
      </c>
      <c r="E5901" s="8" t="n">
        <v>0.195555555555556</v>
      </c>
      <c r="F5901" s="4" t="n">
        <f aca="false">D5901*E5901</f>
        <v>10.56</v>
      </c>
      <c r="G5901" s="7" t="n">
        <v>4</v>
      </c>
      <c r="H5901" s="9" t="n">
        <f aca="false">IF(G5901&gt;0,D5901/G5901,"")</f>
        <v>13.5</v>
      </c>
      <c r="I5901" s="10" t="n">
        <v>45996</v>
      </c>
      <c r="K5901" s="10"/>
      <c r="M5901" s="7"/>
      <c r="N5901" s="8"/>
      <c r="O5901" s="4"/>
    </row>
    <row r="5902" customFormat="false" ht="15" hidden="false" customHeight="false" outlineLevel="0" collapsed="false">
      <c r="A5902" s="0" t="s">
        <v>7722</v>
      </c>
      <c r="C5902" s="0" t="s">
        <v>855</v>
      </c>
      <c r="D5902" s="7" t="n">
        <v>78</v>
      </c>
      <c r="E5902" s="8" t="n">
        <v>0.135384615384615</v>
      </c>
      <c r="F5902" s="4" t="n">
        <f aca="false">D5902*E5902</f>
        <v>10.56</v>
      </c>
      <c r="G5902" s="7" t="n">
        <v>6</v>
      </c>
      <c r="H5902" s="9" t="n">
        <f aca="false">IF(G5902&gt;0,D5902/G5902,"")</f>
        <v>13</v>
      </c>
      <c r="I5902" s="10" t="n">
        <v>45986</v>
      </c>
      <c r="J5902" s="3" t="s">
        <v>6743</v>
      </c>
      <c r="K5902" s="10" t="n">
        <v>44376</v>
      </c>
      <c r="L5902" s="3" t="s">
        <v>19</v>
      </c>
      <c r="M5902" s="7" t="n">
        <v>100</v>
      </c>
      <c r="N5902" s="8" t="n">
        <v>0.1354</v>
      </c>
      <c r="O5902" s="4" t="n">
        <f aca="false">M5902*N5902</f>
        <v>13.54</v>
      </c>
    </row>
    <row r="5903" customFormat="false" ht="15" hidden="false" customHeight="false" outlineLevel="0" collapsed="false">
      <c r="A5903" s="0" t="s">
        <v>7723</v>
      </c>
      <c r="C5903" s="0" t="s">
        <v>41</v>
      </c>
      <c r="D5903" s="7" t="n">
        <v>40</v>
      </c>
      <c r="E5903" s="8" t="n">
        <v>0.2635</v>
      </c>
      <c r="F5903" s="4" t="n">
        <f aca="false">D5903*E5903</f>
        <v>10.54</v>
      </c>
      <c r="G5903" s="7" t="n">
        <v>28</v>
      </c>
      <c r="H5903" s="9" t="n">
        <f aca="false">IF(G5903&gt;0,D5903/G5903,"")</f>
        <v>1.42857142857143</v>
      </c>
      <c r="I5903" s="10" t="n">
        <v>46119</v>
      </c>
      <c r="J5903" s="3" t="s">
        <v>7724</v>
      </c>
      <c r="K5903" s="10" t="n">
        <v>45594</v>
      </c>
      <c r="L5903" s="3" t="s">
        <v>19</v>
      </c>
      <c r="M5903" s="7" t="n">
        <v>122</v>
      </c>
      <c r="N5903" s="8" t="n">
        <v>0.3403</v>
      </c>
      <c r="O5903" s="4" t="n">
        <f aca="false">M5903*N5903</f>
        <v>41.5166</v>
      </c>
    </row>
    <row r="5904" customFormat="false" ht="15" hidden="false" customHeight="false" outlineLevel="0" collapsed="false">
      <c r="A5904" s="0" t="s">
        <v>7725</v>
      </c>
      <c r="C5904" s="0" t="s">
        <v>31</v>
      </c>
      <c r="D5904" s="7" t="n">
        <v>150</v>
      </c>
      <c r="E5904" s="8" t="n">
        <v>0.0702</v>
      </c>
      <c r="F5904" s="4" t="n">
        <f aca="false">D5904*E5904</f>
        <v>10.53</v>
      </c>
      <c r="G5904" s="7" t="n">
        <v>50</v>
      </c>
      <c r="H5904" s="9" t="n">
        <f aca="false">IF(G5904&gt;0,D5904/G5904,"")</f>
        <v>3</v>
      </c>
      <c r="I5904" s="10" t="n">
        <v>46280</v>
      </c>
      <c r="J5904" s="3" t="s">
        <v>6041</v>
      </c>
      <c r="K5904" s="10" t="n">
        <v>45896</v>
      </c>
      <c r="L5904" s="3" t="s">
        <v>19</v>
      </c>
      <c r="M5904" s="7" t="n">
        <v>250</v>
      </c>
      <c r="N5904" s="8" t="n">
        <v>0.0702</v>
      </c>
      <c r="O5904" s="4" t="n">
        <f aca="false">M5904*N5904</f>
        <v>17.55</v>
      </c>
    </row>
    <row r="5905" customFormat="false" ht="15" hidden="false" customHeight="false" outlineLevel="0" collapsed="false">
      <c r="A5905" s="0" t="s">
        <v>7726</v>
      </c>
      <c r="C5905" s="0" t="s">
        <v>1802</v>
      </c>
      <c r="D5905" s="7" t="n">
        <v>9</v>
      </c>
      <c r="E5905" s="8" t="n">
        <v>1.16777777777778</v>
      </c>
      <c r="F5905" s="4" t="n">
        <f aca="false">D5905*E5905</f>
        <v>10.51</v>
      </c>
      <c r="G5905" s="7" t="n">
        <v>4</v>
      </c>
      <c r="H5905" s="9" t="n">
        <f aca="false">IF(G5905&gt;0,D5905/G5905,"")</f>
        <v>2.25</v>
      </c>
      <c r="I5905" s="10" t="n">
        <v>46125</v>
      </c>
      <c r="J5905" s="3" t="s">
        <v>7727</v>
      </c>
      <c r="K5905" s="10" t="n">
        <v>45224</v>
      </c>
      <c r="L5905" s="3" t="s">
        <v>14</v>
      </c>
      <c r="M5905" s="7" t="n">
        <v>25</v>
      </c>
      <c r="N5905" s="8" t="n">
        <v>1.168</v>
      </c>
      <c r="O5905" s="4" t="n">
        <f aca="false">M5905*N5905</f>
        <v>29.2</v>
      </c>
    </row>
    <row r="5906" customFormat="false" ht="15" hidden="false" customHeight="false" outlineLevel="0" collapsed="false">
      <c r="A5906" s="0" t="s">
        <v>7728</v>
      </c>
      <c r="C5906" s="0" t="s">
        <v>340</v>
      </c>
      <c r="D5906" s="7" t="n">
        <v>114</v>
      </c>
      <c r="E5906" s="8" t="n">
        <v>0.0921929824561404</v>
      </c>
      <c r="F5906" s="4" t="n">
        <f aca="false">D5906*E5906</f>
        <v>10.51</v>
      </c>
      <c r="G5906" s="7" t="n">
        <v>52</v>
      </c>
      <c r="H5906" s="9" t="n">
        <f aca="false">IF(G5906&gt;0,D5906/G5906,"")</f>
        <v>2.19230769230769</v>
      </c>
      <c r="I5906" s="10" t="n">
        <v>46101</v>
      </c>
      <c r="J5906" s="3" t="s">
        <v>5295</v>
      </c>
      <c r="K5906" s="10" t="n">
        <v>44356</v>
      </c>
      <c r="L5906" s="3" t="s">
        <v>15</v>
      </c>
      <c r="M5906" s="7" t="n">
        <v>184</v>
      </c>
      <c r="N5906" s="8" t="n">
        <v>0.09222</v>
      </c>
      <c r="O5906" s="4" t="n">
        <f aca="false">M5906*N5906</f>
        <v>16.96848</v>
      </c>
    </row>
    <row r="5907" customFormat="false" ht="15" hidden="false" customHeight="false" outlineLevel="0" collapsed="false">
      <c r="A5907" s="0" t="s">
        <v>7729</v>
      </c>
      <c r="C5907" s="0" t="s">
        <v>31</v>
      </c>
      <c r="D5907" s="7" t="n">
        <v>83</v>
      </c>
      <c r="E5907" s="8" t="n">
        <v>0.126024096385542</v>
      </c>
      <c r="F5907" s="4" t="n">
        <f aca="false">D5907*E5907</f>
        <v>10.46</v>
      </c>
      <c r="G5907" s="7" t="n">
        <v>50</v>
      </c>
      <c r="H5907" s="9" t="n">
        <f aca="false">IF(G5907&gt;0,D5907/G5907,"")</f>
        <v>1.66</v>
      </c>
      <c r="I5907" s="10" t="n">
        <v>46281</v>
      </c>
      <c r="J5907" s="3" t="s">
        <v>5646</v>
      </c>
      <c r="K5907" s="10" t="n">
        <v>46275</v>
      </c>
      <c r="L5907" s="3" t="s">
        <v>19</v>
      </c>
      <c r="M5907" s="7" t="n">
        <v>119</v>
      </c>
      <c r="N5907" s="8" t="n">
        <v>0.12605</v>
      </c>
      <c r="O5907" s="4" t="n">
        <f aca="false">M5907*N5907</f>
        <v>14.99995</v>
      </c>
    </row>
    <row r="5908" customFormat="false" ht="15" hidden="false" customHeight="false" outlineLevel="0" collapsed="false">
      <c r="A5908" s="0" t="s">
        <v>7730</v>
      </c>
      <c r="C5908" s="0" t="s">
        <v>31</v>
      </c>
      <c r="D5908" s="7" t="n">
        <v>52</v>
      </c>
      <c r="E5908" s="8" t="n">
        <v>0.200961538461539</v>
      </c>
      <c r="F5908" s="4" t="n">
        <f aca="false">D5908*E5908</f>
        <v>10.45</v>
      </c>
      <c r="G5908" s="7" t="n">
        <v>20</v>
      </c>
      <c r="H5908" s="9" t="n">
        <f aca="false">IF(G5908&gt;0,D5908/G5908,"")</f>
        <v>2.6</v>
      </c>
      <c r="I5908" s="10" t="n">
        <v>46190</v>
      </c>
      <c r="K5908" s="10"/>
      <c r="M5908" s="7"/>
      <c r="N5908" s="8"/>
      <c r="O5908" s="4"/>
    </row>
    <row r="5909" customFormat="false" ht="15" hidden="false" customHeight="false" outlineLevel="0" collapsed="false">
      <c r="A5909" s="0" t="s">
        <v>7731</v>
      </c>
      <c r="C5909" s="0" t="s">
        <v>31</v>
      </c>
      <c r="D5909" s="7" t="n">
        <v>120</v>
      </c>
      <c r="E5909" s="8" t="n">
        <v>0.087</v>
      </c>
      <c r="F5909" s="4" t="n">
        <f aca="false">D5909*E5909</f>
        <v>10.44</v>
      </c>
      <c r="G5909" s="7" t="n">
        <v>8</v>
      </c>
      <c r="H5909" s="9" t="n">
        <f aca="false">IF(G5909&gt;0,D5909/G5909,"")</f>
        <v>15</v>
      </c>
      <c r="I5909" s="10" t="n">
        <v>46065</v>
      </c>
      <c r="J5909" s="3" t="s">
        <v>7364</v>
      </c>
      <c r="K5909" s="10" t="n">
        <v>45142</v>
      </c>
      <c r="L5909" s="3" t="s">
        <v>19</v>
      </c>
      <c r="M5909" s="7" t="n">
        <v>250</v>
      </c>
      <c r="N5909" s="8" t="n">
        <v>0.087</v>
      </c>
      <c r="O5909" s="4" t="n">
        <f aca="false">M5909*N5909</f>
        <v>21.75</v>
      </c>
    </row>
    <row r="5910" customFormat="false" ht="15" hidden="false" customHeight="false" outlineLevel="0" collapsed="false">
      <c r="A5910" s="0" t="s">
        <v>7732</v>
      </c>
      <c r="C5910" s="0" t="s">
        <v>31</v>
      </c>
      <c r="D5910" s="7" t="n">
        <v>1031</v>
      </c>
      <c r="E5910" s="8" t="n">
        <v>0.0101163918525703</v>
      </c>
      <c r="F5910" s="4" t="n">
        <f aca="false">D5910*E5910</f>
        <v>10.43</v>
      </c>
      <c r="G5910" s="7" t="n">
        <v>148</v>
      </c>
      <c r="H5910" s="9" t="n">
        <f aca="false">IF(G5910&gt;0,D5910/G5910,"")</f>
        <v>6.96621621621622</v>
      </c>
      <c r="I5910" s="10" t="n">
        <v>46297</v>
      </c>
      <c r="J5910" s="3" t="s">
        <v>1329</v>
      </c>
      <c r="K5910" s="10" t="n">
        <v>44727</v>
      </c>
      <c r="L5910" s="3" t="s">
        <v>19</v>
      </c>
      <c r="M5910" s="7" t="n">
        <v>1584</v>
      </c>
      <c r="N5910" s="8" t="n">
        <v>0.0112</v>
      </c>
      <c r="O5910" s="4" t="n">
        <v>16.6208</v>
      </c>
    </row>
    <row r="5911" customFormat="false" ht="15" hidden="false" customHeight="false" outlineLevel="0" collapsed="false">
      <c r="A5911" s="0" t="s">
        <v>7733</v>
      </c>
      <c r="C5911" s="0" t="s">
        <v>31</v>
      </c>
      <c r="D5911" s="7" t="n">
        <v>17</v>
      </c>
      <c r="E5911" s="8" t="n">
        <v>0.612352941176471</v>
      </c>
      <c r="F5911" s="4" t="n">
        <f aca="false">D5911*E5911</f>
        <v>10.41</v>
      </c>
      <c r="G5911" s="7" t="n">
        <v>10</v>
      </c>
      <c r="H5911" s="9" t="n">
        <f aca="false">IF(G5911&gt;0,D5911/G5911,"")</f>
        <v>1.7</v>
      </c>
      <c r="I5911" s="10" t="n">
        <v>46108</v>
      </c>
      <c r="J5911" s="3" t="s">
        <v>7502</v>
      </c>
      <c r="K5911" s="10" t="n">
        <v>44430</v>
      </c>
      <c r="L5911" s="3" t="s">
        <v>19</v>
      </c>
      <c r="M5911" s="7" t="n">
        <v>41</v>
      </c>
      <c r="N5911" s="8" t="n">
        <v>0.6124</v>
      </c>
      <c r="O5911" s="4" t="n">
        <f aca="false">M5911*N5911</f>
        <v>25.1084</v>
      </c>
    </row>
    <row r="5912" customFormat="false" ht="15" hidden="false" customHeight="false" outlineLevel="0" collapsed="false">
      <c r="A5912" s="0" t="s">
        <v>7734</v>
      </c>
      <c r="C5912" s="0" t="s">
        <v>31</v>
      </c>
      <c r="D5912" s="7" t="n">
        <v>24</v>
      </c>
      <c r="E5912" s="8" t="n">
        <v>0.433333333333333</v>
      </c>
      <c r="F5912" s="4" t="n">
        <f aca="false">D5912*E5912</f>
        <v>10.4</v>
      </c>
      <c r="G5912" s="7" t="n">
        <v>10</v>
      </c>
      <c r="H5912" s="9" t="n">
        <f aca="false">IF(G5912&gt;0,D5912/G5912,"")</f>
        <v>2.4</v>
      </c>
      <c r="I5912" s="10" t="n">
        <v>46178</v>
      </c>
      <c r="J5912" s="3" t="s">
        <v>6366</v>
      </c>
      <c r="K5912" s="10" t="n">
        <v>44274</v>
      </c>
      <c r="L5912" s="3" t="s">
        <v>19</v>
      </c>
      <c r="M5912" s="7" t="n">
        <v>50</v>
      </c>
      <c r="N5912" s="8" t="n">
        <v>0.4332</v>
      </c>
      <c r="O5912" s="4" t="n">
        <f aca="false">M5912*N5912</f>
        <v>21.66</v>
      </c>
    </row>
    <row r="5913" customFormat="false" ht="15" hidden="false" customHeight="false" outlineLevel="0" collapsed="false">
      <c r="A5913" s="0" t="s">
        <v>7735</v>
      </c>
      <c r="C5913" s="0" t="s">
        <v>31</v>
      </c>
      <c r="D5913" s="7" t="n">
        <v>104</v>
      </c>
      <c r="E5913" s="8" t="n">
        <v>0.1</v>
      </c>
      <c r="F5913" s="4" t="n">
        <f aca="false">D5913*E5913</f>
        <v>10.4</v>
      </c>
      <c r="G5913" s="7" t="n">
        <v>26</v>
      </c>
      <c r="H5913" s="9" t="n">
        <f aca="false">IF(G5913&gt;0,D5913/G5913,"")</f>
        <v>4</v>
      </c>
      <c r="I5913" s="10" t="n">
        <v>46182</v>
      </c>
      <c r="K5913" s="10"/>
      <c r="M5913" s="7"/>
      <c r="N5913" s="8"/>
      <c r="O5913" s="4"/>
    </row>
    <row r="5914" customFormat="false" ht="15" hidden="false" customHeight="false" outlineLevel="0" collapsed="false">
      <c r="A5914" s="0" t="s">
        <v>7736</v>
      </c>
      <c r="C5914" s="0" t="s">
        <v>855</v>
      </c>
      <c r="D5914" s="7" t="n">
        <v>860</v>
      </c>
      <c r="E5914" s="8" t="n">
        <v>0.012093023255814</v>
      </c>
      <c r="F5914" s="4" t="n">
        <f aca="false">D5914*E5914</f>
        <v>10.4</v>
      </c>
      <c r="G5914" s="7" t="n">
        <v>28</v>
      </c>
      <c r="H5914" s="9" t="n">
        <f aca="false">IF(G5914&gt;0,D5914/G5914,"")</f>
        <v>30.7142857142857</v>
      </c>
      <c r="I5914" s="10" t="n">
        <v>46001</v>
      </c>
      <c r="K5914" s="10"/>
      <c r="M5914" s="7"/>
      <c r="N5914" s="8"/>
      <c r="O5914" s="4"/>
    </row>
    <row r="5915" customFormat="false" ht="15" hidden="false" customHeight="false" outlineLevel="0" collapsed="false">
      <c r="A5915" s="0" t="s">
        <v>7737</v>
      </c>
      <c r="C5915" s="0" t="s">
        <v>31</v>
      </c>
      <c r="D5915" s="7" t="n">
        <v>50</v>
      </c>
      <c r="E5915" s="8" t="n">
        <v>0.2078</v>
      </c>
      <c r="F5915" s="4" t="n">
        <f aca="false">D5915*E5915</f>
        <v>10.39</v>
      </c>
      <c r="G5915" s="7" t="n">
        <v>2</v>
      </c>
      <c r="H5915" s="9" t="n">
        <f aca="false">IF(G5915&gt;0,D5915/G5915,"")</f>
        <v>25</v>
      </c>
      <c r="I5915" s="10" t="n">
        <v>45961</v>
      </c>
      <c r="J5915" s="3" t="s">
        <v>7738</v>
      </c>
      <c r="K5915" s="10" t="n">
        <v>44375</v>
      </c>
      <c r="L5915" s="3" t="s">
        <v>19</v>
      </c>
      <c r="M5915" s="7" t="n">
        <v>100</v>
      </c>
      <c r="N5915" s="8" t="n">
        <v>0.2063</v>
      </c>
      <c r="O5915" s="4" t="n">
        <f aca="false">M5915*N5915</f>
        <v>20.63</v>
      </c>
    </row>
    <row r="5916" customFormat="false" ht="15" hidden="false" customHeight="false" outlineLevel="0" collapsed="false">
      <c r="A5916" s="0" t="s">
        <v>7739</v>
      </c>
      <c r="C5916" s="0" t="s">
        <v>31</v>
      </c>
      <c r="D5916" s="7" t="n">
        <v>405</v>
      </c>
      <c r="E5916" s="8" t="n">
        <v>0.0255061728395062</v>
      </c>
      <c r="F5916" s="4" t="n">
        <f aca="false">D5916*E5916</f>
        <v>10.33</v>
      </c>
      <c r="G5916" s="7" t="n">
        <v>327</v>
      </c>
      <c r="H5916" s="9" t="n">
        <f aca="false">IF(G5916&gt;0,D5916/G5916,"")</f>
        <v>1.23853211009174</v>
      </c>
      <c r="I5916" s="10" t="n">
        <v>46267</v>
      </c>
      <c r="J5916" s="3" t="s">
        <v>1211</v>
      </c>
      <c r="K5916" s="10" t="n">
        <v>45750</v>
      </c>
      <c r="L5916" s="3" t="s">
        <v>26</v>
      </c>
      <c r="M5916" s="7" t="n">
        <v>300</v>
      </c>
      <c r="N5916" s="8" t="n">
        <v>0.0671</v>
      </c>
      <c r="O5916" s="4" t="n">
        <f aca="false">M5916*N5916</f>
        <v>20.13</v>
      </c>
    </row>
    <row r="5917" customFormat="false" ht="15" hidden="false" customHeight="false" outlineLevel="0" collapsed="false">
      <c r="A5917" s="0" t="s">
        <v>7740</v>
      </c>
      <c r="C5917" s="0" t="s">
        <v>166</v>
      </c>
      <c r="D5917" s="7" t="n">
        <v>27</v>
      </c>
      <c r="E5917" s="8" t="n">
        <v>0.381851851851852</v>
      </c>
      <c r="F5917" s="4" t="n">
        <f aca="false">D5917*E5917</f>
        <v>10.31</v>
      </c>
      <c r="G5917" s="7" t="n">
        <v>10</v>
      </c>
      <c r="H5917" s="9" t="n">
        <f aca="false">IF(G5917&gt;0,D5917/G5917,"")</f>
        <v>2.7</v>
      </c>
      <c r="I5917" s="10" t="n">
        <v>46294</v>
      </c>
      <c r="J5917" s="3" t="s">
        <v>576</v>
      </c>
      <c r="K5917" s="10" t="n">
        <v>45819</v>
      </c>
      <c r="L5917" s="3" t="s">
        <v>19</v>
      </c>
      <c r="M5917" s="7" t="n">
        <v>40</v>
      </c>
      <c r="N5917" s="8" t="n">
        <v>0.3821</v>
      </c>
      <c r="O5917" s="4" t="n">
        <f aca="false">M5917*N5917</f>
        <v>15.284</v>
      </c>
    </row>
    <row r="5918" customFormat="false" ht="15" hidden="false" customHeight="false" outlineLevel="0" collapsed="false">
      <c r="A5918" s="0" t="s">
        <v>7741</v>
      </c>
      <c r="C5918" s="0" t="s">
        <v>38</v>
      </c>
      <c r="D5918" s="7" t="n">
        <v>1450</v>
      </c>
      <c r="E5918" s="8" t="n">
        <v>0.00710344827586207</v>
      </c>
      <c r="F5918" s="4" t="n">
        <f aca="false">D5918*E5918</f>
        <v>10.3</v>
      </c>
      <c r="G5918" s="7" t="n">
        <v>310</v>
      </c>
      <c r="H5918" s="9" t="n">
        <f aca="false">IF(G5918&gt;0,D5918/G5918,"")</f>
        <v>4.67741935483871</v>
      </c>
      <c r="I5918" s="10" t="n">
        <v>46101</v>
      </c>
      <c r="J5918" s="3" t="s">
        <v>957</v>
      </c>
      <c r="K5918" s="10" t="n">
        <v>45334</v>
      </c>
      <c r="L5918" s="3" t="s">
        <v>14</v>
      </c>
      <c r="M5918" s="7" t="n">
        <v>2500</v>
      </c>
      <c r="N5918" s="8" t="n">
        <v>0.0071</v>
      </c>
      <c r="O5918" s="4" t="n">
        <f aca="false">M5918*N5918</f>
        <v>17.75</v>
      </c>
    </row>
    <row r="5919" customFormat="false" ht="15" hidden="false" customHeight="false" outlineLevel="0" collapsed="false">
      <c r="A5919" s="0" t="s">
        <v>7742</v>
      </c>
      <c r="C5919" s="0" t="s">
        <v>1169</v>
      </c>
      <c r="D5919" s="7" t="n">
        <v>14</v>
      </c>
      <c r="E5919" s="8" t="n">
        <v>0.734285714285714</v>
      </c>
      <c r="F5919" s="4" t="n">
        <f aca="false">D5919*E5919</f>
        <v>10.28</v>
      </c>
      <c r="G5919" s="7" t="n">
        <v>8</v>
      </c>
      <c r="H5919" s="9" t="n">
        <f aca="false">IF(G5919&gt;0,D5919/G5919,"")</f>
        <v>1.75</v>
      </c>
      <c r="I5919" s="10" t="n">
        <v>46160</v>
      </c>
      <c r="K5919" s="10"/>
      <c r="M5919" s="7"/>
      <c r="N5919" s="8"/>
      <c r="O5919" s="4"/>
    </row>
    <row r="5920" customFormat="false" ht="15" hidden="false" customHeight="false" outlineLevel="0" collapsed="false">
      <c r="A5920" s="0" t="s">
        <v>7743</v>
      </c>
      <c r="C5920" s="0" t="s">
        <v>295</v>
      </c>
      <c r="D5920" s="7" t="n">
        <v>178</v>
      </c>
      <c r="E5920" s="8" t="n">
        <v>0.0574157303370787</v>
      </c>
      <c r="F5920" s="4" t="n">
        <f aca="false">D5920*E5920</f>
        <v>10.22</v>
      </c>
      <c r="G5920" s="7" t="n">
        <v>73</v>
      </c>
      <c r="H5920" s="9" t="n">
        <f aca="false">IF(G5920&gt;0,D5920/G5920,"")</f>
        <v>2.43835616438356</v>
      </c>
      <c r="I5920" s="10" t="n">
        <v>46280</v>
      </c>
      <c r="J5920" s="3" t="s">
        <v>7744</v>
      </c>
      <c r="K5920" s="10" t="n">
        <v>45049</v>
      </c>
      <c r="L5920" s="3" t="s">
        <v>19</v>
      </c>
      <c r="M5920" s="7" t="n">
        <v>503</v>
      </c>
      <c r="N5920" s="8" t="n">
        <v>0.0574</v>
      </c>
      <c r="O5920" s="4" t="n">
        <f aca="false">M5920*N5920</f>
        <v>28.8722</v>
      </c>
    </row>
    <row r="5921" customFormat="false" ht="15" hidden="false" customHeight="false" outlineLevel="0" collapsed="false">
      <c r="A5921" s="0" t="s">
        <v>7745</v>
      </c>
      <c r="C5921" s="0" t="s">
        <v>34</v>
      </c>
      <c r="D5921" s="7" t="n">
        <v>47</v>
      </c>
      <c r="E5921" s="8" t="n">
        <v>0.217021276595745</v>
      </c>
      <c r="F5921" s="4" t="n">
        <f aca="false">D5921*E5921</f>
        <v>10.2</v>
      </c>
      <c r="G5921" s="7" t="n">
        <v>35</v>
      </c>
      <c r="H5921" s="9" t="n">
        <f aca="false">IF(G5921&gt;0,D5921/G5921,"")</f>
        <v>1.34285714285714</v>
      </c>
      <c r="I5921" s="10" t="n">
        <v>46133</v>
      </c>
      <c r="K5921" s="10"/>
      <c r="M5921" s="7"/>
      <c r="N5921" s="8"/>
      <c r="O5921" s="4"/>
    </row>
    <row r="5922" customFormat="false" ht="15" hidden="false" customHeight="false" outlineLevel="0" collapsed="false">
      <c r="A5922" s="0" t="s">
        <v>7746</v>
      </c>
      <c r="C5922" s="0" t="s">
        <v>31</v>
      </c>
      <c r="D5922" s="7" t="n">
        <v>728</v>
      </c>
      <c r="E5922" s="8" t="n">
        <v>0.0139972527472528</v>
      </c>
      <c r="F5922" s="4" t="n">
        <f aca="false">D5922*E5922</f>
        <v>10.19</v>
      </c>
      <c r="G5922" s="7" t="n">
        <v>362</v>
      </c>
      <c r="H5922" s="9" t="n">
        <f aca="false">IF(G5922&gt;0,D5922/G5922,"")</f>
        <v>2.01104972375691</v>
      </c>
      <c r="I5922" s="10" t="n">
        <v>46280</v>
      </c>
      <c r="K5922" s="10"/>
      <c r="M5922" s="7"/>
      <c r="N5922" s="8"/>
      <c r="O5922" s="4"/>
    </row>
    <row r="5923" customFormat="false" ht="15" hidden="false" customHeight="false" outlineLevel="0" collapsed="false">
      <c r="A5923" s="0" t="s">
        <v>7747</v>
      </c>
      <c r="C5923" s="0" t="s">
        <v>36</v>
      </c>
      <c r="D5923" s="7" t="n">
        <v>1608</v>
      </c>
      <c r="E5923" s="8" t="n">
        <v>0.00633084577114428</v>
      </c>
      <c r="F5923" s="4" t="n">
        <f aca="false">D5923*E5923</f>
        <v>10.18</v>
      </c>
      <c r="G5923" s="7" t="n">
        <v>25</v>
      </c>
      <c r="H5923" s="9" t="n">
        <f aca="false">IF(G5923&gt;0,D5923/G5923,"")</f>
        <v>64.32</v>
      </c>
      <c r="I5923" s="10" t="n">
        <v>46064</v>
      </c>
      <c r="J5923" s="3" t="s">
        <v>2789</v>
      </c>
      <c r="K5923" s="10" t="n">
        <v>44256</v>
      </c>
      <c r="L5923" s="3" t="s">
        <v>15</v>
      </c>
      <c r="M5923" s="7" t="n">
        <v>3550</v>
      </c>
      <c r="N5923" s="8" t="n">
        <v>0.00633</v>
      </c>
      <c r="O5923" s="4" t="n">
        <f aca="false">M5923*N5923</f>
        <v>22.4715</v>
      </c>
    </row>
    <row r="5924" customFormat="false" ht="15" hidden="false" customHeight="false" outlineLevel="0" collapsed="false">
      <c r="A5924" s="0" t="s">
        <v>7748</v>
      </c>
      <c r="C5924" s="0" t="s">
        <v>41</v>
      </c>
      <c r="D5924" s="7" t="n">
        <v>32</v>
      </c>
      <c r="E5924" s="8" t="n">
        <v>0.3165625</v>
      </c>
      <c r="F5924" s="4" t="n">
        <f aca="false">D5924*E5924</f>
        <v>10.13</v>
      </c>
      <c r="G5924" s="7" t="n">
        <v>9</v>
      </c>
      <c r="H5924" s="9" t="n">
        <f aca="false">IF(G5924&gt;0,D5924/G5924,"")</f>
        <v>3.55555555555556</v>
      </c>
      <c r="I5924" s="10" t="n">
        <v>46225</v>
      </c>
      <c r="K5924" s="10"/>
      <c r="M5924" s="7"/>
      <c r="N5924" s="8"/>
      <c r="O5924" s="4"/>
    </row>
    <row r="5925" customFormat="false" ht="15" hidden="false" customHeight="false" outlineLevel="0" collapsed="false">
      <c r="A5925" s="0" t="s">
        <v>7749</v>
      </c>
      <c r="C5925" s="0" t="s">
        <v>715</v>
      </c>
      <c r="D5925" s="7" t="n">
        <v>2220</v>
      </c>
      <c r="E5925" s="8" t="n">
        <v>0.00454954954954955</v>
      </c>
      <c r="F5925" s="4" t="n">
        <f aca="false">D5925*E5925</f>
        <v>10.1</v>
      </c>
      <c r="G5925" s="7" t="n">
        <v>725</v>
      </c>
      <c r="H5925" s="9" t="n">
        <f aca="false">IF(G5925&gt;0,D5925/G5925,"")</f>
        <v>3.06206896551724</v>
      </c>
      <c r="I5925" s="10" t="n">
        <v>46171</v>
      </c>
      <c r="J5925" s="3" t="s">
        <v>7750</v>
      </c>
      <c r="K5925" s="10" t="n">
        <v>44566</v>
      </c>
      <c r="L5925" s="3" t="s">
        <v>15</v>
      </c>
      <c r="M5925" s="7" t="n">
        <v>8827</v>
      </c>
      <c r="N5925" s="8" t="n">
        <v>0.00456</v>
      </c>
      <c r="O5925" s="4" t="n">
        <f aca="false">M5925*N5925</f>
        <v>40.25112</v>
      </c>
    </row>
    <row r="5926" customFormat="false" ht="15" hidden="false" customHeight="false" outlineLevel="0" collapsed="false">
      <c r="A5926" s="0" t="s">
        <v>7751</v>
      </c>
      <c r="C5926" s="0" t="s">
        <v>31</v>
      </c>
      <c r="D5926" s="7" t="n">
        <v>94</v>
      </c>
      <c r="E5926" s="8" t="n">
        <v>0.107446808510638</v>
      </c>
      <c r="F5926" s="4" t="n">
        <f aca="false">D5926*E5926</f>
        <v>10.1</v>
      </c>
      <c r="G5926" s="7" t="n">
        <v>47</v>
      </c>
      <c r="H5926" s="9" t="n">
        <f aca="false">IF(G5926&gt;0,D5926/G5926,"")</f>
        <v>2</v>
      </c>
      <c r="I5926" s="10" t="n">
        <v>46087</v>
      </c>
      <c r="J5926" s="3" t="s">
        <v>1359</v>
      </c>
      <c r="K5926" s="10" t="n">
        <v>46079</v>
      </c>
      <c r="L5926" s="3" t="s">
        <v>14</v>
      </c>
      <c r="M5926" s="7" t="n">
        <v>100</v>
      </c>
      <c r="N5926" s="8" t="n">
        <v>0.1075</v>
      </c>
      <c r="O5926" s="4" t="n">
        <f aca="false">M5926*N5926</f>
        <v>10.75</v>
      </c>
    </row>
    <row r="5927" customFormat="false" ht="15" hidden="false" customHeight="false" outlineLevel="0" collapsed="false">
      <c r="A5927" s="0" t="s">
        <v>7752</v>
      </c>
      <c r="C5927" s="0" t="s">
        <v>31</v>
      </c>
      <c r="D5927" s="7" t="n">
        <v>8</v>
      </c>
      <c r="E5927" s="8" t="n">
        <v>1.26125</v>
      </c>
      <c r="F5927" s="4" t="n">
        <f aca="false">D5927*E5927</f>
        <v>10.09</v>
      </c>
      <c r="G5927" s="7" t="n">
        <v>2</v>
      </c>
      <c r="H5927" s="9" t="n">
        <f aca="false">IF(G5927&gt;0,D5927/G5927,"")</f>
        <v>4</v>
      </c>
      <c r="I5927" s="10" t="n">
        <v>46090</v>
      </c>
      <c r="J5927" s="3" t="s">
        <v>7753</v>
      </c>
      <c r="K5927" s="10" t="n">
        <v>45078</v>
      </c>
      <c r="L5927" s="3" t="s">
        <v>19</v>
      </c>
      <c r="M5927" s="7" t="n">
        <v>25</v>
      </c>
      <c r="N5927" s="8" t="n">
        <v>1.2722</v>
      </c>
      <c r="O5927" s="4" t="n">
        <f aca="false">M5927*N5927</f>
        <v>31.805</v>
      </c>
    </row>
    <row r="5928" customFormat="false" ht="15" hidden="false" customHeight="false" outlineLevel="0" collapsed="false">
      <c r="A5928" s="0" t="s">
        <v>7754</v>
      </c>
      <c r="C5928" s="0" t="s">
        <v>41</v>
      </c>
      <c r="D5928" s="7" t="n">
        <v>492</v>
      </c>
      <c r="E5928" s="8" t="n">
        <v>0.0205081300813008</v>
      </c>
      <c r="F5928" s="4" t="n">
        <f aca="false">D5928*E5928</f>
        <v>10.09</v>
      </c>
      <c r="G5928" s="7" t="n">
        <v>100</v>
      </c>
      <c r="H5928" s="9" t="n">
        <f aca="false">IF(G5928&gt;0,D5928/G5928,"")</f>
        <v>4.92</v>
      </c>
      <c r="I5928" s="10" t="n">
        <v>46279</v>
      </c>
      <c r="J5928" s="3" t="s">
        <v>1461</v>
      </c>
      <c r="K5928" s="10" t="n">
        <v>45296</v>
      </c>
      <c r="L5928" s="3" t="s">
        <v>19</v>
      </c>
      <c r="M5928" s="7" t="n">
        <v>1000</v>
      </c>
      <c r="N5928" s="8" t="n">
        <v>0.0205</v>
      </c>
      <c r="O5928" s="4" t="n">
        <f aca="false">M5928*N5928</f>
        <v>20.5</v>
      </c>
    </row>
    <row r="5929" customFormat="false" ht="15" hidden="false" customHeight="false" outlineLevel="0" collapsed="false">
      <c r="A5929" s="0" t="s">
        <v>7755</v>
      </c>
      <c r="C5929" s="0" t="s">
        <v>40</v>
      </c>
      <c r="D5929" s="7" t="n">
        <v>140</v>
      </c>
      <c r="E5929" s="8" t="n">
        <v>0.0716428571428572</v>
      </c>
      <c r="F5929" s="4" t="n">
        <f aca="false">D5929*E5929</f>
        <v>10.03</v>
      </c>
      <c r="G5929" s="7" t="n">
        <v>108</v>
      </c>
      <c r="H5929" s="9" t="n">
        <f aca="false">IF(G5929&gt;0,D5929/G5929,"")</f>
        <v>1.2962962962963</v>
      </c>
      <c r="I5929" s="10" t="n">
        <v>46202</v>
      </c>
      <c r="K5929" s="10"/>
      <c r="M5929" s="7"/>
      <c r="N5929" s="8"/>
      <c r="O5929" s="4"/>
    </row>
    <row r="5930" customFormat="false" ht="15" hidden="false" customHeight="false" outlineLevel="0" collapsed="false">
      <c r="A5930" s="0" t="s">
        <v>7756</v>
      </c>
      <c r="C5930" s="0" t="s">
        <v>31</v>
      </c>
      <c r="D5930" s="7" t="n">
        <v>51</v>
      </c>
      <c r="E5930" s="8" t="n">
        <v>0.196470588235294</v>
      </c>
      <c r="F5930" s="4" t="n">
        <f aca="false">D5930*E5930</f>
        <v>10.02</v>
      </c>
      <c r="G5930" s="7" t="n">
        <v>50</v>
      </c>
      <c r="H5930" s="9" t="n">
        <f aca="false">IF(G5930&gt;0,D5930/G5930,"")</f>
        <v>1.02</v>
      </c>
      <c r="I5930" s="10" t="n">
        <v>46122</v>
      </c>
      <c r="J5930" s="3" t="s">
        <v>2723</v>
      </c>
      <c r="K5930" s="10" t="n">
        <v>46084</v>
      </c>
      <c r="L5930" s="3" t="s">
        <v>19</v>
      </c>
      <c r="M5930" s="7" t="n">
        <v>100</v>
      </c>
      <c r="N5930" s="8" t="n">
        <v>0.1984</v>
      </c>
      <c r="O5930" s="4" t="n">
        <f aca="false">M5930*N5930</f>
        <v>19.84</v>
      </c>
    </row>
    <row r="5931" customFormat="false" ht="15" hidden="false" customHeight="false" outlineLevel="0" collapsed="false">
      <c r="A5931" s="0" t="s">
        <v>7757</v>
      </c>
      <c r="C5931" s="0" t="s">
        <v>889</v>
      </c>
      <c r="D5931" s="7" t="n">
        <v>1088</v>
      </c>
      <c r="E5931" s="8" t="n">
        <v>0.00920036764705882</v>
      </c>
      <c r="F5931" s="4" t="n">
        <f aca="false">D5931*E5931</f>
        <v>10.01</v>
      </c>
      <c r="G5931" s="7" t="n">
        <v>292</v>
      </c>
      <c r="H5931" s="9" t="n">
        <f aca="false">IF(G5931&gt;0,D5931/G5931,"")</f>
        <v>3.72602739726027</v>
      </c>
      <c r="I5931" s="10" t="n">
        <v>46105</v>
      </c>
      <c r="K5931" s="10"/>
      <c r="M5931" s="7"/>
      <c r="N5931" s="8"/>
      <c r="O5931" s="4"/>
    </row>
    <row r="5932" customFormat="false" ht="15" hidden="false" customHeight="false" outlineLevel="0" collapsed="false">
      <c r="A5932" s="0" t="s">
        <v>7758</v>
      </c>
      <c r="C5932" s="0" t="s">
        <v>45</v>
      </c>
      <c r="D5932" s="7" t="n">
        <v>96</v>
      </c>
      <c r="E5932" s="8" t="n">
        <v>0.104270833333333</v>
      </c>
      <c r="F5932" s="4" t="n">
        <f aca="false">D5932*E5932</f>
        <v>10.01</v>
      </c>
      <c r="G5932" s="7" t="n">
        <v>80</v>
      </c>
      <c r="H5932" s="9" t="n">
        <f aca="false">IF(G5932&gt;0,D5932/G5932,"")</f>
        <v>1.2</v>
      </c>
      <c r="I5932" s="10" t="n">
        <v>46056</v>
      </c>
      <c r="J5932" s="3" t="s">
        <v>7759</v>
      </c>
      <c r="K5932" s="10" t="n">
        <v>45155</v>
      </c>
      <c r="L5932" s="3" t="s">
        <v>23</v>
      </c>
      <c r="M5932" s="7" t="n">
        <v>500</v>
      </c>
      <c r="N5932" s="8" t="n">
        <v>0.1042</v>
      </c>
      <c r="O5932" s="4" t="n">
        <f aca="false">M5932*N5932</f>
        <v>52.1</v>
      </c>
    </row>
    <row r="5933" customFormat="false" ht="15" hidden="false" customHeight="false" outlineLevel="0" collapsed="false">
      <c r="A5933" s="0" t="s">
        <v>7760</v>
      </c>
      <c r="C5933" s="0" t="s">
        <v>765</v>
      </c>
      <c r="D5933" s="7" t="n">
        <v>10</v>
      </c>
      <c r="E5933" s="8" t="n">
        <v>0.999</v>
      </c>
      <c r="F5933" s="4" t="n">
        <f aca="false">D5933*E5933</f>
        <v>9.99</v>
      </c>
      <c r="G5933" s="7" t="n">
        <v>4</v>
      </c>
      <c r="H5933" s="9" t="n">
        <f aca="false">IF(G5933&gt;0,D5933/G5933,"")</f>
        <v>2.5</v>
      </c>
      <c r="I5933" s="10" t="n">
        <v>46171</v>
      </c>
      <c r="J5933" s="3" t="s">
        <v>3238</v>
      </c>
      <c r="K5933" s="10" t="n">
        <v>45531</v>
      </c>
      <c r="L5933" s="3" t="s">
        <v>14</v>
      </c>
      <c r="M5933" s="7" t="n">
        <v>25</v>
      </c>
      <c r="N5933" s="8" t="n">
        <v>0.9988</v>
      </c>
      <c r="O5933" s="4" t="n">
        <f aca="false">M5933*N5933</f>
        <v>24.97</v>
      </c>
    </row>
    <row r="5934" customFormat="false" ht="15" hidden="false" customHeight="false" outlineLevel="0" collapsed="false">
      <c r="A5934" s="0" t="s">
        <v>7761</v>
      </c>
      <c r="C5934" s="0" t="s">
        <v>34</v>
      </c>
      <c r="D5934" s="7" t="n">
        <v>8</v>
      </c>
      <c r="E5934" s="8" t="n">
        <v>1.24875</v>
      </c>
      <c r="F5934" s="4" t="n">
        <f aca="false">D5934*E5934</f>
        <v>9.99</v>
      </c>
      <c r="G5934" s="7" t="n">
        <v>5</v>
      </c>
      <c r="H5934" s="9" t="n">
        <f aca="false">IF(G5934&gt;0,D5934/G5934,"")</f>
        <v>1.6</v>
      </c>
      <c r="I5934" s="10" t="n">
        <v>46168</v>
      </c>
      <c r="K5934" s="10"/>
      <c r="M5934" s="7"/>
      <c r="N5934" s="8"/>
      <c r="O5934" s="4"/>
    </row>
    <row r="5935" customFormat="false" ht="15" hidden="false" customHeight="false" outlineLevel="0" collapsed="false">
      <c r="A5935" s="0" t="s">
        <v>7762</v>
      </c>
      <c r="C5935" s="0" t="s">
        <v>31</v>
      </c>
      <c r="D5935" s="7" t="n">
        <v>102</v>
      </c>
      <c r="E5935" s="8" t="n">
        <v>0.0976470588235294</v>
      </c>
      <c r="F5935" s="4" t="n">
        <f aca="false">D5935*E5935</f>
        <v>9.96</v>
      </c>
      <c r="G5935" s="7" t="n">
        <v>4</v>
      </c>
      <c r="H5935" s="9" t="n">
        <f aca="false">IF(G5935&gt;0,D5935/G5935,"")</f>
        <v>25.5</v>
      </c>
      <c r="I5935" s="10" t="n">
        <v>45957</v>
      </c>
      <c r="J5935" s="3" t="s">
        <v>693</v>
      </c>
      <c r="K5935" s="10" t="n">
        <v>46304</v>
      </c>
      <c r="L5935" s="3" t="s">
        <v>14</v>
      </c>
      <c r="M5935" s="7" t="n">
        <v>100</v>
      </c>
      <c r="N5935" s="8" t="n">
        <v>0.0927</v>
      </c>
      <c r="O5935" s="4" t="n">
        <f aca="false">M5935*N5935</f>
        <v>9.27</v>
      </c>
    </row>
    <row r="5936" customFormat="false" ht="15" hidden="false" customHeight="false" outlineLevel="0" collapsed="false">
      <c r="A5936" s="0" t="s">
        <v>7763</v>
      </c>
      <c r="C5936" s="0" t="s">
        <v>855</v>
      </c>
      <c r="D5936" s="7" t="n">
        <v>107</v>
      </c>
      <c r="E5936" s="8" t="n">
        <v>0.0929906542056075</v>
      </c>
      <c r="F5936" s="4" t="n">
        <f aca="false">D5936*E5936</f>
        <v>9.95</v>
      </c>
      <c r="G5936" s="7" t="n">
        <v>35</v>
      </c>
      <c r="H5936" s="9" t="n">
        <f aca="false">IF(G5936&gt;0,D5936/G5936,"")</f>
        <v>3.05714285714286</v>
      </c>
      <c r="I5936" s="10" t="n">
        <v>46142</v>
      </c>
      <c r="K5936" s="10"/>
      <c r="M5936" s="7"/>
      <c r="N5936" s="8"/>
      <c r="O5936" s="4"/>
    </row>
    <row r="5937" customFormat="false" ht="15" hidden="false" customHeight="false" outlineLevel="0" collapsed="false">
      <c r="A5937" s="0" t="s">
        <v>7764</v>
      </c>
      <c r="C5937" s="0" t="s">
        <v>40</v>
      </c>
      <c r="D5937" s="7" t="n">
        <v>211</v>
      </c>
      <c r="E5937" s="8" t="n">
        <v>0.0470142180094787</v>
      </c>
      <c r="F5937" s="4" t="n">
        <f aca="false">D5937*E5937</f>
        <v>9.92</v>
      </c>
      <c r="G5937" s="7" t="n">
        <v>80</v>
      </c>
      <c r="H5937" s="9" t="n">
        <f aca="false">IF(G5937&gt;0,D5937/G5937,"")</f>
        <v>2.6375</v>
      </c>
      <c r="I5937" s="10" t="n">
        <v>46231</v>
      </c>
      <c r="K5937" s="10"/>
      <c r="M5937" s="7"/>
      <c r="N5937" s="8"/>
      <c r="O5937" s="4"/>
    </row>
    <row r="5938" customFormat="false" ht="15" hidden="false" customHeight="false" outlineLevel="0" collapsed="false">
      <c r="A5938" s="0" t="s">
        <v>7765</v>
      </c>
      <c r="C5938" s="0" t="s">
        <v>31</v>
      </c>
      <c r="D5938" s="7" t="n">
        <v>22</v>
      </c>
      <c r="E5938" s="8" t="n">
        <v>0.449090909090909</v>
      </c>
      <c r="F5938" s="4" t="n">
        <f aca="false">D5938*E5938</f>
        <v>9.88</v>
      </c>
      <c r="G5938" s="7" t="n">
        <v>5</v>
      </c>
      <c r="H5938" s="9" t="n">
        <f aca="false">IF(G5938&gt;0,D5938/G5938,"")</f>
        <v>4.4</v>
      </c>
      <c r="I5938" s="10" t="n">
        <v>46051</v>
      </c>
      <c r="K5938" s="10"/>
      <c r="M5938" s="7"/>
      <c r="N5938" s="8"/>
      <c r="O5938" s="4"/>
    </row>
    <row r="5939" customFormat="false" ht="15" hidden="false" customHeight="false" outlineLevel="0" collapsed="false">
      <c r="A5939" s="0" t="s">
        <v>7766</v>
      </c>
      <c r="C5939" s="0" t="s">
        <v>34</v>
      </c>
      <c r="D5939" s="7" t="n">
        <v>15</v>
      </c>
      <c r="E5939" s="8" t="n">
        <v>0.658666666666667</v>
      </c>
      <c r="F5939" s="4" t="n">
        <f aca="false">D5939*E5939</f>
        <v>9.88</v>
      </c>
      <c r="G5939" s="7" t="n">
        <v>10</v>
      </c>
      <c r="H5939" s="9" t="n">
        <f aca="false">IF(G5939&gt;0,D5939/G5939,"")</f>
        <v>1.5</v>
      </c>
      <c r="I5939" s="10" t="n">
        <v>46301</v>
      </c>
      <c r="J5939" s="3" t="s">
        <v>6692</v>
      </c>
      <c r="K5939" s="10" t="n">
        <v>46295</v>
      </c>
      <c r="L5939" s="3" t="s">
        <v>19</v>
      </c>
      <c r="M5939" s="7" t="n">
        <v>25</v>
      </c>
      <c r="N5939" s="8" t="n">
        <v>0.6584</v>
      </c>
      <c r="O5939" s="4" t="n">
        <f aca="false">M5939*N5939</f>
        <v>16.46</v>
      </c>
    </row>
    <row r="5940" customFormat="false" ht="15" hidden="false" customHeight="false" outlineLevel="0" collapsed="false">
      <c r="A5940" s="0" t="s">
        <v>7767</v>
      </c>
      <c r="C5940" s="0" t="s">
        <v>40</v>
      </c>
      <c r="D5940" s="7" t="n">
        <v>771</v>
      </c>
      <c r="E5940" s="8" t="n">
        <v>0.0128015564202335</v>
      </c>
      <c r="F5940" s="4" t="n">
        <f aca="false">D5940*E5940</f>
        <v>9.87</v>
      </c>
      <c r="G5940" s="7" t="n">
        <v>342</v>
      </c>
      <c r="H5940" s="9" t="n">
        <f aca="false">IF(G5940&gt;0,D5940/G5940,"")</f>
        <v>2.25438596491228</v>
      </c>
      <c r="I5940" s="10" t="n">
        <v>46247</v>
      </c>
      <c r="J5940" s="3" t="s">
        <v>4375</v>
      </c>
      <c r="K5940" s="10" t="n">
        <v>44683</v>
      </c>
      <c r="L5940" s="3" t="s">
        <v>18</v>
      </c>
      <c r="M5940" s="7" t="n">
        <v>2097</v>
      </c>
      <c r="N5940" s="8" t="n">
        <v>0.0128</v>
      </c>
      <c r="O5940" s="4" t="n">
        <f aca="false">M5940*N5940</f>
        <v>26.8416</v>
      </c>
    </row>
    <row r="5941" customFormat="false" ht="15" hidden="false" customHeight="false" outlineLevel="0" collapsed="false">
      <c r="A5941" s="0" t="s">
        <v>7768</v>
      </c>
      <c r="C5941" s="0" t="s">
        <v>31</v>
      </c>
      <c r="D5941" s="7" t="n">
        <v>175</v>
      </c>
      <c r="E5941" s="8" t="n">
        <v>0.0563428571428572</v>
      </c>
      <c r="F5941" s="4" t="n">
        <f aca="false">D5941*E5941</f>
        <v>9.86</v>
      </c>
      <c r="G5941" s="7" t="n">
        <v>59</v>
      </c>
      <c r="H5941" s="9" t="n">
        <f aca="false">IF(G5941&gt;0,D5941/G5941,"")</f>
        <v>2.96610169491525</v>
      </c>
      <c r="I5941" s="10" t="n">
        <v>46296</v>
      </c>
      <c r="J5941" s="3" t="s">
        <v>1416</v>
      </c>
      <c r="K5941" s="10" t="n">
        <v>44484</v>
      </c>
      <c r="L5941" s="3" t="s">
        <v>19</v>
      </c>
      <c r="M5941" s="7" t="n">
        <v>1728</v>
      </c>
      <c r="N5941" s="8" t="n">
        <v>0.0563</v>
      </c>
      <c r="O5941" s="4" t="n">
        <f aca="false">M5941*N5941</f>
        <v>97.2864</v>
      </c>
    </row>
    <row r="5942" customFormat="false" ht="15" hidden="false" customHeight="false" outlineLevel="0" collapsed="false">
      <c r="A5942" s="0" t="s">
        <v>7769</v>
      </c>
      <c r="C5942" s="0" t="s">
        <v>118</v>
      </c>
      <c r="D5942" s="7" t="n">
        <v>39</v>
      </c>
      <c r="E5942" s="8" t="n">
        <v>0.252307692307692</v>
      </c>
      <c r="F5942" s="4" t="n">
        <f aca="false">D5942*E5942</f>
        <v>9.84</v>
      </c>
      <c r="G5942" s="7" t="n">
        <v>23</v>
      </c>
      <c r="H5942" s="9" t="n">
        <f aca="false">IF(G5942&gt;0,D5942/G5942,"")</f>
        <v>1.69565217391304</v>
      </c>
      <c r="I5942" s="10" t="n">
        <v>46308</v>
      </c>
      <c r="J5942" s="3" t="s">
        <v>7770</v>
      </c>
      <c r="K5942" s="10" t="n">
        <v>44685</v>
      </c>
      <c r="L5942" s="3" t="s">
        <v>19</v>
      </c>
      <c r="M5942" s="7" t="n">
        <v>100</v>
      </c>
      <c r="N5942" s="8" t="n">
        <v>0.2527</v>
      </c>
      <c r="O5942" s="4" t="n">
        <f aca="false">M5942*N5942</f>
        <v>25.27</v>
      </c>
    </row>
    <row r="5943" customFormat="false" ht="15" hidden="false" customHeight="false" outlineLevel="0" collapsed="false">
      <c r="A5943" s="0" t="s">
        <v>7771</v>
      </c>
      <c r="C5943" s="0" t="s">
        <v>41</v>
      </c>
      <c r="D5943" s="7" t="n">
        <v>387</v>
      </c>
      <c r="E5943" s="8" t="n">
        <v>0.0254005167958656</v>
      </c>
      <c r="F5943" s="4" t="n">
        <f aca="false">D5943*E5943</f>
        <v>9.83</v>
      </c>
      <c r="G5943" s="7" t="n">
        <v>40</v>
      </c>
      <c r="H5943" s="9" t="n">
        <f aca="false">IF(G5943&gt;0,D5943/G5943,"")</f>
        <v>9.675</v>
      </c>
      <c r="I5943" s="10" t="n">
        <v>46244</v>
      </c>
      <c r="K5943" s="10"/>
      <c r="M5943" s="7"/>
      <c r="N5943" s="8"/>
      <c r="O5943" s="4"/>
    </row>
    <row r="5944" customFormat="false" ht="15" hidden="false" customHeight="false" outlineLevel="0" collapsed="false">
      <c r="A5944" s="0" t="s">
        <v>7772</v>
      </c>
      <c r="C5944" s="0" t="s">
        <v>31</v>
      </c>
      <c r="D5944" s="7" t="n">
        <v>138</v>
      </c>
      <c r="E5944" s="8" t="n">
        <v>0.0710869565217391</v>
      </c>
      <c r="F5944" s="4" t="n">
        <f aca="false">D5944*E5944</f>
        <v>9.81</v>
      </c>
      <c r="G5944" s="7" t="n">
        <v>9</v>
      </c>
      <c r="H5944" s="9" t="n">
        <f aca="false">IF(G5944&gt;0,D5944/G5944,"")</f>
        <v>15.3333333333333</v>
      </c>
      <c r="I5944" s="10" t="n">
        <v>45953</v>
      </c>
      <c r="J5944" s="3" t="s">
        <v>3123</v>
      </c>
      <c r="K5944" s="10" t="n">
        <v>44643</v>
      </c>
      <c r="L5944" s="3" t="s">
        <v>19</v>
      </c>
      <c r="M5944" s="7" t="n">
        <v>262</v>
      </c>
      <c r="N5944" s="8" t="n">
        <v>0</v>
      </c>
      <c r="O5944" s="4" t="n">
        <v>19.475</v>
      </c>
    </row>
    <row r="5945" customFormat="false" ht="15" hidden="false" customHeight="false" outlineLevel="0" collapsed="false">
      <c r="A5945" s="0" t="s">
        <v>7773</v>
      </c>
      <c r="C5945" s="0" t="s">
        <v>31</v>
      </c>
      <c r="D5945" s="7" t="n">
        <v>255</v>
      </c>
      <c r="E5945" s="8" t="n">
        <v>0.0384705882352941</v>
      </c>
      <c r="F5945" s="4" t="n">
        <f aca="false">D5945*E5945</f>
        <v>9.81</v>
      </c>
      <c r="G5945" s="7" t="n">
        <v>78</v>
      </c>
      <c r="H5945" s="9" t="n">
        <f aca="false">IF(G5945&gt;0,D5945/G5945,"")</f>
        <v>3.26923076923077</v>
      </c>
      <c r="I5945" s="10" t="n">
        <v>46310</v>
      </c>
      <c r="J5945" s="3" t="s">
        <v>570</v>
      </c>
      <c r="K5945" s="10" t="n">
        <v>46106</v>
      </c>
      <c r="L5945" s="3" t="s">
        <v>16</v>
      </c>
      <c r="M5945" s="7" t="n">
        <v>333</v>
      </c>
      <c r="N5945" s="8" t="n">
        <v>0.0385</v>
      </c>
      <c r="O5945" s="4" t="n">
        <f aca="false">M5945*N5945</f>
        <v>12.8205</v>
      </c>
    </row>
    <row r="5946" customFormat="false" ht="15" hidden="false" customHeight="false" outlineLevel="0" collapsed="false">
      <c r="A5946" s="0" t="s">
        <v>7774</v>
      </c>
      <c r="C5946" s="0" t="s">
        <v>34</v>
      </c>
      <c r="D5946" s="7" t="n">
        <v>57</v>
      </c>
      <c r="E5946" s="8" t="n">
        <v>0.172105263157895</v>
      </c>
      <c r="F5946" s="4" t="n">
        <f aca="false">D5946*E5946</f>
        <v>9.81</v>
      </c>
      <c r="G5946" s="7" t="n">
        <v>12</v>
      </c>
      <c r="H5946" s="9" t="n">
        <f aca="false">IF(G5946&gt;0,D5946/G5946,"")</f>
        <v>4.75</v>
      </c>
      <c r="I5946" s="10" t="n">
        <v>46062</v>
      </c>
      <c r="J5946" s="3" t="s">
        <v>5993</v>
      </c>
      <c r="K5946" s="10" t="n">
        <v>44327</v>
      </c>
      <c r="L5946" s="3" t="s">
        <v>19</v>
      </c>
      <c r="M5946" s="7" t="n">
        <v>100</v>
      </c>
      <c r="N5946" s="8" t="n">
        <v>0.1719</v>
      </c>
      <c r="O5946" s="4" t="n">
        <f aca="false">M5946*N5946</f>
        <v>17.19</v>
      </c>
    </row>
    <row r="5947" customFormat="false" ht="15" hidden="false" customHeight="false" outlineLevel="0" collapsed="false">
      <c r="A5947" s="0" t="s">
        <v>7775</v>
      </c>
      <c r="C5947" s="0" t="s">
        <v>33</v>
      </c>
      <c r="D5947" s="7" t="n">
        <v>10</v>
      </c>
      <c r="E5947" s="8" t="n">
        <v>0.981</v>
      </c>
      <c r="F5947" s="4" t="n">
        <f aca="false">D5947*E5947</f>
        <v>9.81</v>
      </c>
      <c r="G5947" s="7" t="n">
        <v>10</v>
      </c>
      <c r="H5947" s="9" t="n">
        <f aca="false">IF(G5947&gt;0,D5947/G5947,"")</f>
        <v>1</v>
      </c>
      <c r="I5947" s="10" t="n">
        <v>46274</v>
      </c>
      <c r="K5947" s="10"/>
      <c r="M5947" s="7"/>
      <c r="N5947" s="8"/>
      <c r="O5947" s="4"/>
    </row>
    <row r="5948" customFormat="false" ht="15" hidden="false" customHeight="false" outlineLevel="0" collapsed="false">
      <c r="A5948" s="0" t="s">
        <v>7776</v>
      </c>
      <c r="C5948" s="0" t="s">
        <v>31</v>
      </c>
      <c r="D5948" s="7" t="n">
        <v>68</v>
      </c>
      <c r="E5948" s="8" t="n">
        <v>0.144264705882353</v>
      </c>
      <c r="F5948" s="4" t="n">
        <f aca="false">D5948*E5948</f>
        <v>9.81</v>
      </c>
      <c r="G5948" s="7" t="n">
        <v>19</v>
      </c>
      <c r="H5948" s="9" t="n">
        <f aca="false">IF(G5948&gt;0,D5948/G5948,"")</f>
        <v>3.57894736842105</v>
      </c>
      <c r="I5948" s="10" t="n">
        <v>46090</v>
      </c>
      <c r="J5948" s="3" t="s">
        <v>6172</v>
      </c>
      <c r="K5948" s="10" t="n">
        <v>45455</v>
      </c>
      <c r="L5948" s="3" t="s">
        <v>19</v>
      </c>
      <c r="M5948" s="7" t="n">
        <v>104</v>
      </c>
      <c r="N5948" s="8" t="n">
        <v>0.48387</v>
      </c>
      <c r="O5948" s="4" t="n">
        <v>25.52657</v>
      </c>
    </row>
    <row r="5949" customFormat="false" ht="15" hidden="false" customHeight="false" outlineLevel="0" collapsed="false">
      <c r="A5949" s="0" t="s">
        <v>7777</v>
      </c>
      <c r="C5949" s="0" t="s">
        <v>855</v>
      </c>
      <c r="D5949" s="7" t="n">
        <v>69</v>
      </c>
      <c r="E5949" s="8" t="n">
        <v>0.142028985507246</v>
      </c>
      <c r="F5949" s="4" t="n">
        <f aca="false">D5949*E5949</f>
        <v>9.8</v>
      </c>
      <c r="G5949" s="7" t="n">
        <v>10</v>
      </c>
      <c r="H5949" s="9" t="n">
        <f aca="false">IF(G5949&gt;0,D5949/G5949,"")</f>
        <v>6.9</v>
      </c>
      <c r="I5949" s="10" t="n">
        <v>46296</v>
      </c>
      <c r="J5949" s="3" t="s">
        <v>6911</v>
      </c>
      <c r="K5949" s="10" t="n">
        <v>44441</v>
      </c>
      <c r="L5949" s="3" t="s">
        <v>19</v>
      </c>
      <c r="M5949" s="7" t="n">
        <v>103</v>
      </c>
      <c r="N5949" s="8" t="n">
        <v>0.1484</v>
      </c>
      <c r="O5949" s="4" t="n">
        <v>14.84</v>
      </c>
    </row>
    <row r="5950" customFormat="false" ht="15" hidden="false" customHeight="false" outlineLevel="0" collapsed="false">
      <c r="A5950" s="0" t="s">
        <v>7778</v>
      </c>
      <c r="C5950" s="0" t="s">
        <v>118</v>
      </c>
      <c r="D5950" s="7" t="n">
        <v>359</v>
      </c>
      <c r="E5950" s="8" t="n">
        <v>0.0272980501392758</v>
      </c>
      <c r="F5950" s="4" t="n">
        <f aca="false">D5950*E5950</f>
        <v>9.8</v>
      </c>
      <c r="G5950" s="7" t="n">
        <v>93</v>
      </c>
      <c r="H5950" s="9" t="n">
        <f aca="false">IF(G5950&gt;0,D5950/G5950,"")</f>
        <v>3.86021505376344</v>
      </c>
      <c r="I5950" s="10" t="n">
        <v>46099</v>
      </c>
      <c r="K5950" s="10"/>
      <c r="M5950" s="7"/>
      <c r="N5950" s="8"/>
      <c r="O5950" s="4"/>
    </row>
    <row r="5951" customFormat="false" ht="15" hidden="false" customHeight="false" outlineLevel="0" collapsed="false">
      <c r="A5951" s="0" t="s">
        <v>7779</v>
      </c>
      <c r="C5951" s="0" t="s">
        <v>61</v>
      </c>
      <c r="D5951" s="7" t="n">
        <v>107</v>
      </c>
      <c r="E5951" s="8" t="n">
        <v>0.0914953271028037</v>
      </c>
      <c r="F5951" s="4" t="n">
        <f aca="false">D5951*E5951</f>
        <v>9.79</v>
      </c>
      <c r="G5951" s="7" t="n">
        <v>15</v>
      </c>
      <c r="H5951" s="9" t="n">
        <f aca="false">IF(G5951&gt;0,D5951/G5951,"")</f>
        <v>7.13333333333333</v>
      </c>
      <c r="I5951" s="10" t="n">
        <v>45957</v>
      </c>
      <c r="K5951" s="10"/>
      <c r="M5951" s="7"/>
      <c r="N5951" s="8"/>
      <c r="O5951" s="4"/>
    </row>
    <row r="5952" customFormat="false" ht="15" hidden="false" customHeight="false" outlineLevel="0" collapsed="false">
      <c r="A5952" s="0" t="s">
        <v>7780</v>
      </c>
      <c r="C5952" s="0" t="s">
        <v>340</v>
      </c>
      <c r="D5952" s="7" t="n">
        <v>21</v>
      </c>
      <c r="E5952" s="8" t="n">
        <v>0.465238095238095</v>
      </c>
      <c r="F5952" s="4" t="n">
        <f aca="false">D5952*E5952</f>
        <v>9.77</v>
      </c>
      <c r="G5952" s="7" t="n">
        <v>20</v>
      </c>
      <c r="H5952" s="9" t="n">
        <f aca="false">IF(G5952&gt;0,D5952/G5952,"")</f>
        <v>1.05</v>
      </c>
      <c r="I5952" s="10" t="n">
        <v>46157</v>
      </c>
      <c r="J5952" s="3" t="s">
        <v>620</v>
      </c>
      <c r="K5952" s="10" t="n">
        <v>46146</v>
      </c>
      <c r="L5952" s="3" t="s">
        <v>16</v>
      </c>
      <c r="M5952" s="7" t="n">
        <v>43</v>
      </c>
      <c r="N5952" s="8" t="n">
        <v>0.465116</v>
      </c>
      <c r="O5952" s="4" t="n">
        <f aca="false">M5952*N5952</f>
        <v>19.999988</v>
      </c>
    </row>
    <row r="5953" customFormat="false" ht="15" hidden="false" customHeight="false" outlineLevel="0" collapsed="false">
      <c r="A5953" s="0" t="s">
        <v>7781</v>
      </c>
      <c r="C5953" s="0" t="s">
        <v>1169</v>
      </c>
      <c r="D5953" s="7" t="n">
        <v>61</v>
      </c>
      <c r="E5953" s="8" t="n">
        <v>0.16</v>
      </c>
      <c r="F5953" s="4" t="n">
        <f aca="false">D5953*E5953</f>
        <v>9.76</v>
      </c>
      <c r="G5953" s="7" t="n">
        <v>10</v>
      </c>
      <c r="H5953" s="9" t="n">
        <f aca="false">IF(G5953&gt;0,D5953/G5953,"")</f>
        <v>6.1</v>
      </c>
      <c r="I5953" s="10" t="n">
        <v>46034</v>
      </c>
      <c r="J5953" s="3" t="s">
        <v>3269</v>
      </c>
      <c r="K5953" s="10" t="n">
        <v>44960</v>
      </c>
      <c r="L5953" s="3" t="s">
        <v>2203</v>
      </c>
      <c r="M5953" s="7" t="n">
        <v>500</v>
      </c>
      <c r="N5953" s="8" t="n">
        <v>0.16</v>
      </c>
      <c r="O5953" s="4" t="n">
        <f aca="false">M5953*N5953</f>
        <v>80</v>
      </c>
    </row>
    <row r="5954" customFormat="false" ht="15" hidden="false" customHeight="false" outlineLevel="0" collapsed="false">
      <c r="A5954" s="0" t="s">
        <v>7782</v>
      </c>
      <c r="C5954" s="0" t="s">
        <v>40</v>
      </c>
      <c r="D5954" s="7" t="n">
        <v>20</v>
      </c>
      <c r="E5954" s="8" t="n">
        <v>0.4875</v>
      </c>
      <c r="F5954" s="4" t="n">
        <f aca="false">D5954*E5954</f>
        <v>9.75</v>
      </c>
      <c r="G5954" s="7" t="n">
        <v>5</v>
      </c>
      <c r="H5954" s="9" t="n">
        <f aca="false">IF(G5954&gt;0,D5954/G5954,"")</f>
        <v>4</v>
      </c>
      <c r="I5954" s="10" t="n">
        <v>46083</v>
      </c>
      <c r="K5954" s="10"/>
      <c r="M5954" s="7"/>
      <c r="N5954" s="8"/>
      <c r="O5954" s="4"/>
    </row>
    <row r="5955" customFormat="false" ht="15" hidden="false" customHeight="false" outlineLevel="0" collapsed="false">
      <c r="A5955" s="0" t="s">
        <v>7783</v>
      </c>
      <c r="C5955" s="0" t="s">
        <v>31</v>
      </c>
      <c r="D5955" s="7" t="n">
        <v>65</v>
      </c>
      <c r="E5955" s="8" t="n">
        <v>0.15</v>
      </c>
      <c r="F5955" s="4" t="n">
        <f aca="false">D5955*E5955</f>
        <v>9.75</v>
      </c>
      <c r="G5955" s="7" t="n">
        <v>35</v>
      </c>
      <c r="H5955" s="9" t="n">
        <f aca="false">IF(G5955&gt;0,D5955/G5955,"")</f>
        <v>1.85714285714286</v>
      </c>
      <c r="I5955" s="10" t="n">
        <v>46224</v>
      </c>
      <c r="J5955" s="3" t="s">
        <v>7784</v>
      </c>
      <c r="K5955" s="10" t="n">
        <v>46220</v>
      </c>
      <c r="L5955" s="3" t="s">
        <v>19</v>
      </c>
      <c r="M5955" s="7" t="n">
        <v>100</v>
      </c>
      <c r="N5955" s="8" t="n">
        <v>0.15</v>
      </c>
      <c r="O5955" s="4" t="n">
        <f aca="false">M5955*N5955</f>
        <v>15</v>
      </c>
    </row>
    <row r="5956" customFormat="false" ht="15" hidden="false" customHeight="false" outlineLevel="0" collapsed="false">
      <c r="A5956" s="0" t="s">
        <v>7785</v>
      </c>
      <c r="C5956" s="0" t="s">
        <v>41</v>
      </c>
      <c r="D5956" s="7" t="n">
        <v>182</v>
      </c>
      <c r="E5956" s="8" t="n">
        <v>0.0535714285714286</v>
      </c>
      <c r="F5956" s="4" t="n">
        <f aca="false">D5956*E5956</f>
        <v>9.75</v>
      </c>
      <c r="G5956" s="7" t="n">
        <v>26</v>
      </c>
      <c r="H5956" s="9" t="n">
        <f aca="false">IF(G5956&gt;0,D5956/G5956,"")</f>
        <v>7</v>
      </c>
      <c r="I5956" s="10" t="n">
        <v>46126</v>
      </c>
      <c r="J5956" s="3" t="s">
        <v>4704</v>
      </c>
      <c r="K5956" s="10" t="n">
        <v>44222</v>
      </c>
      <c r="L5956" s="3" t="s">
        <v>19</v>
      </c>
      <c r="M5956" s="7" t="n">
        <v>250</v>
      </c>
      <c r="N5956" s="8" t="n">
        <v>0.0536</v>
      </c>
      <c r="O5956" s="4" t="n">
        <f aca="false">M5956*N5956</f>
        <v>13.4</v>
      </c>
    </row>
    <row r="5957" customFormat="false" ht="15" hidden="false" customHeight="false" outlineLevel="0" collapsed="false">
      <c r="A5957" s="0" t="s">
        <v>7786</v>
      </c>
      <c r="C5957" s="0" t="s">
        <v>855</v>
      </c>
      <c r="D5957" s="7" t="n">
        <v>60</v>
      </c>
      <c r="E5957" s="8" t="n">
        <v>0.162333333333333</v>
      </c>
      <c r="F5957" s="4" t="n">
        <f aca="false">D5957*E5957</f>
        <v>9.74</v>
      </c>
      <c r="G5957" s="7" t="n">
        <v>10</v>
      </c>
      <c r="H5957" s="9" t="n">
        <f aca="false">IF(G5957&gt;0,D5957/G5957,"")</f>
        <v>6</v>
      </c>
      <c r="I5957" s="10" t="n">
        <v>46240</v>
      </c>
      <c r="K5957" s="10"/>
      <c r="M5957" s="7"/>
      <c r="N5957" s="8"/>
      <c r="O5957" s="4"/>
    </row>
    <row r="5958" customFormat="false" ht="15" hidden="false" customHeight="false" outlineLevel="0" collapsed="false">
      <c r="A5958" s="0" t="s">
        <v>7787</v>
      </c>
      <c r="C5958" s="0" t="s">
        <v>1802</v>
      </c>
      <c r="D5958" s="7" t="n">
        <v>9</v>
      </c>
      <c r="E5958" s="8" t="n">
        <v>1.08111111111111</v>
      </c>
      <c r="F5958" s="4" t="n">
        <f aca="false">D5958*E5958</f>
        <v>9.73</v>
      </c>
      <c r="G5958" s="7" t="n">
        <v>1</v>
      </c>
      <c r="H5958" s="9" t="n">
        <f aca="false">IF(G5958&gt;0,D5958/G5958,"")</f>
        <v>9</v>
      </c>
      <c r="I5958" s="10" t="n">
        <v>46097</v>
      </c>
      <c r="K5958" s="10"/>
      <c r="M5958" s="7"/>
      <c r="N5958" s="8"/>
      <c r="O5958" s="4"/>
    </row>
    <row r="5959" customFormat="false" ht="15" hidden="false" customHeight="false" outlineLevel="0" collapsed="false">
      <c r="A5959" s="0" t="s">
        <v>7788</v>
      </c>
      <c r="C5959" s="0" t="s">
        <v>679</v>
      </c>
      <c r="D5959" s="7" t="n">
        <v>22</v>
      </c>
      <c r="E5959" s="8" t="n">
        <v>0.44</v>
      </c>
      <c r="F5959" s="4" t="n">
        <f aca="false">D5959*E5959</f>
        <v>9.68</v>
      </c>
      <c r="G5959" s="7" t="n">
        <v>17</v>
      </c>
      <c r="H5959" s="9" t="n">
        <f aca="false">IF(G5959&gt;0,D5959/G5959,"")</f>
        <v>1.29411764705882</v>
      </c>
      <c r="I5959" s="10" t="n">
        <v>46206</v>
      </c>
      <c r="K5959" s="10"/>
      <c r="M5959" s="7"/>
      <c r="N5959" s="8"/>
      <c r="O5959" s="4"/>
    </row>
    <row r="5960" customFormat="false" ht="15" hidden="false" customHeight="false" outlineLevel="0" collapsed="false">
      <c r="A5960" s="0" t="s">
        <v>7789</v>
      </c>
      <c r="C5960" s="0" t="s">
        <v>31</v>
      </c>
      <c r="D5960" s="7" t="n">
        <v>209</v>
      </c>
      <c r="E5960" s="8" t="n">
        <v>0.0463157894736842</v>
      </c>
      <c r="F5960" s="4" t="n">
        <f aca="false">D5960*E5960</f>
        <v>9.68</v>
      </c>
      <c r="G5960" s="7" t="n">
        <v>30</v>
      </c>
      <c r="H5960" s="9" t="n">
        <f aca="false">IF(G5960&gt;0,D5960/G5960,"")</f>
        <v>6.96666666666667</v>
      </c>
      <c r="I5960" s="10" t="n">
        <v>46300</v>
      </c>
      <c r="J5960" s="3" t="s">
        <v>5852</v>
      </c>
      <c r="K5960" s="10" t="n">
        <v>45487</v>
      </c>
      <c r="L5960" s="3" t="s">
        <v>15</v>
      </c>
      <c r="M5960" s="7" t="n">
        <v>319</v>
      </c>
      <c r="N5960" s="8" t="n">
        <v>0.04635</v>
      </c>
      <c r="O5960" s="4" t="n">
        <f aca="false">M5960*N5960</f>
        <v>14.78565</v>
      </c>
    </row>
    <row r="5961" customFormat="false" ht="15" hidden="false" customHeight="false" outlineLevel="0" collapsed="false">
      <c r="A5961" s="0" t="s">
        <v>7790</v>
      </c>
      <c r="C5961" s="0" t="s">
        <v>855</v>
      </c>
      <c r="D5961" s="7" t="n">
        <v>785</v>
      </c>
      <c r="E5961" s="8" t="n">
        <v>0.0123312101910828</v>
      </c>
      <c r="F5961" s="4" t="n">
        <f aca="false">D5961*E5961</f>
        <v>9.68</v>
      </c>
      <c r="G5961" s="7" t="n">
        <v>540</v>
      </c>
      <c r="H5961" s="9" t="n">
        <f aca="false">IF(G5961&gt;0,D5961/G5961,"")</f>
        <v>1.4537037037037</v>
      </c>
      <c r="I5961" s="10" t="n">
        <v>46266</v>
      </c>
      <c r="J5961" s="3" t="s">
        <v>178</v>
      </c>
      <c r="K5961" s="10" t="n">
        <v>44301</v>
      </c>
      <c r="L5961" s="3" t="s">
        <v>15</v>
      </c>
      <c r="M5961" s="7" t="n">
        <v>1000</v>
      </c>
      <c r="N5961" s="8" t="n">
        <v>0.00878</v>
      </c>
      <c r="O5961" s="4" t="n">
        <f aca="false">M5961*N5961</f>
        <v>8.78</v>
      </c>
    </row>
    <row r="5962" customFormat="false" ht="15" hidden="false" customHeight="false" outlineLevel="0" collapsed="false">
      <c r="A5962" s="0" t="s">
        <v>7791</v>
      </c>
      <c r="C5962" s="0" t="s">
        <v>1039</v>
      </c>
      <c r="D5962" s="7" t="n">
        <v>167</v>
      </c>
      <c r="E5962" s="8" t="n">
        <v>0.0579041916167665</v>
      </c>
      <c r="F5962" s="4" t="n">
        <f aca="false">D5962*E5962</f>
        <v>9.67</v>
      </c>
      <c r="G5962" s="7" t="n">
        <v>74</v>
      </c>
      <c r="H5962" s="9" t="n">
        <f aca="false">IF(G5962&gt;0,D5962/G5962,"")</f>
        <v>2.25675675675676</v>
      </c>
      <c r="I5962" s="10" t="n">
        <v>46171</v>
      </c>
      <c r="J5962" s="3" t="s">
        <v>538</v>
      </c>
      <c r="K5962" s="10" t="n">
        <v>45832</v>
      </c>
      <c r="L5962" s="3" t="s">
        <v>14</v>
      </c>
      <c r="M5962" s="7" t="n">
        <v>360</v>
      </c>
      <c r="N5962" s="8" t="n">
        <v>0.05758333</v>
      </c>
      <c r="O5962" s="4" t="n">
        <f aca="false">M5962*N5962</f>
        <v>20.7299988</v>
      </c>
    </row>
    <row r="5963" customFormat="false" ht="15" hidden="false" customHeight="false" outlineLevel="0" collapsed="false">
      <c r="A5963" s="0" t="s">
        <v>7792</v>
      </c>
      <c r="C5963" s="0" t="s">
        <v>765</v>
      </c>
      <c r="D5963" s="7" t="n">
        <v>135</v>
      </c>
      <c r="E5963" s="8" t="n">
        <v>0.0714074074074074</v>
      </c>
      <c r="F5963" s="4" t="n">
        <f aca="false">D5963*E5963</f>
        <v>9.64</v>
      </c>
      <c r="G5963" s="7" t="n">
        <v>13</v>
      </c>
      <c r="H5963" s="9" t="n">
        <f aca="false">IF(G5963&gt;0,D5963/G5963,"")</f>
        <v>10.3846153846154</v>
      </c>
      <c r="I5963" s="10" t="n">
        <v>46287</v>
      </c>
      <c r="K5963" s="10"/>
      <c r="M5963" s="7"/>
      <c r="N5963" s="8"/>
      <c r="O5963" s="4"/>
    </row>
    <row r="5964" customFormat="false" ht="15" hidden="false" customHeight="false" outlineLevel="0" collapsed="false">
      <c r="A5964" s="0" t="s">
        <v>7793</v>
      </c>
      <c r="C5964" s="0" t="s">
        <v>1169</v>
      </c>
      <c r="D5964" s="7" t="n">
        <v>11</v>
      </c>
      <c r="E5964" s="8" t="n">
        <v>0.875454545454546</v>
      </c>
      <c r="F5964" s="4" t="n">
        <f aca="false">D5964*E5964</f>
        <v>9.63</v>
      </c>
      <c r="G5964" s="7" t="n">
        <v>7</v>
      </c>
      <c r="H5964" s="9" t="n">
        <f aca="false">IF(G5964&gt;0,D5964/G5964,"")</f>
        <v>1.57142857142857</v>
      </c>
      <c r="I5964" s="10" t="n">
        <v>46310</v>
      </c>
      <c r="J5964" s="3" t="s">
        <v>951</v>
      </c>
      <c r="K5964" s="10" t="n">
        <v>45908</v>
      </c>
      <c r="L5964" s="3" t="s">
        <v>14</v>
      </c>
      <c r="M5964" s="7" t="n">
        <v>350</v>
      </c>
      <c r="N5964" s="8" t="n">
        <v>0.8758</v>
      </c>
      <c r="O5964" s="4" t="n">
        <f aca="false">M5964*N5964</f>
        <v>306.53</v>
      </c>
    </row>
    <row r="5965" customFormat="false" ht="15" hidden="false" customHeight="false" outlineLevel="0" collapsed="false">
      <c r="A5965" s="0" t="s">
        <v>7794</v>
      </c>
      <c r="C5965" s="0" t="s">
        <v>1039</v>
      </c>
      <c r="D5965" s="7" t="n">
        <v>131</v>
      </c>
      <c r="E5965" s="8" t="n">
        <v>0.0735114503816794</v>
      </c>
      <c r="F5965" s="4" t="n">
        <f aca="false">D5965*E5965</f>
        <v>9.63</v>
      </c>
      <c r="G5965" s="7" t="n">
        <v>119</v>
      </c>
      <c r="H5965" s="9" t="n">
        <f aca="false">IF(G5965&gt;0,D5965/G5965,"")</f>
        <v>1.10084033613445</v>
      </c>
      <c r="I5965" s="10" t="n">
        <v>45958</v>
      </c>
      <c r="J5965" s="3" t="s">
        <v>6478</v>
      </c>
      <c r="K5965" s="10" t="n">
        <v>45940</v>
      </c>
      <c r="L5965" s="3" t="s">
        <v>19</v>
      </c>
      <c r="M5965" s="7" t="n">
        <v>250</v>
      </c>
      <c r="N5965" s="8" t="n">
        <v>0.0735</v>
      </c>
      <c r="O5965" s="4" t="n">
        <f aca="false">M5965*N5965</f>
        <v>18.375</v>
      </c>
    </row>
    <row r="5966" customFormat="false" ht="15" hidden="false" customHeight="false" outlineLevel="0" collapsed="false">
      <c r="A5966" s="0" t="s">
        <v>7795</v>
      </c>
      <c r="C5966" s="0" t="s">
        <v>38</v>
      </c>
      <c r="D5966" s="7" t="n">
        <v>70</v>
      </c>
      <c r="E5966" s="8" t="n">
        <v>0.137428571428571</v>
      </c>
      <c r="F5966" s="4" t="n">
        <f aca="false">D5966*E5966</f>
        <v>9.62</v>
      </c>
      <c r="G5966" s="7" t="n">
        <v>52</v>
      </c>
      <c r="H5966" s="9" t="n">
        <f aca="false">IF(G5966&gt;0,D5966/G5966,"")</f>
        <v>1.34615384615385</v>
      </c>
      <c r="I5966" s="10" t="n">
        <v>46255</v>
      </c>
      <c r="J5966" s="3" t="s">
        <v>1905</v>
      </c>
      <c r="K5966" s="10" t="n">
        <v>45672</v>
      </c>
      <c r="L5966" s="3" t="s">
        <v>18</v>
      </c>
      <c r="M5966" s="7" t="n">
        <v>190</v>
      </c>
      <c r="N5966" s="8" t="n">
        <v>0.1375</v>
      </c>
      <c r="O5966" s="4" t="n">
        <f aca="false">M5966*N5966</f>
        <v>26.125</v>
      </c>
    </row>
    <row r="5967" customFormat="false" ht="15" hidden="false" customHeight="false" outlineLevel="0" collapsed="false">
      <c r="A5967" s="0" t="s">
        <v>7796</v>
      </c>
      <c r="C5967" s="0" t="s">
        <v>34</v>
      </c>
      <c r="D5967" s="7" t="n">
        <v>10</v>
      </c>
      <c r="E5967" s="8" t="n">
        <v>0.962</v>
      </c>
      <c r="F5967" s="4" t="n">
        <f aca="false">D5967*E5967</f>
        <v>9.62</v>
      </c>
      <c r="G5967" s="7" t="n">
        <v>8</v>
      </c>
      <c r="H5967" s="9" t="n">
        <f aca="false">IF(G5967&gt;0,D5967/G5967,"")</f>
        <v>1.25</v>
      </c>
      <c r="I5967" s="10" t="n">
        <v>46146</v>
      </c>
      <c r="J5967" s="3" t="s">
        <v>7744</v>
      </c>
      <c r="K5967" s="10" t="n">
        <v>45049</v>
      </c>
      <c r="L5967" s="3" t="s">
        <v>19</v>
      </c>
      <c r="M5967" s="7" t="n">
        <v>120</v>
      </c>
      <c r="N5967" s="8" t="n">
        <v>0.9628</v>
      </c>
      <c r="O5967" s="4" t="n">
        <f aca="false">M5967*N5967</f>
        <v>115.536</v>
      </c>
    </row>
    <row r="5968" customFormat="false" ht="15" hidden="false" customHeight="false" outlineLevel="0" collapsed="false">
      <c r="A5968" s="0" t="s">
        <v>7797</v>
      </c>
      <c r="C5968" s="0" t="s">
        <v>1169</v>
      </c>
      <c r="D5968" s="7" t="n">
        <v>24</v>
      </c>
      <c r="E5968" s="8" t="n">
        <v>0.400416666666667</v>
      </c>
      <c r="F5968" s="4" t="n">
        <f aca="false">D5968*E5968</f>
        <v>9.61</v>
      </c>
      <c r="G5968" s="7" t="n">
        <v>12</v>
      </c>
      <c r="H5968" s="9" t="n">
        <f aca="false">IF(G5968&gt;0,D5968/G5968,"")</f>
        <v>2</v>
      </c>
      <c r="I5968" s="10" t="n">
        <v>46041</v>
      </c>
      <c r="J5968" s="3" t="s">
        <v>7798</v>
      </c>
      <c r="K5968" s="10" t="n">
        <v>44478</v>
      </c>
      <c r="L5968" s="3" t="s">
        <v>19</v>
      </c>
      <c r="M5968" s="7" t="n">
        <v>50</v>
      </c>
      <c r="N5968" s="8" t="n">
        <v>0.4003</v>
      </c>
      <c r="O5968" s="4" t="n">
        <f aca="false">M5968*N5968</f>
        <v>20.015</v>
      </c>
    </row>
    <row r="5969" customFormat="false" ht="15" hidden="false" customHeight="false" outlineLevel="0" collapsed="false">
      <c r="A5969" s="0" t="s">
        <v>7799</v>
      </c>
      <c r="C5969" s="0" t="s">
        <v>855</v>
      </c>
      <c r="D5969" s="7" t="n">
        <v>604</v>
      </c>
      <c r="E5969" s="8" t="n">
        <v>0.0158940397350993</v>
      </c>
      <c r="F5969" s="4" t="n">
        <f aca="false">D5969*E5969</f>
        <v>9.6</v>
      </c>
      <c r="G5969" s="7" t="n">
        <v>184</v>
      </c>
      <c r="H5969" s="9" t="n">
        <f aca="false">IF(G5969&gt;0,D5969/G5969,"")</f>
        <v>3.28260869565217</v>
      </c>
      <c r="I5969" s="10" t="n">
        <v>46293</v>
      </c>
      <c r="J5969" s="3" t="s">
        <v>7668</v>
      </c>
      <c r="K5969" s="10" t="n">
        <v>44246</v>
      </c>
      <c r="L5969" s="3" t="s">
        <v>19</v>
      </c>
      <c r="M5969" s="7" t="n">
        <v>1000</v>
      </c>
      <c r="N5969" s="8" t="n">
        <v>0.0159</v>
      </c>
      <c r="O5969" s="4" t="n">
        <f aca="false">M5969*N5969</f>
        <v>15.9</v>
      </c>
    </row>
    <row r="5970" customFormat="false" ht="15" hidden="false" customHeight="false" outlineLevel="0" collapsed="false">
      <c r="A5970" s="0" t="s">
        <v>7800</v>
      </c>
      <c r="C5970" s="0" t="s">
        <v>31</v>
      </c>
      <c r="D5970" s="7" t="n">
        <v>570</v>
      </c>
      <c r="E5970" s="8" t="n">
        <v>0.0168070175438597</v>
      </c>
      <c r="F5970" s="4" t="n">
        <f aca="false">D5970*E5970</f>
        <v>9.58</v>
      </c>
      <c r="G5970" s="7" t="n">
        <v>430</v>
      </c>
      <c r="H5970" s="9" t="n">
        <f aca="false">IF(G5970&gt;0,D5970/G5970,"")</f>
        <v>1.32558139534884</v>
      </c>
      <c r="I5970" s="10" t="n">
        <v>46245</v>
      </c>
      <c r="J5970" s="3" t="s">
        <v>7356</v>
      </c>
      <c r="K5970" s="10" t="n">
        <v>45996</v>
      </c>
      <c r="L5970" s="3" t="s">
        <v>19</v>
      </c>
      <c r="M5970" s="7" t="n">
        <v>1000</v>
      </c>
      <c r="N5970" s="8" t="n">
        <v>0.0168</v>
      </c>
      <c r="O5970" s="4" t="n">
        <f aca="false">M5970*N5970</f>
        <v>16.8</v>
      </c>
    </row>
    <row r="5971" customFormat="false" ht="15" hidden="false" customHeight="false" outlineLevel="0" collapsed="false">
      <c r="A5971" s="0" t="s">
        <v>7801</v>
      </c>
      <c r="C5971" s="0" t="s">
        <v>855</v>
      </c>
      <c r="D5971" s="7" t="n">
        <v>82</v>
      </c>
      <c r="E5971" s="8" t="n">
        <v>0.116585365853659</v>
      </c>
      <c r="F5971" s="4" t="n">
        <f aca="false">D5971*E5971</f>
        <v>9.56</v>
      </c>
      <c r="G5971" s="7" t="n">
        <v>16</v>
      </c>
      <c r="H5971" s="9" t="n">
        <f aca="false">IF(G5971&gt;0,D5971/G5971,"")</f>
        <v>5.125</v>
      </c>
      <c r="I5971" s="10" t="n">
        <v>46195</v>
      </c>
      <c r="J5971" s="3" t="s">
        <v>3235</v>
      </c>
      <c r="K5971" s="10" t="n">
        <v>44364</v>
      </c>
      <c r="L5971" s="3" t="s">
        <v>19</v>
      </c>
      <c r="M5971" s="7" t="n">
        <v>100</v>
      </c>
      <c r="N5971" s="8" t="n">
        <v>0.1166</v>
      </c>
      <c r="O5971" s="4" t="n">
        <f aca="false">M5971*N5971</f>
        <v>11.66</v>
      </c>
    </row>
    <row r="5972" customFormat="false" ht="15" hidden="false" customHeight="false" outlineLevel="0" collapsed="false">
      <c r="A5972" s="0" t="s">
        <v>7802</v>
      </c>
      <c r="C5972" s="0" t="s">
        <v>34</v>
      </c>
      <c r="D5972" s="7" t="n">
        <v>45</v>
      </c>
      <c r="E5972" s="8" t="n">
        <v>0.212444444444444</v>
      </c>
      <c r="F5972" s="4" t="n">
        <f aca="false">D5972*E5972</f>
        <v>9.56</v>
      </c>
      <c r="G5972" s="7" t="n">
        <v>43</v>
      </c>
      <c r="H5972" s="9" t="n">
        <f aca="false">IF(G5972&gt;0,D5972/G5972,"")</f>
        <v>1.04651162790698</v>
      </c>
      <c r="I5972" s="10" t="n">
        <v>46276</v>
      </c>
      <c r="J5972" s="3" t="s">
        <v>1192</v>
      </c>
      <c r="K5972" s="10" t="n">
        <v>45736</v>
      </c>
      <c r="L5972" s="3" t="s">
        <v>26</v>
      </c>
      <c r="M5972" s="7" t="n">
        <v>50</v>
      </c>
      <c r="N5972" s="8" t="n">
        <v>0.4428</v>
      </c>
      <c r="O5972" s="4" t="n">
        <f aca="false">M5972*N5972</f>
        <v>22.14</v>
      </c>
    </row>
    <row r="5973" customFormat="false" ht="15" hidden="false" customHeight="false" outlineLevel="0" collapsed="false">
      <c r="A5973" s="0" t="s">
        <v>7803</v>
      </c>
      <c r="C5973" s="0" t="s">
        <v>34</v>
      </c>
      <c r="D5973" s="7" t="n">
        <v>16</v>
      </c>
      <c r="E5973" s="8" t="n">
        <v>0.59625</v>
      </c>
      <c r="F5973" s="4" t="n">
        <f aca="false">D5973*E5973</f>
        <v>9.54</v>
      </c>
      <c r="G5973" s="7" t="n">
        <v>4</v>
      </c>
      <c r="H5973" s="9" t="n">
        <f aca="false">IF(G5973&gt;0,D5973/G5973,"")</f>
        <v>4</v>
      </c>
      <c r="I5973" s="10" t="n">
        <v>46048</v>
      </c>
      <c r="J5973" s="3" t="s">
        <v>7804</v>
      </c>
      <c r="K5973" s="10" t="n">
        <v>45775</v>
      </c>
      <c r="L5973" s="3" t="s">
        <v>26</v>
      </c>
      <c r="M5973" s="7" t="n">
        <v>20</v>
      </c>
      <c r="N5973" s="8" t="n">
        <v>0.5961</v>
      </c>
      <c r="O5973" s="4" t="n">
        <f aca="false">M5973*N5973</f>
        <v>11.922</v>
      </c>
    </row>
    <row r="5974" customFormat="false" ht="15" hidden="false" customHeight="false" outlineLevel="0" collapsed="false">
      <c r="A5974" s="0" t="s">
        <v>7805</v>
      </c>
      <c r="C5974" s="0" t="s">
        <v>285</v>
      </c>
      <c r="D5974" s="7" t="n">
        <v>175</v>
      </c>
      <c r="E5974" s="8" t="n">
        <v>0.0543428571428571</v>
      </c>
      <c r="F5974" s="4" t="n">
        <f aca="false">D5974*E5974</f>
        <v>9.51</v>
      </c>
      <c r="G5974" s="7" t="n">
        <v>26</v>
      </c>
      <c r="H5974" s="9" t="n">
        <f aca="false">IF(G5974&gt;0,D5974/G5974,"")</f>
        <v>6.73076923076923</v>
      </c>
      <c r="I5974" s="10" t="n">
        <v>46202</v>
      </c>
      <c r="K5974" s="10"/>
      <c r="M5974" s="7"/>
      <c r="N5974" s="8"/>
      <c r="O5974" s="4"/>
    </row>
    <row r="5975" customFormat="false" ht="15" hidden="false" customHeight="false" outlineLevel="0" collapsed="false">
      <c r="A5975" s="0" t="s">
        <v>7806</v>
      </c>
      <c r="C5975" s="0" t="s">
        <v>41</v>
      </c>
      <c r="D5975" s="7" t="n">
        <v>632</v>
      </c>
      <c r="E5975" s="8" t="n">
        <v>0.0150474683544304</v>
      </c>
      <c r="F5975" s="4" t="n">
        <f aca="false">D5975*E5975</f>
        <v>9.51</v>
      </c>
      <c r="G5975" s="7" t="n">
        <v>517</v>
      </c>
      <c r="H5975" s="9" t="n">
        <f aca="false">IF(G5975&gt;0,D5975/G5975,"")</f>
        <v>1.22243713733075</v>
      </c>
      <c r="I5975" s="10" t="n">
        <v>46030</v>
      </c>
      <c r="J5975" s="3" t="s">
        <v>5600</v>
      </c>
      <c r="K5975" s="10" t="n">
        <v>44819</v>
      </c>
      <c r="L5975" s="3" t="s">
        <v>19</v>
      </c>
      <c r="M5975" s="7" t="n">
        <v>2626</v>
      </c>
      <c r="N5975" s="8" t="n">
        <v>0.0188</v>
      </c>
      <c r="O5975" s="4" t="n">
        <v>47</v>
      </c>
    </row>
    <row r="5976" customFormat="false" ht="15" hidden="false" customHeight="false" outlineLevel="0" collapsed="false">
      <c r="A5976" s="0" t="s">
        <v>7807</v>
      </c>
      <c r="C5976" s="0" t="s">
        <v>166</v>
      </c>
      <c r="D5976" s="7" t="n">
        <v>13</v>
      </c>
      <c r="E5976" s="8" t="n">
        <v>0.730769230769231</v>
      </c>
      <c r="F5976" s="4" t="n">
        <f aca="false">D5976*E5976</f>
        <v>9.5</v>
      </c>
      <c r="G5976" s="7" t="n">
        <v>4</v>
      </c>
      <c r="H5976" s="9" t="n">
        <f aca="false">IF(G5976&gt;0,D5976/G5976,"")</f>
        <v>3.25</v>
      </c>
      <c r="I5976" s="10" t="n">
        <v>46056</v>
      </c>
      <c r="J5976" s="3" t="s">
        <v>7808</v>
      </c>
      <c r="K5976" s="10" t="n">
        <v>44523</v>
      </c>
      <c r="L5976" s="3" t="s">
        <v>14</v>
      </c>
      <c r="M5976" s="7" t="n">
        <v>37</v>
      </c>
      <c r="N5976" s="8" t="n">
        <v>0.7305</v>
      </c>
      <c r="O5976" s="4" t="n">
        <f aca="false">M5976*N5976</f>
        <v>27.0285</v>
      </c>
    </row>
    <row r="5977" customFormat="false" ht="15" hidden="false" customHeight="false" outlineLevel="0" collapsed="false">
      <c r="A5977" s="0" t="s">
        <v>7809</v>
      </c>
      <c r="C5977" s="0" t="s">
        <v>340</v>
      </c>
      <c r="D5977" s="7" t="n">
        <v>1973</v>
      </c>
      <c r="E5977" s="8" t="n">
        <v>0.00479979726305119</v>
      </c>
      <c r="F5977" s="4" t="n">
        <f aca="false">D5977*E5977</f>
        <v>9.47</v>
      </c>
      <c r="G5977" s="7" t="n">
        <v>1200</v>
      </c>
      <c r="H5977" s="9" t="n">
        <f aca="false">IF(G5977&gt;0,D5977/G5977,"")</f>
        <v>1.64416666666667</v>
      </c>
      <c r="I5977" s="10" t="n">
        <v>46183</v>
      </c>
      <c r="J5977" s="3" t="s">
        <v>4819</v>
      </c>
      <c r="K5977" s="10" t="n">
        <v>44959</v>
      </c>
      <c r="L5977" s="3" t="s">
        <v>19</v>
      </c>
      <c r="M5977" s="7" t="n">
        <v>6000</v>
      </c>
      <c r="N5977" s="8" t="n">
        <v>0.0048</v>
      </c>
      <c r="O5977" s="4" t="n">
        <f aca="false">M5977*N5977</f>
        <v>28.8</v>
      </c>
    </row>
    <row r="5978" customFormat="false" ht="15" hidden="false" customHeight="false" outlineLevel="0" collapsed="false">
      <c r="A5978" s="0" t="s">
        <v>7810</v>
      </c>
      <c r="C5978" s="0" t="s">
        <v>31</v>
      </c>
      <c r="D5978" s="7" t="n">
        <v>360</v>
      </c>
      <c r="E5978" s="8" t="n">
        <v>0.0262222222222222</v>
      </c>
      <c r="F5978" s="4" t="n">
        <f aca="false">D5978*E5978</f>
        <v>9.44</v>
      </c>
      <c r="G5978" s="7" t="n">
        <v>36</v>
      </c>
      <c r="H5978" s="9" t="n">
        <f aca="false">IF(G5978&gt;0,D5978/G5978,"")</f>
        <v>10</v>
      </c>
      <c r="I5978" s="10" t="n">
        <v>46034</v>
      </c>
      <c r="K5978" s="10"/>
      <c r="M5978" s="7"/>
      <c r="N5978" s="8"/>
      <c r="O5978" s="4"/>
    </row>
    <row r="5979" customFormat="false" ht="15" hidden="false" customHeight="false" outlineLevel="0" collapsed="false">
      <c r="A5979" s="0" t="s">
        <v>7811</v>
      </c>
      <c r="C5979" s="0" t="s">
        <v>41</v>
      </c>
      <c r="D5979" s="7" t="n">
        <v>555</v>
      </c>
      <c r="E5979" s="8" t="n">
        <v>0.017009009009009</v>
      </c>
      <c r="F5979" s="4" t="n">
        <f aca="false">D5979*E5979</f>
        <v>9.44</v>
      </c>
      <c r="G5979" s="7" t="n">
        <v>330</v>
      </c>
      <c r="H5979" s="9" t="n">
        <f aca="false">IF(G5979&gt;0,D5979/G5979,"")</f>
        <v>1.68181818181818</v>
      </c>
      <c r="I5979" s="10" t="n">
        <v>46189</v>
      </c>
      <c r="J5979" s="3" t="s">
        <v>2844</v>
      </c>
      <c r="K5979" s="10" t="n">
        <v>45839</v>
      </c>
      <c r="L5979" s="3" t="s">
        <v>16</v>
      </c>
      <c r="M5979" s="7" t="n">
        <v>1176</v>
      </c>
      <c r="N5979" s="8" t="n">
        <v>0.01701</v>
      </c>
      <c r="O5979" s="4" t="n">
        <f aca="false">M5979*N5979</f>
        <v>20.00376</v>
      </c>
    </row>
    <row r="5980" customFormat="false" ht="15" hidden="false" customHeight="false" outlineLevel="0" collapsed="false">
      <c r="A5980" s="0" t="s">
        <v>7812</v>
      </c>
      <c r="C5980" s="0" t="s">
        <v>340</v>
      </c>
      <c r="D5980" s="7" t="n">
        <v>943</v>
      </c>
      <c r="E5980" s="8" t="n">
        <v>0.01</v>
      </c>
      <c r="F5980" s="4" t="n">
        <f aca="false">D5980*E5980</f>
        <v>9.43</v>
      </c>
      <c r="G5980" s="7" t="n">
        <v>443</v>
      </c>
      <c r="H5980" s="9" t="n">
        <f aca="false">IF(G5980&gt;0,D5980/G5980,"")</f>
        <v>2.12866817155756</v>
      </c>
      <c r="I5980" s="10" t="n">
        <v>46218</v>
      </c>
      <c r="K5980" s="10"/>
      <c r="M5980" s="7"/>
      <c r="N5980" s="8"/>
      <c r="O5980" s="4"/>
    </row>
    <row r="5981" customFormat="false" ht="15" hidden="false" customHeight="false" outlineLevel="0" collapsed="false">
      <c r="A5981" s="0" t="s">
        <v>7813</v>
      </c>
      <c r="C5981" s="0" t="s">
        <v>31</v>
      </c>
      <c r="D5981" s="7" t="n">
        <v>313</v>
      </c>
      <c r="E5981" s="8" t="n">
        <v>0.03</v>
      </c>
      <c r="F5981" s="4" t="n">
        <f aca="false">D5981*E5981</f>
        <v>9.39</v>
      </c>
      <c r="G5981" s="7" t="n">
        <v>142</v>
      </c>
      <c r="H5981" s="9" t="n">
        <f aca="false">IF(G5981&gt;0,D5981/G5981,"")</f>
        <v>2.20422535211268</v>
      </c>
      <c r="I5981" s="10" t="n">
        <v>46258</v>
      </c>
      <c r="K5981" s="10"/>
      <c r="M5981" s="7"/>
      <c r="N5981" s="8"/>
      <c r="O5981" s="4"/>
    </row>
    <row r="5982" customFormat="false" ht="15" hidden="false" customHeight="false" outlineLevel="0" collapsed="false">
      <c r="A5982" s="0" t="s">
        <v>7814</v>
      </c>
      <c r="C5982" s="0" t="s">
        <v>34</v>
      </c>
      <c r="D5982" s="7" t="n">
        <v>57</v>
      </c>
      <c r="E5982" s="8" t="n">
        <v>0.164035087719298</v>
      </c>
      <c r="F5982" s="4" t="n">
        <f aca="false">D5982*E5982</f>
        <v>9.35</v>
      </c>
      <c r="G5982" s="7" t="n">
        <v>32</v>
      </c>
      <c r="H5982" s="9" t="n">
        <f aca="false">IF(G5982&gt;0,D5982/G5982,"")</f>
        <v>1.78125</v>
      </c>
      <c r="I5982" s="10" t="n">
        <v>46106</v>
      </c>
      <c r="J5982" s="3" t="s">
        <v>1819</v>
      </c>
      <c r="K5982" s="10" t="n">
        <v>46097</v>
      </c>
      <c r="L5982" s="3" t="s">
        <v>14</v>
      </c>
      <c r="M5982" s="7" t="n">
        <v>69</v>
      </c>
      <c r="N5982" s="8" t="n">
        <v>0.1641</v>
      </c>
      <c r="O5982" s="4" t="n">
        <f aca="false">M5982*N5982</f>
        <v>11.3229</v>
      </c>
    </row>
    <row r="5983" customFormat="false" ht="15" hidden="false" customHeight="false" outlineLevel="0" collapsed="false">
      <c r="A5983" s="0" t="s">
        <v>7815</v>
      </c>
      <c r="C5983" s="0" t="s">
        <v>398</v>
      </c>
      <c r="D5983" s="7" t="n">
        <v>109</v>
      </c>
      <c r="E5983" s="8" t="n">
        <v>0.0857798165137615</v>
      </c>
      <c r="F5983" s="4" t="n">
        <f aca="false">D5983*E5983</f>
        <v>9.35</v>
      </c>
      <c r="G5983" s="7" t="n">
        <v>9</v>
      </c>
      <c r="H5983" s="9" t="n">
        <f aca="false">IF(G5983&gt;0,D5983/G5983,"")</f>
        <v>12.1111111111111</v>
      </c>
      <c r="I5983" s="10" t="n">
        <v>46309</v>
      </c>
      <c r="K5983" s="10"/>
      <c r="M5983" s="7"/>
      <c r="N5983" s="8"/>
      <c r="O5983" s="4"/>
    </row>
    <row r="5984" customFormat="false" ht="15" hidden="false" customHeight="false" outlineLevel="0" collapsed="false">
      <c r="A5984" s="0" t="s">
        <v>7816</v>
      </c>
      <c r="C5984" s="0" t="s">
        <v>31</v>
      </c>
      <c r="D5984" s="7" t="n">
        <v>27</v>
      </c>
      <c r="E5984" s="8" t="n">
        <v>0.346296296296296</v>
      </c>
      <c r="F5984" s="4" t="n">
        <f aca="false">D5984*E5984</f>
        <v>9.35</v>
      </c>
      <c r="G5984" s="7" t="n">
        <v>14</v>
      </c>
      <c r="H5984" s="9" t="n">
        <f aca="false">IF(G5984&gt;0,D5984/G5984,"")</f>
        <v>1.92857142857143</v>
      </c>
      <c r="I5984" s="10" t="n">
        <v>46140</v>
      </c>
      <c r="J5984" s="3" t="s">
        <v>80</v>
      </c>
      <c r="K5984" s="10" t="n">
        <v>44887</v>
      </c>
      <c r="L5984" s="3" t="s">
        <v>19</v>
      </c>
      <c r="M5984" s="7" t="n">
        <v>47</v>
      </c>
      <c r="N5984" s="8" t="n">
        <v>0.3461</v>
      </c>
      <c r="O5984" s="4" t="n">
        <f aca="false">M5984*N5984</f>
        <v>16.2667</v>
      </c>
    </row>
    <row r="5985" customFormat="false" ht="15" hidden="false" customHeight="false" outlineLevel="0" collapsed="false">
      <c r="A5985" s="0" t="s">
        <v>7817</v>
      </c>
      <c r="C5985" s="0" t="s">
        <v>31</v>
      </c>
      <c r="D5985" s="7" t="n">
        <v>1110</v>
      </c>
      <c r="E5985" s="8" t="n">
        <v>0.00841441441441442</v>
      </c>
      <c r="F5985" s="4" t="n">
        <f aca="false">D5985*E5985</f>
        <v>9.34</v>
      </c>
      <c r="G5985" s="7" t="n">
        <v>412</v>
      </c>
      <c r="H5985" s="9" t="n">
        <f aca="false">IF(G5985&gt;0,D5985/G5985,"")</f>
        <v>2.69417475728155</v>
      </c>
      <c r="I5985" s="10" t="n">
        <v>46294</v>
      </c>
      <c r="J5985" s="3" t="s">
        <v>6449</v>
      </c>
      <c r="K5985" s="10" t="n">
        <v>44341</v>
      </c>
      <c r="L5985" s="3" t="s">
        <v>19</v>
      </c>
      <c r="M5985" s="7" t="n">
        <v>2500</v>
      </c>
      <c r="N5985" s="8" t="n">
        <v>0.0084</v>
      </c>
      <c r="O5985" s="4" t="n">
        <f aca="false">M5985*N5985</f>
        <v>21</v>
      </c>
    </row>
    <row r="5986" customFormat="false" ht="15" hidden="false" customHeight="false" outlineLevel="0" collapsed="false">
      <c r="A5986" s="0" t="s">
        <v>7818</v>
      </c>
      <c r="C5986" s="0" t="s">
        <v>31</v>
      </c>
      <c r="D5986" s="7" t="n">
        <v>337</v>
      </c>
      <c r="E5986" s="8" t="n">
        <v>0.0276261127596439</v>
      </c>
      <c r="F5986" s="4" t="n">
        <f aca="false">D5986*E5986</f>
        <v>9.31</v>
      </c>
      <c r="G5986" s="7" t="n">
        <v>22</v>
      </c>
      <c r="H5986" s="9" t="n">
        <f aca="false">IF(G5986&gt;0,D5986/G5986,"")</f>
        <v>15.3181818181818</v>
      </c>
      <c r="I5986" s="10" t="n">
        <v>46281</v>
      </c>
      <c r="J5986" s="3" t="s">
        <v>5852</v>
      </c>
      <c r="K5986" s="10" t="n">
        <v>45487</v>
      </c>
      <c r="L5986" s="3" t="s">
        <v>15</v>
      </c>
      <c r="M5986" s="7" t="n">
        <v>479</v>
      </c>
      <c r="N5986" s="8" t="n">
        <v>0.02765</v>
      </c>
      <c r="O5986" s="4" t="n">
        <f aca="false">M5986*N5986</f>
        <v>13.24435</v>
      </c>
    </row>
    <row r="5987" customFormat="false" ht="15" hidden="false" customHeight="false" outlineLevel="0" collapsed="false">
      <c r="A5987" s="0" t="s">
        <v>7819</v>
      </c>
      <c r="C5987" s="0" t="s">
        <v>1039</v>
      </c>
      <c r="D5987" s="7" t="n">
        <v>11</v>
      </c>
      <c r="E5987" s="8" t="n">
        <v>0.844545454545455</v>
      </c>
      <c r="F5987" s="4" t="n">
        <f aca="false">D5987*E5987</f>
        <v>9.29</v>
      </c>
      <c r="G5987" s="7" t="n">
        <v>9</v>
      </c>
      <c r="H5987" s="9" t="n">
        <f aca="false">IF(G5987&gt;0,D5987/G5987,"")</f>
        <v>1.22222222222222</v>
      </c>
      <c r="I5987" s="10" t="n">
        <v>46224</v>
      </c>
      <c r="J5987" s="3" t="s">
        <v>6793</v>
      </c>
      <c r="K5987" s="10" t="n">
        <v>44270</v>
      </c>
      <c r="L5987" s="3" t="s">
        <v>19</v>
      </c>
      <c r="M5987" s="7" t="n">
        <v>25</v>
      </c>
      <c r="N5987" s="8" t="n">
        <v>0.8453</v>
      </c>
      <c r="O5987" s="4" t="n">
        <f aca="false">M5987*N5987</f>
        <v>21.1325</v>
      </c>
    </row>
    <row r="5988" customFormat="false" ht="15" hidden="false" customHeight="false" outlineLevel="0" collapsed="false">
      <c r="A5988" s="0" t="s">
        <v>7820</v>
      </c>
      <c r="C5988" s="0" t="s">
        <v>38</v>
      </c>
      <c r="D5988" s="7" t="n">
        <v>404</v>
      </c>
      <c r="E5988" s="8" t="n">
        <v>0.0229950495049505</v>
      </c>
      <c r="F5988" s="4" t="n">
        <f aca="false">D5988*E5988</f>
        <v>9.29</v>
      </c>
      <c r="G5988" s="7" t="n">
        <v>44</v>
      </c>
      <c r="H5988" s="9" t="n">
        <f aca="false">IF(G5988&gt;0,D5988/G5988,"")</f>
        <v>9.18181818181818</v>
      </c>
      <c r="I5988" s="10" t="n">
        <v>46139</v>
      </c>
      <c r="K5988" s="10"/>
      <c r="M5988" s="7"/>
      <c r="N5988" s="8"/>
      <c r="O5988" s="4"/>
    </row>
    <row r="5989" customFormat="false" ht="15" hidden="false" customHeight="false" outlineLevel="0" collapsed="false">
      <c r="A5989" s="0" t="s">
        <v>7821</v>
      </c>
      <c r="C5989" s="0" t="s">
        <v>34</v>
      </c>
      <c r="D5989" s="7" t="n">
        <v>192</v>
      </c>
      <c r="E5989" s="8" t="n">
        <v>0.0482291666666667</v>
      </c>
      <c r="F5989" s="4" t="n">
        <f aca="false">D5989*E5989</f>
        <v>9.26</v>
      </c>
      <c r="G5989" s="7" t="n">
        <v>10</v>
      </c>
      <c r="H5989" s="9" t="n">
        <f aca="false">IF(G5989&gt;0,D5989/G5989,"")</f>
        <v>19.2</v>
      </c>
      <c r="I5989" s="10" t="n">
        <v>46048</v>
      </c>
      <c r="J5989" s="3" t="s">
        <v>6416</v>
      </c>
      <c r="K5989" s="10" t="n">
        <v>46317</v>
      </c>
      <c r="L5989" s="3" t="s">
        <v>16</v>
      </c>
      <c r="M5989" s="7" t="n">
        <v>1100</v>
      </c>
      <c r="N5989" s="8" t="n">
        <v>0.048</v>
      </c>
      <c r="O5989" s="4" t="n">
        <f aca="false">M5989*N5989</f>
        <v>52.8</v>
      </c>
    </row>
    <row r="5990" customFormat="false" ht="15" hidden="false" customHeight="false" outlineLevel="0" collapsed="false">
      <c r="A5990" s="0" t="s">
        <v>7822</v>
      </c>
      <c r="C5990" s="0" t="s">
        <v>31</v>
      </c>
      <c r="D5990" s="7" t="n">
        <v>29</v>
      </c>
      <c r="E5990" s="8" t="n">
        <v>0.318965517241379</v>
      </c>
      <c r="F5990" s="4" t="n">
        <f aca="false">D5990*E5990</f>
        <v>9.25</v>
      </c>
      <c r="G5990" s="7" t="n">
        <v>20</v>
      </c>
      <c r="H5990" s="9" t="n">
        <f aca="false">IF(G5990&gt;0,D5990/G5990,"")</f>
        <v>1.45</v>
      </c>
      <c r="I5990" s="10" t="n">
        <v>46169</v>
      </c>
      <c r="J5990" s="3" t="s">
        <v>2509</v>
      </c>
      <c r="K5990" s="10" t="n">
        <v>44988</v>
      </c>
      <c r="L5990" s="3" t="s">
        <v>19</v>
      </c>
      <c r="M5990" s="7" t="n">
        <v>50</v>
      </c>
      <c r="N5990" s="8" t="n">
        <v>0.3189</v>
      </c>
      <c r="O5990" s="4" t="n">
        <f aca="false">M5990*N5990</f>
        <v>15.945</v>
      </c>
    </row>
    <row r="5991" customFormat="false" ht="15" hidden="false" customHeight="false" outlineLevel="0" collapsed="false">
      <c r="A5991" s="0" t="s">
        <v>7823</v>
      </c>
      <c r="C5991" s="0" t="s">
        <v>298</v>
      </c>
      <c r="D5991" s="7" t="n">
        <v>973</v>
      </c>
      <c r="E5991" s="8" t="n">
        <v>0.00948612538540596</v>
      </c>
      <c r="F5991" s="4" t="n">
        <f aca="false">D5991*E5991</f>
        <v>9.23</v>
      </c>
      <c r="G5991" s="7" t="n">
        <v>763</v>
      </c>
      <c r="H5991" s="9" t="n">
        <f aca="false">IF(G5991&gt;0,D5991/G5991,"")</f>
        <v>1.27522935779817</v>
      </c>
      <c r="I5991" s="10" t="n">
        <v>46301</v>
      </c>
      <c r="K5991" s="10"/>
      <c r="M5991" s="7"/>
      <c r="N5991" s="8"/>
      <c r="O5991" s="4"/>
    </row>
    <row r="5992" customFormat="false" ht="15" hidden="false" customHeight="false" outlineLevel="0" collapsed="false">
      <c r="A5992" s="0" t="s">
        <v>7824</v>
      </c>
      <c r="C5992" s="0" t="s">
        <v>855</v>
      </c>
      <c r="D5992" s="7" t="n">
        <v>1357</v>
      </c>
      <c r="E5992" s="8" t="n">
        <v>0.00679439941046426</v>
      </c>
      <c r="F5992" s="4" t="n">
        <f aca="false">D5992*E5992</f>
        <v>9.22</v>
      </c>
      <c r="G5992" s="7" t="n">
        <v>325</v>
      </c>
      <c r="H5992" s="9" t="n">
        <f aca="false">IF(G5992&gt;0,D5992/G5992,"")</f>
        <v>4.17538461538462</v>
      </c>
      <c r="I5992" s="10" t="n">
        <v>46155</v>
      </c>
      <c r="K5992" s="10"/>
      <c r="M5992" s="7"/>
      <c r="N5992" s="8"/>
      <c r="O5992" s="4"/>
    </row>
    <row r="5993" customFormat="false" ht="15" hidden="false" customHeight="false" outlineLevel="0" collapsed="false">
      <c r="A5993" s="0" t="s">
        <v>7825</v>
      </c>
      <c r="C5993" s="0" t="s">
        <v>39</v>
      </c>
      <c r="D5993" s="7" t="n">
        <v>271</v>
      </c>
      <c r="E5993" s="8" t="n">
        <v>0.0339483394833948</v>
      </c>
      <c r="F5993" s="4" t="n">
        <f aca="false">D5993*E5993</f>
        <v>9.2</v>
      </c>
      <c r="G5993" s="7" t="n">
        <v>213</v>
      </c>
      <c r="H5993" s="9" t="n">
        <f aca="false">IF(G5993&gt;0,D5993/G5993,"")</f>
        <v>1.27230046948357</v>
      </c>
      <c r="I5993" s="10" t="n">
        <v>46254</v>
      </c>
      <c r="J5993" s="3" t="s">
        <v>5999</v>
      </c>
      <c r="K5993" s="10" t="n">
        <v>45614</v>
      </c>
      <c r="L5993" s="3" t="s">
        <v>19</v>
      </c>
      <c r="M5993" s="7" t="n">
        <v>1000</v>
      </c>
      <c r="N5993" s="8" t="n">
        <v>0.0339</v>
      </c>
      <c r="O5993" s="4" t="n">
        <f aca="false">M5993*N5993</f>
        <v>33.9</v>
      </c>
    </row>
    <row r="5994" customFormat="false" ht="15" hidden="false" customHeight="false" outlineLevel="0" collapsed="false">
      <c r="A5994" s="0" t="s">
        <v>7826</v>
      </c>
      <c r="C5994" s="0" t="s">
        <v>36</v>
      </c>
      <c r="D5994" s="7" t="n">
        <v>208</v>
      </c>
      <c r="E5994" s="8" t="n">
        <v>0.0441826923076923</v>
      </c>
      <c r="F5994" s="4" t="n">
        <f aca="false">D5994*E5994</f>
        <v>9.19</v>
      </c>
      <c r="G5994" s="7" t="n">
        <v>157</v>
      </c>
      <c r="H5994" s="9" t="n">
        <f aca="false">IF(G5994&gt;0,D5994/G5994,"")</f>
        <v>1.32484076433121</v>
      </c>
      <c r="I5994" s="10" t="n">
        <v>46247</v>
      </c>
      <c r="J5994" s="3" t="s">
        <v>7827</v>
      </c>
      <c r="K5994" s="10" t="n">
        <v>44309</v>
      </c>
      <c r="L5994" s="3" t="s">
        <v>19</v>
      </c>
      <c r="M5994" s="7" t="n">
        <v>1340</v>
      </c>
      <c r="N5994" s="8" t="n">
        <v>0.0442</v>
      </c>
      <c r="O5994" s="4" t="n">
        <f aca="false">M5994*N5994</f>
        <v>59.228</v>
      </c>
    </row>
    <row r="5995" customFormat="false" ht="15" hidden="false" customHeight="false" outlineLevel="0" collapsed="false">
      <c r="A5995" s="0" t="s">
        <v>7828</v>
      </c>
      <c r="C5995" s="0" t="s">
        <v>765</v>
      </c>
      <c r="D5995" s="7" t="n">
        <v>49</v>
      </c>
      <c r="E5995" s="8" t="n">
        <v>0.18734693877551</v>
      </c>
      <c r="F5995" s="4" t="n">
        <f aca="false">D5995*E5995</f>
        <v>9.18</v>
      </c>
      <c r="G5995" s="7" t="n">
        <v>35</v>
      </c>
      <c r="H5995" s="9" t="n">
        <f aca="false">IF(G5995&gt;0,D5995/G5995,"")</f>
        <v>1.4</v>
      </c>
      <c r="I5995" s="10" t="n">
        <v>46006</v>
      </c>
      <c r="J5995" s="3" t="s">
        <v>922</v>
      </c>
      <c r="K5995" s="10" t="n">
        <v>44908</v>
      </c>
      <c r="L5995" s="3" t="s">
        <v>19</v>
      </c>
      <c r="M5995" s="7" t="n">
        <v>100</v>
      </c>
      <c r="N5995" s="8" t="n">
        <v>0.1876</v>
      </c>
      <c r="O5995" s="4" t="n">
        <f aca="false">M5995*N5995</f>
        <v>18.76</v>
      </c>
    </row>
    <row r="5996" customFormat="false" ht="15" hidden="false" customHeight="false" outlineLevel="0" collapsed="false">
      <c r="A5996" s="0" t="s">
        <v>7829</v>
      </c>
      <c r="C5996" s="0" t="s">
        <v>100</v>
      </c>
      <c r="D5996" s="7" t="n">
        <v>5</v>
      </c>
      <c r="E5996" s="8" t="n">
        <v>1.828</v>
      </c>
      <c r="F5996" s="4" t="n">
        <f aca="false">D5996*E5996</f>
        <v>9.14</v>
      </c>
      <c r="G5996" s="7" t="n">
        <v>4</v>
      </c>
      <c r="H5996" s="9" t="n">
        <f aca="false">IF(G5996&gt;0,D5996/G5996,"")</f>
        <v>1.25</v>
      </c>
      <c r="I5996" s="10" t="n">
        <v>46247</v>
      </c>
      <c r="K5996" s="10"/>
      <c r="M5996" s="7"/>
      <c r="N5996" s="8"/>
      <c r="O5996" s="4"/>
    </row>
    <row r="5997" customFormat="false" ht="15" hidden="false" customHeight="false" outlineLevel="0" collapsed="false">
      <c r="A5997" s="0" t="s">
        <v>7830</v>
      </c>
      <c r="C5997" s="0" t="s">
        <v>79</v>
      </c>
      <c r="D5997" s="7" t="n">
        <v>37</v>
      </c>
      <c r="E5997" s="8" t="n">
        <v>0.247027027027027</v>
      </c>
      <c r="F5997" s="4" t="n">
        <f aca="false">D5997*E5997</f>
        <v>9.14</v>
      </c>
      <c r="G5997" s="7" t="n">
        <v>30</v>
      </c>
      <c r="H5997" s="9" t="n">
        <f aca="false">IF(G5997&gt;0,D5997/G5997,"")</f>
        <v>1.23333333333333</v>
      </c>
      <c r="I5997" s="10" t="n">
        <v>46309</v>
      </c>
      <c r="K5997" s="10"/>
      <c r="M5997" s="7"/>
      <c r="N5997" s="8"/>
      <c r="O5997" s="4"/>
    </row>
    <row r="5998" customFormat="false" ht="15" hidden="false" customHeight="false" outlineLevel="0" collapsed="false">
      <c r="A5998" s="0" t="s">
        <v>7831</v>
      </c>
      <c r="C5998" s="0" t="s">
        <v>79</v>
      </c>
      <c r="D5998" s="7" t="n">
        <v>15</v>
      </c>
      <c r="E5998" s="8" t="n">
        <v>0.608</v>
      </c>
      <c r="F5998" s="4" t="n">
        <f aca="false">D5998*E5998</f>
        <v>9.12</v>
      </c>
      <c r="G5998" s="7" t="n">
        <v>5</v>
      </c>
      <c r="H5998" s="9" t="n">
        <f aca="false">IF(G5998&gt;0,D5998/G5998,"")</f>
        <v>3</v>
      </c>
      <c r="I5998" s="10" t="n">
        <v>46099</v>
      </c>
      <c r="K5998" s="10"/>
      <c r="M5998" s="7"/>
      <c r="N5998" s="8"/>
      <c r="O5998" s="4"/>
    </row>
    <row r="5999" customFormat="false" ht="15" hidden="false" customHeight="false" outlineLevel="0" collapsed="false">
      <c r="A5999" s="0" t="s">
        <v>7832</v>
      </c>
      <c r="C5999" s="0" t="s">
        <v>40</v>
      </c>
      <c r="D5999" s="7" t="n">
        <v>158</v>
      </c>
      <c r="E5999" s="8" t="n">
        <v>0.0574683544303798</v>
      </c>
      <c r="F5999" s="4" t="n">
        <f aca="false">D5999*E5999</f>
        <v>9.08</v>
      </c>
      <c r="G5999" s="7" t="n">
        <v>18</v>
      </c>
      <c r="H5999" s="9" t="n">
        <f aca="false">IF(G5999&gt;0,D5999/G5999,"")</f>
        <v>8.77777777777778</v>
      </c>
      <c r="I5999" s="10" t="n">
        <v>46055</v>
      </c>
      <c r="K5999" s="10"/>
      <c r="M5999" s="7"/>
      <c r="N5999" s="8"/>
      <c r="O5999" s="4"/>
    </row>
    <row r="6000" customFormat="false" ht="15" hidden="false" customHeight="false" outlineLevel="0" collapsed="false">
      <c r="A6000" s="0" t="s">
        <v>7833</v>
      </c>
      <c r="C6000" s="0" t="s">
        <v>31</v>
      </c>
      <c r="D6000" s="7" t="n">
        <v>94</v>
      </c>
      <c r="E6000" s="8" t="n">
        <v>0.0965957446808511</v>
      </c>
      <c r="F6000" s="4" t="n">
        <f aca="false">D6000*E6000</f>
        <v>9.08</v>
      </c>
      <c r="G6000" s="7" t="n">
        <v>6</v>
      </c>
      <c r="H6000" s="9" t="n">
        <f aca="false">IF(G6000&gt;0,D6000/G6000,"")</f>
        <v>15.6666666666667</v>
      </c>
      <c r="I6000" s="10" t="n">
        <v>46157</v>
      </c>
      <c r="J6000" s="3" t="s">
        <v>1228</v>
      </c>
      <c r="K6000" s="10" t="n">
        <v>45852</v>
      </c>
      <c r="L6000" s="3" t="s">
        <v>15</v>
      </c>
      <c r="M6000" s="7" t="n">
        <v>400</v>
      </c>
      <c r="N6000" s="8" t="n">
        <v>0.09662</v>
      </c>
      <c r="O6000" s="4" t="n">
        <f aca="false">M6000*N6000</f>
        <v>38.648</v>
      </c>
    </row>
    <row r="6001" customFormat="false" ht="15" hidden="false" customHeight="false" outlineLevel="0" collapsed="false">
      <c r="A6001" s="0" t="s">
        <v>7834</v>
      </c>
      <c r="C6001" s="0" t="s">
        <v>340</v>
      </c>
      <c r="D6001" s="7" t="n">
        <v>209</v>
      </c>
      <c r="E6001" s="8" t="n">
        <v>0.043444976076555</v>
      </c>
      <c r="F6001" s="4" t="n">
        <f aca="false">D6001*E6001</f>
        <v>9.08</v>
      </c>
      <c r="G6001" s="7" t="n">
        <v>131</v>
      </c>
      <c r="H6001" s="9" t="n">
        <f aca="false">IF(G6001&gt;0,D6001/G6001,"")</f>
        <v>1.59541984732824</v>
      </c>
      <c r="I6001" s="10" t="n">
        <v>46314</v>
      </c>
      <c r="J6001" s="3" t="s">
        <v>5814</v>
      </c>
      <c r="K6001" s="10" t="n">
        <v>44250</v>
      </c>
      <c r="L6001" s="3" t="s">
        <v>19</v>
      </c>
      <c r="M6001" s="7" t="n">
        <v>1200</v>
      </c>
      <c r="N6001" s="8" t="n">
        <v>0.0435</v>
      </c>
      <c r="O6001" s="4" t="n">
        <f aca="false">M6001*N6001</f>
        <v>52.2</v>
      </c>
    </row>
    <row r="6002" customFormat="false" ht="15" hidden="false" customHeight="false" outlineLevel="0" collapsed="false">
      <c r="A6002" s="0" t="s">
        <v>7835</v>
      </c>
      <c r="C6002" s="0" t="s">
        <v>398</v>
      </c>
      <c r="D6002" s="7" t="n">
        <v>113</v>
      </c>
      <c r="E6002" s="8" t="n">
        <v>0.0802654867256637</v>
      </c>
      <c r="F6002" s="4" t="n">
        <f aca="false">D6002*E6002</f>
        <v>9.07</v>
      </c>
      <c r="G6002" s="7" t="n">
        <v>59</v>
      </c>
      <c r="H6002" s="9" t="n">
        <f aca="false">IF(G6002&gt;0,D6002/G6002,"")</f>
        <v>1.91525423728814</v>
      </c>
      <c r="I6002" s="10" t="n">
        <v>46287</v>
      </c>
      <c r="K6002" s="10"/>
      <c r="M6002" s="7"/>
      <c r="N6002" s="8"/>
      <c r="O6002" s="4"/>
    </row>
    <row r="6003" customFormat="false" ht="15" hidden="false" customHeight="false" outlineLevel="0" collapsed="false">
      <c r="A6003" s="0" t="s">
        <v>7836</v>
      </c>
      <c r="C6003" s="0" t="s">
        <v>741</v>
      </c>
      <c r="D6003" s="7" t="n">
        <v>21</v>
      </c>
      <c r="E6003" s="8" t="n">
        <v>0.430476190476191</v>
      </c>
      <c r="F6003" s="4" t="n">
        <f aca="false">D6003*E6003</f>
        <v>9.04</v>
      </c>
      <c r="G6003" s="7" t="n">
        <v>3</v>
      </c>
      <c r="H6003" s="9" t="n">
        <f aca="false">IF(G6003&gt;0,D6003/G6003,"")</f>
        <v>7</v>
      </c>
      <c r="I6003" s="10" t="n">
        <v>46091</v>
      </c>
      <c r="K6003" s="10"/>
      <c r="M6003" s="7"/>
      <c r="N6003" s="8"/>
      <c r="O6003" s="4"/>
    </row>
    <row r="6004" customFormat="false" ht="15" hidden="false" customHeight="false" outlineLevel="0" collapsed="false">
      <c r="A6004" s="0" t="s">
        <v>7837</v>
      </c>
      <c r="C6004" s="0" t="s">
        <v>609</v>
      </c>
      <c r="D6004" s="7" t="n">
        <v>4</v>
      </c>
      <c r="E6004" s="8" t="n">
        <v>2.255</v>
      </c>
      <c r="F6004" s="4" t="n">
        <f aca="false">D6004*E6004</f>
        <v>9.02</v>
      </c>
      <c r="G6004" s="7" t="n">
        <v>2</v>
      </c>
      <c r="H6004" s="9" t="n">
        <f aca="false">IF(G6004&gt;0,D6004/G6004,"")</f>
        <v>2</v>
      </c>
      <c r="I6004" s="10" t="n">
        <v>46232</v>
      </c>
      <c r="J6004" s="3" t="s">
        <v>1977</v>
      </c>
      <c r="K6004" s="10" t="n">
        <v>45659</v>
      </c>
      <c r="L6004" s="3" t="s">
        <v>14</v>
      </c>
      <c r="M6004" s="7" t="n">
        <v>10</v>
      </c>
      <c r="N6004" s="8" t="n">
        <v>2.255</v>
      </c>
      <c r="O6004" s="4" t="n">
        <f aca="false">M6004*N6004</f>
        <v>22.55</v>
      </c>
    </row>
    <row r="6005" customFormat="false" ht="15" hidden="false" customHeight="false" outlineLevel="0" collapsed="false">
      <c r="A6005" s="0" t="s">
        <v>7838</v>
      </c>
      <c r="C6005" s="0" t="s">
        <v>31</v>
      </c>
      <c r="D6005" s="7" t="n">
        <v>187</v>
      </c>
      <c r="E6005" s="8" t="n">
        <v>0.0481283422459893</v>
      </c>
      <c r="F6005" s="4" t="n">
        <f aca="false">D6005*E6005</f>
        <v>9</v>
      </c>
      <c r="G6005" s="7" t="n">
        <v>70</v>
      </c>
      <c r="H6005" s="9" t="n">
        <f aca="false">IF(G6005&gt;0,D6005/G6005,"")</f>
        <v>2.67142857142857</v>
      </c>
      <c r="I6005" s="10" t="n">
        <v>46309</v>
      </c>
      <c r="J6005" s="3" t="s">
        <v>6472</v>
      </c>
      <c r="K6005" s="10" t="n">
        <v>45064</v>
      </c>
      <c r="L6005" s="3" t="s">
        <v>19</v>
      </c>
      <c r="M6005" s="7" t="n">
        <v>500</v>
      </c>
      <c r="N6005" s="8" t="n">
        <v>0.0482</v>
      </c>
      <c r="O6005" s="4" t="n">
        <f aca="false">M6005*N6005</f>
        <v>24.1</v>
      </c>
    </row>
    <row r="6006" customFormat="false" ht="15" hidden="false" customHeight="false" outlineLevel="0" collapsed="false">
      <c r="A6006" s="0" t="s">
        <v>7839</v>
      </c>
      <c r="C6006" s="0" t="s">
        <v>31</v>
      </c>
      <c r="D6006" s="7" t="n">
        <v>95</v>
      </c>
      <c r="E6006" s="8" t="n">
        <v>0.0945263157894737</v>
      </c>
      <c r="F6006" s="4" t="n">
        <f aca="false">D6006*E6006</f>
        <v>8.98</v>
      </c>
      <c r="G6006" s="7" t="n">
        <v>58</v>
      </c>
      <c r="H6006" s="9" t="n">
        <f aca="false">IF(G6006&gt;0,D6006/G6006,"")</f>
        <v>1.63793103448276</v>
      </c>
      <c r="I6006" s="10" t="n">
        <v>46247</v>
      </c>
      <c r="K6006" s="10"/>
      <c r="M6006" s="7"/>
      <c r="N6006" s="8"/>
      <c r="O6006" s="4"/>
    </row>
    <row r="6007" customFormat="false" ht="15" hidden="false" customHeight="false" outlineLevel="0" collapsed="false">
      <c r="A6007" s="0" t="s">
        <v>7840</v>
      </c>
      <c r="C6007" s="0" t="s">
        <v>1039</v>
      </c>
      <c r="D6007" s="7" t="n">
        <v>560</v>
      </c>
      <c r="E6007" s="8" t="n">
        <v>0.0159821428571429</v>
      </c>
      <c r="F6007" s="4" t="n">
        <f aca="false">D6007*E6007</f>
        <v>8.95</v>
      </c>
      <c r="G6007" s="7" t="n">
        <v>362</v>
      </c>
      <c r="H6007" s="9" t="n">
        <f aca="false">IF(G6007&gt;0,D6007/G6007,"")</f>
        <v>1.54696132596685</v>
      </c>
      <c r="I6007" s="10" t="n">
        <v>46308</v>
      </c>
      <c r="J6007" s="3" t="s">
        <v>6781</v>
      </c>
      <c r="K6007" s="10" t="n">
        <v>44638</v>
      </c>
      <c r="L6007" s="3" t="s">
        <v>19</v>
      </c>
      <c r="M6007" s="7" t="n">
        <v>1150</v>
      </c>
      <c r="N6007" s="8" t="n">
        <v>0.0211</v>
      </c>
      <c r="O6007" s="4" t="n">
        <v>21.1</v>
      </c>
    </row>
    <row r="6008" customFormat="false" ht="15" hidden="false" customHeight="false" outlineLevel="0" collapsed="false">
      <c r="A6008" s="0" t="s">
        <v>7841</v>
      </c>
      <c r="C6008" s="0" t="s">
        <v>979</v>
      </c>
      <c r="D6008" s="7" t="n">
        <v>21</v>
      </c>
      <c r="E6008" s="8" t="n">
        <v>0.426190476190476</v>
      </c>
      <c r="F6008" s="4" t="n">
        <f aca="false">D6008*E6008</f>
        <v>8.95</v>
      </c>
      <c r="G6008" s="7" t="n">
        <v>14</v>
      </c>
      <c r="H6008" s="9" t="n">
        <f aca="false">IF(G6008&gt;0,D6008/G6008,"")</f>
        <v>1.5</v>
      </c>
      <c r="I6008" s="10" t="n">
        <v>46107</v>
      </c>
      <c r="J6008" s="3" t="s">
        <v>7842</v>
      </c>
      <c r="K6008" s="10" t="n">
        <v>45476</v>
      </c>
      <c r="L6008" s="3" t="s">
        <v>18</v>
      </c>
      <c r="M6008" s="7" t="n">
        <v>360</v>
      </c>
      <c r="N6008" s="8" t="n">
        <v>0.4262</v>
      </c>
      <c r="O6008" s="4" t="n">
        <f aca="false">M6008*N6008</f>
        <v>153.432</v>
      </c>
    </row>
    <row r="6009" customFormat="false" ht="15" hidden="false" customHeight="false" outlineLevel="0" collapsed="false">
      <c r="A6009" s="0" t="s">
        <v>7843</v>
      </c>
      <c r="C6009" s="0" t="s">
        <v>370</v>
      </c>
      <c r="D6009" s="7" t="n">
        <v>23</v>
      </c>
      <c r="E6009" s="8" t="n">
        <v>0.389130434782609</v>
      </c>
      <c r="F6009" s="4" t="n">
        <f aca="false">D6009*E6009</f>
        <v>8.95</v>
      </c>
      <c r="G6009" s="7" t="n">
        <v>20</v>
      </c>
      <c r="H6009" s="9" t="n">
        <f aca="false">IF(G6009&gt;0,D6009/G6009,"")</f>
        <v>1.15</v>
      </c>
      <c r="I6009" s="10" t="n">
        <v>46202</v>
      </c>
      <c r="J6009" s="3" t="s">
        <v>4538</v>
      </c>
      <c r="K6009" s="10" t="n">
        <v>44826</v>
      </c>
      <c r="L6009" s="3" t="s">
        <v>19</v>
      </c>
      <c r="M6009" s="7" t="n">
        <v>50</v>
      </c>
      <c r="N6009" s="8" t="n">
        <v>0.3893</v>
      </c>
      <c r="O6009" s="4" t="n">
        <f aca="false">M6009*N6009</f>
        <v>19.465</v>
      </c>
    </row>
    <row r="6010" customFormat="false" ht="15" hidden="false" customHeight="false" outlineLevel="0" collapsed="false">
      <c r="A6010" s="0" t="s">
        <v>7844</v>
      </c>
      <c r="C6010" s="0" t="s">
        <v>34</v>
      </c>
      <c r="D6010" s="7" t="n">
        <v>68</v>
      </c>
      <c r="E6010" s="8" t="n">
        <v>0.131470588235294</v>
      </c>
      <c r="F6010" s="4" t="n">
        <f aca="false">D6010*E6010</f>
        <v>8.94</v>
      </c>
      <c r="G6010" s="7" t="n">
        <v>35</v>
      </c>
      <c r="H6010" s="9" t="n">
        <f aca="false">IF(G6010&gt;0,D6010/G6010,"")</f>
        <v>1.94285714285714</v>
      </c>
      <c r="I6010" s="10" t="n">
        <v>46202</v>
      </c>
      <c r="J6010" s="3" t="s">
        <v>4645</v>
      </c>
      <c r="K6010" s="10" t="n">
        <v>46310</v>
      </c>
      <c r="L6010" s="3" t="s">
        <v>16</v>
      </c>
      <c r="M6010" s="7" t="n">
        <v>5100</v>
      </c>
      <c r="N6010" s="8" t="n">
        <v>0.0296</v>
      </c>
      <c r="O6010" s="4" t="n">
        <f aca="false">M6010*N6010</f>
        <v>150.96</v>
      </c>
    </row>
    <row r="6011" customFormat="false" ht="15" hidden="false" customHeight="false" outlineLevel="0" collapsed="false">
      <c r="A6011" s="0" t="s">
        <v>7845</v>
      </c>
      <c r="C6011" s="0" t="s">
        <v>3463</v>
      </c>
      <c r="D6011" s="7" t="n">
        <v>89</v>
      </c>
      <c r="E6011" s="8" t="n">
        <v>0.1</v>
      </c>
      <c r="F6011" s="4" t="n">
        <f aca="false">D6011*E6011</f>
        <v>8.9</v>
      </c>
      <c r="G6011" s="7" t="n">
        <v>4</v>
      </c>
      <c r="H6011" s="9" t="n">
        <f aca="false">IF(G6011&gt;0,D6011/G6011,"")</f>
        <v>22.25</v>
      </c>
      <c r="I6011" s="10" t="n">
        <v>46304</v>
      </c>
      <c r="J6011" s="3" t="s">
        <v>4262</v>
      </c>
      <c r="K6011" s="10" t="n">
        <v>45325</v>
      </c>
      <c r="L6011" s="3" t="s">
        <v>21</v>
      </c>
      <c r="M6011" s="7" t="n">
        <v>100</v>
      </c>
      <c r="N6011" s="8" t="n">
        <v>0.1</v>
      </c>
      <c r="O6011" s="4" t="n">
        <f aca="false">M6011*N6011</f>
        <v>10</v>
      </c>
    </row>
    <row r="6012" customFormat="false" ht="15" hidden="false" customHeight="false" outlineLevel="0" collapsed="false">
      <c r="A6012" s="0" t="s">
        <v>7846</v>
      </c>
      <c r="C6012" s="0" t="s">
        <v>31</v>
      </c>
      <c r="D6012" s="7" t="n">
        <v>1160</v>
      </c>
      <c r="E6012" s="8" t="n">
        <v>0.00766379310344828</v>
      </c>
      <c r="F6012" s="4" t="n">
        <f aca="false">D6012*E6012</f>
        <v>8.89</v>
      </c>
      <c r="G6012" s="7" t="n">
        <v>609</v>
      </c>
      <c r="H6012" s="9" t="n">
        <f aca="false">IF(G6012&gt;0,D6012/G6012,"")</f>
        <v>1.9047619047619</v>
      </c>
      <c r="I6012" s="10" t="n">
        <v>46315</v>
      </c>
      <c r="J6012" s="3" t="s">
        <v>2086</v>
      </c>
      <c r="K6012" s="10" t="n">
        <v>45021</v>
      </c>
      <c r="L6012" s="3" t="s">
        <v>19</v>
      </c>
      <c r="M6012" s="7" t="n">
        <v>2500</v>
      </c>
      <c r="N6012" s="8" t="n">
        <v>0.0077</v>
      </c>
      <c r="O6012" s="4" t="n">
        <f aca="false">M6012*N6012</f>
        <v>19.25</v>
      </c>
    </row>
    <row r="6013" customFormat="false" ht="15" hidden="false" customHeight="false" outlineLevel="0" collapsed="false">
      <c r="A6013" s="0" t="s">
        <v>7847</v>
      </c>
      <c r="C6013" s="0" t="s">
        <v>31</v>
      </c>
      <c r="D6013" s="7" t="n">
        <v>223</v>
      </c>
      <c r="E6013" s="8" t="n">
        <v>0.0397757847533632</v>
      </c>
      <c r="F6013" s="4" t="n">
        <f aca="false">D6013*E6013</f>
        <v>8.87</v>
      </c>
      <c r="G6013" s="7" t="n">
        <v>96</v>
      </c>
      <c r="H6013" s="9" t="n">
        <f aca="false">IF(G6013&gt;0,D6013/G6013,"")</f>
        <v>2.32291666666667</v>
      </c>
      <c r="I6013" s="10" t="n">
        <v>46309</v>
      </c>
      <c r="K6013" s="10"/>
      <c r="M6013" s="7"/>
      <c r="N6013" s="8"/>
      <c r="O6013" s="4"/>
    </row>
    <row r="6014" customFormat="false" ht="15" hidden="false" customHeight="false" outlineLevel="0" collapsed="false">
      <c r="A6014" s="0" t="s">
        <v>7848</v>
      </c>
      <c r="C6014" s="0" t="s">
        <v>31</v>
      </c>
      <c r="D6014" s="7" t="n">
        <v>532</v>
      </c>
      <c r="E6014" s="8" t="n">
        <v>0.0166541353383459</v>
      </c>
      <c r="F6014" s="4" t="n">
        <f aca="false">D6014*E6014</f>
        <v>8.86</v>
      </c>
      <c r="G6014" s="7" t="n">
        <v>307</v>
      </c>
      <c r="H6014" s="9" t="n">
        <f aca="false">IF(G6014&gt;0,D6014/G6014,"")</f>
        <v>1.7328990228013</v>
      </c>
      <c r="I6014" s="10" t="n">
        <v>46265</v>
      </c>
      <c r="J6014" s="3" t="s">
        <v>2732</v>
      </c>
      <c r="K6014" s="10" t="n">
        <v>45867</v>
      </c>
      <c r="L6014" s="3" t="s">
        <v>19</v>
      </c>
      <c r="M6014" s="7" t="n">
        <v>900</v>
      </c>
      <c r="N6014" s="8" t="n">
        <v>0.016667</v>
      </c>
      <c r="O6014" s="4" t="n">
        <f aca="false">M6014*N6014</f>
        <v>15.0003</v>
      </c>
    </row>
    <row r="6015" customFormat="false" ht="15" hidden="false" customHeight="false" outlineLevel="0" collapsed="false">
      <c r="A6015" s="0" t="s">
        <v>7849</v>
      </c>
      <c r="C6015" s="0" t="s">
        <v>38</v>
      </c>
      <c r="D6015" s="7" t="n">
        <v>660</v>
      </c>
      <c r="E6015" s="8" t="n">
        <v>0.0133939393939394</v>
      </c>
      <c r="F6015" s="4" t="n">
        <f aca="false">D6015*E6015</f>
        <v>8.84</v>
      </c>
      <c r="G6015" s="7" t="n">
        <v>90</v>
      </c>
      <c r="H6015" s="9" t="n">
        <f aca="false">IF(G6015&gt;0,D6015/G6015,"")</f>
        <v>7.33333333333333</v>
      </c>
      <c r="I6015" s="10" t="n">
        <v>46274</v>
      </c>
      <c r="J6015" s="3" t="s">
        <v>7657</v>
      </c>
      <c r="K6015" s="10" t="n">
        <v>45307</v>
      </c>
      <c r="L6015" s="3" t="s">
        <v>19</v>
      </c>
      <c r="M6015" s="7" t="n">
        <v>1860</v>
      </c>
      <c r="N6015" s="8" t="n">
        <v>0.0134</v>
      </c>
      <c r="O6015" s="4" t="n">
        <f aca="false">M6015*N6015</f>
        <v>24.924</v>
      </c>
    </row>
    <row r="6016" customFormat="false" ht="15" hidden="false" customHeight="false" outlineLevel="0" collapsed="false">
      <c r="A6016" s="0" t="s">
        <v>7850</v>
      </c>
      <c r="C6016" s="0" t="s">
        <v>31</v>
      </c>
      <c r="D6016" s="7" t="n">
        <v>13</v>
      </c>
      <c r="E6016" s="8" t="n">
        <v>0.679230769230769</v>
      </c>
      <c r="F6016" s="4" t="n">
        <f aca="false">D6016*E6016</f>
        <v>8.83</v>
      </c>
      <c r="G6016" s="7" t="n">
        <v>2</v>
      </c>
      <c r="H6016" s="9" t="n">
        <f aca="false">IF(G6016&gt;0,D6016/G6016,"")</f>
        <v>6.5</v>
      </c>
      <c r="I6016" s="10" t="n">
        <v>45961</v>
      </c>
      <c r="J6016" s="3" t="s">
        <v>6472</v>
      </c>
      <c r="K6016" s="10" t="n">
        <v>45064</v>
      </c>
      <c r="L6016" s="3" t="s">
        <v>19</v>
      </c>
      <c r="M6016" s="7" t="n">
        <v>25</v>
      </c>
      <c r="N6016" s="8" t="n">
        <v>0.6795</v>
      </c>
      <c r="O6016" s="4" t="n">
        <f aca="false">M6016*N6016</f>
        <v>16.9875</v>
      </c>
    </row>
    <row r="6017" customFormat="false" ht="15" hidden="false" customHeight="false" outlineLevel="0" collapsed="false">
      <c r="A6017" s="0" t="s">
        <v>7851</v>
      </c>
      <c r="C6017" s="0" t="s">
        <v>34</v>
      </c>
      <c r="D6017" s="7" t="n">
        <v>66</v>
      </c>
      <c r="E6017" s="8" t="n">
        <v>0.133787878787879</v>
      </c>
      <c r="F6017" s="4" t="n">
        <f aca="false">D6017*E6017</f>
        <v>8.83</v>
      </c>
      <c r="G6017" s="7" t="n">
        <v>64</v>
      </c>
      <c r="H6017" s="9" t="n">
        <f aca="false">IF(G6017&gt;0,D6017/G6017,"")</f>
        <v>1.03125</v>
      </c>
      <c r="I6017" s="10" t="n">
        <v>46240</v>
      </c>
      <c r="K6017" s="10"/>
      <c r="M6017" s="7"/>
      <c r="N6017" s="8"/>
      <c r="O6017" s="4"/>
    </row>
    <row r="6018" customFormat="false" ht="15" hidden="false" customHeight="false" outlineLevel="0" collapsed="false">
      <c r="A6018" s="0" t="s">
        <v>7852</v>
      </c>
      <c r="C6018" s="0" t="s">
        <v>166</v>
      </c>
      <c r="D6018" s="7" t="n">
        <v>7</v>
      </c>
      <c r="E6018" s="8" t="n">
        <v>1.26</v>
      </c>
      <c r="F6018" s="4" t="n">
        <f aca="false">D6018*E6018</f>
        <v>8.82</v>
      </c>
      <c r="G6018" s="7" t="n">
        <v>1</v>
      </c>
      <c r="H6018" s="9" t="n">
        <f aca="false">IF(G6018&gt;0,D6018/G6018,"")</f>
        <v>7</v>
      </c>
      <c r="I6018" s="10" t="n">
        <v>46093</v>
      </c>
      <c r="K6018" s="10"/>
      <c r="M6018" s="7"/>
      <c r="N6018" s="8"/>
      <c r="O6018" s="4"/>
    </row>
    <row r="6019" customFormat="false" ht="15" hidden="false" customHeight="false" outlineLevel="0" collapsed="false">
      <c r="A6019" s="0" t="s">
        <v>7853</v>
      </c>
      <c r="C6019" s="0" t="s">
        <v>31</v>
      </c>
      <c r="D6019" s="7" t="n">
        <v>196</v>
      </c>
      <c r="E6019" s="8" t="n">
        <v>0.045</v>
      </c>
      <c r="F6019" s="4" t="n">
        <f aca="false">D6019*E6019</f>
        <v>8.82</v>
      </c>
      <c r="G6019" s="7" t="n">
        <v>10</v>
      </c>
      <c r="H6019" s="9" t="n">
        <f aca="false">IF(G6019&gt;0,D6019/G6019,"")</f>
        <v>19.6</v>
      </c>
      <c r="I6019" s="10" t="n">
        <v>46178</v>
      </c>
      <c r="K6019" s="10"/>
      <c r="M6019" s="7"/>
      <c r="N6019" s="8"/>
      <c r="O6019" s="4"/>
    </row>
    <row r="6020" customFormat="false" ht="15" hidden="false" customHeight="false" outlineLevel="0" collapsed="false">
      <c r="A6020" s="0" t="s">
        <v>7854</v>
      </c>
      <c r="C6020" s="0" t="s">
        <v>31</v>
      </c>
      <c r="D6020" s="7" t="n">
        <v>37</v>
      </c>
      <c r="E6020" s="8" t="n">
        <v>0.237567567567568</v>
      </c>
      <c r="F6020" s="4" t="n">
        <f aca="false">D6020*E6020</f>
        <v>8.79</v>
      </c>
      <c r="G6020" s="7" t="n">
        <v>10</v>
      </c>
      <c r="H6020" s="9" t="n">
        <f aca="false">IF(G6020&gt;0,D6020/G6020,"")</f>
        <v>3.7</v>
      </c>
      <c r="I6020" s="10" t="n">
        <v>46140</v>
      </c>
      <c r="J6020" s="3" t="s">
        <v>7364</v>
      </c>
      <c r="K6020" s="10" t="n">
        <v>45142</v>
      </c>
      <c r="L6020" s="3" t="s">
        <v>19</v>
      </c>
      <c r="M6020" s="7" t="n">
        <v>200</v>
      </c>
      <c r="N6020" s="8" t="n">
        <v>0.2374</v>
      </c>
      <c r="O6020" s="4" t="n">
        <f aca="false">M6020*N6020</f>
        <v>47.48</v>
      </c>
    </row>
    <row r="6021" customFormat="false" ht="15" hidden="false" customHeight="false" outlineLevel="0" collapsed="false">
      <c r="A6021" s="0" t="s">
        <v>7855</v>
      </c>
      <c r="C6021" s="0" t="s">
        <v>855</v>
      </c>
      <c r="D6021" s="7" t="n">
        <v>594</v>
      </c>
      <c r="E6021" s="8" t="n">
        <v>0.0147979797979798</v>
      </c>
      <c r="F6021" s="4" t="n">
        <f aca="false">D6021*E6021</f>
        <v>8.79</v>
      </c>
      <c r="G6021" s="7" t="n">
        <v>144</v>
      </c>
      <c r="H6021" s="9" t="n">
        <f aca="false">IF(G6021&gt;0,D6021/G6021,"")</f>
        <v>4.125</v>
      </c>
      <c r="I6021" s="10" t="n">
        <v>46297</v>
      </c>
      <c r="K6021" s="10"/>
      <c r="M6021" s="7"/>
      <c r="N6021" s="8"/>
      <c r="O6021" s="4"/>
    </row>
    <row r="6022" customFormat="false" ht="15" hidden="false" customHeight="false" outlineLevel="0" collapsed="false">
      <c r="A6022" s="0" t="s">
        <v>7856</v>
      </c>
      <c r="C6022" s="0" t="s">
        <v>79</v>
      </c>
      <c r="D6022" s="7" t="n">
        <v>180</v>
      </c>
      <c r="E6022" s="8" t="n">
        <v>0.0487222222222222</v>
      </c>
      <c r="F6022" s="4" t="n">
        <f aca="false">D6022*E6022</f>
        <v>8.77</v>
      </c>
      <c r="G6022" s="7" t="n">
        <v>101</v>
      </c>
      <c r="H6022" s="9" t="n">
        <f aca="false">IF(G6022&gt;0,D6022/G6022,"")</f>
        <v>1.78217821782178</v>
      </c>
      <c r="I6022" s="10" t="n">
        <v>46210</v>
      </c>
      <c r="J6022" s="3" t="s">
        <v>7857</v>
      </c>
      <c r="K6022" s="10" t="n">
        <v>45030</v>
      </c>
      <c r="L6022" s="3" t="s">
        <v>15</v>
      </c>
      <c r="M6022" s="7" t="n">
        <v>770</v>
      </c>
      <c r="N6022" s="8" t="n">
        <v>0.04871</v>
      </c>
      <c r="O6022" s="4" t="n">
        <f aca="false">M6022*N6022</f>
        <v>37.5067</v>
      </c>
    </row>
    <row r="6023" customFormat="false" ht="15" hidden="false" customHeight="false" outlineLevel="0" collapsed="false">
      <c r="A6023" s="0" t="s">
        <v>7858</v>
      </c>
      <c r="C6023" s="0" t="s">
        <v>36</v>
      </c>
      <c r="D6023" s="7" t="n">
        <v>59</v>
      </c>
      <c r="E6023" s="8" t="n">
        <v>0.148474576271186</v>
      </c>
      <c r="F6023" s="4" t="n">
        <f aca="false">D6023*E6023</f>
        <v>8.76</v>
      </c>
      <c r="G6023" s="7" t="n">
        <v>3</v>
      </c>
      <c r="H6023" s="9" t="n">
        <f aca="false">IF(G6023&gt;0,D6023/G6023,"")</f>
        <v>19.6666666666667</v>
      </c>
      <c r="I6023" s="10" t="n">
        <v>46086</v>
      </c>
      <c r="K6023" s="10"/>
      <c r="M6023" s="7"/>
      <c r="N6023" s="8"/>
      <c r="O6023" s="4"/>
    </row>
    <row r="6024" customFormat="false" ht="15" hidden="false" customHeight="false" outlineLevel="0" collapsed="false">
      <c r="A6024" s="0" t="s">
        <v>7859</v>
      </c>
      <c r="C6024" s="0" t="s">
        <v>31</v>
      </c>
      <c r="D6024" s="7" t="n">
        <v>50</v>
      </c>
      <c r="E6024" s="8" t="n">
        <v>0.1746</v>
      </c>
      <c r="F6024" s="4" t="n">
        <f aca="false">D6024*E6024</f>
        <v>8.73</v>
      </c>
      <c r="G6024" s="7" t="n">
        <v>50</v>
      </c>
      <c r="H6024" s="9" t="n">
        <f aca="false">IF(G6024&gt;0,D6024/G6024,"")</f>
        <v>1</v>
      </c>
      <c r="I6024" s="10" t="n">
        <v>46281</v>
      </c>
      <c r="J6024" s="3" t="s">
        <v>2394</v>
      </c>
      <c r="K6024" s="10" t="n">
        <v>46269</v>
      </c>
      <c r="L6024" s="3" t="s">
        <v>19</v>
      </c>
      <c r="M6024" s="7" t="n">
        <v>100</v>
      </c>
      <c r="N6024" s="8" t="n">
        <v>0.1746</v>
      </c>
      <c r="O6024" s="4" t="n">
        <f aca="false">M6024*N6024</f>
        <v>17.46</v>
      </c>
    </row>
    <row r="6025" customFormat="false" ht="15" hidden="false" customHeight="false" outlineLevel="0" collapsed="false">
      <c r="A6025" s="0" t="s">
        <v>7860</v>
      </c>
      <c r="C6025" s="0" t="s">
        <v>41</v>
      </c>
      <c r="D6025" s="7" t="n">
        <v>23</v>
      </c>
      <c r="E6025" s="8" t="n">
        <v>0.379565217391304</v>
      </c>
      <c r="F6025" s="4" t="n">
        <f aca="false">D6025*E6025</f>
        <v>8.73</v>
      </c>
      <c r="G6025" s="7" t="n">
        <v>10</v>
      </c>
      <c r="H6025" s="9" t="n">
        <f aca="false">IF(G6025&gt;0,D6025/G6025,"")</f>
        <v>2.3</v>
      </c>
      <c r="I6025" s="10" t="n">
        <v>45966</v>
      </c>
      <c r="J6025" s="3" t="s">
        <v>7861</v>
      </c>
      <c r="K6025" s="10" t="n">
        <v>45154</v>
      </c>
      <c r="L6025" s="3" t="s">
        <v>19</v>
      </c>
      <c r="M6025" s="7" t="n">
        <v>50</v>
      </c>
      <c r="N6025" s="8" t="n">
        <v>0.3795</v>
      </c>
      <c r="O6025" s="4" t="n">
        <f aca="false">M6025*N6025</f>
        <v>18.975</v>
      </c>
    </row>
    <row r="6026" customFormat="false" ht="15" hidden="false" customHeight="false" outlineLevel="0" collapsed="false">
      <c r="A6026" s="0" t="s">
        <v>7862</v>
      </c>
      <c r="C6026" s="0" t="s">
        <v>31</v>
      </c>
      <c r="D6026" s="7" t="n">
        <v>27</v>
      </c>
      <c r="E6026" s="8" t="n">
        <v>0.323333333333333</v>
      </c>
      <c r="F6026" s="4" t="n">
        <f aca="false">D6026*E6026</f>
        <v>8.73</v>
      </c>
      <c r="G6026" s="7" t="n">
        <v>4</v>
      </c>
      <c r="H6026" s="9" t="n">
        <f aca="false">IF(G6026&gt;0,D6026/G6026,"")</f>
        <v>6.75</v>
      </c>
      <c r="I6026" s="10" t="n">
        <v>45993</v>
      </c>
      <c r="J6026" s="3" t="s">
        <v>7863</v>
      </c>
      <c r="K6026" s="10" t="n">
        <v>44390</v>
      </c>
      <c r="L6026" s="3" t="s">
        <v>19</v>
      </c>
      <c r="M6026" s="7" t="n">
        <v>50</v>
      </c>
      <c r="N6026" s="8" t="n">
        <v>0.3233</v>
      </c>
      <c r="O6026" s="4" t="n">
        <f aca="false">M6026*N6026</f>
        <v>16.165</v>
      </c>
    </row>
    <row r="6027" customFormat="false" ht="15" hidden="false" customHeight="false" outlineLevel="0" collapsed="false">
      <c r="A6027" s="0" t="s">
        <v>7864</v>
      </c>
      <c r="C6027" s="0" t="s">
        <v>31</v>
      </c>
      <c r="D6027" s="7" t="n">
        <v>2939</v>
      </c>
      <c r="E6027" s="8" t="n">
        <v>0.00294658046954747</v>
      </c>
      <c r="F6027" s="4" t="n">
        <f aca="false">D6027*E6027</f>
        <v>8.66</v>
      </c>
      <c r="G6027" s="7" t="n">
        <v>799</v>
      </c>
      <c r="H6027" s="9" t="n">
        <f aca="false">IF(G6027&gt;0,D6027/G6027,"")</f>
        <v>3.67834793491865</v>
      </c>
      <c r="I6027" s="10" t="n">
        <v>46268</v>
      </c>
      <c r="J6027" s="3" t="s">
        <v>7865</v>
      </c>
      <c r="K6027" s="10" t="n">
        <v>45366</v>
      </c>
      <c r="L6027" s="3" t="s">
        <v>15</v>
      </c>
      <c r="M6027" s="7" t="n">
        <v>4900</v>
      </c>
      <c r="N6027" s="8" t="n">
        <v>0.00294</v>
      </c>
      <c r="O6027" s="4" t="n">
        <f aca="false">M6027*N6027</f>
        <v>14.406</v>
      </c>
    </row>
    <row r="6028" customFormat="false" ht="15" hidden="false" customHeight="false" outlineLevel="0" collapsed="false">
      <c r="A6028" s="0" t="s">
        <v>7866</v>
      </c>
      <c r="C6028" s="0" t="s">
        <v>31</v>
      </c>
      <c r="D6028" s="7" t="n">
        <v>33</v>
      </c>
      <c r="E6028" s="8" t="n">
        <v>0.262424242424242</v>
      </c>
      <c r="F6028" s="4" t="n">
        <f aca="false">D6028*E6028</f>
        <v>8.66</v>
      </c>
      <c r="G6028" s="7" t="n">
        <v>16</v>
      </c>
      <c r="H6028" s="9" t="n">
        <f aca="false">IF(G6028&gt;0,D6028/G6028,"")</f>
        <v>2.0625</v>
      </c>
      <c r="I6028" s="10" t="n">
        <v>46212</v>
      </c>
      <c r="J6028" s="3" t="s">
        <v>7560</v>
      </c>
      <c r="K6028" s="10" t="n">
        <v>45369</v>
      </c>
      <c r="L6028" s="3" t="s">
        <v>19</v>
      </c>
      <c r="M6028" s="7" t="n">
        <v>100</v>
      </c>
      <c r="N6028" s="8" t="n">
        <v>0.2625</v>
      </c>
      <c r="O6028" s="4" t="n">
        <f aca="false">M6028*N6028</f>
        <v>26.25</v>
      </c>
    </row>
    <row r="6029" customFormat="false" ht="15" hidden="false" customHeight="false" outlineLevel="0" collapsed="false">
      <c r="A6029" s="0" t="s">
        <v>7867</v>
      </c>
      <c r="C6029" s="0" t="s">
        <v>32</v>
      </c>
      <c r="D6029" s="7" t="n">
        <v>81</v>
      </c>
      <c r="E6029" s="8" t="n">
        <v>0.10679012345679</v>
      </c>
      <c r="F6029" s="4" t="n">
        <f aca="false">D6029*E6029</f>
        <v>8.65</v>
      </c>
      <c r="G6029" s="7" t="n">
        <v>54</v>
      </c>
      <c r="H6029" s="9" t="n">
        <f aca="false">IF(G6029&gt;0,D6029/G6029,"")</f>
        <v>1.5</v>
      </c>
      <c r="I6029" s="10" t="n">
        <v>46230</v>
      </c>
      <c r="J6029" s="3" t="s">
        <v>2407</v>
      </c>
      <c r="K6029" s="10" t="n">
        <v>45007</v>
      </c>
      <c r="L6029" s="3" t="s">
        <v>15</v>
      </c>
      <c r="M6029" s="7" t="n">
        <v>500</v>
      </c>
      <c r="N6029" s="8" t="n">
        <v>0.10679</v>
      </c>
      <c r="O6029" s="4" t="n">
        <f aca="false">M6029*N6029</f>
        <v>53.395</v>
      </c>
    </row>
    <row r="6030" customFormat="false" ht="15" hidden="false" customHeight="false" outlineLevel="0" collapsed="false">
      <c r="A6030" s="0" t="s">
        <v>7868</v>
      </c>
      <c r="C6030" s="0" t="s">
        <v>31</v>
      </c>
      <c r="D6030" s="7" t="n">
        <v>250</v>
      </c>
      <c r="E6030" s="8" t="n">
        <v>0.0346</v>
      </c>
      <c r="F6030" s="4" t="n">
        <f aca="false">D6030*E6030</f>
        <v>8.65</v>
      </c>
      <c r="G6030" s="7" t="n">
        <v>210</v>
      </c>
      <c r="H6030" s="9" t="n">
        <f aca="false">IF(G6030&gt;0,D6030/G6030,"")</f>
        <v>1.19047619047619</v>
      </c>
      <c r="I6030" s="10" t="n">
        <v>46301</v>
      </c>
      <c r="J6030" s="3" t="s">
        <v>4429</v>
      </c>
      <c r="K6030" s="10" t="n">
        <v>45415</v>
      </c>
      <c r="L6030" s="3" t="s">
        <v>19</v>
      </c>
      <c r="M6030" s="7" t="n">
        <v>500</v>
      </c>
      <c r="N6030" s="8" t="n">
        <v>0.0346</v>
      </c>
      <c r="O6030" s="4" t="n">
        <f aca="false">M6030*N6030</f>
        <v>17.3</v>
      </c>
    </row>
    <row r="6031" customFormat="false" ht="15" hidden="false" customHeight="false" outlineLevel="0" collapsed="false">
      <c r="A6031" s="0" t="s">
        <v>7869</v>
      </c>
      <c r="C6031" s="0" t="s">
        <v>34</v>
      </c>
      <c r="D6031" s="7" t="n">
        <v>20</v>
      </c>
      <c r="E6031" s="8" t="n">
        <v>0.432</v>
      </c>
      <c r="F6031" s="4" t="n">
        <f aca="false">D6031*E6031</f>
        <v>8.64</v>
      </c>
      <c r="G6031" s="7" t="n">
        <v>5</v>
      </c>
      <c r="H6031" s="9" t="n">
        <f aca="false">IF(G6031&gt;0,D6031/G6031,"")</f>
        <v>4</v>
      </c>
      <c r="I6031" s="10" t="n">
        <v>46141</v>
      </c>
      <c r="K6031" s="10"/>
      <c r="M6031" s="7"/>
      <c r="N6031" s="8"/>
      <c r="O6031" s="4"/>
    </row>
    <row r="6032" customFormat="false" ht="15" hidden="false" customHeight="false" outlineLevel="0" collapsed="false">
      <c r="A6032" s="0" t="s">
        <v>7870</v>
      </c>
      <c r="C6032" s="0" t="s">
        <v>31</v>
      </c>
      <c r="D6032" s="7" t="n">
        <v>58</v>
      </c>
      <c r="E6032" s="8" t="n">
        <v>0.148965517241379</v>
      </c>
      <c r="F6032" s="4" t="n">
        <f aca="false">D6032*E6032</f>
        <v>8.64</v>
      </c>
      <c r="G6032" s="7" t="n">
        <v>15</v>
      </c>
      <c r="H6032" s="9" t="n">
        <f aca="false">IF(G6032&gt;0,D6032/G6032,"")</f>
        <v>3.86666666666667</v>
      </c>
      <c r="I6032" s="10" t="n">
        <v>46163</v>
      </c>
      <c r="K6032" s="10"/>
      <c r="M6032" s="7"/>
      <c r="N6032" s="8"/>
      <c r="O6032" s="4"/>
    </row>
    <row r="6033" customFormat="false" ht="15" hidden="false" customHeight="false" outlineLevel="0" collapsed="false">
      <c r="A6033" s="0" t="s">
        <v>7871</v>
      </c>
      <c r="C6033" s="0" t="s">
        <v>31</v>
      </c>
      <c r="D6033" s="7" t="n">
        <v>773</v>
      </c>
      <c r="E6033" s="8" t="n">
        <v>0.0111772315653299</v>
      </c>
      <c r="F6033" s="4" t="n">
        <f aca="false">D6033*E6033</f>
        <v>8.64</v>
      </c>
      <c r="G6033" s="7" t="n">
        <v>55</v>
      </c>
      <c r="H6033" s="9" t="n">
        <f aca="false">IF(G6033&gt;0,D6033/G6033,"")</f>
        <v>14.0545454545455</v>
      </c>
      <c r="I6033" s="10" t="n">
        <v>46174</v>
      </c>
      <c r="K6033" s="10"/>
      <c r="M6033" s="7"/>
      <c r="N6033" s="8"/>
      <c r="O6033" s="4"/>
    </row>
    <row r="6034" customFormat="false" ht="15" hidden="false" customHeight="false" outlineLevel="0" collapsed="false">
      <c r="A6034" s="0" t="s">
        <v>7872</v>
      </c>
      <c r="C6034" s="0" t="s">
        <v>889</v>
      </c>
      <c r="D6034" s="7" t="n">
        <v>188</v>
      </c>
      <c r="E6034" s="8" t="n">
        <v>0.0457978723404255</v>
      </c>
      <c r="F6034" s="4" t="n">
        <f aca="false">D6034*E6034</f>
        <v>8.61</v>
      </c>
      <c r="G6034" s="7" t="n">
        <v>50</v>
      </c>
      <c r="H6034" s="9" t="n">
        <f aca="false">IF(G6034&gt;0,D6034/G6034,"")</f>
        <v>3.76</v>
      </c>
      <c r="I6034" s="10" t="n">
        <v>46260</v>
      </c>
      <c r="J6034" s="3" t="s">
        <v>7873</v>
      </c>
      <c r="K6034" s="10" t="n">
        <v>45867</v>
      </c>
      <c r="L6034" s="3" t="s">
        <v>26</v>
      </c>
      <c r="M6034" s="7" t="n">
        <v>200</v>
      </c>
      <c r="N6034" s="8" t="n">
        <v>0.0458</v>
      </c>
      <c r="O6034" s="4" t="n">
        <f aca="false">M6034*N6034</f>
        <v>9.16</v>
      </c>
    </row>
    <row r="6035" customFormat="false" ht="15" hidden="false" customHeight="false" outlineLevel="0" collapsed="false">
      <c r="A6035" s="0" t="s">
        <v>7874</v>
      </c>
      <c r="C6035" s="0" t="s">
        <v>39</v>
      </c>
      <c r="D6035" s="7" t="n">
        <v>14</v>
      </c>
      <c r="E6035" s="8" t="n">
        <v>0.614285714285714</v>
      </c>
      <c r="F6035" s="4" t="n">
        <f aca="false">D6035*E6035</f>
        <v>8.6</v>
      </c>
      <c r="G6035" s="7" t="n">
        <v>10</v>
      </c>
      <c r="H6035" s="9" t="n">
        <f aca="false">IF(G6035&gt;0,D6035/G6035,"")</f>
        <v>1.4</v>
      </c>
      <c r="I6035" s="10" t="n">
        <v>46021</v>
      </c>
      <c r="K6035" s="10"/>
      <c r="M6035" s="7"/>
      <c r="N6035" s="8"/>
      <c r="O6035" s="4"/>
    </row>
    <row r="6036" customFormat="false" ht="15" hidden="false" customHeight="false" outlineLevel="0" collapsed="false">
      <c r="A6036" s="0" t="s">
        <v>7875</v>
      </c>
      <c r="C6036" s="0" t="s">
        <v>35</v>
      </c>
      <c r="D6036" s="7" t="n">
        <v>1</v>
      </c>
      <c r="E6036" s="8" t="n">
        <v>8.6</v>
      </c>
      <c r="F6036" s="4" t="n">
        <f aca="false">D6036*E6036</f>
        <v>8.6</v>
      </c>
      <c r="G6036" s="7" t="n">
        <v>1</v>
      </c>
      <c r="H6036" s="9" t="n">
        <f aca="false">IF(G6036&gt;0,D6036/G6036,"")</f>
        <v>1</v>
      </c>
      <c r="I6036" s="10" t="n">
        <v>46170</v>
      </c>
      <c r="K6036" s="10"/>
      <c r="M6036" s="7"/>
      <c r="N6036" s="8"/>
      <c r="O6036" s="4"/>
    </row>
    <row r="6037" customFormat="false" ht="15" hidden="false" customHeight="false" outlineLevel="0" collapsed="false">
      <c r="A6037" s="0" t="s">
        <v>7876</v>
      </c>
      <c r="C6037" s="0" t="s">
        <v>36</v>
      </c>
      <c r="D6037" s="7" t="n">
        <v>144</v>
      </c>
      <c r="E6037" s="8" t="n">
        <v>0.0597222222222222</v>
      </c>
      <c r="F6037" s="4" t="n">
        <f aca="false">D6037*E6037</f>
        <v>8.6</v>
      </c>
      <c r="G6037" s="7" t="n">
        <v>20</v>
      </c>
      <c r="H6037" s="9" t="n">
        <f aca="false">IF(G6037&gt;0,D6037/G6037,"")</f>
        <v>7.2</v>
      </c>
      <c r="I6037" s="10" t="n">
        <v>46233</v>
      </c>
      <c r="K6037" s="10"/>
      <c r="M6037" s="7"/>
      <c r="N6037" s="8"/>
      <c r="O6037" s="4"/>
    </row>
    <row r="6038" customFormat="false" ht="15" hidden="false" customHeight="false" outlineLevel="0" collapsed="false">
      <c r="A6038" s="0" t="s">
        <v>7877</v>
      </c>
      <c r="C6038" s="0" t="s">
        <v>38</v>
      </c>
      <c r="D6038" s="7" t="n">
        <v>15</v>
      </c>
      <c r="E6038" s="8" t="n">
        <v>0.572666666666667</v>
      </c>
      <c r="F6038" s="4" t="n">
        <f aca="false">D6038*E6038</f>
        <v>8.59</v>
      </c>
      <c r="G6038" s="7" t="n">
        <v>10</v>
      </c>
      <c r="H6038" s="9" t="n">
        <f aca="false">IF(G6038&gt;0,D6038/G6038,"")</f>
        <v>1.5</v>
      </c>
      <c r="I6038" s="10" t="n">
        <v>46304</v>
      </c>
      <c r="J6038" s="3" t="s">
        <v>6706</v>
      </c>
      <c r="K6038" s="10" t="n">
        <v>44266</v>
      </c>
      <c r="L6038" s="3" t="s">
        <v>19</v>
      </c>
      <c r="M6038" s="7" t="n">
        <v>44</v>
      </c>
      <c r="N6038" s="8" t="n">
        <v>0.5726</v>
      </c>
      <c r="O6038" s="4" t="n">
        <f aca="false">M6038*N6038</f>
        <v>25.1944</v>
      </c>
    </row>
    <row r="6039" customFormat="false" ht="15" hidden="false" customHeight="false" outlineLevel="0" collapsed="false">
      <c r="A6039" s="0" t="s">
        <v>7878</v>
      </c>
      <c r="C6039" s="0" t="s">
        <v>31</v>
      </c>
      <c r="D6039" s="7" t="n">
        <v>103</v>
      </c>
      <c r="E6039" s="8" t="n">
        <v>0.0833980582524272</v>
      </c>
      <c r="F6039" s="4" t="n">
        <f aca="false">D6039*E6039</f>
        <v>8.59</v>
      </c>
      <c r="G6039" s="7" t="n">
        <v>74</v>
      </c>
      <c r="H6039" s="9" t="n">
        <f aca="false">IF(G6039&gt;0,D6039/G6039,"")</f>
        <v>1.39189189189189</v>
      </c>
      <c r="I6039" s="10" t="n">
        <v>46253</v>
      </c>
      <c r="J6039" s="3" t="s">
        <v>336</v>
      </c>
      <c r="K6039" s="10" t="n">
        <v>46245</v>
      </c>
      <c r="L6039" s="3" t="s">
        <v>14</v>
      </c>
      <c r="M6039" s="7" t="n">
        <v>170</v>
      </c>
      <c r="N6039" s="8" t="n">
        <v>0.0686</v>
      </c>
      <c r="O6039" s="4" t="n">
        <f aca="false">M6039*N6039</f>
        <v>11.662</v>
      </c>
    </row>
    <row r="6040" customFormat="false" ht="15" hidden="false" customHeight="false" outlineLevel="0" collapsed="false">
      <c r="A6040" s="0" t="s">
        <v>7879</v>
      </c>
      <c r="C6040" s="0" t="s">
        <v>34</v>
      </c>
      <c r="D6040" s="7" t="n">
        <v>6</v>
      </c>
      <c r="E6040" s="8" t="n">
        <v>1.43166666666667</v>
      </c>
      <c r="F6040" s="4" t="n">
        <f aca="false">D6040*E6040</f>
        <v>8.59</v>
      </c>
      <c r="G6040" s="7" t="n">
        <v>4</v>
      </c>
      <c r="H6040" s="9" t="n">
        <f aca="false">IF(G6040&gt;0,D6040/G6040,"")</f>
        <v>1.5</v>
      </c>
      <c r="I6040" s="10" t="n">
        <v>46217</v>
      </c>
      <c r="J6040" s="3" t="s">
        <v>5694</v>
      </c>
      <c r="K6040" s="10" t="n">
        <v>44704</v>
      </c>
      <c r="L6040" s="3" t="s">
        <v>19</v>
      </c>
      <c r="M6040" s="7" t="n">
        <v>41</v>
      </c>
      <c r="N6040" s="8" t="n">
        <v>1.4311</v>
      </c>
      <c r="O6040" s="4" t="n">
        <f aca="false">M6040*N6040</f>
        <v>58.6751</v>
      </c>
    </row>
    <row r="6041" customFormat="false" ht="15" hidden="false" customHeight="false" outlineLevel="0" collapsed="false">
      <c r="A6041" s="0" t="s">
        <v>7880</v>
      </c>
      <c r="C6041" s="0" t="s">
        <v>31</v>
      </c>
      <c r="D6041" s="7" t="n">
        <v>165</v>
      </c>
      <c r="E6041" s="8" t="n">
        <v>0.0519393939393939</v>
      </c>
      <c r="F6041" s="4" t="n">
        <f aca="false">D6041*E6041</f>
        <v>8.57</v>
      </c>
      <c r="G6041" s="7" t="n">
        <v>22</v>
      </c>
      <c r="H6041" s="9" t="n">
        <f aca="false">IF(G6041&gt;0,D6041/G6041,"")</f>
        <v>7.5</v>
      </c>
      <c r="I6041" s="10" t="n">
        <v>46014</v>
      </c>
      <c r="J6041" s="3" t="s">
        <v>6627</v>
      </c>
      <c r="K6041" s="10" t="n">
        <v>44433</v>
      </c>
      <c r="L6041" s="3" t="s">
        <v>19</v>
      </c>
      <c r="M6041" s="7" t="n">
        <v>223</v>
      </c>
      <c r="N6041" s="8" t="n">
        <v>0.0519</v>
      </c>
      <c r="O6041" s="4" t="n">
        <f aca="false">M6041*N6041</f>
        <v>11.5737</v>
      </c>
    </row>
    <row r="6042" customFormat="false" ht="15" hidden="false" customHeight="false" outlineLevel="0" collapsed="false">
      <c r="A6042" s="0" t="s">
        <v>7881</v>
      </c>
      <c r="C6042" s="0" t="s">
        <v>36</v>
      </c>
      <c r="D6042" s="7" t="n">
        <v>1555</v>
      </c>
      <c r="E6042" s="8" t="n">
        <v>0.0054983922829582</v>
      </c>
      <c r="F6042" s="4" t="n">
        <f aca="false">D6042*E6042</f>
        <v>8.55</v>
      </c>
      <c r="G6042" s="7" t="n">
        <v>775</v>
      </c>
      <c r="H6042" s="9" t="n">
        <f aca="false">IF(G6042&gt;0,D6042/G6042,"")</f>
        <v>2.00645161290323</v>
      </c>
      <c r="I6042" s="10" t="n">
        <v>46073</v>
      </c>
      <c r="K6042" s="10"/>
      <c r="M6042" s="7"/>
      <c r="N6042" s="8"/>
      <c r="O6042" s="4"/>
    </row>
    <row r="6043" customFormat="false" ht="15" hidden="false" customHeight="false" outlineLevel="0" collapsed="false">
      <c r="A6043" s="0" t="s">
        <v>7882</v>
      </c>
      <c r="D6043" s="7" t="n">
        <v>3</v>
      </c>
      <c r="E6043" s="8" t="n">
        <v>2.85</v>
      </c>
      <c r="F6043" s="4" t="n">
        <f aca="false">D6043*E6043</f>
        <v>8.55</v>
      </c>
      <c r="G6043" s="7" t="n">
        <v>1</v>
      </c>
      <c r="H6043" s="9" t="n">
        <f aca="false">IF(G6043&gt;0,D6043/G6043,"")</f>
        <v>3</v>
      </c>
      <c r="I6043" s="10" t="n">
        <v>46212</v>
      </c>
      <c r="K6043" s="10"/>
      <c r="M6043" s="7"/>
      <c r="N6043" s="8"/>
      <c r="O6043" s="4"/>
    </row>
    <row r="6044" customFormat="false" ht="15" hidden="false" customHeight="false" outlineLevel="0" collapsed="false">
      <c r="A6044" s="0" t="s">
        <v>7883</v>
      </c>
      <c r="C6044" s="0" t="s">
        <v>34</v>
      </c>
      <c r="D6044" s="7" t="n">
        <v>19</v>
      </c>
      <c r="E6044" s="8" t="n">
        <v>0.45</v>
      </c>
      <c r="F6044" s="4" t="n">
        <f aca="false">D6044*E6044</f>
        <v>8.55</v>
      </c>
      <c r="G6044" s="7" t="n">
        <v>8</v>
      </c>
      <c r="H6044" s="9" t="n">
        <f aca="false">IF(G6044&gt;0,D6044/G6044,"")</f>
        <v>2.375</v>
      </c>
      <c r="I6044" s="10" t="n">
        <v>46286</v>
      </c>
      <c r="K6044" s="10"/>
      <c r="M6044" s="7"/>
      <c r="N6044" s="8"/>
      <c r="O6044" s="4"/>
    </row>
    <row r="6045" customFormat="false" ht="15" hidden="false" customHeight="false" outlineLevel="0" collapsed="false">
      <c r="A6045" s="0" t="s">
        <v>7884</v>
      </c>
      <c r="C6045" s="0" t="s">
        <v>118</v>
      </c>
      <c r="D6045" s="7" t="n">
        <v>128</v>
      </c>
      <c r="E6045" s="8" t="n">
        <v>0.066484375</v>
      </c>
      <c r="F6045" s="4" t="n">
        <f aca="false">D6045*E6045</f>
        <v>8.51</v>
      </c>
      <c r="G6045" s="7" t="n">
        <v>73</v>
      </c>
      <c r="H6045" s="9" t="n">
        <f aca="false">IF(G6045&gt;0,D6045/G6045,"")</f>
        <v>1.75342465753425</v>
      </c>
      <c r="I6045" s="10" t="n">
        <v>46244</v>
      </c>
      <c r="K6045" s="10"/>
      <c r="M6045" s="7"/>
      <c r="N6045" s="8"/>
      <c r="O6045" s="4"/>
    </row>
    <row r="6046" customFormat="false" ht="15" hidden="false" customHeight="false" outlineLevel="0" collapsed="false">
      <c r="A6046" s="0" t="s">
        <v>7885</v>
      </c>
      <c r="C6046" s="0" t="s">
        <v>31</v>
      </c>
      <c r="D6046" s="7" t="n">
        <v>48</v>
      </c>
      <c r="E6046" s="8" t="n">
        <v>0.176875</v>
      </c>
      <c r="F6046" s="4" t="n">
        <f aca="false">D6046*E6046</f>
        <v>8.49</v>
      </c>
      <c r="G6046" s="7" t="n">
        <v>8</v>
      </c>
      <c r="H6046" s="9" t="n">
        <f aca="false">IF(G6046&gt;0,D6046/G6046,"")</f>
        <v>6</v>
      </c>
      <c r="I6046" s="10" t="n">
        <v>46142</v>
      </c>
      <c r="K6046" s="10"/>
      <c r="M6046" s="7"/>
      <c r="N6046" s="8"/>
      <c r="O6046" s="4"/>
    </row>
    <row r="6047" customFormat="false" ht="15" hidden="false" customHeight="false" outlineLevel="0" collapsed="false">
      <c r="A6047" s="0" t="s">
        <v>7886</v>
      </c>
      <c r="C6047" s="0" t="s">
        <v>34</v>
      </c>
      <c r="D6047" s="7" t="n">
        <v>72</v>
      </c>
      <c r="E6047" s="8" t="n">
        <v>0.117916666666667</v>
      </c>
      <c r="F6047" s="4" t="n">
        <f aca="false">D6047*E6047</f>
        <v>8.49</v>
      </c>
      <c r="G6047" s="7" t="n">
        <v>40</v>
      </c>
      <c r="H6047" s="9" t="n">
        <f aca="false">IF(G6047&gt;0,D6047/G6047,"")</f>
        <v>1.8</v>
      </c>
      <c r="I6047" s="10" t="n">
        <v>46139</v>
      </c>
      <c r="J6047" s="3" t="s">
        <v>1588</v>
      </c>
      <c r="K6047" s="10" t="n">
        <v>44582</v>
      </c>
      <c r="L6047" s="3" t="s">
        <v>19</v>
      </c>
      <c r="M6047" s="7" t="n">
        <v>242</v>
      </c>
      <c r="N6047" s="8" t="n">
        <v>0.118</v>
      </c>
      <c r="O6047" s="4" t="n">
        <f aca="false">M6047*N6047</f>
        <v>28.556</v>
      </c>
    </row>
    <row r="6048" customFormat="false" ht="15" hidden="false" customHeight="false" outlineLevel="0" collapsed="false">
      <c r="A6048" s="0" t="s">
        <v>7887</v>
      </c>
      <c r="C6048" s="0" t="s">
        <v>31</v>
      </c>
      <c r="D6048" s="7" t="n">
        <v>125</v>
      </c>
      <c r="E6048" s="8" t="n">
        <v>0.06784</v>
      </c>
      <c r="F6048" s="4" t="n">
        <f aca="false">D6048*E6048</f>
        <v>8.48</v>
      </c>
      <c r="G6048" s="7" t="n">
        <v>10</v>
      </c>
      <c r="H6048" s="9" t="n">
        <f aca="false">IF(G6048&gt;0,D6048/G6048,"")</f>
        <v>12.5</v>
      </c>
      <c r="I6048" s="10" t="n">
        <v>46044</v>
      </c>
      <c r="J6048" s="3" t="s">
        <v>7888</v>
      </c>
      <c r="K6048" s="10" t="n">
        <v>44970</v>
      </c>
      <c r="L6048" s="3" t="s">
        <v>19</v>
      </c>
      <c r="M6048" s="7" t="n">
        <v>250</v>
      </c>
      <c r="N6048" s="8" t="n">
        <v>0.0679</v>
      </c>
      <c r="O6048" s="4" t="n">
        <f aca="false">M6048*N6048</f>
        <v>16.975</v>
      </c>
    </row>
    <row r="6049" customFormat="false" ht="15" hidden="false" customHeight="false" outlineLevel="0" collapsed="false">
      <c r="A6049" s="0" t="s">
        <v>7889</v>
      </c>
      <c r="C6049" s="0" t="s">
        <v>31</v>
      </c>
      <c r="D6049" s="7" t="n">
        <v>107</v>
      </c>
      <c r="E6049" s="8" t="n">
        <v>0.0789719626168224</v>
      </c>
      <c r="F6049" s="4" t="n">
        <f aca="false">D6049*E6049</f>
        <v>8.45</v>
      </c>
      <c r="G6049" s="7" t="n">
        <v>20</v>
      </c>
      <c r="H6049" s="9" t="n">
        <f aca="false">IF(G6049&gt;0,D6049/G6049,"")</f>
        <v>5.35</v>
      </c>
      <c r="I6049" s="10" t="n">
        <v>46080</v>
      </c>
      <c r="J6049" s="3" t="s">
        <v>932</v>
      </c>
      <c r="K6049" s="10" t="n">
        <v>45689</v>
      </c>
      <c r="L6049" s="3" t="s">
        <v>14</v>
      </c>
      <c r="M6049" s="7" t="n">
        <v>133</v>
      </c>
      <c r="N6049" s="8" t="n">
        <v>0.079</v>
      </c>
      <c r="O6049" s="4" t="n">
        <f aca="false">M6049*N6049</f>
        <v>10.507</v>
      </c>
    </row>
    <row r="6050" customFormat="false" ht="15" hidden="false" customHeight="false" outlineLevel="0" collapsed="false">
      <c r="A6050" s="0" t="s">
        <v>7890</v>
      </c>
      <c r="C6050" s="0" t="s">
        <v>398</v>
      </c>
      <c r="D6050" s="7" t="n">
        <v>165</v>
      </c>
      <c r="E6050" s="8" t="n">
        <v>0.0512121212121212</v>
      </c>
      <c r="F6050" s="4" t="n">
        <f aca="false">D6050*E6050</f>
        <v>8.45</v>
      </c>
      <c r="G6050" s="7" t="n">
        <v>25</v>
      </c>
      <c r="H6050" s="9" t="n">
        <f aca="false">IF(G6050&gt;0,D6050/G6050,"")</f>
        <v>6.6</v>
      </c>
      <c r="I6050" s="10" t="n">
        <v>46309</v>
      </c>
      <c r="K6050" s="10"/>
      <c r="M6050" s="7"/>
      <c r="N6050" s="8"/>
      <c r="O6050" s="4"/>
    </row>
    <row r="6051" customFormat="false" ht="15" hidden="false" customHeight="false" outlineLevel="0" collapsed="false">
      <c r="A6051" s="0" t="s">
        <v>7891</v>
      </c>
      <c r="C6051" s="0" t="s">
        <v>40</v>
      </c>
      <c r="D6051" s="7" t="n">
        <v>184</v>
      </c>
      <c r="E6051" s="8" t="n">
        <v>0.0458695652173913</v>
      </c>
      <c r="F6051" s="4" t="n">
        <f aca="false">D6051*E6051</f>
        <v>8.44</v>
      </c>
      <c r="G6051" s="7" t="n">
        <v>30</v>
      </c>
      <c r="H6051" s="9" t="n">
        <f aca="false">IF(G6051&gt;0,D6051/G6051,"")</f>
        <v>6.13333333333333</v>
      </c>
      <c r="I6051" s="10" t="n">
        <v>46104</v>
      </c>
      <c r="K6051" s="10"/>
      <c r="M6051" s="7"/>
      <c r="N6051" s="8"/>
      <c r="O6051" s="4"/>
    </row>
    <row r="6052" customFormat="false" ht="15" hidden="false" customHeight="false" outlineLevel="0" collapsed="false">
      <c r="A6052" s="0" t="s">
        <v>7892</v>
      </c>
      <c r="C6052" s="0" t="s">
        <v>38</v>
      </c>
      <c r="D6052" s="7" t="n">
        <v>297</v>
      </c>
      <c r="E6052" s="8" t="n">
        <v>0.0283501683501684</v>
      </c>
      <c r="F6052" s="4" t="n">
        <f aca="false">D6052*E6052</f>
        <v>8.42</v>
      </c>
      <c r="G6052" s="7" t="n">
        <v>125</v>
      </c>
      <c r="H6052" s="9" t="n">
        <f aca="false">IF(G6052&gt;0,D6052/G6052,"")</f>
        <v>2.376</v>
      </c>
      <c r="I6052" s="10" t="n">
        <v>46226</v>
      </c>
      <c r="K6052" s="10"/>
      <c r="M6052" s="7"/>
      <c r="N6052" s="8"/>
      <c r="O6052" s="4"/>
    </row>
    <row r="6053" customFormat="false" ht="15" hidden="false" customHeight="false" outlineLevel="0" collapsed="false">
      <c r="A6053" s="0" t="s">
        <v>7893</v>
      </c>
      <c r="C6053" s="0" t="s">
        <v>855</v>
      </c>
      <c r="D6053" s="7" t="n">
        <v>420</v>
      </c>
      <c r="E6053" s="8" t="n">
        <v>0.02</v>
      </c>
      <c r="F6053" s="4" t="n">
        <f aca="false">D6053*E6053</f>
        <v>8.4</v>
      </c>
      <c r="G6053" s="7" t="n">
        <v>13</v>
      </c>
      <c r="H6053" s="9" t="n">
        <f aca="false">IF(G6053&gt;0,D6053/G6053,"")</f>
        <v>32.3076923076923</v>
      </c>
      <c r="I6053" s="10" t="n">
        <v>46078</v>
      </c>
      <c r="K6053" s="10"/>
      <c r="M6053" s="7"/>
      <c r="N6053" s="8"/>
      <c r="O6053" s="4"/>
    </row>
    <row r="6054" customFormat="false" ht="15" hidden="false" customHeight="false" outlineLevel="0" collapsed="false">
      <c r="A6054" s="0" t="s">
        <v>7894</v>
      </c>
      <c r="C6054" s="0" t="s">
        <v>31</v>
      </c>
      <c r="D6054" s="7" t="n">
        <v>53</v>
      </c>
      <c r="E6054" s="8" t="n">
        <v>0.158301886792453</v>
      </c>
      <c r="F6054" s="4" t="n">
        <f aca="false">D6054*E6054</f>
        <v>8.39</v>
      </c>
      <c r="G6054" s="7" t="n">
        <v>12</v>
      </c>
      <c r="H6054" s="9" t="n">
        <f aca="false">IF(G6054&gt;0,D6054/G6054,"")</f>
        <v>4.41666666666667</v>
      </c>
      <c r="I6054" s="10" t="n">
        <v>46133</v>
      </c>
      <c r="J6054" s="3" t="s">
        <v>3531</v>
      </c>
      <c r="K6054" s="10" t="n">
        <v>44350</v>
      </c>
      <c r="L6054" s="3" t="s">
        <v>19</v>
      </c>
      <c r="M6054" s="7" t="n">
        <v>100</v>
      </c>
      <c r="N6054" s="8" t="n">
        <v>0.1582</v>
      </c>
      <c r="O6054" s="4" t="n">
        <f aca="false">M6054*N6054</f>
        <v>15.82</v>
      </c>
    </row>
    <row r="6055" customFormat="false" ht="15" hidden="false" customHeight="false" outlineLevel="0" collapsed="false">
      <c r="A6055" s="0" t="s">
        <v>7895</v>
      </c>
      <c r="C6055" s="0" t="s">
        <v>31</v>
      </c>
      <c r="D6055" s="7" t="n">
        <v>56</v>
      </c>
      <c r="E6055" s="8" t="n">
        <v>0.149821428571429</v>
      </c>
      <c r="F6055" s="4" t="n">
        <f aca="false">D6055*E6055</f>
        <v>8.39</v>
      </c>
      <c r="G6055" s="7" t="n">
        <v>7</v>
      </c>
      <c r="H6055" s="9" t="n">
        <f aca="false">IF(G6055&gt;0,D6055/G6055,"")</f>
        <v>8</v>
      </c>
      <c r="I6055" s="10" t="n">
        <v>46129</v>
      </c>
      <c r="K6055" s="10"/>
      <c r="M6055" s="7"/>
      <c r="N6055" s="8"/>
      <c r="O6055" s="4"/>
    </row>
    <row r="6056" customFormat="false" ht="15" hidden="false" customHeight="false" outlineLevel="0" collapsed="false">
      <c r="A6056" s="0" t="s">
        <v>7896</v>
      </c>
      <c r="C6056" s="0" t="s">
        <v>298</v>
      </c>
      <c r="D6056" s="7" t="n">
        <v>47</v>
      </c>
      <c r="E6056" s="8" t="n">
        <v>0.178085106382979</v>
      </c>
      <c r="F6056" s="4" t="n">
        <f aca="false">D6056*E6056</f>
        <v>8.37</v>
      </c>
      <c r="G6056" s="7" t="n">
        <v>5</v>
      </c>
      <c r="H6056" s="9" t="n">
        <f aca="false">IF(G6056&gt;0,D6056/G6056,"")</f>
        <v>9.4</v>
      </c>
      <c r="I6056" s="10" t="n">
        <v>46168</v>
      </c>
      <c r="J6056" s="3" t="s">
        <v>3056</v>
      </c>
      <c r="K6056" s="10" t="n">
        <v>44348</v>
      </c>
      <c r="L6056" s="3" t="s">
        <v>19</v>
      </c>
      <c r="M6056" s="7" t="n">
        <v>50</v>
      </c>
      <c r="N6056" s="8" t="n">
        <v>0.3441</v>
      </c>
      <c r="O6056" s="4" t="n">
        <f aca="false">M6056*N6056</f>
        <v>17.205</v>
      </c>
    </row>
    <row r="6057" customFormat="false" ht="15" hidden="false" customHeight="false" outlineLevel="0" collapsed="false">
      <c r="A6057" s="0" t="s">
        <v>7897</v>
      </c>
      <c r="C6057" s="0" t="s">
        <v>1039</v>
      </c>
      <c r="D6057" s="7" t="n">
        <v>5</v>
      </c>
      <c r="E6057" s="8" t="n">
        <v>1.664</v>
      </c>
      <c r="F6057" s="4" t="n">
        <f aca="false">D6057*E6057</f>
        <v>8.32</v>
      </c>
      <c r="G6057" s="7" t="n">
        <v>4</v>
      </c>
      <c r="H6057" s="9" t="n">
        <f aca="false">IF(G6057&gt;0,D6057/G6057,"")</f>
        <v>1.25</v>
      </c>
      <c r="I6057" s="10" t="n">
        <v>46112</v>
      </c>
      <c r="J6057" s="3" t="s">
        <v>7898</v>
      </c>
      <c r="K6057" s="10" t="n">
        <v>45831</v>
      </c>
      <c r="L6057" s="3" t="s">
        <v>19</v>
      </c>
      <c r="M6057" s="7" t="n">
        <v>10</v>
      </c>
      <c r="N6057" s="8" t="n">
        <v>1.665</v>
      </c>
      <c r="O6057" s="4" t="n">
        <f aca="false">M6057*N6057</f>
        <v>16.65</v>
      </c>
    </row>
    <row r="6058" customFormat="false" ht="15" hidden="false" customHeight="false" outlineLevel="0" collapsed="false">
      <c r="A6058" s="0" t="s">
        <v>7899</v>
      </c>
      <c r="C6058" s="0" t="s">
        <v>37</v>
      </c>
      <c r="D6058" s="7" t="n">
        <v>212</v>
      </c>
      <c r="E6058" s="8" t="n">
        <v>0.0391509433962264</v>
      </c>
      <c r="F6058" s="4" t="n">
        <f aca="false">D6058*E6058</f>
        <v>8.3</v>
      </c>
      <c r="G6058" s="7" t="n">
        <v>155</v>
      </c>
      <c r="H6058" s="9" t="n">
        <f aca="false">IF(G6058&gt;0,D6058/G6058,"")</f>
        <v>1.36774193548387</v>
      </c>
      <c r="I6058" s="10" t="n">
        <v>46252</v>
      </c>
      <c r="K6058" s="10"/>
      <c r="M6058" s="7"/>
      <c r="N6058" s="8"/>
      <c r="O6058" s="4"/>
    </row>
    <row r="6059" customFormat="false" ht="15" hidden="false" customHeight="false" outlineLevel="0" collapsed="false">
      <c r="A6059" s="0" t="s">
        <v>7900</v>
      </c>
      <c r="C6059" s="0" t="s">
        <v>360</v>
      </c>
      <c r="D6059" s="7" t="n">
        <v>105</v>
      </c>
      <c r="E6059" s="8" t="n">
        <v>0.0788571428571429</v>
      </c>
      <c r="F6059" s="4" t="n">
        <f aca="false">D6059*E6059</f>
        <v>8.28</v>
      </c>
      <c r="G6059" s="7" t="n">
        <v>4</v>
      </c>
      <c r="H6059" s="9" t="n">
        <f aca="false">IF(G6059&gt;0,D6059/G6059,"")</f>
        <v>26.25</v>
      </c>
      <c r="I6059" s="10" t="n">
        <v>46086</v>
      </c>
      <c r="J6059" s="3" t="s">
        <v>7901</v>
      </c>
      <c r="K6059" s="10" t="n">
        <v>44750</v>
      </c>
      <c r="L6059" s="3" t="s">
        <v>15</v>
      </c>
      <c r="M6059" s="7" t="n">
        <v>268</v>
      </c>
      <c r="N6059" s="8" t="n">
        <v>0.07883</v>
      </c>
      <c r="O6059" s="4" t="n">
        <f aca="false">M6059*N6059</f>
        <v>21.12644</v>
      </c>
    </row>
    <row r="6060" customFormat="false" ht="15" hidden="false" customHeight="false" outlineLevel="0" collapsed="false">
      <c r="A6060" s="0" t="s">
        <v>7902</v>
      </c>
      <c r="C6060" s="0" t="s">
        <v>31</v>
      </c>
      <c r="D6060" s="7" t="n">
        <v>870</v>
      </c>
      <c r="E6060" s="8" t="n">
        <v>0.00951724137931034</v>
      </c>
      <c r="F6060" s="4" t="n">
        <f aca="false">D6060*E6060</f>
        <v>8.28</v>
      </c>
      <c r="G6060" s="7" t="n">
        <v>23</v>
      </c>
      <c r="H6060" s="9" t="n">
        <f aca="false">IF(G6060&gt;0,D6060/G6060,"")</f>
        <v>37.8260869565217</v>
      </c>
      <c r="I6060" s="10" t="n">
        <v>46246</v>
      </c>
      <c r="K6060" s="10"/>
      <c r="M6060" s="7"/>
      <c r="N6060" s="8"/>
      <c r="O6060" s="4"/>
    </row>
    <row r="6061" customFormat="false" ht="15" hidden="false" customHeight="false" outlineLevel="0" collapsed="false">
      <c r="A6061" s="0" t="s">
        <v>7903</v>
      </c>
      <c r="C6061" s="0" t="s">
        <v>31</v>
      </c>
      <c r="D6061" s="7" t="n">
        <v>44</v>
      </c>
      <c r="E6061" s="8" t="n">
        <v>0.188181818181818</v>
      </c>
      <c r="F6061" s="4" t="n">
        <f aca="false">D6061*E6061</f>
        <v>8.28</v>
      </c>
      <c r="G6061" s="7" t="n">
        <v>20</v>
      </c>
      <c r="H6061" s="9" t="n">
        <f aca="false">IF(G6061&gt;0,D6061/G6061,"")</f>
        <v>2.2</v>
      </c>
      <c r="I6061" s="10" t="n">
        <v>45974</v>
      </c>
      <c r="K6061" s="10"/>
      <c r="M6061" s="7"/>
      <c r="N6061" s="8"/>
      <c r="O6061" s="4"/>
    </row>
    <row r="6062" customFormat="false" ht="15" hidden="false" customHeight="false" outlineLevel="0" collapsed="false">
      <c r="A6062" s="0" t="s">
        <v>7904</v>
      </c>
      <c r="C6062" s="0" t="s">
        <v>31</v>
      </c>
      <c r="D6062" s="7" t="n">
        <v>246</v>
      </c>
      <c r="E6062" s="8" t="n">
        <v>0.0336178861788618</v>
      </c>
      <c r="F6062" s="4" t="n">
        <f aca="false">D6062*E6062</f>
        <v>8.27</v>
      </c>
      <c r="G6062" s="7" t="n">
        <v>56</v>
      </c>
      <c r="H6062" s="9" t="n">
        <f aca="false">IF(G6062&gt;0,D6062/G6062,"")</f>
        <v>4.39285714285714</v>
      </c>
      <c r="I6062" s="10" t="n">
        <v>46287</v>
      </c>
      <c r="J6062" s="3" t="s">
        <v>315</v>
      </c>
      <c r="K6062" s="10" t="n">
        <v>46274</v>
      </c>
      <c r="L6062" s="3" t="s">
        <v>14</v>
      </c>
      <c r="M6062" s="7" t="n">
        <v>300</v>
      </c>
      <c r="N6062" s="8" t="n">
        <v>0.0336</v>
      </c>
      <c r="O6062" s="4" t="n">
        <f aca="false">M6062*N6062</f>
        <v>10.08</v>
      </c>
    </row>
    <row r="6063" customFormat="false" ht="15" hidden="false" customHeight="false" outlineLevel="0" collapsed="false">
      <c r="A6063" s="0" t="s">
        <v>7905</v>
      </c>
      <c r="C6063" s="0" t="s">
        <v>31</v>
      </c>
      <c r="D6063" s="7" t="n">
        <v>975</v>
      </c>
      <c r="E6063" s="8" t="n">
        <v>0.0084</v>
      </c>
      <c r="F6063" s="4" t="n">
        <f aca="false">D6063*E6063</f>
        <v>8.19</v>
      </c>
      <c r="G6063" s="7" t="n">
        <v>400</v>
      </c>
      <c r="H6063" s="9" t="n">
        <f aca="false">IF(G6063&gt;0,D6063/G6063,"")</f>
        <v>2.4375</v>
      </c>
      <c r="I6063" s="10" t="n">
        <v>46276</v>
      </c>
      <c r="J6063" s="3" t="s">
        <v>2712</v>
      </c>
      <c r="K6063" s="10" t="n">
        <v>45463</v>
      </c>
      <c r="L6063" s="3" t="s">
        <v>19</v>
      </c>
      <c r="M6063" s="7" t="n">
        <v>2500</v>
      </c>
      <c r="N6063" s="8" t="n">
        <v>0.0084</v>
      </c>
      <c r="O6063" s="4" t="n">
        <f aca="false">M6063*N6063</f>
        <v>21</v>
      </c>
    </row>
    <row r="6064" customFormat="false" ht="15" hidden="false" customHeight="false" outlineLevel="0" collapsed="false">
      <c r="A6064" s="0" t="s">
        <v>7906</v>
      </c>
      <c r="C6064" s="0" t="s">
        <v>38</v>
      </c>
      <c r="D6064" s="7" t="n">
        <v>38</v>
      </c>
      <c r="E6064" s="8" t="n">
        <v>0.214473684210526</v>
      </c>
      <c r="F6064" s="4" t="n">
        <f aca="false">D6064*E6064</f>
        <v>8.15</v>
      </c>
      <c r="G6064" s="7" t="n">
        <v>1</v>
      </c>
      <c r="H6064" s="9" t="n">
        <f aca="false">IF(G6064&gt;0,D6064/G6064,"")</f>
        <v>38</v>
      </c>
      <c r="I6064" s="10" t="n">
        <v>46126</v>
      </c>
      <c r="K6064" s="10"/>
      <c r="M6064" s="7"/>
      <c r="N6064" s="8"/>
      <c r="O6064" s="4"/>
    </row>
    <row r="6065" customFormat="false" ht="15" hidden="false" customHeight="false" outlineLevel="0" collapsed="false">
      <c r="A6065" s="0" t="s">
        <v>7907</v>
      </c>
      <c r="C6065" s="0" t="s">
        <v>855</v>
      </c>
      <c r="D6065" s="7" t="n">
        <v>833</v>
      </c>
      <c r="E6065" s="8" t="n">
        <v>0.0097719087635054</v>
      </c>
      <c r="F6065" s="4" t="n">
        <f aca="false">D6065*E6065</f>
        <v>8.14</v>
      </c>
      <c r="G6065" s="7" t="n">
        <v>35</v>
      </c>
      <c r="H6065" s="9" t="n">
        <f aca="false">IF(G6065&gt;0,D6065/G6065,"")</f>
        <v>23.8</v>
      </c>
      <c r="I6065" s="10" t="n">
        <v>46139</v>
      </c>
      <c r="K6065" s="10"/>
      <c r="M6065" s="7"/>
      <c r="N6065" s="8"/>
      <c r="O6065" s="4"/>
    </row>
    <row r="6066" customFormat="false" ht="15" hidden="false" customHeight="false" outlineLevel="0" collapsed="false">
      <c r="A6066" s="0" t="s">
        <v>7908</v>
      </c>
      <c r="C6066" s="0" t="s">
        <v>32</v>
      </c>
      <c r="D6066" s="7" t="n">
        <v>74</v>
      </c>
      <c r="E6066" s="8" t="n">
        <v>0.109864864864865</v>
      </c>
      <c r="F6066" s="4" t="n">
        <f aca="false">D6066*E6066</f>
        <v>8.13</v>
      </c>
      <c r="G6066" s="7" t="n">
        <v>15</v>
      </c>
      <c r="H6066" s="9" t="n">
        <f aca="false">IF(G6066&gt;0,D6066/G6066,"")</f>
        <v>4.93333333333333</v>
      </c>
      <c r="I6066" s="10" t="n">
        <v>46205</v>
      </c>
      <c r="K6066" s="10"/>
      <c r="M6066" s="7"/>
      <c r="N6066" s="8"/>
      <c r="O6066" s="4"/>
    </row>
    <row r="6067" customFormat="false" ht="15" hidden="false" customHeight="false" outlineLevel="0" collapsed="false">
      <c r="A6067" s="0" t="s">
        <v>7909</v>
      </c>
      <c r="C6067" s="0" t="s">
        <v>31</v>
      </c>
      <c r="D6067" s="7" t="n">
        <v>23</v>
      </c>
      <c r="E6067" s="8" t="n">
        <v>0.353478260869565</v>
      </c>
      <c r="F6067" s="4" t="n">
        <f aca="false">D6067*E6067</f>
        <v>8.13</v>
      </c>
      <c r="G6067" s="7" t="n">
        <v>8</v>
      </c>
      <c r="H6067" s="9" t="n">
        <f aca="false">IF(G6067&gt;0,D6067/G6067,"")</f>
        <v>2.875</v>
      </c>
      <c r="I6067" s="10" t="n">
        <v>45974</v>
      </c>
      <c r="K6067" s="10"/>
      <c r="M6067" s="7"/>
      <c r="N6067" s="8"/>
      <c r="O6067" s="4"/>
    </row>
    <row r="6068" customFormat="false" ht="15" hidden="false" customHeight="false" outlineLevel="0" collapsed="false">
      <c r="A6068" s="0" t="s">
        <v>7910</v>
      </c>
      <c r="C6068" s="0" t="s">
        <v>34</v>
      </c>
      <c r="D6068" s="7" t="n">
        <v>650</v>
      </c>
      <c r="E6068" s="8" t="n">
        <v>0.0124923076923077</v>
      </c>
      <c r="F6068" s="4" t="n">
        <f aca="false">D6068*E6068</f>
        <v>8.12</v>
      </c>
      <c r="G6068" s="7" t="n">
        <v>125</v>
      </c>
      <c r="H6068" s="9" t="n">
        <f aca="false">IF(G6068&gt;0,D6068/G6068,"")</f>
        <v>5.2</v>
      </c>
      <c r="I6068" s="10" t="n">
        <v>46308</v>
      </c>
      <c r="K6068" s="10"/>
      <c r="M6068" s="7"/>
      <c r="N6068" s="8"/>
      <c r="O6068" s="4"/>
    </row>
    <row r="6069" customFormat="false" ht="15" hidden="false" customHeight="false" outlineLevel="0" collapsed="false">
      <c r="A6069" s="0" t="s">
        <v>7911</v>
      </c>
      <c r="C6069" s="0" t="s">
        <v>118</v>
      </c>
      <c r="D6069" s="7" t="n">
        <v>61</v>
      </c>
      <c r="E6069" s="8" t="n">
        <v>0.132622950819672</v>
      </c>
      <c r="F6069" s="4" t="n">
        <f aca="false">D6069*E6069</f>
        <v>8.09</v>
      </c>
      <c r="G6069" s="7" t="n">
        <v>54</v>
      </c>
      <c r="H6069" s="9" t="n">
        <f aca="false">IF(G6069&gt;0,D6069/G6069,"")</f>
        <v>1.12962962962963</v>
      </c>
      <c r="I6069" s="10" t="n">
        <v>46293</v>
      </c>
      <c r="J6069" s="3" t="s">
        <v>3990</v>
      </c>
      <c r="K6069" s="10" t="n">
        <v>45486</v>
      </c>
      <c r="L6069" s="3" t="s">
        <v>14</v>
      </c>
      <c r="M6069" s="7" t="n">
        <v>250</v>
      </c>
      <c r="N6069" s="8" t="n">
        <v>0.1326</v>
      </c>
      <c r="O6069" s="4" t="n">
        <f aca="false">M6069*N6069</f>
        <v>33.15</v>
      </c>
    </row>
    <row r="6070" customFormat="false" ht="15" hidden="false" customHeight="false" outlineLevel="0" collapsed="false">
      <c r="A6070" s="0" t="s">
        <v>7912</v>
      </c>
      <c r="C6070" s="0" t="s">
        <v>34</v>
      </c>
      <c r="D6070" s="7" t="n">
        <v>25</v>
      </c>
      <c r="E6070" s="8" t="n">
        <v>0.3236</v>
      </c>
      <c r="F6070" s="4" t="n">
        <f aca="false">D6070*E6070</f>
        <v>8.09</v>
      </c>
      <c r="G6070" s="7" t="n">
        <v>10</v>
      </c>
      <c r="H6070" s="9" t="n">
        <f aca="false">IF(G6070&gt;0,D6070/G6070,"")</f>
        <v>2.5</v>
      </c>
      <c r="I6070" s="10" t="n">
        <v>46154</v>
      </c>
      <c r="K6070" s="10"/>
      <c r="M6070" s="7"/>
      <c r="N6070" s="8"/>
      <c r="O6070" s="4"/>
    </row>
    <row r="6071" customFormat="false" ht="15" hidden="false" customHeight="false" outlineLevel="0" collapsed="false">
      <c r="A6071" s="0" t="s">
        <v>7913</v>
      </c>
      <c r="C6071" s="0" t="s">
        <v>34</v>
      </c>
      <c r="D6071" s="7" t="n">
        <v>21</v>
      </c>
      <c r="E6071" s="8" t="n">
        <v>0.384761904761905</v>
      </c>
      <c r="F6071" s="4" t="n">
        <f aca="false">D6071*E6071</f>
        <v>8.08</v>
      </c>
      <c r="G6071" s="7" t="n">
        <v>10</v>
      </c>
      <c r="H6071" s="9" t="n">
        <f aca="false">IF(G6071&gt;0,D6071/G6071,"")</f>
        <v>2.1</v>
      </c>
      <c r="I6071" s="10" t="n">
        <v>46133</v>
      </c>
      <c r="K6071" s="10"/>
      <c r="M6071" s="7"/>
      <c r="N6071" s="8"/>
      <c r="O6071" s="4"/>
    </row>
    <row r="6072" customFormat="false" ht="15" hidden="false" customHeight="false" outlineLevel="0" collapsed="false">
      <c r="A6072" s="0" t="s">
        <v>7914</v>
      </c>
      <c r="C6072" s="0" t="s">
        <v>41</v>
      </c>
      <c r="D6072" s="7" t="n">
        <v>80</v>
      </c>
      <c r="E6072" s="8" t="n">
        <v>0.10075</v>
      </c>
      <c r="F6072" s="4" t="n">
        <f aca="false">D6072*E6072</f>
        <v>8.06</v>
      </c>
      <c r="G6072" s="7" t="n">
        <v>10</v>
      </c>
      <c r="H6072" s="9" t="n">
        <f aca="false">IF(G6072&gt;0,D6072/G6072,"")</f>
        <v>8</v>
      </c>
      <c r="I6072" s="10" t="n">
        <v>45987</v>
      </c>
      <c r="K6072" s="10"/>
      <c r="M6072" s="7"/>
      <c r="N6072" s="8"/>
      <c r="O6072" s="4"/>
    </row>
    <row r="6073" customFormat="false" ht="15" hidden="false" customHeight="false" outlineLevel="0" collapsed="false">
      <c r="A6073" s="0" t="s">
        <v>7915</v>
      </c>
      <c r="C6073" s="0" t="s">
        <v>41</v>
      </c>
      <c r="D6073" s="7" t="n">
        <v>14</v>
      </c>
      <c r="E6073" s="8" t="n">
        <v>0.575714285714286</v>
      </c>
      <c r="F6073" s="4" t="n">
        <f aca="false">D6073*E6073</f>
        <v>8.06</v>
      </c>
      <c r="G6073" s="7" t="n">
        <v>1</v>
      </c>
      <c r="H6073" s="9" t="n">
        <f aca="false">IF(G6073&gt;0,D6073/G6073,"")</f>
        <v>14</v>
      </c>
      <c r="I6073" s="10" t="n">
        <v>46154</v>
      </c>
      <c r="K6073" s="10"/>
      <c r="M6073" s="7"/>
      <c r="N6073" s="8"/>
      <c r="O6073" s="4"/>
    </row>
    <row r="6074" customFormat="false" ht="15" hidden="false" customHeight="false" outlineLevel="0" collapsed="false">
      <c r="A6074" s="0" t="s">
        <v>7916</v>
      </c>
      <c r="C6074" s="0" t="s">
        <v>38</v>
      </c>
      <c r="D6074" s="7" t="n">
        <v>117</v>
      </c>
      <c r="E6074" s="8" t="n">
        <v>0.0688034188034188</v>
      </c>
      <c r="F6074" s="4" t="n">
        <f aca="false">D6074*E6074</f>
        <v>8.05</v>
      </c>
      <c r="G6074" s="7" t="n">
        <v>115</v>
      </c>
      <c r="H6074" s="9" t="n">
        <f aca="false">IF(G6074&gt;0,D6074/G6074,"")</f>
        <v>1.01739130434783</v>
      </c>
      <c r="I6074" s="10" t="n">
        <v>46226</v>
      </c>
      <c r="J6074" s="3" t="s">
        <v>7917</v>
      </c>
      <c r="K6074" s="10" t="n">
        <v>45042</v>
      </c>
      <c r="L6074" s="3" t="s">
        <v>19</v>
      </c>
      <c r="M6074" s="7" t="n">
        <v>1000</v>
      </c>
      <c r="N6074" s="8" t="n">
        <v>0.0686</v>
      </c>
      <c r="O6074" s="4" t="n">
        <f aca="false">M6074*N6074</f>
        <v>68.6</v>
      </c>
    </row>
    <row r="6075" customFormat="false" ht="15" hidden="false" customHeight="false" outlineLevel="0" collapsed="false">
      <c r="A6075" s="0" t="s">
        <v>7918</v>
      </c>
      <c r="C6075" s="0" t="s">
        <v>360</v>
      </c>
      <c r="D6075" s="7" t="n">
        <v>37</v>
      </c>
      <c r="E6075" s="8" t="n">
        <v>0.217567567567568</v>
      </c>
      <c r="F6075" s="4" t="n">
        <f aca="false">D6075*E6075</f>
        <v>8.05</v>
      </c>
      <c r="G6075" s="7" t="n">
        <v>6</v>
      </c>
      <c r="H6075" s="9" t="n">
        <f aca="false">IF(G6075&gt;0,D6075/G6075,"")</f>
        <v>6.16666666666667</v>
      </c>
      <c r="I6075" s="10" t="n">
        <v>45961</v>
      </c>
      <c r="K6075" s="10"/>
      <c r="M6075" s="7"/>
      <c r="N6075" s="8"/>
      <c r="O6075" s="4"/>
    </row>
    <row r="6076" customFormat="false" ht="15" hidden="false" customHeight="false" outlineLevel="0" collapsed="false">
      <c r="A6076" s="0" t="s">
        <v>7919</v>
      </c>
      <c r="C6076" s="0" t="s">
        <v>31</v>
      </c>
      <c r="D6076" s="7" t="n">
        <v>15</v>
      </c>
      <c r="E6076" s="8" t="n">
        <v>0.536</v>
      </c>
      <c r="F6076" s="4" t="n">
        <f aca="false">D6076*E6076</f>
        <v>8.04</v>
      </c>
      <c r="G6076" s="7" t="n">
        <v>15</v>
      </c>
      <c r="H6076" s="9" t="n">
        <f aca="false">IF(G6076&gt;0,D6076/G6076,"")</f>
        <v>1</v>
      </c>
      <c r="I6076" s="10" t="n">
        <v>46258</v>
      </c>
      <c r="K6076" s="10"/>
      <c r="M6076" s="7"/>
      <c r="N6076" s="8"/>
      <c r="O6076" s="4"/>
    </row>
    <row r="6077" customFormat="false" ht="15" hidden="false" customHeight="false" outlineLevel="0" collapsed="false">
      <c r="A6077" s="0" t="s">
        <v>7920</v>
      </c>
      <c r="C6077" s="0" t="s">
        <v>38</v>
      </c>
      <c r="D6077" s="7" t="n">
        <v>25</v>
      </c>
      <c r="E6077" s="8" t="n">
        <v>0.3216</v>
      </c>
      <c r="F6077" s="4" t="n">
        <f aca="false">D6077*E6077</f>
        <v>8.04</v>
      </c>
      <c r="G6077" s="7" t="n">
        <v>10</v>
      </c>
      <c r="H6077" s="9" t="n">
        <f aca="false">IF(G6077&gt;0,D6077/G6077,"")</f>
        <v>2.5</v>
      </c>
      <c r="I6077" s="10" t="n">
        <v>46065</v>
      </c>
      <c r="K6077" s="10"/>
      <c r="M6077" s="7"/>
      <c r="N6077" s="8"/>
      <c r="O6077" s="4"/>
    </row>
    <row r="6078" customFormat="false" ht="15" hidden="false" customHeight="false" outlineLevel="0" collapsed="false">
      <c r="A6078" s="0" t="s">
        <v>7921</v>
      </c>
      <c r="C6078" s="0" t="s">
        <v>715</v>
      </c>
      <c r="D6078" s="7" t="n">
        <v>334</v>
      </c>
      <c r="E6078" s="8" t="n">
        <v>0.0240419161676647</v>
      </c>
      <c r="F6078" s="4" t="n">
        <f aca="false">D6078*E6078</f>
        <v>8.03</v>
      </c>
      <c r="G6078" s="7" t="n">
        <v>42</v>
      </c>
      <c r="H6078" s="9" t="n">
        <f aca="false">IF(G6078&gt;0,D6078/G6078,"")</f>
        <v>7.95238095238095</v>
      </c>
      <c r="I6078" s="10" t="n">
        <v>46147</v>
      </c>
      <c r="J6078" s="3" t="s">
        <v>4415</v>
      </c>
      <c r="K6078" s="10" t="n">
        <v>45829</v>
      </c>
      <c r="L6078" s="3" t="s">
        <v>15</v>
      </c>
      <c r="M6078" s="7" t="n">
        <v>400</v>
      </c>
      <c r="N6078" s="8" t="n">
        <v>0.02405</v>
      </c>
      <c r="O6078" s="4" t="n">
        <f aca="false">M6078*N6078</f>
        <v>9.62</v>
      </c>
    </row>
    <row r="6079" customFormat="false" ht="15" hidden="false" customHeight="false" outlineLevel="0" collapsed="false">
      <c r="A6079" s="0" t="s">
        <v>7922</v>
      </c>
      <c r="C6079" s="0" t="s">
        <v>855</v>
      </c>
      <c r="D6079" s="7" t="n">
        <v>495</v>
      </c>
      <c r="E6079" s="8" t="n">
        <v>0.0162222222222222</v>
      </c>
      <c r="F6079" s="4" t="n">
        <f aca="false">D6079*E6079</f>
        <v>8.03</v>
      </c>
      <c r="G6079" s="7" t="n">
        <v>251</v>
      </c>
      <c r="H6079" s="9" t="n">
        <f aca="false">IF(G6079&gt;0,D6079/G6079,"")</f>
        <v>1.97211155378486</v>
      </c>
      <c r="I6079" s="10" t="n">
        <v>46156</v>
      </c>
      <c r="K6079" s="10"/>
      <c r="M6079" s="7"/>
      <c r="N6079" s="8"/>
      <c r="O6079" s="4"/>
    </row>
    <row r="6080" customFormat="false" ht="15" hidden="false" customHeight="false" outlineLevel="0" collapsed="false">
      <c r="A6080" s="0" t="s">
        <v>7923</v>
      </c>
      <c r="C6080" s="0" t="s">
        <v>118</v>
      </c>
      <c r="D6080" s="7" t="n">
        <v>37</v>
      </c>
      <c r="E6080" s="8" t="n">
        <v>0.216756756756757</v>
      </c>
      <c r="F6080" s="4" t="n">
        <f aca="false">D6080*E6080</f>
        <v>8.02</v>
      </c>
      <c r="G6080" s="7" t="n">
        <v>3</v>
      </c>
      <c r="H6080" s="9" t="n">
        <f aca="false">IF(G6080&gt;0,D6080/G6080,"")</f>
        <v>12.3333333333333</v>
      </c>
      <c r="I6080" s="10" t="n">
        <v>46168</v>
      </c>
      <c r="J6080" s="3" t="s">
        <v>7011</v>
      </c>
      <c r="K6080" s="10" t="n">
        <v>45805</v>
      </c>
      <c r="L6080" s="3" t="s">
        <v>19</v>
      </c>
      <c r="M6080" s="7" t="n">
        <v>100</v>
      </c>
      <c r="N6080" s="8" t="n">
        <v>0.2167</v>
      </c>
      <c r="O6080" s="4" t="n">
        <f aca="false">M6080*N6080</f>
        <v>21.67</v>
      </c>
    </row>
    <row r="6081" customFormat="false" ht="15" hidden="false" customHeight="false" outlineLevel="0" collapsed="false">
      <c r="A6081" s="0" t="s">
        <v>7924</v>
      </c>
      <c r="C6081" s="0" t="s">
        <v>118</v>
      </c>
      <c r="D6081" s="7" t="n">
        <v>23</v>
      </c>
      <c r="E6081" s="8" t="n">
        <v>0.348695652173913</v>
      </c>
      <c r="F6081" s="4" t="n">
        <f aca="false">D6081*E6081</f>
        <v>8.02</v>
      </c>
      <c r="G6081" s="7" t="n">
        <v>11</v>
      </c>
      <c r="H6081" s="9" t="n">
        <f aca="false">IF(G6081&gt;0,D6081/G6081,"")</f>
        <v>2.09090909090909</v>
      </c>
      <c r="I6081" s="10" t="n">
        <v>46125</v>
      </c>
      <c r="K6081" s="10"/>
      <c r="M6081" s="7"/>
      <c r="N6081" s="8"/>
      <c r="O6081" s="4"/>
    </row>
    <row r="6082" customFormat="false" ht="15" hidden="false" customHeight="false" outlineLevel="0" collapsed="false">
      <c r="A6082" s="0" t="s">
        <v>7925</v>
      </c>
      <c r="C6082" s="0" t="s">
        <v>32</v>
      </c>
      <c r="D6082" s="7" t="n">
        <v>2850</v>
      </c>
      <c r="E6082" s="8" t="n">
        <v>0.0028</v>
      </c>
      <c r="F6082" s="4" t="n">
        <f aca="false">D6082*E6082</f>
        <v>7.98</v>
      </c>
      <c r="G6082" s="7" t="n">
        <v>1516</v>
      </c>
      <c r="H6082" s="9" t="n">
        <f aca="false">IF(G6082&gt;0,D6082/G6082,"")</f>
        <v>1.87994722955145</v>
      </c>
      <c r="I6082" s="10" t="n">
        <v>46290</v>
      </c>
      <c r="J6082" s="3" t="s">
        <v>3444</v>
      </c>
      <c r="K6082" s="10" t="n">
        <v>45925</v>
      </c>
      <c r="L6082" s="3" t="s">
        <v>18</v>
      </c>
      <c r="M6082" s="7" t="n">
        <v>4500</v>
      </c>
      <c r="N6082" s="8" t="n">
        <v>0.0028</v>
      </c>
      <c r="O6082" s="4" t="n">
        <f aca="false">M6082*N6082</f>
        <v>12.6</v>
      </c>
    </row>
    <row r="6083" customFormat="false" ht="15" hidden="false" customHeight="false" outlineLevel="0" collapsed="false">
      <c r="A6083" s="0" t="s">
        <v>7926</v>
      </c>
      <c r="C6083" s="0" t="s">
        <v>166</v>
      </c>
      <c r="D6083" s="7" t="n">
        <v>4</v>
      </c>
      <c r="E6083" s="8" t="n">
        <v>1.975</v>
      </c>
      <c r="F6083" s="4" t="n">
        <f aca="false">D6083*E6083</f>
        <v>7.9</v>
      </c>
      <c r="G6083" s="7" t="n">
        <v>1</v>
      </c>
      <c r="H6083" s="9" t="n">
        <f aca="false">IF(G6083&gt;0,D6083/G6083,"")</f>
        <v>4</v>
      </c>
      <c r="I6083" s="10" t="n">
        <v>46000</v>
      </c>
      <c r="J6083" s="3" t="s">
        <v>7927</v>
      </c>
      <c r="K6083" s="10" t="n">
        <v>44993</v>
      </c>
      <c r="L6083" s="3" t="s">
        <v>14</v>
      </c>
      <c r="M6083" s="7" t="n">
        <v>10</v>
      </c>
      <c r="N6083" s="8" t="n">
        <v>1.976</v>
      </c>
      <c r="O6083" s="4" t="n">
        <f aca="false">M6083*N6083</f>
        <v>19.76</v>
      </c>
    </row>
    <row r="6084" customFormat="false" ht="15" hidden="false" customHeight="false" outlineLevel="0" collapsed="false">
      <c r="A6084" s="0" t="s">
        <v>7928</v>
      </c>
      <c r="C6084" s="0" t="s">
        <v>41</v>
      </c>
      <c r="D6084" s="7" t="n">
        <v>58</v>
      </c>
      <c r="E6084" s="8" t="n">
        <v>0.136206896551724</v>
      </c>
      <c r="F6084" s="4" t="n">
        <f aca="false">D6084*E6084</f>
        <v>7.9</v>
      </c>
      <c r="G6084" s="7" t="n">
        <v>26</v>
      </c>
      <c r="H6084" s="9" t="n">
        <f aca="false">IF(G6084&gt;0,D6084/G6084,"")</f>
        <v>2.23076923076923</v>
      </c>
      <c r="I6084" s="10" t="n">
        <v>46218</v>
      </c>
      <c r="J6084" s="3" t="s">
        <v>7929</v>
      </c>
      <c r="K6084" s="10" t="n">
        <v>45483</v>
      </c>
      <c r="L6084" s="3" t="s">
        <v>19</v>
      </c>
      <c r="M6084" s="7" t="n">
        <v>250</v>
      </c>
      <c r="N6084" s="8" t="n">
        <v>0.1361</v>
      </c>
      <c r="O6084" s="4" t="n">
        <f aca="false">M6084*N6084</f>
        <v>34.025</v>
      </c>
    </row>
    <row r="6085" customFormat="false" ht="15" hidden="false" customHeight="false" outlineLevel="0" collapsed="false">
      <c r="A6085" s="0" t="s">
        <v>7930</v>
      </c>
      <c r="C6085" s="0" t="s">
        <v>31</v>
      </c>
      <c r="D6085" s="7" t="n">
        <v>161</v>
      </c>
      <c r="E6085" s="8" t="n">
        <v>0.0490062111801242</v>
      </c>
      <c r="F6085" s="4" t="n">
        <f aca="false">D6085*E6085</f>
        <v>7.89</v>
      </c>
      <c r="G6085" s="7" t="n">
        <v>74</v>
      </c>
      <c r="H6085" s="9" t="n">
        <f aca="false">IF(G6085&gt;0,D6085/G6085,"")</f>
        <v>2.17567567567568</v>
      </c>
      <c r="I6085" s="10" t="n">
        <v>46311</v>
      </c>
      <c r="J6085" s="3" t="s">
        <v>6472</v>
      </c>
      <c r="K6085" s="10" t="n">
        <v>45064</v>
      </c>
      <c r="L6085" s="3" t="s">
        <v>19</v>
      </c>
      <c r="M6085" s="7" t="n">
        <v>500</v>
      </c>
      <c r="N6085" s="8" t="n">
        <v>0.049</v>
      </c>
      <c r="O6085" s="4" t="n">
        <f aca="false">M6085*N6085</f>
        <v>24.5</v>
      </c>
    </row>
    <row r="6086" customFormat="false" ht="15" hidden="false" customHeight="false" outlineLevel="0" collapsed="false">
      <c r="A6086" s="0" t="s">
        <v>7931</v>
      </c>
      <c r="C6086" s="0" t="s">
        <v>41</v>
      </c>
      <c r="D6086" s="7" t="n">
        <v>488</v>
      </c>
      <c r="E6086" s="8" t="n">
        <v>0.0161065573770492</v>
      </c>
      <c r="F6086" s="4" t="n">
        <f aca="false">D6086*E6086</f>
        <v>7.86</v>
      </c>
      <c r="G6086" s="7" t="n">
        <v>289</v>
      </c>
      <c r="H6086" s="9" t="n">
        <f aca="false">IF(G6086&gt;0,D6086/G6086,"")</f>
        <v>1.68858131487889</v>
      </c>
      <c r="I6086" s="10" t="n">
        <v>46291</v>
      </c>
      <c r="J6086" s="3" t="s">
        <v>7932</v>
      </c>
      <c r="K6086" s="10" t="n">
        <v>44324</v>
      </c>
      <c r="L6086" s="3" t="s">
        <v>19</v>
      </c>
      <c r="M6086" s="7" t="n">
        <v>1000</v>
      </c>
      <c r="N6086" s="8" t="n">
        <v>0.0161</v>
      </c>
      <c r="O6086" s="4" t="n">
        <f aca="false">M6086*N6086</f>
        <v>16.1</v>
      </c>
    </row>
    <row r="6087" customFormat="false" ht="15" hidden="false" customHeight="false" outlineLevel="0" collapsed="false">
      <c r="A6087" s="0" t="s">
        <v>7933</v>
      </c>
      <c r="C6087" s="0" t="s">
        <v>31</v>
      </c>
      <c r="D6087" s="7" t="n">
        <v>614</v>
      </c>
      <c r="E6087" s="8" t="n">
        <v>0.012785016286645</v>
      </c>
      <c r="F6087" s="4" t="n">
        <f aca="false">D6087*E6087</f>
        <v>7.85</v>
      </c>
      <c r="G6087" s="7" t="n">
        <v>475</v>
      </c>
      <c r="H6087" s="9" t="n">
        <f aca="false">IF(G6087&gt;0,D6087/G6087,"")</f>
        <v>1.29263157894737</v>
      </c>
      <c r="I6087" s="10" t="n">
        <v>46287</v>
      </c>
      <c r="J6087" s="3" t="s">
        <v>2712</v>
      </c>
      <c r="K6087" s="10" t="n">
        <v>45463</v>
      </c>
      <c r="L6087" s="3" t="s">
        <v>19</v>
      </c>
      <c r="M6087" s="7" t="n">
        <v>2500</v>
      </c>
      <c r="N6087" s="8" t="n">
        <v>0.0128</v>
      </c>
      <c r="O6087" s="4" t="n">
        <f aca="false">M6087*N6087</f>
        <v>32</v>
      </c>
    </row>
    <row r="6088" customFormat="false" ht="15" hidden="false" customHeight="false" outlineLevel="0" collapsed="false">
      <c r="A6088" s="0" t="s">
        <v>7934</v>
      </c>
      <c r="C6088" s="0" t="s">
        <v>118</v>
      </c>
      <c r="D6088" s="7" t="n">
        <v>104</v>
      </c>
      <c r="E6088" s="8" t="n">
        <v>0.0754807692307692</v>
      </c>
      <c r="F6088" s="4" t="n">
        <f aca="false">D6088*E6088</f>
        <v>7.85</v>
      </c>
      <c r="G6088" s="7" t="n">
        <v>74</v>
      </c>
      <c r="H6088" s="9" t="n">
        <f aca="false">IF(G6088&gt;0,D6088/G6088,"")</f>
        <v>1.40540540540541</v>
      </c>
      <c r="I6088" s="10" t="n">
        <v>46202</v>
      </c>
      <c r="J6088" s="3" t="s">
        <v>4968</v>
      </c>
      <c r="K6088" s="10" t="n">
        <v>46251</v>
      </c>
      <c r="L6088" s="3" t="s">
        <v>15</v>
      </c>
      <c r="M6088" s="7" t="n">
        <v>85</v>
      </c>
      <c r="N6088" s="8" t="n">
        <v>0.05107</v>
      </c>
      <c r="O6088" s="4" t="n">
        <f aca="false">M6088*N6088</f>
        <v>4.34095</v>
      </c>
    </row>
    <row r="6089" customFormat="false" ht="15" hidden="false" customHeight="false" outlineLevel="0" collapsed="false">
      <c r="A6089" s="0" t="s">
        <v>7935</v>
      </c>
      <c r="C6089" s="0" t="s">
        <v>33</v>
      </c>
      <c r="D6089" s="7" t="n">
        <v>7</v>
      </c>
      <c r="E6089" s="8" t="n">
        <v>1.11714285714286</v>
      </c>
      <c r="F6089" s="4" t="n">
        <f aca="false">D6089*E6089</f>
        <v>7.82</v>
      </c>
      <c r="G6089" s="7" t="n">
        <v>2</v>
      </c>
      <c r="H6089" s="9" t="n">
        <f aca="false">IF(G6089&gt;0,D6089/G6089,"")</f>
        <v>3.5</v>
      </c>
      <c r="I6089" s="10" t="n">
        <v>46161</v>
      </c>
      <c r="K6089" s="10"/>
      <c r="M6089" s="7"/>
      <c r="N6089" s="8"/>
      <c r="O6089" s="4"/>
    </row>
    <row r="6090" customFormat="false" ht="15" hidden="false" customHeight="false" outlineLevel="0" collapsed="false">
      <c r="A6090" s="0" t="s">
        <v>7936</v>
      </c>
      <c r="C6090" s="0" t="s">
        <v>1039</v>
      </c>
      <c r="D6090" s="7" t="n">
        <v>45</v>
      </c>
      <c r="E6090" s="8" t="n">
        <v>0.172888888888889</v>
      </c>
      <c r="F6090" s="4" t="n">
        <f aca="false">D6090*E6090</f>
        <v>7.78</v>
      </c>
      <c r="G6090" s="7" t="n">
        <v>6</v>
      </c>
      <c r="H6090" s="9" t="n">
        <f aca="false">IF(G6090&gt;0,D6090/G6090,"")</f>
        <v>7.5</v>
      </c>
      <c r="I6090" s="10" t="n">
        <v>45953</v>
      </c>
      <c r="J6090" s="3" t="s">
        <v>5597</v>
      </c>
      <c r="K6090" s="10" t="n">
        <v>44196</v>
      </c>
      <c r="L6090" s="3" t="s">
        <v>19</v>
      </c>
      <c r="M6090" s="7" t="n">
        <v>100</v>
      </c>
      <c r="N6090" s="8" t="n">
        <v>0.1731</v>
      </c>
      <c r="O6090" s="4" t="n">
        <f aca="false">M6090*N6090</f>
        <v>17.31</v>
      </c>
    </row>
    <row r="6091" customFormat="false" ht="15" hidden="false" customHeight="false" outlineLevel="0" collapsed="false">
      <c r="A6091" s="0" t="s">
        <v>7937</v>
      </c>
      <c r="C6091" s="0" t="s">
        <v>765</v>
      </c>
      <c r="D6091" s="7" t="n">
        <v>94</v>
      </c>
      <c r="E6091" s="8" t="n">
        <v>0.0825531914893617</v>
      </c>
      <c r="F6091" s="4" t="n">
        <f aca="false">D6091*E6091</f>
        <v>7.76</v>
      </c>
      <c r="G6091" s="7" t="n">
        <v>28</v>
      </c>
      <c r="H6091" s="9" t="n">
        <f aca="false">IF(G6091&gt;0,D6091/G6091,"")</f>
        <v>3.35714285714286</v>
      </c>
      <c r="I6091" s="10" t="n">
        <v>46288</v>
      </c>
      <c r="J6091" s="3" t="s">
        <v>4032</v>
      </c>
      <c r="K6091" s="10" t="n">
        <v>46148</v>
      </c>
      <c r="L6091" s="3" t="s">
        <v>14</v>
      </c>
      <c r="M6091" s="7" t="n">
        <v>119</v>
      </c>
      <c r="N6091" s="8" t="n">
        <v>0.0825</v>
      </c>
      <c r="O6091" s="4" t="n">
        <f aca="false">M6091*N6091</f>
        <v>9.8175</v>
      </c>
    </row>
    <row r="6092" customFormat="false" ht="15" hidden="false" customHeight="false" outlineLevel="0" collapsed="false">
      <c r="A6092" s="0" t="s">
        <v>7938</v>
      </c>
      <c r="C6092" s="0" t="s">
        <v>34</v>
      </c>
      <c r="D6092" s="7" t="n">
        <v>27</v>
      </c>
      <c r="E6092" s="8" t="n">
        <v>0.287037037037037</v>
      </c>
      <c r="F6092" s="4" t="n">
        <f aca="false">D6092*E6092</f>
        <v>7.75</v>
      </c>
      <c r="G6092" s="7" t="n">
        <v>5</v>
      </c>
      <c r="H6092" s="9" t="n">
        <f aca="false">IF(G6092&gt;0,D6092/G6092,"")</f>
        <v>5.4</v>
      </c>
      <c r="I6092" s="10" t="n">
        <v>46121</v>
      </c>
      <c r="K6092" s="10"/>
      <c r="M6092" s="7"/>
      <c r="N6092" s="8"/>
      <c r="O6092" s="4"/>
    </row>
    <row r="6093" customFormat="false" ht="15" hidden="false" customHeight="false" outlineLevel="0" collapsed="false">
      <c r="A6093" s="0" t="s">
        <v>7939</v>
      </c>
      <c r="C6093" s="0" t="s">
        <v>34</v>
      </c>
      <c r="D6093" s="7" t="n">
        <v>76</v>
      </c>
      <c r="E6093" s="8" t="n">
        <v>0.101973684210526</v>
      </c>
      <c r="F6093" s="4" t="n">
        <f aca="false">D6093*E6093</f>
        <v>7.75</v>
      </c>
      <c r="G6093" s="7" t="n">
        <v>59</v>
      </c>
      <c r="H6093" s="9" t="n">
        <f aca="false">IF(G6093&gt;0,D6093/G6093,"")</f>
        <v>1.28813559322034</v>
      </c>
      <c r="I6093" s="10" t="n">
        <v>46300</v>
      </c>
      <c r="J6093" s="3" t="s">
        <v>1912</v>
      </c>
      <c r="K6093" s="10" t="n">
        <v>44320</v>
      </c>
      <c r="L6093" s="3" t="s">
        <v>15</v>
      </c>
      <c r="M6093" s="7" t="n">
        <v>130</v>
      </c>
      <c r="N6093" s="8" t="n">
        <v>0.10197</v>
      </c>
      <c r="O6093" s="4" t="n">
        <f aca="false">M6093*N6093</f>
        <v>13.2561</v>
      </c>
    </row>
    <row r="6094" customFormat="false" ht="15" hidden="false" customHeight="false" outlineLevel="0" collapsed="false">
      <c r="A6094" s="0" t="s">
        <v>7940</v>
      </c>
      <c r="C6094" s="0" t="s">
        <v>765</v>
      </c>
      <c r="D6094" s="7" t="n">
        <v>38</v>
      </c>
      <c r="E6094" s="8" t="n">
        <v>0.203157894736842</v>
      </c>
      <c r="F6094" s="4" t="n">
        <f aca="false">D6094*E6094</f>
        <v>7.72</v>
      </c>
      <c r="G6094" s="7" t="n">
        <v>12</v>
      </c>
      <c r="H6094" s="9" t="n">
        <f aca="false">IF(G6094&gt;0,D6094/G6094,"")</f>
        <v>3.16666666666667</v>
      </c>
      <c r="I6094" s="10" t="n">
        <v>46072</v>
      </c>
      <c r="J6094" s="3" t="s">
        <v>7941</v>
      </c>
      <c r="K6094" s="10" t="n">
        <v>46065</v>
      </c>
      <c r="L6094" s="3" t="s">
        <v>19</v>
      </c>
      <c r="M6094" s="7" t="n">
        <v>100</v>
      </c>
      <c r="N6094" s="8" t="n">
        <v>0.203</v>
      </c>
      <c r="O6094" s="4" t="n">
        <f aca="false">M6094*N6094</f>
        <v>20.3</v>
      </c>
    </row>
    <row r="6095" customFormat="false" ht="15" hidden="false" customHeight="false" outlineLevel="0" collapsed="false">
      <c r="A6095" s="0" t="s">
        <v>7942</v>
      </c>
      <c r="C6095" s="0" t="s">
        <v>1039</v>
      </c>
      <c r="D6095" s="7" t="n">
        <v>27</v>
      </c>
      <c r="E6095" s="8" t="n">
        <v>0.284074074074074</v>
      </c>
      <c r="F6095" s="4" t="n">
        <f aca="false">D6095*E6095</f>
        <v>7.67</v>
      </c>
      <c r="G6095" s="7" t="n">
        <v>6</v>
      </c>
      <c r="H6095" s="9" t="n">
        <f aca="false">IF(G6095&gt;0,D6095/G6095,"")</f>
        <v>4.5</v>
      </c>
      <c r="I6095" s="10" t="n">
        <v>46066</v>
      </c>
      <c r="K6095" s="10"/>
      <c r="M6095" s="7"/>
      <c r="N6095" s="8"/>
      <c r="O6095" s="4"/>
    </row>
    <row r="6096" customFormat="false" ht="15" hidden="false" customHeight="false" outlineLevel="0" collapsed="false">
      <c r="A6096" s="0" t="s">
        <v>7943</v>
      </c>
      <c r="C6096" s="0" t="s">
        <v>31</v>
      </c>
      <c r="D6096" s="7" t="n">
        <v>76</v>
      </c>
      <c r="E6096" s="8" t="n">
        <v>0.1</v>
      </c>
      <c r="F6096" s="4" t="n">
        <f aca="false">D6096*E6096</f>
        <v>7.6</v>
      </c>
      <c r="G6096" s="7" t="n">
        <v>50</v>
      </c>
      <c r="H6096" s="9" t="n">
        <f aca="false">IF(G6096&gt;0,D6096/G6096,"")</f>
        <v>1.52</v>
      </c>
      <c r="I6096" s="10" t="n">
        <v>46106</v>
      </c>
      <c r="J6096" s="3" t="s">
        <v>3921</v>
      </c>
      <c r="K6096" s="10" t="n">
        <v>45203</v>
      </c>
      <c r="L6096" s="3" t="s">
        <v>19</v>
      </c>
      <c r="M6096" s="7" t="n">
        <v>250</v>
      </c>
      <c r="N6096" s="8" t="n">
        <v>0.1</v>
      </c>
      <c r="O6096" s="4" t="n">
        <f aca="false">M6096*N6096</f>
        <v>25</v>
      </c>
    </row>
    <row r="6097" customFormat="false" ht="15" hidden="false" customHeight="false" outlineLevel="0" collapsed="false">
      <c r="A6097" s="0" t="s">
        <v>7944</v>
      </c>
      <c r="C6097" s="0" t="s">
        <v>31</v>
      </c>
      <c r="D6097" s="7" t="n">
        <v>36</v>
      </c>
      <c r="E6097" s="8" t="n">
        <v>0.211111111111111</v>
      </c>
      <c r="F6097" s="4" t="n">
        <f aca="false">D6097*E6097</f>
        <v>7.6</v>
      </c>
      <c r="G6097" s="7" t="n">
        <v>4</v>
      </c>
      <c r="H6097" s="9" t="n">
        <f aca="false">IF(G6097&gt;0,D6097/G6097,"")</f>
        <v>9</v>
      </c>
      <c r="I6097" s="10" t="n">
        <v>45993</v>
      </c>
      <c r="K6097" s="10"/>
      <c r="M6097" s="7"/>
      <c r="N6097" s="8"/>
      <c r="O6097" s="4"/>
    </row>
    <row r="6098" customFormat="false" ht="15" hidden="false" customHeight="false" outlineLevel="0" collapsed="false">
      <c r="A6098" s="0" t="s">
        <v>7945</v>
      </c>
      <c r="C6098" s="0" t="s">
        <v>41</v>
      </c>
      <c r="D6098" s="7" t="n">
        <v>278</v>
      </c>
      <c r="E6098" s="8" t="n">
        <v>0.0273381294964029</v>
      </c>
      <c r="F6098" s="4" t="n">
        <f aca="false">D6098*E6098</f>
        <v>7.6</v>
      </c>
      <c r="G6098" s="7" t="n">
        <v>20</v>
      </c>
      <c r="H6098" s="9" t="n">
        <f aca="false">IF(G6098&gt;0,D6098/G6098,"")</f>
        <v>13.9</v>
      </c>
      <c r="I6098" s="10" t="n">
        <v>46192</v>
      </c>
      <c r="K6098" s="10"/>
      <c r="M6098" s="7"/>
      <c r="N6098" s="8"/>
      <c r="O6098" s="4"/>
    </row>
    <row r="6099" customFormat="false" ht="15" hidden="false" customHeight="false" outlineLevel="0" collapsed="false">
      <c r="A6099" s="0" t="s">
        <v>7946</v>
      </c>
      <c r="C6099" s="0" t="s">
        <v>855</v>
      </c>
      <c r="D6099" s="7" t="n">
        <v>25</v>
      </c>
      <c r="E6099" s="8" t="n">
        <v>0.3036</v>
      </c>
      <c r="F6099" s="4" t="n">
        <f aca="false">D6099*E6099</f>
        <v>7.59</v>
      </c>
      <c r="G6099" s="7" t="n">
        <v>6</v>
      </c>
      <c r="H6099" s="9" t="n">
        <f aca="false">IF(G6099&gt;0,D6099/G6099,"")</f>
        <v>4.16666666666667</v>
      </c>
      <c r="I6099" s="10" t="n">
        <v>46142</v>
      </c>
      <c r="K6099" s="10"/>
      <c r="M6099" s="7"/>
      <c r="N6099" s="8"/>
      <c r="O6099" s="4"/>
    </row>
    <row r="6100" customFormat="false" ht="15" hidden="false" customHeight="false" outlineLevel="0" collapsed="false">
      <c r="A6100" s="0" t="s">
        <v>7947</v>
      </c>
      <c r="C6100" s="0" t="s">
        <v>118</v>
      </c>
      <c r="D6100" s="7" t="n">
        <v>9</v>
      </c>
      <c r="E6100" s="8" t="n">
        <v>0.84</v>
      </c>
      <c r="F6100" s="4" t="n">
        <f aca="false">D6100*E6100</f>
        <v>7.56</v>
      </c>
      <c r="G6100" s="7" t="n">
        <v>2</v>
      </c>
      <c r="H6100" s="9" t="n">
        <f aca="false">IF(G6100&gt;0,D6100/G6100,"")</f>
        <v>4.5</v>
      </c>
      <c r="I6100" s="10" t="n">
        <v>46181</v>
      </c>
      <c r="K6100" s="10"/>
      <c r="M6100" s="7"/>
      <c r="N6100" s="8"/>
      <c r="O6100" s="4"/>
    </row>
    <row r="6101" customFormat="false" ht="15" hidden="false" customHeight="false" outlineLevel="0" collapsed="false">
      <c r="A6101" s="0" t="s">
        <v>7948</v>
      </c>
      <c r="C6101" s="0" t="s">
        <v>31</v>
      </c>
      <c r="D6101" s="7" t="n">
        <v>22</v>
      </c>
      <c r="E6101" s="8" t="n">
        <v>0.342727272727273</v>
      </c>
      <c r="F6101" s="4" t="n">
        <f aca="false">D6101*E6101</f>
        <v>7.54</v>
      </c>
      <c r="G6101" s="7" t="n">
        <v>20</v>
      </c>
      <c r="H6101" s="9" t="n">
        <f aca="false">IF(G6101&gt;0,D6101/G6101,"")</f>
        <v>1.1</v>
      </c>
      <c r="I6101" s="10" t="n">
        <v>46308</v>
      </c>
      <c r="J6101" s="3" t="s">
        <v>6591</v>
      </c>
      <c r="K6101" s="10" t="n">
        <v>44320</v>
      </c>
      <c r="L6101" s="3" t="s">
        <v>19</v>
      </c>
      <c r="M6101" s="7" t="n">
        <v>50</v>
      </c>
      <c r="N6101" s="8" t="n">
        <v>0.343</v>
      </c>
      <c r="O6101" s="4" t="n">
        <f aca="false">M6101*N6101</f>
        <v>17.15</v>
      </c>
    </row>
    <row r="6102" customFormat="false" ht="15" hidden="false" customHeight="false" outlineLevel="0" collapsed="false">
      <c r="A6102" s="0" t="s">
        <v>7949</v>
      </c>
      <c r="C6102" s="0" t="s">
        <v>31</v>
      </c>
      <c r="D6102" s="7" t="n">
        <v>36</v>
      </c>
      <c r="E6102" s="8" t="n">
        <v>0.209166666666667</v>
      </c>
      <c r="F6102" s="4" t="n">
        <f aca="false">D6102*E6102</f>
        <v>7.53</v>
      </c>
      <c r="G6102" s="7" t="n">
        <v>13</v>
      </c>
      <c r="H6102" s="9" t="n">
        <f aca="false">IF(G6102&gt;0,D6102/G6102,"")</f>
        <v>2.76923076923077</v>
      </c>
      <c r="I6102" s="10" t="n">
        <v>46308</v>
      </c>
      <c r="J6102" s="3" t="s">
        <v>5340</v>
      </c>
      <c r="K6102" s="10" t="n">
        <v>44285</v>
      </c>
      <c r="L6102" s="3" t="s">
        <v>19</v>
      </c>
      <c r="M6102" s="7" t="n">
        <v>100</v>
      </c>
      <c r="N6102" s="8" t="n">
        <v>0.2089</v>
      </c>
      <c r="O6102" s="4" t="n">
        <f aca="false">M6102*N6102</f>
        <v>20.89</v>
      </c>
    </row>
    <row r="6103" customFormat="false" ht="15" hidden="false" customHeight="false" outlineLevel="0" collapsed="false">
      <c r="A6103" s="0" t="s">
        <v>7950</v>
      </c>
      <c r="C6103" s="0" t="s">
        <v>1101</v>
      </c>
      <c r="D6103" s="7" t="n">
        <v>3</v>
      </c>
      <c r="E6103" s="8" t="n">
        <v>2.5</v>
      </c>
      <c r="F6103" s="4" t="n">
        <f aca="false">D6103*E6103</f>
        <v>7.5</v>
      </c>
      <c r="G6103" s="7" t="n">
        <v>2</v>
      </c>
      <c r="H6103" s="9" t="n">
        <f aca="false">IF(G6103&gt;0,D6103/G6103,"")</f>
        <v>1.5</v>
      </c>
      <c r="I6103" s="10" t="n">
        <v>46156</v>
      </c>
      <c r="J6103" s="3" t="s">
        <v>7951</v>
      </c>
      <c r="K6103" s="10" t="n">
        <v>45866</v>
      </c>
      <c r="L6103" s="3" t="s">
        <v>834</v>
      </c>
      <c r="M6103" s="7" t="n">
        <v>25</v>
      </c>
      <c r="N6103" s="8" t="n">
        <v>2.5</v>
      </c>
      <c r="O6103" s="4" t="n">
        <f aca="false">M6103*N6103</f>
        <v>62.5</v>
      </c>
    </row>
    <row r="6104" customFormat="false" ht="15" hidden="false" customHeight="false" outlineLevel="0" collapsed="false">
      <c r="A6104" s="0" t="s">
        <v>7952</v>
      </c>
      <c r="C6104" s="0" t="s">
        <v>38</v>
      </c>
      <c r="D6104" s="7" t="n">
        <v>7</v>
      </c>
      <c r="E6104" s="8" t="n">
        <v>1.07</v>
      </c>
      <c r="F6104" s="4" t="n">
        <f aca="false">D6104*E6104</f>
        <v>7.49</v>
      </c>
      <c r="G6104" s="7" t="n">
        <v>1</v>
      </c>
      <c r="H6104" s="9" t="n">
        <f aca="false">IF(G6104&gt;0,D6104/G6104,"")</f>
        <v>7</v>
      </c>
      <c r="I6104" s="10" t="n">
        <v>46069</v>
      </c>
      <c r="K6104" s="10"/>
      <c r="M6104" s="7"/>
      <c r="N6104" s="8"/>
      <c r="O6104" s="4"/>
    </row>
    <row r="6105" customFormat="false" ht="15" hidden="false" customHeight="false" outlineLevel="0" collapsed="false">
      <c r="A6105" s="0" t="s">
        <v>7953</v>
      </c>
      <c r="C6105" s="0" t="s">
        <v>40</v>
      </c>
      <c r="D6105" s="7" t="n">
        <v>43</v>
      </c>
      <c r="E6105" s="8" t="n">
        <v>0.173488372093023</v>
      </c>
      <c r="F6105" s="4" t="n">
        <f aca="false">D6105*E6105</f>
        <v>7.46</v>
      </c>
      <c r="G6105" s="7" t="n">
        <v>2</v>
      </c>
      <c r="H6105" s="9" t="n">
        <f aca="false">IF(G6105&gt;0,D6105/G6105,"")</f>
        <v>21.5</v>
      </c>
      <c r="I6105" s="10" t="n">
        <v>45964</v>
      </c>
      <c r="K6105" s="10"/>
      <c r="M6105" s="7"/>
      <c r="N6105" s="8"/>
      <c r="O6105" s="4"/>
    </row>
    <row r="6106" customFormat="false" ht="15" hidden="false" customHeight="false" outlineLevel="0" collapsed="false">
      <c r="A6106" s="0" t="s">
        <v>7954</v>
      </c>
      <c r="C6106" s="0" t="s">
        <v>118</v>
      </c>
      <c r="D6106" s="7" t="n">
        <v>178</v>
      </c>
      <c r="E6106" s="8" t="n">
        <v>0.0419101123595506</v>
      </c>
      <c r="F6106" s="4" t="n">
        <f aca="false">D6106*E6106</f>
        <v>7.46</v>
      </c>
      <c r="G6106" s="7" t="n">
        <v>6</v>
      </c>
      <c r="H6106" s="9" t="n">
        <f aca="false">IF(G6106&gt;0,D6106/G6106,"")</f>
        <v>29.6666666666667</v>
      </c>
      <c r="I6106" s="10" t="n">
        <v>46300</v>
      </c>
      <c r="K6106" s="10"/>
      <c r="M6106" s="7"/>
      <c r="N6106" s="8"/>
      <c r="O6106" s="4"/>
    </row>
    <row r="6107" customFormat="false" ht="15" hidden="false" customHeight="false" outlineLevel="0" collapsed="false">
      <c r="A6107" s="0" t="s">
        <v>7955</v>
      </c>
      <c r="C6107" s="0" t="s">
        <v>31</v>
      </c>
      <c r="D6107" s="7" t="n">
        <v>175</v>
      </c>
      <c r="E6107" s="8" t="n">
        <v>0.0426285714285714</v>
      </c>
      <c r="F6107" s="4" t="n">
        <f aca="false">D6107*E6107</f>
        <v>7.46</v>
      </c>
      <c r="G6107" s="7" t="n">
        <v>95</v>
      </c>
      <c r="H6107" s="9" t="n">
        <f aca="false">IF(G6107&gt;0,D6107/G6107,"")</f>
        <v>1.84210526315789</v>
      </c>
      <c r="I6107" s="10" t="n">
        <v>46192</v>
      </c>
      <c r="J6107" s="3" t="s">
        <v>3921</v>
      </c>
      <c r="K6107" s="10" t="n">
        <v>45203</v>
      </c>
      <c r="L6107" s="3" t="s">
        <v>19</v>
      </c>
      <c r="M6107" s="7" t="n">
        <v>500</v>
      </c>
      <c r="N6107" s="8" t="n">
        <v>0.0427</v>
      </c>
      <c r="O6107" s="4" t="n">
        <f aca="false">M6107*N6107</f>
        <v>21.35</v>
      </c>
    </row>
    <row r="6108" customFormat="false" ht="15" hidden="false" customHeight="false" outlineLevel="0" collapsed="false">
      <c r="A6108" s="0" t="s">
        <v>7956</v>
      </c>
      <c r="C6108" s="0" t="s">
        <v>462</v>
      </c>
      <c r="D6108" s="7" t="n">
        <v>733</v>
      </c>
      <c r="E6108" s="8" t="n">
        <v>0.0101637107776262</v>
      </c>
      <c r="F6108" s="4" t="n">
        <f aca="false">D6108*E6108</f>
        <v>7.45</v>
      </c>
      <c r="G6108" s="7" t="n">
        <v>52</v>
      </c>
      <c r="H6108" s="9" t="n">
        <f aca="false">IF(G6108&gt;0,D6108/G6108,"")</f>
        <v>14.0961538461538</v>
      </c>
      <c r="I6108" s="10" t="n">
        <v>46308</v>
      </c>
      <c r="J6108" s="3" t="s">
        <v>7957</v>
      </c>
      <c r="K6108" s="10" t="n">
        <v>44873</v>
      </c>
      <c r="L6108" s="3" t="s">
        <v>15</v>
      </c>
      <c r="M6108" s="7" t="n">
        <v>1000</v>
      </c>
      <c r="N6108" s="8" t="n">
        <v>0.01015</v>
      </c>
      <c r="O6108" s="4" t="n">
        <f aca="false">M6108*N6108</f>
        <v>10.15</v>
      </c>
    </row>
    <row r="6109" customFormat="false" ht="15" hidden="false" customHeight="false" outlineLevel="0" collapsed="false">
      <c r="A6109" s="0" t="s">
        <v>7958</v>
      </c>
      <c r="C6109" s="0" t="s">
        <v>38</v>
      </c>
      <c r="D6109" s="7" t="n">
        <v>47</v>
      </c>
      <c r="E6109" s="8" t="n">
        <v>0.158297872340426</v>
      </c>
      <c r="F6109" s="4" t="n">
        <f aca="false">D6109*E6109</f>
        <v>7.44</v>
      </c>
      <c r="G6109" s="7" t="n">
        <v>3</v>
      </c>
      <c r="H6109" s="9" t="n">
        <f aca="false">IF(G6109&gt;0,D6109/G6109,"")</f>
        <v>15.6666666666667</v>
      </c>
      <c r="I6109" s="10" t="n">
        <v>46059</v>
      </c>
      <c r="J6109" s="3" t="s">
        <v>6233</v>
      </c>
      <c r="K6109" s="10" t="n">
        <v>44221</v>
      </c>
      <c r="L6109" s="3" t="s">
        <v>465</v>
      </c>
      <c r="M6109" s="7" t="n">
        <v>250</v>
      </c>
      <c r="N6109" s="8" t="n">
        <v>0.1587</v>
      </c>
      <c r="O6109" s="4" t="n">
        <f aca="false">M6109*N6109</f>
        <v>39.675</v>
      </c>
    </row>
    <row r="6110" customFormat="false" ht="15" hidden="false" customHeight="false" outlineLevel="0" collapsed="false">
      <c r="A6110" s="0" t="s">
        <v>7959</v>
      </c>
      <c r="C6110" s="0" t="s">
        <v>31</v>
      </c>
      <c r="D6110" s="7" t="n">
        <v>40</v>
      </c>
      <c r="E6110" s="8" t="n">
        <v>0.18525</v>
      </c>
      <c r="F6110" s="4" t="n">
        <f aca="false">D6110*E6110</f>
        <v>7.41</v>
      </c>
      <c r="G6110" s="7" t="n">
        <v>23</v>
      </c>
      <c r="H6110" s="9" t="n">
        <f aca="false">IF(G6110&gt;0,D6110/G6110,"")</f>
        <v>1.73913043478261</v>
      </c>
      <c r="I6110" s="10" t="n">
        <v>46238</v>
      </c>
      <c r="J6110" s="3" t="s">
        <v>7960</v>
      </c>
      <c r="K6110" s="10" t="n">
        <v>45377</v>
      </c>
      <c r="L6110" s="3" t="s">
        <v>19</v>
      </c>
      <c r="M6110" s="7" t="n">
        <v>81</v>
      </c>
      <c r="N6110" s="8" t="n">
        <v>0.185185</v>
      </c>
      <c r="O6110" s="4" t="n">
        <f aca="false">M6110*N6110</f>
        <v>14.999985</v>
      </c>
    </row>
    <row r="6111" customFormat="false" ht="15" hidden="false" customHeight="false" outlineLevel="0" collapsed="false">
      <c r="A6111" s="0" t="s">
        <v>7961</v>
      </c>
      <c r="C6111" s="0" t="s">
        <v>31</v>
      </c>
      <c r="D6111" s="7" t="n">
        <v>329</v>
      </c>
      <c r="E6111" s="8" t="n">
        <v>0.0224620060790274</v>
      </c>
      <c r="F6111" s="4" t="n">
        <f aca="false">D6111*E6111</f>
        <v>7.39</v>
      </c>
      <c r="G6111" s="7" t="n">
        <v>37</v>
      </c>
      <c r="H6111" s="9" t="n">
        <f aca="false">IF(G6111&gt;0,D6111/G6111,"")</f>
        <v>8.89189189189189</v>
      </c>
      <c r="I6111" s="10" t="n">
        <v>46126</v>
      </c>
      <c r="K6111" s="10"/>
      <c r="M6111" s="7"/>
      <c r="N6111" s="8"/>
      <c r="O6111" s="4"/>
    </row>
    <row r="6112" customFormat="false" ht="15" hidden="false" customHeight="false" outlineLevel="0" collapsed="false">
      <c r="A6112" s="0" t="s">
        <v>7962</v>
      </c>
      <c r="C6112" s="0" t="s">
        <v>855</v>
      </c>
      <c r="D6112" s="7" t="n">
        <v>232</v>
      </c>
      <c r="E6112" s="8" t="n">
        <v>0.0316379310344828</v>
      </c>
      <c r="F6112" s="4" t="n">
        <f aca="false">D6112*E6112</f>
        <v>7.34</v>
      </c>
      <c r="G6112" s="7" t="n">
        <v>75</v>
      </c>
      <c r="H6112" s="9" t="n">
        <f aca="false">IF(G6112&gt;0,D6112/G6112,"")</f>
        <v>3.09333333333333</v>
      </c>
      <c r="I6112" s="10" t="n">
        <v>46210</v>
      </c>
      <c r="K6112" s="10"/>
      <c r="M6112" s="7"/>
      <c r="N6112" s="8"/>
      <c r="O6112" s="4"/>
    </row>
    <row r="6113" customFormat="false" ht="15" hidden="false" customHeight="false" outlineLevel="0" collapsed="false">
      <c r="A6113" s="0" t="s">
        <v>7963</v>
      </c>
      <c r="C6113" s="0" t="s">
        <v>41</v>
      </c>
      <c r="D6113" s="7" t="n">
        <v>1347</v>
      </c>
      <c r="E6113" s="8" t="n">
        <v>0.00540460282108389</v>
      </c>
      <c r="F6113" s="4" t="n">
        <f aca="false">D6113*E6113</f>
        <v>7.28</v>
      </c>
      <c r="G6113" s="7" t="n">
        <v>50</v>
      </c>
      <c r="H6113" s="9" t="n">
        <f aca="false">IF(G6113&gt;0,D6113/G6113,"")</f>
        <v>26.94</v>
      </c>
      <c r="I6113" s="10" t="n">
        <v>46147</v>
      </c>
      <c r="K6113" s="10"/>
      <c r="M6113" s="7"/>
      <c r="N6113" s="8"/>
      <c r="O6113" s="4"/>
    </row>
    <row r="6114" customFormat="false" ht="15" hidden="false" customHeight="false" outlineLevel="0" collapsed="false">
      <c r="A6114" s="0" t="s">
        <v>7964</v>
      </c>
      <c r="C6114" s="0" t="s">
        <v>398</v>
      </c>
      <c r="D6114" s="7" t="n">
        <v>162</v>
      </c>
      <c r="E6114" s="8" t="n">
        <v>0.0446913580246914</v>
      </c>
      <c r="F6114" s="4" t="n">
        <f aca="false">D6114*E6114</f>
        <v>7.24</v>
      </c>
      <c r="G6114" s="7" t="n">
        <v>17</v>
      </c>
      <c r="H6114" s="9" t="n">
        <f aca="false">IF(G6114&gt;0,D6114/G6114,"")</f>
        <v>9.52941176470588</v>
      </c>
      <c r="I6114" s="10" t="n">
        <v>46286</v>
      </c>
      <c r="K6114" s="10"/>
      <c r="M6114" s="7"/>
      <c r="N6114" s="8"/>
      <c r="O6114" s="4"/>
    </row>
    <row r="6115" customFormat="false" ht="15" hidden="false" customHeight="false" outlineLevel="0" collapsed="false">
      <c r="A6115" s="0" t="s">
        <v>7965</v>
      </c>
      <c r="C6115" s="0" t="s">
        <v>1039</v>
      </c>
      <c r="D6115" s="7" t="n">
        <v>22</v>
      </c>
      <c r="E6115" s="8" t="n">
        <v>0.329090909090909</v>
      </c>
      <c r="F6115" s="4" t="n">
        <f aca="false">D6115*E6115</f>
        <v>7.24</v>
      </c>
      <c r="G6115" s="7" t="n">
        <v>5</v>
      </c>
      <c r="H6115" s="9" t="n">
        <f aca="false">IF(G6115&gt;0,D6115/G6115,"")</f>
        <v>4.4</v>
      </c>
      <c r="I6115" s="10" t="n">
        <v>46276</v>
      </c>
      <c r="J6115" s="3" t="s">
        <v>7657</v>
      </c>
      <c r="K6115" s="10" t="n">
        <v>45307</v>
      </c>
      <c r="L6115" s="3" t="s">
        <v>19</v>
      </c>
      <c r="M6115" s="7" t="n">
        <v>50</v>
      </c>
      <c r="N6115" s="8" t="n">
        <v>0.3292</v>
      </c>
      <c r="O6115" s="4" t="n">
        <f aca="false">M6115*N6115</f>
        <v>16.46</v>
      </c>
    </row>
    <row r="6116" customFormat="false" ht="15" hidden="false" customHeight="false" outlineLevel="0" collapsed="false">
      <c r="A6116" s="0" t="s">
        <v>7966</v>
      </c>
      <c r="D6116" s="7" t="n">
        <v>82</v>
      </c>
      <c r="E6116" s="8" t="n">
        <v>0.0882926829268293</v>
      </c>
      <c r="F6116" s="4" t="n">
        <f aca="false">D6116*E6116</f>
        <v>7.24</v>
      </c>
      <c r="G6116" s="7" t="n">
        <v>12</v>
      </c>
      <c r="H6116" s="9" t="n">
        <f aca="false">IF(G6116&gt;0,D6116/G6116,"")</f>
        <v>6.83333333333333</v>
      </c>
      <c r="I6116" s="10" t="n">
        <v>46142</v>
      </c>
      <c r="J6116" s="3" t="s">
        <v>5415</v>
      </c>
      <c r="K6116" s="10" t="n">
        <v>44329</v>
      </c>
      <c r="L6116" s="3" t="s">
        <v>15</v>
      </c>
      <c r="M6116" s="7" t="n">
        <v>149</v>
      </c>
      <c r="N6116" s="8" t="n">
        <v>0.08834</v>
      </c>
      <c r="O6116" s="4" t="n">
        <f aca="false">M6116*N6116</f>
        <v>13.16266</v>
      </c>
    </row>
    <row r="6117" customFormat="false" ht="15" hidden="false" customHeight="false" outlineLevel="0" collapsed="false">
      <c r="A6117" s="0" t="s">
        <v>7967</v>
      </c>
      <c r="C6117" s="0" t="s">
        <v>855</v>
      </c>
      <c r="D6117" s="7" t="n">
        <v>85</v>
      </c>
      <c r="E6117" s="8" t="n">
        <v>0.0850588235294118</v>
      </c>
      <c r="F6117" s="4" t="n">
        <f aca="false">D6117*E6117</f>
        <v>7.23</v>
      </c>
      <c r="G6117" s="7" t="n">
        <v>50</v>
      </c>
      <c r="H6117" s="9" t="n">
        <f aca="false">IF(G6117&gt;0,D6117/G6117,"")</f>
        <v>1.7</v>
      </c>
      <c r="I6117" s="10" t="n">
        <v>46279</v>
      </c>
      <c r="J6117" s="3" t="s">
        <v>1840</v>
      </c>
      <c r="K6117" s="10" t="n">
        <v>44230</v>
      </c>
      <c r="L6117" s="3" t="s">
        <v>19</v>
      </c>
      <c r="M6117" s="7" t="n">
        <v>250</v>
      </c>
      <c r="N6117" s="8" t="n">
        <v>0.0851</v>
      </c>
      <c r="O6117" s="4" t="n">
        <f aca="false">M6117*N6117</f>
        <v>21.275</v>
      </c>
    </row>
    <row r="6118" customFormat="false" ht="15" hidden="false" customHeight="false" outlineLevel="0" collapsed="false">
      <c r="A6118" s="0" t="s">
        <v>7968</v>
      </c>
      <c r="C6118" s="0" t="s">
        <v>40</v>
      </c>
      <c r="D6118" s="7" t="n">
        <v>43</v>
      </c>
      <c r="E6118" s="8" t="n">
        <v>0.167906976744186</v>
      </c>
      <c r="F6118" s="4" t="n">
        <f aca="false">D6118*E6118</f>
        <v>7.22</v>
      </c>
      <c r="G6118" s="7" t="n">
        <v>5</v>
      </c>
      <c r="H6118" s="9" t="n">
        <f aca="false">IF(G6118&gt;0,D6118/G6118,"")</f>
        <v>8.6</v>
      </c>
      <c r="I6118" s="10" t="n">
        <v>46126</v>
      </c>
      <c r="K6118" s="10"/>
      <c r="M6118" s="7"/>
      <c r="N6118" s="8"/>
      <c r="O6118" s="4"/>
    </row>
    <row r="6119" customFormat="false" ht="15" hidden="false" customHeight="false" outlineLevel="0" collapsed="false">
      <c r="A6119" s="0" t="s">
        <v>7969</v>
      </c>
      <c r="C6119" s="0" t="s">
        <v>340</v>
      </c>
      <c r="D6119" s="7" t="n">
        <v>31</v>
      </c>
      <c r="E6119" s="8" t="n">
        <v>0.232903225806452</v>
      </c>
      <c r="F6119" s="4" t="n">
        <f aca="false">D6119*E6119</f>
        <v>7.22</v>
      </c>
      <c r="G6119" s="7" t="n">
        <v>10</v>
      </c>
      <c r="H6119" s="9" t="n">
        <f aca="false">IF(G6119&gt;0,D6119/G6119,"")</f>
        <v>3.1</v>
      </c>
      <c r="I6119" s="10" t="n">
        <v>46246</v>
      </c>
      <c r="J6119" s="3" t="s">
        <v>341</v>
      </c>
      <c r="K6119" s="10" t="n">
        <v>46078</v>
      </c>
      <c r="L6119" s="3" t="s">
        <v>15</v>
      </c>
      <c r="M6119" s="7" t="n">
        <v>41</v>
      </c>
      <c r="N6119" s="8" t="n">
        <v>0.23289</v>
      </c>
      <c r="O6119" s="4" t="n">
        <f aca="false">M6119*N6119</f>
        <v>9.54849</v>
      </c>
    </row>
    <row r="6120" customFormat="false" ht="15" hidden="false" customHeight="false" outlineLevel="0" collapsed="false">
      <c r="A6120" s="0" t="s">
        <v>7970</v>
      </c>
      <c r="C6120" s="0" t="s">
        <v>1039</v>
      </c>
      <c r="D6120" s="7" t="n">
        <v>963</v>
      </c>
      <c r="E6120" s="8" t="n">
        <v>0.00749740394600208</v>
      </c>
      <c r="F6120" s="4" t="n">
        <f aca="false">D6120*E6120</f>
        <v>7.22</v>
      </c>
      <c r="G6120" s="7" t="n">
        <v>80</v>
      </c>
      <c r="H6120" s="9" t="n">
        <f aca="false">IF(G6120&gt;0,D6120/G6120,"")</f>
        <v>12.0375</v>
      </c>
      <c r="I6120" s="10" t="n">
        <v>46202</v>
      </c>
      <c r="K6120" s="10"/>
      <c r="M6120" s="7"/>
      <c r="N6120" s="8"/>
      <c r="O6120" s="4"/>
    </row>
    <row r="6121" customFormat="false" ht="15" hidden="false" customHeight="false" outlineLevel="0" collapsed="false">
      <c r="A6121" s="0" t="s">
        <v>7971</v>
      </c>
      <c r="C6121" s="0" t="s">
        <v>118</v>
      </c>
      <c r="D6121" s="7" t="n">
        <v>11</v>
      </c>
      <c r="E6121" s="8" t="n">
        <v>0.654545454545455</v>
      </c>
      <c r="F6121" s="4" t="n">
        <f aca="false">D6121*E6121</f>
        <v>7.2</v>
      </c>
      <c r="G6121" s="7" t="n">
        <v>3</v>
      </c>
      <c r="H6121" s="9" t="n">
        <f aca="false">IF(G6121&gt;0,D6121/G6121,"")</f>
        <v>3.66666666666667</v>
      </c>
      <c r="I6121" s="10" t="n">
        <v>45996</v>
      </c>
      <c r="J6121" s="3" t="s">
        <v>7425</v>
      </c>
      <c r="K6121" s="10" t="n">
        <v>44790</v>
      </c>
      <c r="L6121" s="3" t="s">
        <v>19</v>
      </c>
      <c r="M6121" s="7" t="n">
        <v>50</v>
      </c>
      <c r="N6121" s="8" t="n">
        <v>0.6546</v>
      </c>
      <c r="O6121" s="4" t="n">
        <f aca="false">M6121*N6121</f>
        <v>32.73</v>
      </c>
    </row>
    <row r="6122" customFormat="false" ht="15" hidden="false" customHeight="false" outlineLevel="0" collapsed="false">
      <c r="A6122" s="0" t="s">
        <v>7972</v>
      </c>
      <c r="C6122" s="0" t="s">
        <v>31</v>
      </c>
      <c r="D6122" s="7" t="n">
        <v>96</v>
      </c>
      <c r="E6122" s="8" t="n">
        <v>0.075</v>
      </c>
      <c r="F6122" s="4" t="n">
        <f aca="false">D6122*E6122</f>
        <v>7.2</v>
      </c>
      <c r="G6122" s="7" t="n">
        <v>83</v>
      </c>
      <c r="H6122" s="9" t="n">
        <f aca="false">IF(G6122&gt;0,D6122/G6122,"")</f>
        <v>1.1566265060241</v>
      </c>
      <c r="I6122" s="10" t="n">
        <v>46258</v>
      </c>
      <c r="J6122" s="3" t="s">
        <v>5340</v>
      </c>
      <c r="K6122" s="10" t="n">
        <v>44285</v>
      </c>
      <c r="L6122" s="3" t="s">
        <v>19</v>
      </c>
      <c r="M6122" s="7" t="n">
        <v>666</v>
      </c>
      <c r="N6122" s="8" t="n">
        <v>0.0751</v>
      </c>
      <c r="O6122" s="4" t="n">
        <f aca="false">M6122*N6122</f>
        <v>50.0166</v>
      </c>
    </row>
    <row r="6123" customFormat="false" ht="15" hidden="false" customHeight="false" outlineLevel="0" collapsed="false">
      <c r="A6123" s="0" t="s">
        <v>7973</v>
      </c>
      <c r="C6123" s="0" t="s">
        <v>855</v>
      </c>
      <c r="D6123" s="7" t="n">
        <v>93</v>
      </c>
      <c r="E6123" s="8" t="n">
        <v>0.0772043010752688</v>
      </c>
      <c r="F6123" s="4" t="n">
        <f aca="false">D6123*E6123</f>
        <v>7.18</v>
      </c>
      <c r="G6123" s="7" t="n">
        <v>4</v>
      </c>
      <c r="H6123" s="9" t="n">
        <f aca="false">IF(G6123&gt;0,D6123/G6123,"")</f>
        <v>23.25</v>
      </c>
      <c r="I6123" s="10" t="n">
        <v>46118</v>
      </c>
      <c r="J6123" s="3" t="s">
        <v>727</v>
      </c>
      <c r="K6123" s="10" t="n">
        <v>44860</v>
      </c>
      <c r="L6123" s="3" t="s">
        <v>19</v>
      </c>
      <c r="M6123" s="7" t="n">
        <v>300</v>
      </c>
      <c r="N6123" s="8" t="n">
        <v>0.0771</v>
      </c>
      <c r="O6123" s="4" t="n">
        <f aca="false">M6123*N6123</f>
        <v>23.13</v>
      </c>
    </row>
    <row r="6124" customFormat="false" ht="15" hidden="false" customHeight="false" outlineLevel="0" collapsed="false">
      <c r="A6124" s="0" t="s">
        <v>7974</v>
      </c>
      <c r="C6124" s="0" t="s">
        <v>41</v>
      </c>
      <c r="D6124" s="7" t="n">
        <v>160</v>
      </c>
      <c r="E6124" s="8" t="n">
        <v>0.0448125</v>
      </c>
      <c r="F6124" s="4" t="n">
        <f aca="false">D6124*E6124</f>
        <v>7.17</v>
      </c>
      <c r="G6124" s="7" t="n">
        <v>44</v>
      </c>
      <c r="H6124" s="9" t="n">
        <f aca="false">IF(G6124&gt;0,D6124/G6124,"")</f>
        <v>3.63636363636364</v>
      </c>
      <c r="I6124" s="10" t="n">
        <v>46280</v>
      </c>
      <c r="J6124" s="3" t="s">
        <v>7975</v>
      </c>
      <c r="K6124" s="10" t="n">
        <v>44487</v>
      </c>
      <c r="L6124" s="3" t="s">
        <v>19</v>
      </c>
      <c r="M6124" s="7" t="n">
        <v>495</v>
      </c>
      <c r="N6124" s="8" t="n">
        <v>0.0448</v>
      </c>
      <c r="O6124" s="4" t="n">
        <f aca="false">M6124*N6124</f>
        <v>22.176</v>
      </c>
    </row>
    <row r="6125" customFormat="false" ht="15" hidden="false" customHeight="false" outlineLevel="0" collapsed="false">
      <c r="A6125" s="0" t="s">
        <v>7976</v>
      </c>
      <c r="C6125" s="0" t="s">
        <v>31</v>
      </c>
      <c r="D6125" s="7" t="n">
        <v>38</v>
      </c>
      <c r="E6125" s="8" t="n">
        <v>0.188157894736842</v>
      </c>
      <c r="F6125" s="4" t="n">
        <f aca="false">D6125*E6125</f>
        <v>7.15</v>
      </c>
      <c r="G6125" s="7" t="n">
        <v>5</v>
      </c>
      <c r="H6125" s="9" t="n">
        <f aca="false">IF(G6125&gt;0,D6125/G6125,"")</f>
        <v>7.6</v>
      </c>
      <c r="I6125" s="10" t="n">
        <v>45971</v>
      </c>
      <c r="J6125" s="3" t="s">
        <v>5743</v>
      </c>
      <c r="K6125" s="10" t="n">
        <v>44664</v>
      </c>
      <c r="L6125" s="3" t="s">
        <v>19</v>
      </c>
      <c r="M6125" s="7" t="n">
        <v>355</v>
      </c>
      <c r="N6125" s="8" t="n">
        <v>0</v>
      </c>
      <c r="O6125" s="4" t="n">
        <v>75.74</v>
      </c>
    </row>
    <row r="6126" customFormat="false" ht="15" hidden="false" customHeight="false" outlineLevel="0" collapsed="false">
      <c r="A6126" s="0" t="s">
        <v>7977</v>
      </c>
      <c r="C6126" s="0" t="s">
        <v>855</v>
      </c>
      <c r="D6126" s="7" t="n">
        <v>94</v>
      </c>
      <c r="E6126" s="8" t="n">
        <v>0.0758510638297872</v>
      </c>
      <c r="F6126" s="4" t="n">
        <f aca="false">D6126*E6126</f>
        <v>7.13</v>
      </c>
      <c r="G6126" s="7" t="n">
        <v>24</v>
      </c>
      <c r="H6126" s="9" t="n">
        <f aca="false">IF(G6126&gt;0,D6126/G6126,"")</f>
        <v>3.91666666666667</v>
      </c>
      <c r="I6126" s="10" t="n">
        <v>46293</v>
      </c>
      <c r="J6126" s="3" t="s">
        <v>7978</v>
      </c>
      <c r="K6126" s="10" t="n">
        <v>44398</v>
      </c>
      <c r="L6126" s="3" t="s">
        <v>19</v>
      </c>
      <c r="M6126" s="7" t="n">
        <v>250</v>
      </c>
      <c r="N6126" s="8" t="n">
        <v>0.0759</v>
      </c>
      <c r="O6126" s="4" t="n">
        <f aca="false">M6126*N6126</f>
        <v>18.975</v>
      </c>
    </row>
    <row r="6127" customFormat="false" ht="15" hidden="false" customHeight="false" outlineLevel="0" collapsed="false">
      <c r="A6127" s="0" t="s">
        <v>7979</v>
      </c>
      <c r="C6127" s="0" t="s">
        <v>855</v>
      </c>
      <c r="D6127" s="7" t="n">
        <v>344</v>
      </c>
      <c r="E6127" s="8" t="n">
        <v>0.0206976744186047</v>
      </c>
      <c r="F6127" s="4" t="n">
        <f aca="false">D6127*E6127</f>
        <v>7.12</v>
      </c>
      <c r="G6127" s="7" t="n">
        <v>109</v>
      </c>
      <c r="H6127" s="9" t="n">
        <f aca="false">IF(G6127&gt;0,D6127/G6127,"")</f>
        <v>3.15596330275229</v>
      </c>
      <c r="I6127" s="10" t="n">
        <v>46253</v>
      </c>
      <c r="K6127" s="10"/>
      <c r="M6127" s="7"/>
      <c r="N6127" s="8"/>
      <c r="O6127" s="4"/>
    </row>
    <row r="6128" customFormat="false" ht="15" hidden="false" customHeight="false" outlineLevel="0" collapsed="false">
      <c r="A6128" s="0" t="s">
        <v>7980</v>
      </c>
      <c r="C6128" s="0" t="s">
        <v>1039</v>
      </c>
      <c r="D6128" s="7" t="n">
        <v>2160</v>
      </c>
      <c r="E6128" s="8" t="n">
        <v>0.00329166666666667</v>
      </c>
      <c r="F6128" s="4" t="n">
        <f aca="false">D6128*E6128</f>
        <v>7.11</v>
      </c>
      <c r="G6128" s="7" t="n">
        <v>100</v>
      </c>
      <c r="H6128" s="9" t="n">
        <f aca="false">IF(G6128&gt;0,D6128/G6128,"")</f>
        <v>21.6</v>
      </c>
      <c r="I6128" s="10" t="n">
        <v>46314</v>
      </c>
      <c r="J6128" s="3" t="s">
        <v>2837</v>
      </c>
      <c r="K6128" s="10" t="n">
        <v>45877</v>
      </c>
      <c r="L6128" s="3" t="s">
        <v>16</v>
      </c>
      <c r="M6128" s="7" t="n">
        <v>10260</v>
      </c>
      <c r="N6128" s="8" t="n">
        <v>0.0031</v>
      </c>
      <c r="O6128" s="4" t="n">
        <f aca="false">M6128*N6128</f>
        <v>31.806</v>
      </c>
    </row>
    <row r="6129" customFormat="false" ht="15" hidden="false" customHeight="false" outlineLevel="0" collapsed="false">
      <c r="A6129" s="0" t="s">
        <v>7981</v>
      </c>
      <c r="C6129" s="0" t="s">
        <v>31</v>
      </c>
      <c r="D6129" s="7" t="n">
        <v>69</v>
      </c>
      <c r="E6129" s="8" t="n">
        <v>0.102463768115942</v>
      </c>
      <c r="F6129" s="4" t="n">
        <f aca="false">D6129*E6129</f>
        <v>7.07</v>
      </c>
      <c r="G6129" s="7" t="n">
        <v>6</v>
      </c>
      <c r="H6129" s="9" t="n">
        <f aca="false">IF(G6129&gt;0,D6129/G6129,"")</f>
        <v>11.5</v>
      </c>
      <c r="I6129" s="10" t="n">
        <v>45978</v>
      </c>
      <c r="J6129" s="3" t="s">
        <v>737</v>
      </c>
      <c r="K6129" s="10" t="n">
        <v>45133</v>
      </c>
      <c r="L6129" s="3" t="s">
        <v>14</v>
      </c>
      <c r="M6129" s="7" t="n">
        <v>100</v>
      </c>
      <c r="N6129" s="8" t="n">
        <v>0.099</v>
      </c>
      <c r="O6129" s="4" t="n">
        <f aca="false">M6129*N6129</f>
        <v>9.9</v>
      </c>
    </row>
    <row r="6130" customFormat="false" ht="15" hidden="false" customHeight="false" outlineLevel="0" collapsed="false">
      <c r="A6130" s="0" t="s">
        <v>7982</v>
      </c>
      <c r="C6130" s="0" t="s">
        <v>1039</v>
      </c>
      <c r="D6130" s="7" t="n">
        <v>830</v>
      </c>
      <c r="E6130" s="8" t="n">
        <v>0.00849397590361446</v>
      </c>
      <c r="F6130" s="4" t="n">
        <f aca="false">D6130*E6130</f>
        <v>7.05</v>
      </c>
      <c r="G6130" s="7" t="n">
        <v>436</v>
      </c>
      <c r="H6130" s="9" t="n">
        <f aca="false">IF(G6130&gt;0,D6130/G6130,"")</f>
        <v>1.90366972477064</v>
      </c>
      <c r="I6130" s="10" t="n">
        <v>46300</v>
      </c>
      <c r="K6130" s="10"/>
      <c r="M6130" s="7"/>
      <c r="N6130" s="8"/>
      <c r="O6130" s="4"/>
    </row>
    <row r="6131" customFormat="false" ht="15" hidden="false" customHeight="false" outlineLevel="0" collapsed="false">
      <c r="A6131" s="0" t="s">
        <v>7983</v>
      </c>
      <c r="C6131" s="0" t="s">
        <v>34</v>
      </c>
      <c r="D6131" s="7" t="n">
        <v>32</v>
      </c>
      <c r="E6131" s="8" t="n">
        <v>0.2196875</v>
      </c>
      <c r="F6131" s="4" t="n">
        <f aca="false">D6131*E6131</f>
        <v>7.03</v>
      </c>
      <c r="G6131" s="7" t="n">
        <v>6</v>
      </c>
      <c r="H6131" s="9" t="n">
        <f aca="false">IF(G6131&gt;0,D6131/G6131,"")</f>
        <v>5.33333333333333</v>
      </c>
      <c r="I6131" s="10" t="n">
        <v>46302</v>
      </c>
      <c r="J6131" s="3" t="s">
        <v>3770</v>
      </c>
      <c r="K6131" s="10" t="n">
        <v>45322</v>
      </c>
      <c r="L6131" s="3" t="s">
        <v>15</v>
      </c>
      <c r="M6131" s="7" t="n">
        <v>170</v>
      </c>
      <c r="N6131" s="8" t="n">
        <v>0.2199</v>
      </c>
      <c r="O6131" s="4" t="n">
        <f aca="false">M6131*N6131</f>
        <v>37.383</v>
      </c>
    </row>
    <row r="6132" customFormat="false" ht="15" hidden="false" customHeight="false" outlineLevel="0" collapsed="false">
      <c r="A6132" s="0" t="s">
        <v>7984</v>
      </c>
      <c r="C6132" s="0" t="s">
        <v>36</v>
      </c>
      <c r="D6132" s="7" t="n">
        <v>15</v>
      </c>
      <c r="E6132" s="8" t="n">
        <v>0.468</v>
      </c>
      <c r="F6132" s="4" t="n">
        <f aca="false">D6132*E6132</f>
        <v>7.02</v>
      </c>
      <c r="G6132" s="7" t="n">
        <v>2</v>
      </c>
      <c r="H6132" s="9" t="n">
        <f aca="false">IF(G6132&gt;0,D6132/G6132,"")</f>
        <v>7.5</v>
      </c>
      <c r="I6132" s="10" t="n">
        <v>46021</v>
      </c>
      <c r="K6132" s="10"/>
      <c r="M6132" s="7"/>
      <c r="N6132" s="8"/>
      <c r="O6132" s="4"/>
    </row>
    <row r="6133" customFormat="false" ht="15" hidden="false" customHeight="false" outlineLevel="0" collapsed="false">
      <c r="A6133" s="0" t="s">
        <v>7985</v>
      </c>
      <c r="C6133" s="0" t="s">
        <v>34</v>
      </c>
      <c r="D6133" s="7" t="n">
        <v>252</v>
      </c>
      <c r="E6133" s="8" t="n">
        <v>0.0277777777777778</v>
      </c>
      <c r="F6133" s="4" t="n">
        <f aca="false">D6133*E6133</f>
        <v>7</v>
      </c>
      <c r="G6133" s="7" t="n">
        <v>224</v>
      </c>
      <c r="H6133" s="9" t="n">
        <f aca="false">IF(G6133&gt;0,D6133/G6133,"")</f>
        <v>1.125</v>
      </c>
      <c r="I6133" s="10" t="n">
        <v>46238</v>
      </c>
      <c r="J6133" s="3" t="s">
        <v>7070</v>
      </c>
      <c r="K6133" s="10" t="n">
        <v>45254</v>
      </c>
      <c r="L6133" s="3" t="s">
        <v>19</v>
      </c>
      <c r="M6133" s="7" t="n">
        <v>1000</v>
      </c>
      <c r="N6133" s="8" t="n">
        <v>0.0278</v>
      </c>
      <c r="O6133" s="4" t="n">
        <f aca="false">M6133*N6133</f>
        <v>27.8</v>
      </c>
    </row>
    <row r="6134" customFormat="false" ht="15" hidden="false" customHeight="false" outlineLevel="0" collapsed="false">
      <c r="A6134" s="0" t="s">
        <v>7986</v>
      </c>
      <c r="C6134" s="0" t="s">
        <v>1039</v>
      </c>
      <c r="D6134" s="7" t="n">
        <v>870</v>
      </c>
      <c r="E6134" s="8" t="n">
        <v>0.008</v>
      </c>
      <c r="F6134" s="4" t="n">
        <f aca="false">D6134*E6134</f>
        <v>6.96</v>
      </c>
      <c r="G6134" s="7" t="n">
        <v>475</v>
      </c>
      <c r="H6134" s="9" t="n">
        <f aca="false">IF(G6134&gt;0,D6134/G6134,"")</f>
        <v>1.83157894736842</v>
      </c>
      <c r="I6134" s="10" t="n">
        <v>46168</v>
      </c>
      <c r="K6134" s="10"/>
      <c r="M6134" s="7"/>
      <c r="N6134" s="8"/>
      <c r="O6134" s="4"/>
    </row>
    <row r="6135" customFormat="false" ht="15" hidden="false" customHeight="false" outlineLevel="0" collapsed="false">
      <c r="A6135" s="0" t="s">
        <v>7987</v>
      </c>
      <c r="C6135" s="0" t="s">
        <v>34</v>
      </c>
      <c r="D6135" s="7" t="n">
        <v>110</v>
      </c>
      <c r="E6135" s="8" t="n">
        <v>0.063</v>
      </c>
      <c r="F6135" s="4" t="n">
        <f aca="false">D6135*E6135</f>
        <v>6.93</v>
      </c>
      <c r="G6135" s="7" t="n">
        <v>35</v>
      </c>
      <c r="H6135" s="9" t="n">
        <f aca="false">IF(G6135&gt;0,D6135/G6135,"")</f>
        <v>3.14285714285714</v>
      </c>
      <c r="I6135" s="10" t="n">
        <v>46239</v>
      </c>
      <c r="K6135" s="10"/>
      <c r="M6135" s="7"/>
      <c r="N6135" s="8"/>
      <c r="O6135" s="4"/>
    </row>
    <row r="6136" customFormat="false" ht="15" hidden="false" customHeight="false" outlineLevel="0" collapsed="false">
      <c r="A6136" s="0" t="s">
        <v>7988</v>
      </c>
      <c r="C6136" s="0" t="s">
        <v>41</v>
      </c>
      <c r="D6136" s="7" t="n">
        <v>98</v>
      </c>
      <c r="E6136" s="8" t="n">
        <v>0.0707142857142857</v>
      </c>
      <c r="F6136" s="4" t="n">
        <f aca="false">D6136*E6136</f>
        <v>6.93</v>
      </c>
      <c r="G6136" s="7" t="n">
        <v>37</v>
      </c>
      <c r="H6136" s="9" t="n">
        <f aca="false">IF(G6136&gt;0,D6136/G6136,"")</f>
        <v>2.64864864864865</v>
      </c>
      <c r="I6136" s="10" t="n">
        <v>46293</v>
      </c>
      <c r="J6136" s="3" t="s">
        <v>390</v>
      </c>
      <c r="K6136" s="10" t="n">
        <v>44624</v>
      </c>
      <c r="L6136" s="3" t="s">
        <v>25</v>
      </c>
      <c r="M6136" s="7" t="n">
        <v>6000</v>
      </c>
      <c r="N6136" s="8" t="n">
        <v>0.0708</v>
      </c>
      <c r="O6136" s="4" t="n">
        <f aca="false">M6136*N6136</f>
        <v>424.8</v>
      </c>
    </row>
    <row r="6137" customFormat="false" ht="15" hidden="false" customHeight="false" outlineLevel="0" collapsed="false">
      <c r="A6137" s="0" t="s">
        <v>7989</v>
      </c>
      <c r="C6137" s="0" t="s">
        <v>34</v>
      </c>
      <c r="D6137" s="7" t="n">
        <v>56</v>
      </c>
      <c r="E6137" s="8" t="n">
        <v>0.123214285714286</v>
      </c>
      <c r="F6137" s="4" t="n">
        <f aca="false">D6137*E6137</f>
        <v>6.9</v>
      </c>
      <c r="G6137" s="7" t="n">
        <v>31</v>
      </c>
      <c r="H6137" s="9" t="n">
        <f aca="false">IF(G6137&gt;0,D6137/G6137,"")</f>
        <v>1.80645161290323</v>
      </c>
      <c r="I6137" s="10" t="n">
        <v>46190</v>
      </c>
      <c r="J6137" s="3" t="s">
        <v>3897</v>
      </c>
      <c r="K6137" s="10" t="n">
        <v>45852</v>
      </c>
      <c r="L6137" s="3" t="s">
        <v>14</v>
      </c>
      <c r="M6137" s="7" t="n">
        <v>187</v>
      </c>
      <c r="N6137" s="8" t="n">
        <v>0.12320856</v>
      </c>
      <c r="O6137" s="4" t="n">
        <f aca="false">M6137*N6137</f>
        <v>23.04000072</v>
      </c>
    </row>
    <row r="6138" customFormat="false" ht="15" hidden="false" customHeight="false" outlineLevel="0" collapsed="false">
      <c r="A6138" s="0" t="s">
        <v>7990</v>
      </c>
      <c r="C6138" s="0" t="s">
        <v>31</v>
      </c>
      <c r="D6138" s="7" t="n">
        <v>108</v>
      </c>
      <c r="E6138" s="8" t="n">
        <v>0.0637037037037037</v>
      </c>
      <c r="F6138" s="4" t="n">
        <f aca="false">D6138*E6138</f>
        <v>6.88</v>
      </c>
      <c r="G6138" s="7" t="n">
        <v>20</v>
      </c>
      <c r="H6138" s="9" t="n">
        <f aca="false">IF(G6138&gt;0,D6138/G6138,"")</f>
        <v>5.4</v>
      </c>
      <c r="I6138" s="10" t="n">
        <v>46072</v>
      </c>
      <c r="K6138" s="10"/>
      <c r="M6138" s="7"/>
      <c r="N6138" s="8"/>
      <c r="O6138" s="4"/>
    </row>
    <row r="6139" customFormat="false" ht="15" hidden="false" customHeight="false" outlineLevel="0" collapsed="false">
      <c r="A6139" s="0" t="s">
        <v>7991</v>
      </c>
      <c r="C6139" s="0" t="s">
        <v>1039</v>
      </c>
      <c r="D6139" s="7" t="n">
        <v>249</v>
      </c>
      <c r="E6139" s="8" t="n">
        <v>0.0276305220883534</v>
      </c>
      <c r="F6139" s="4" t="n">
        <f aca="false">D6139*E6139</f>
        <v>6.88</v>
      </c>
      <c r="G6139" s="7" t="n">
        <v>65</v>
      </c>
      <c r="H6139" s="9" t="n">
        <f aca="false">IF(G6139&gt;0,D6139/G6139,"")</f>
        <v>3.83076923076923</v>
      </c>
      <c r="I6139" s="10" t="n">
        <v>46216</v>
      </c>
      <c r="K6139" s="10"/>
      <c r="M6139" s="7"/>
      <c r="N6139" s="8"/>
      <c r="O6139" s="4"/>
    </row>
    <row r="6140" customFormat="false" ht="15" hidden="false" customHeight="false" outlineLevel="0" collapsed="false">
      <c r="A6140" s="0" t="s">
        <v>7992</v>
      </c>
      <c r="C6140" s="0" t="s">
        <v>340</v>
      </c>
      <c r="D6140" s="7" t="n">
        <v>1636</v>
      </c>
      <c r="E6140" s="8" t="n">
        <v>0.00419926650366748</v>
      </c>
      <c r="F6140" s="4" t="n">
        <f aca="false">D6140*E6140</f>
        <v>6.87</v>
      </c>
      <c r="G6140" s="7" t="n">
        <v>640</v>
      </c>
      <c r="H6140" s="9" t="n">
        <f aca="false">IF(G6140&gt;0,D6140/G6140,"")</f>
        <v>2.55625</v>
      </c>
      <c r="I6140" s="10" t="n">
        <v>46098</v>
      </c>
      <c r="J6140" s="3" t="s">
        <v>5385</v>
      </c>
      <c r="K6140" s="10" t="n">
        <v>44513</v>
      </c>
      <c r="L6140" s="3" t="s">
        <v>19</v>
      </c>
      <c r="M6140" s="7" t="n">
        <v>2500</v>
      </c>
      <c r="N6140" s="8" t="n">
        <v>0.0042</v>
      </c>
      <c r="O6140" s="4" t="n">
        <f aca="false">M6140*N6140</f>
        <v>10.5</v>
      </c>
    </row>
    <row r="6141" customFormat="false" ht="15" hidden="false" customHeight="false" outlineLevel="0" collapsed="false">
      <c r="A6141" s="0" t="s">
        <v>7993</v>
      </c>
      <c r="C6141" s="0" t="s">
        <v>36</v>
      </c>
      <c r="D6141" s="7" t="n">
        <v>16</v>
      </c>
      <c r="E6141" s="8" t="n">
        <v>0.4275</v>
      </c>
      <c r="F6141" s="4" t="n">
        <f aca="false">D6141*E6141</f>
        <v>6.84</v>
      </c>
      <c r="G6141" s="7" t="n">
        <v>2</v>
      </c>
      <c r="H6141" s="9" t="n">
        <f aca="false">IF(G6141&gt;0,D6141/G6141,"")</f>
        <v>8</v>
      </c>
      <c r="I6141" s="10" t="n">
        <v>46218</v>
      </c>
      <c r="K6141" s="10"/>
      <c r="M6141" s="7"/>
      <c r="N6141" s="8"/>
      <c r="O6141" s="4"/>
    </row>
    <row r="6142" customFormat="false" ht="15" hidden="false" customHeight="false" outlineLevel="0" collapsed="false">
      <c r="A6142" s="0" t="s">
        <v>7994</v>
      </c>
      <c r="C6142" s="0" t="s">
        <v>34</v>
      </c>
      <c r="D6142" s="7" t="n">
        <v>8</v>
      </c>
      <c r="E6142" s="8" t="n">
        <v>0.855</v>
      </c>
      <c r="F6142" s="4" t="n">
        <f aca="false">D6142*E6142</f>
        <v>6.84</v>
      </c>
      <c r="G6142" s="7" t="n">
        <v>1</v>
      </c>
      <c r="H6142" s="9" t="n">
        <f aca="false">IF(G6142&gt;0,D6142/G6142,"")</f>
        <v>8</v>
      </c>
      <c r="I6142" s="10" t="n">
        <v>45987</v>
      </c>
      <c r="J6142" s="3" t="s">
        <v>7995</v>
      </c>
      <c r="K6142" s="10" t="n">
        <v>44845</v>
      </c>
      <c r="L6142" s="3" t="s">
        <v>19</v>
      </c>
      <c r="M6142" s="7" t="n">
        <v>50</v>
      </c>
      <c r="N6142" s="8" t="n">
        <v>0.8553</v>
      </c>
      <c r="O6142" s="4" t="n">
        <f aca="false">M6142*N6142</f>
        <v>42.765</v>
      </c>
    </row>
    <row r="6143" customFormat="false" ht="15" hidden="false" customHeight="false" outlineLevel="0" collapsed="false">
      <c r="A6143" s="0" t="s">
        <v>7996</v>
      </c>
      <c r="C6143" s="0" t="s">
        <v>741</v>
      </c>
      <c r="D6143" s="7" t="n">
        <v>48</v>
      </c>
      <c r="E6143" s="8" t="n">
        <v>0.142291666666667</v>
      </c>
      <c r="F6143" s="4" t="n">
        <f aca="false">D6143*E6143</f>
        <v>6.83</v>
      </c>
      <c r="G6143" s="7" t="n">
        <v>20</v>
      </c>
      <c r="H6143" s="9" t="n">
        <f aca="false">IF(G6143&gt;0,D6143/G6143,"")</f>
        <v>2.4</v>
      </c>
      <c r="I6143" s="10" t="n">
        <v>46171</v>
      </c>
      <c r="J6143" s="3" t="s">
        <v>3849</v>
      </c>
      <c r="K6143" s="10" t="n">
        <v>45015</v>
      </c>
      <c r="L6143" s="3" t="s">
        <v>27</v>
      </c>
      <c r="M6143" s="7" t="n">
        <v>300</v>
      </c>
      <c r="N6143" s="8" t="n">
        <v>0.1404</v>
      </c>
      <c r="O6143" s="4" t="n">
        <f aca="false">M6143*N6143</f>
        <v>42.12</v>
      </c>
    </row>
    <row r="6144" customFormat="false" ht="15" hidden="false" customHeight="false" outlineLevel="0" collapsed="false">
      <c r="A6144" s="0" t="s">
        <v>7997</v>
      </c>
      <c r="C6144" s="0" t="s">
        <v>31</v>
      </c>
      <c r="D6144" s="7" t="n">
        <v>107</v>
      </c>
      <c r="E6144" s="8" t="n">
        <v>0.0630841121495327</v>
      </c>
      <c r="F6144" s="4" t="n">
        <f aca="false">D6144*E6144</f>
        <v>6.75</v>
      </c>
      <c r="G6144" s="7" t="n">
        <v>30</v>
      </c>
      <c r="H6144" s="9" t="n">
        <f aca="false">IF(G6144&gt;0,D6144/G6144,"")</f>
        <v>3.56666666666667</v>
      </c>
      <c r="I6144" s="10" t="n">
        <v>46316</v>
      </c>
      <c r="K6144" s="10"/>
      <c r="M6144" s="7"/>
      <c r="N6144" s="8"/>
      <c r="O6144" s="4"/>
    </row>
    <row r="6145" customFormat="false" ht="15" hidden="false" customHeight="false" outlineLevel="0" collapsed="false">
      <c r="A6145" s="0" t="s">
        <v>7998</v>
      </c>
      <c r="C6145" s="0" t="s">
        <v>118</v>
      </c>
      <c r="D6145" s="7" t="n">
        <v>129</v>
      </c>
      <c r="E6145" s="8" t="n">
        <v>0.0522480620155039</v>
      </c>
      <c r="F6145" s="4" t="n">
        <f aca="false">D6145*E6145</f>
        <v>6.74</v>
      </c>
      <c r="G6145" s="7" t="n">
        <v>44</v>
      </c>
      <c r="H6145" s="9" t="n">
        <f aca="false">IF(G6145&gt;0,D6145/G6145,"")</f>
        <v>2.93181818181818</v>
      </c>
      <c r="I6145" s="10" t="n">
        <v>46267</v>
      </c>
      <c r="K6145" s="10"/>
      <c r="M6145" s="7"/>
      <c r="N6145" s="8"/>
      <c r="O6145" s="4"/>
    </row>
    <row r="6146" customFormat="false" ht="15" hidden="false" customHeight="false" outlineLevel="0" collapsed="false">
      <c r="A6146" s="0" t="s">
        <v>7999</v>
      </c>
      <c r="C6146" s="0" t="s">
        <v>340</v>
      </c>
      <c r="D6146" s="7" t="n">
        <v>44</v>
      </c>
      <c r="E6146" s="8" t="n">
        <v>0.153181818181818</v>
      </c>
      <c r="F6146" s="4" t="n">
        <f aca="false">D6146*E6146</f>
        <v>6.74</v>
      </c>
      <c r="G6146" s="7" t="n">
        <v>2</v>
      </c>
      <c r="H6146" s="9" t="n">
        <f aca="false">IF(G6146&gt;0,D6146/G6146,"")</f>
        <v>22</v>
      </c>
      <c r="I6146" s="10" t="n">
        <v>45993</v>
      </c>
      <c r="J6146" s="3" t="s">
        <v>8000</v>
      </c>
      <c r="K6146" s="10" t="n">
        <v>44850</v>
      </c>
      <c r="L6146" s="3" t="s">
        <v>19</v>
      </c>
      <c r="M6146" s="7" t="n">
        <v>250</v>
      </c>
      <c r="N6146" s="8" t="n">
        <v>0.1534</v>
      </c>
      <c r="O6146" s="4" t="n">
        <f aca="false">M6146*N6146</f>
        <v>38.35</v>
      </c>
    </row>
    <row r="6147" customFormat="false" ht="15" hidden="false" customHeight="false" outlineLevel="0" collapsed="false">
      <c r="A6147" s="0" t="s">
        <v>8001</v>
      </c>
      <c r="C6147" s="0" t="s">
        <v>715</v>
      </c>
      <c r="D6147" s="7" t="n">
        <v>88</v>
      </c>
      <c r="E6147" s="8" t="n">
        <v>0.0764772727272727</v>
      </c>
      <c r="F6147" s="4" t="n">
        <f aca="false">D6147*E6147</f>
        <v>6.73</v>
      </c>
      <c r="G6147" s="7" t="n">
        <v>70</v>
      </c>
      <c r="H6147" s="9" t="n">
        <f aca="false">IF(G6147&gt;0,D6147/G6147,"")</f>
        <v>1.25714285714286</v>
      </c>
      <c r="I6147" s="10" t="n">
        <v>46140</v>
      </c>
      <c r="J6147" s="3" t="s">
        <v>4763</v>
      </c>
      <c r="K6147" s="10" t="n">
        <v>44980</v>
      </c>
      <c r="L6147" s="3" t="s">
        <v>19</v>
      </c>
      <c r="M6147" s="7" t="n">
        <v>521</v>
      </c>
      <c r="N6147" s="8" t="n">
        <v>0.1109</v>
      </c>
      <c r="O6147" s="4" t="n">
        <f aca="false">M6147*N6147</f>
        <v>57.7789</v>
      </c>
    </row>
    <row r="6148" customFormat="false" ht="15" hidden="false" customHeight="false" outlineLevel="0" collapsed="false">
      <c r="A6148" s="0" t="s">
        <v>8002</v>
      </c>
      <c r="C6148" s="0" t="s">
        <v>40</v>
      </c>
      <c r="D6148" s="7" t="n">
        <v>98</v>
      </c>
      <c r="E6148" s="8" t="n">
        <v>0.068265306122449</v>
      </c>
      <c r="F6148" s="4" t="n">
        <f aca="false">D6148*E6148</f>
        <v>6.69</v>
      </c>
      <c r="G6148" s="7" t="n">
        <v>48</v>
      </c>
      <c r="H6148" s="9" t="n">
        <f aca="false">IF(G6148&gt;0,D6148/G6148,"")</f>
        <v>2.04166666666667</v>
      </c>
      <c r="I6148" s="10" t="n">
        <v>46090</v>
      </c>
      <c r="K6148" s="10"/>
      <c r="M6148" s="7"/>
      <c r="N6148" s="8"/>
      <c r="O6148" s="4"/>
    </row>
    <row r="6149" customFormat="false" ht="15" hidden="false" customHeight="false" outlineLevel="0" collapsed="false">
      <c r="A6149" s="0" t="s">
        <v>8003</v>
      </c>
      <c r="C6149" s="0" t="s">
        <v>34</v>
      </c>
      <c r="D6149" s="7" t="n">
        <v>905</v>
      </c>
      <c r="E6149" s="8" t="n">
        <v>0.00739226519337017</v>
      </c>
      <c r="F6149" s="4" t="n">
        <f aca="false">D6149*E6149</f>
        <v>6.69</v>
      </c>
      <c r="G6149" s="7" t="n">
        <v>879</v>
      </c>
      <c r="H6149" s="9" t="n">
        <f aca="false">IF(G6149&gt;0,D6149/G6149,"")</f>
        <v>1.02957906712173</v>
      </c>
      <c r="I6149" s="10" t="n">
        <v>46308</v>
      </c>
      <c r="K6149" s="10"/>
      <c r="M6149" s="7"/>
      <c r="N6149" s="8"/>
      <c r="O6149" s="4"/>
    </row>
    <row r="6150" customFormat="false" ht="15" hidden="false" customHeight="false" outlineLevel="0" collapsed="false">
      <c r="A6150" s="0" t="s">
        <v>8004</v>
      </c>
      <c r="C6150" s="0" t="s">
        <v>31</v>
      </c>
      <c r="D6150" s="7" t="n">
        <v>423</v>
      </c>
      <c r="E6150" s="8" t="n">
        <v>0.0157919621749409</v>
      </c>
      <c r="F6150" s="4" t="n">
        <f aca="false">D6150*E6150</f>
        <v>6.68</v>
      </c>
      <c r="G6150" s="7" t="n">
        <v>13</v>
      </c>
      <c r="H6150" s="9" t="n">
        <f aca="false">IF(G6150&gt;0,D6150/G6150,"")</f>
        <v>32.5384615384615</v>
      </c>
      <c r="I6150" s="10" t="n">
        <v>46219</v>
      </c>
      <c r="K6150" s="10"/>
      <c r="M6150" s="7"/>
      <c r="N6150" s="8"/>
      <c r="O6150" s="4"/>
    </row>
    <row r="6151" customFormat="false" ht="15" hidden="false" customHeight="false" outlineLevel="0" collapsed="false">
      <c r="A6151" s="0" t="s">
        <v>8005</v>
      </c>
      <c r="C6151" s="0" t="s">
        <v>31</v>
      </c>
      <c r="D6151" s="7" t="n">
        <v>51</v>
      </c>
      <c r="E6151" s="8" t="n">
        <v>0.130392156862745</v>
      </c>
      <c r="F6151" s="4" t="n">
        <f aca="false">D6151*E6151</f>
        <v>6.65</v>
      </c>
      <c r="G6151" s="7" t="n">
        <v>16</v>
      </c>
      <c r="H6151" s="9" t="n">
        <f aca="false">IF(G6151&gt;0,D6151/G6151,"")</f>
        <v>3.1875</v>
      </c>
      <c r="I6151" s="10" t="n">
        <v>46133</v>
      </c>
      <c r="J6151" s="3" t="s">
        <v>8006</v>
      </c>
      <c r="K6151" s="10" t="n">
        <v>45460</v>
      </c>
      <c r="L6151" s="3" t="s">
        <v>14</v>
      </c>
      <c r="M6151" s="7" t="n">
        <v>119</v>
      </c>
      <c r="N6151" s="8" t="n">
        <v>0.1304</v>
      </c>
      <c r="O6151" s="4" t="n">
        <f aca="false">M6151*N6151</f>
        <v>15.5176</v>
      </c>
    </row>
    <row r="6152" customFormat="false" ht="15" hidden="false" customHeight="false" outlineLevel="0" collapsed="false">
      <c r="A6152" s="0" t="s">
        <v>8007</v>
      </c>
      <c r="C6152" s="0" t="s">
        <v>31</v>
      </c>
      <c r="D6152" s="7" t="n">
        <v>26</v>
      </c>
      <c r="E6152" s="8" t="n">
        <v>0.255769230769231</v>
      </c>
      <c r="F6152" s="4" t="n">
        <f aca="false">D6152*E6152</f>
        <v>6.65</v>
      </c>
      <c r="G6152" s="7" t="n">
        <v>11</v>
      </c>
      <c r="H6152" s="9" t="n">
        <f aca="false">IF(G6152&gt;0,D6152/G6152,"")</f>
        <v>2.36363636363636</v>
      </c>
      <c r="I6152" s="10" t="n">
        <v>46126</v>
      </c>
      <c r="J6152" s="3" t="s">
        <v>6024</v>
      </c>
      <c r="K6152" s="10" t="n">
        <v>44438</v>
      </c>
      <c r="L6152" s="3" t="s">
        <v>19</v>
      </c>
      <c r="M6152" s="7" t="n">
        <v>100</v>
      </c>
      <c r="N6152" s="8" t="n">
        <v>0.255</v>
      </c>
      <c r="O6152" s="4" t="n">
        <f aca="false">M6152*N6152</f>
        <v>25.5</v>
      </c>
    </row>
    <row r="6153" customFormat="false" ht="15" hidden="false" customHeight="false" outlineLevel="0" collapsed="false">
      <c r="A6153" s="0" t="s">
        <v>8008</v>
      </c>
      <c r="C6153" s="0" t="s">
        <v>855</v>
      </c>
      <c r="D6153" s="7" t="n">
        <v>232</v>
      </c>
      <c r="E6153" s="8" t="n">
        <v>0.0286637931034483</v>
      </c>
      <c r="F6153" s="4" t="n">
        <f aca="false">D6153*E6153</f>
        <v>6.65</v>
      </c>
      <c r="G6153" s="7" t="n">
        <v>100</v>
      </c>
      <c r="H6153" s="9" t="n">
        <f aca="false">IF(G6153&gt;0,D6153/G6153,"")</f>
        <v>2.32</v>
      </c>
      <c r="I6153" s="10" t="n">
        <v>46237</v>
      </c>
      <c r="K6153" s="10"/>
      <c r="M6153" s="7"/>
      <c r="N6153" s="8"/>
      <c r="O6153" s="4"/>
    </row>
    <row r="6154" customFormat="false" ht="15" hidden="false" customHeight="false" outlineLevel="0" collapsed="false">
      <c r="A6154" s="0" t="s">
        <v>8009</v>
      </c>
      <c r="C6154" s="0" t="s">
        <v>36</v>
      </c>
      <c r="D6154" s="7" t="n">
        <v>16</v>
      </c>
      <c r="E6154" s="8" t="n">
        <v>0.414375</v>
      </c>
      <c r="F6154" s="4" t="n">
        <f aca="false">D6154*E6154</f>
        <v>6.63</v>
      </c>
      <c r="G6154" s="7" t="n">
        <v>2</v>
      </c>
      <c r="H6154" s="9" t="n">
        <f aca="false">IF(G6154&gt;0,D6154/G6154,"")</f>
        <v>8</v>
      </c>
      <c r="I6154" s="10" t="n">
        <v>46021</v>
      </c>
      <c r="K6154" s="10"/>
      <c r="M6154" s="7"/>
      <c r="N6154" s="8"/>
      <c r="O6154" s="4"/>
    </row>
    <row r="6155" customFormat="false" ht="15" hidden="false" customHeight="false" outlineLevel="0" collapsed="false">
      <c r="A6155" s="0" t="s">
        <v>8010</v>
      </c>
      <c r="C6155" s="0" t="s">
        <v>34</v>
      </c>
      <c r="D6155" s="7" t="n">
        <v>32</v>
      </c>
      <c r="E6155" s="8" t="n">
        <v>0.2071875</v>
      </c>
      <c r="F6155" s="4" t="n">
        <f aca="false">D6155*E6155</f>
        <v>6.63</v>
      </c>
      <c r="G6155" s="7" t="n">
        <v>25</v>
      </c>
      <c r="H6155" s="9" t="n">
        <f aca="false">IF(G6155&gt;0,D6155/G6155,"")</f>
        <v>1.28</v>
      </c>
      <c r="I6155" s="10" t="n">
        <v>46205</v>
      </c>
      <c r="J6155" s="3" t="s">
        <v>1435</v>
      </c>
      <c r="K6155" s="10" t="n">
        <v>45810</v>
      </c>
      <c r="L6155" s="3" t="s">
        <v>14</v>
      </c>
      <c r="M6155" s="7" t="n">
        <v>85</v>
      </c>
      <c r="N6155" s="8" t="n">
        <v>0.20717647</v>
      </c>
      <c r="O6155" s="4" t="n">
        <f aca="false">M6155*N6155</f>
        <v>17.60999995</v>
      </c>
    </row>
    <row r="6156" customFormat="false" ht="15" hidden="false" customHeight="false" outlineLevel="0" collapsed="false">
      <c r="A6156" s="0" t="s">
        <v>8011</v>
      </c>
      <c r="C6156" s="0" t="s">
        <v>39</v>
      </c>
      <c r="D6156" s="7" t="n">
        <v>360</v>
      </c>
      <c r="E6156" s="8" t="n">
        <v>0.0183888888888889</v>
      </c>
      <c r="F6156" s="4" t="n">
        <f aca="false">D6156*E6156</f>
        <v>6.62</v>
      </c>
      <c r="G6156" s="7" t="n">
        <v>250</v>
      </c>
      <c r="H6156" s="9" t="n">
        <f aca="false">IF(G6156&gt;0,D6156/G6156,"")</f>
        <v>1.44</v>
      </c>
      <c r="I6156" s="10" t="n">
        <v>46254</v>
      </c>
      <c r="J6156" s="3" t="s">
        <v>1120</v>
      </c>
      <c r="K6156" s="10" t="n">
        <v>45960</v>
      </c>
      <c r="L6156" s="3" t="s">
        <v>18</v>
      </c>
      <c r="M6156" s="7" t="n">
        <v>500</v>
      </c>
      <c r="N6156" s="8" t="n">
        <v>0.0184</v>
      </c>
      <c r="O6156" s="4" t="n">
        <f aca="false">M6156*N6156</f>
        <v>9.2</v>
      </c>
    </row>
    <row r="6157" customFormat="false" ht="15" hidden="false" customHeight="false" outlineLevel="0" collapsed="false">
      <c r="A6157" s="0" t="s">
        <v>8012</v>
      </c>
      <c r="C6157" s="0" t="s">
        <v>765</v>
      </c>
      <c r="D6157" s="7" t="n">
        <v>8</v>
      </c>
      <c r="E6157" s="8" t="n">
        <v>0.8275</v>
      </c>
      <c r="F6157" s="4" t="n">
        <f aca="false">D6157*E6157</f>
        <v>6.62</v>
      </c>
      <c r="G6157" s="7" t="n">
        <v>5</v>
      </c>
      <c r="H6157" s="9" t="n">
        <f aca="false">IF(G6157&gt;0,D6157/G6157,"")</f>
        <v>1.6</v>
      </c>
      <c r="I6157" s="10" t="n">
        <v>46294</v>
      </c>
      <c r="J6157" s="3" t="s">
        <v>2564</v>
      </c>
      <c r="K6157" s="10" t="n">
        <v>44403</v>
      </c>
      <c r="L6157" s="3" t="s">
        <v>19</v>
      </c>
      <c r="M6157" s="7" t="n">
        <v>25</v>
      </c>
      <c r="N6157" s="8" t="n">
        <v>0.8275</v>
      </c>
      <c r="O6157" s="4" t="n">
        <f aca="false">M6157*N6157</f>
        <v>20.6875</v>
      </c>
    </row>
    <row r="6158" customFormat="false" ht="15" hidden="false" customHeight="false" outlineLevel="0" collapsed="false">
      <c r="A6158" s="0" t="s">
        <v>8013</v>
      </c>
      <c r="C6158" s="0" t="s">
        <v>34</v>
      </c>
      <c r="D6158" s="7" t="n">
        <v>253</v>
      </c>
      <c r="E6158" s="8" t="n">
        <v>0.0261264822134387</v>
      </c>
      <c r="F6158" s="4" t="n">
        <f aca="false">D6158*E6158</f>
        <v>6.61</v>
      </c>
      <c r="G6158" s="7" t="n">
        <v>246</v>
      </c>
      <c r="H6158" s="9" t="n">
        <f aca="false">IF(G6158&gt;0,D6158/G6158,"")</f>
        <v>1.02845528455285</v>
      </c>
      <c r="I6158" s="10" t="n">
        <v>46202</v>
      </c>
      <c r="K6158" s="10"/>
      <c r="M6158" s="7"/>
      <c r="N6158" s="8"/>
      <c r="O6158" s="4"/>
    </row>
    <row r="6159" customFormat="false" ht="15" hidden="false" customHeight="false" outlineLevel="0" collapsed="false">
      <c r="A6159" s="0" t="s">
        <v>8014</v>
      </c>
      <c r="C6159" s="0" t="s">
        <v>360</v>
      </c>
      <c r="D6159" s="7" t="n">
        <v>59</v>
      </c>
      <c r="E6159" s="8" t="n">
        <v>0.112033898305085</v>
      </c>
      <c r="F6159" s="4" t="n">
        <f aca="false">D6159*E6159</f>
        <v>6.61</v>
      </c>
      <c r="G6159" s="7" t="n">
        <v>25</v>
      </c>
      <c r="H6159" s="9" t="n">
        <f aca="false">IF(G6159&gt;0,D6159/G6159,"")</f>
        <v>2.36</v>
      </c>
      <c r="I6159" s="10" t="n">
        <v>46289</v>
      </c>
      <c r="K6159" s="10"/>
      <c r="M6159" s="7"/>
      <c r="N6159" s="8"/>
      <c r="O6159" s="4"/>
    </row>
    <row r="6160" customFormat="false" ht="15" hidden="false" customHeight="false" outlineLevel="0" collapsed="false">
      <c r="A6160" s="0" t="s">
        <v>8015</v>
      </c>
      <c r="C6160" s="0" t="s">
        <v>34</v>
      </c>
      <c r="D6160" s="7" t="n">
        <v>31</v>
      </c>
      <c r="E6160" s="8" t="n">
        <v>0.212903225806452</v>
      </c>
      <c r="F6160" s="4" t="n">
        <f aca="false">D6160*E6160</f>
        <v>6.6</v>
      </c>
      <c r="G6160" s="7" t="n">
        <v>2</v>
      </c>
      <c r="H6160" s="9" t="n">
        <f aca="false">IF(G6160&gt;0,D6160/G6160,"")</f>
        <v>15.5</v>
      </c>
      <c r="I6160" s="10" t="n">
        <v>46111</v>
      </c>
      <c r="J6160" s="3" t="s">
        <v>8016</v>
      </c>
      <c r="K6160" s="10" t="n">
        <v>44199</v>
      </c>
      <c r="L6160" s="3" t="s">
        <v>16</v>
      </c>
      <c r="M6160" s="7" t="n">
        <v>100</v>
      </c>
      <c r="N6160" s="8" t="n">
        <v>0.2133</v>
      </c>
      <c r="O6160" s="4" t="n">
        <f aca="false">M6160*N6160</f>
        <v>21.33</v>
      </c>
    </row>
    <row r="6161" customFormat="false" ht="15" hidden="false" customHeight="false" outlineLevel="0" collapsed="false">
      <c r="A6161" s="0" t="s">
        <v>8017</v>
      </c>
      <c r="C6161" s="0" t="s">
        <v>31</v>
      </c>
      <c r="D6161" s="7" t="n">
        <v>790</v>
      </c>
      <c r="E6161" s="8" t="n">
        <v>0.00832911392405063</v>
      </c>
      <c r="F6161" s="4" t="n">
        <f aca="false">D6161*E6161</f>
        <v>6.58</v>
      </c>
      <c r="G6161" s="7" t="n">
        <v>50</v>
      </c>
      <c r="H6161" s="9" t="n">
        <f aca="false">IF(G6161&gt;0,D6161/G6161,"")</f>
        <v>15.8</v>
      </c>
      <c r="I6161" s="10" t="n">
        <v>46268</v>
      </c>
      <c r="J6161" s="3" t="s">
        <v>4973</v>
      </c>
      <c r="K6161" s="10" t="n">
        <v>45427</v>
      </c>
      <c r="L6161" s="3" t="s">
        <v>15</v>
      </c>
      <c r="M6161" s="7" t="n">
        <v>1000</v>
      </c>
      <c r="N6161" s="8" t="n">
        <v>0.00834</v>
      </c>
      <c r="O6161" s="4" t="n">
        <f aca="false">M6161*N6161</f>
        <v>8.34</v>
      </c>
    </row>
    <row r="6162" customFormat="false" ht="15" hidden="false" customHeight="false" outlineLevel="0" collapsed="false">
      <c r="A6162" s="0" t="s">
        <v>8018</v>
      </c>
      <c r="C6162" s="0" t="s">
        <v>31</v>
      </c>
      <c r="D6162" s="7" t="n">
        <v>59</v>
      </c>
      <c r="E6162" s="8" t="n">
        <v>0.111525423728814</v>
      </c>
      <c r="F6162" s="4" t="n">
        <f aca="false">D6162*E6162</f>
        <v>6.58</v>
      </c>
      <c r="G6162" s="7" t="n">
        <v>15</v>
      </c>
      <c r="H6162" s="9" t="n">
        <f aca="false">IF(G6162&gt;0,D6162/G6162,"")</f>
        <v>3.93333333333333</v>
      </c>
      <c r="I6162" s="10" t="n">
        <v>46087</v>
      </c>
      <c r="J6162" s="3" t="s">
        <v>1233</v>
      </c>
      <c r="K6162" s="10" t="n">
        <v>46069</v>
      </c>
      <c r="L6162" s="3" t="s">
        <v>14</v>
      </c>
      <c r="M6162" s="7" t="n">
        <v>74</v>
      </c>
      <c r="N6162" s="8" t="n">
        <v>0.1116</v>
      </c>
      <c r="O6162" s="4" t="n">
        <f aca="false">M6162*N6162</f>
        <v>8.2584</v>
      </c>
    </row>
    <row r="6163" customFormat="false" ht="15" hidden="false" customHeight="false" outlineLevel="0" collapsed="false">
      <c r="A6163" s="0" t="s">
        <v>8019</v>
      </c>
      <c r="C6163" s="0" t="s">
        <v>31</v>
      </c>
      <c r="D6163" s="7" t="n">
        <v>120</v>
      </c>
      <c r="E6163" s="8" t="n">
        <v>0.0546666666666667</v>
      </c>
      <c r="F6163" s="4" t="n">
        <f aca="false">D6163*E6163</f>
        <v>6.56</v>
      </c>
      <c r="G6163" s="7" t="n">
        <v>30</v>
      </c>
      <c r="H6163" s="9" t="n">
        <f aca="false">IF(G6163&gt;0,D6163/G6163,"")</f>
        <v>4</v>
      </c>
      <c r="I6163" s="10" t="n">
        <v>46224</v>
      </c>
      <c r="J6163" s="3" t="s">
        <v>4419</v>
      </c>
      <c r="K6163" s="10" t="n">
        <v>46141</v>
      </c>
      <c r="L6163" s="3" t="s">
        <v>14</v>
      </c>
      <c r="M6163" s="7" t="n">
        <v>150</v>
      </c>
      <c r="N6163" s="8" t="n">
        <v>0.0546</v>
      </c>
      <c r="O6163" s="4" t="n">
        <f aca="false">M6163*N6163</f>
        <v>8.19</v>
      </c>
    </row>
    <row r="6164" customFormat="false" ht="15" hidden="false" customHeight="false" outlineLevel="0" collapsed="false">
      <c r="A6164" s="0" t="s">
        <v>8020</v>
      </c>
      <c r="C6164" s="0" t="s">
        <v>31</v>
      </c>
      <c r="D6164" s="7" t="n">
        <v>196</v>
      </c>
      <c r="E6164" s="8" t="n">
        <v>0.0333163265306122</v>
      </c>
      <c r="F6164" s="4" t="n">
        <f aca="false">D6164*E6164</f>
        <v>6.53</v>
      </c>
      <c r="G6164" s="7" t="n">
        <v>34</v>
      </c>
      <c r="H6164" s="9" t="n">
        <f aca="false">IF(G6164&gt;0,D6164/G6164,"")</f>
        <v>5.76470588235294</v>
      </c>
      <c r="I6164" s="10" t="n">
        <v>46080</v>
      </c>
      <c r="K6164" s="10"/>
      <c r="M6164" s="7"/>
      <c r="N6164" s="8"/>
      <c r="O6164" s="4"/>
    </row>
    <row r="6165" customFormat="false" ht="15" hidden="false" customHeight="false" outlineLevel="0" collapsed="false">
      <c r="A6165" s="0" t="s">
        <v>8021</v>
      </c>
      <c r="C6165" s="0" t="s">
        <v>31</v>
      </c>
      <c r="D6165" s="7" t="n">
        <v>196</v>
      </c>
      <c r="E6165" s="8" t="n">
        <v>0.033265306122449</v>
      </c>
      <c r="F6165" s="4" t="n">
        <f aca="false">D6165*E6165</f>
        <v>6.52</v>
      </c>
      <c r="G6165" s="7" t="n">
        <v>131</v>
      </c>
      <c r="H6165" s="9" t="n">
        <f aca="false">IF(G6165&gt;0,D6165/G6165,"")</f>
        <v>1.49618320610687</v>
      </c>
      <c r="I6165" s="10" t="n">
        <v>46316</v>
      </c>
      <c r="J6165" s="3" t="s">
        <v>1192</v>
      </c>
      <c r="K6165" s="10" t="n">
        <v>45736</v>
      </c>
      <c r="L6165" s="3" t="s">
        <v>26</v>
      </c>
      <c r="M6165" s="7" t="n">
        <v>100</v>
      </c>
      <c r="N6165" s="8" t="n">
        <v>0.1003</v>
      </c>
      <c r="O6165" s="4" t="n">
        <f aca="false">M6165*N6165</f>
        <v>10.03</v>
      </c>
    </row>
    <row r="6166" customFormat="false" ht="15" hidden="false" customHeight="false" outlineLevel="0" collapsed="false">
      <c r="A6166" s="0" t="s">
        <v>8022</v>
      </c>
      <c r="C6166" s="0" t="s">
        <v>31</v>
      </c>
      <c r="D6166" s="7" t="n">
        <v>26</v>
      </c>
      <c r="E6166" s="8" t="n">
        <v>0.25</v>
      </c>
      <c r="F6166" s="4" t="n">
        <f aca="false">D6166*E6166</f>
        <v>6.5</v>
      </c>
      <c r="G6166" s="7" t="n">
        <v>8</v>
      </c>
      <c r="H6166" s="9" t="n">
        <f aca="false">IF(G6166&gt;0,D6166/G6166,"")</f>
        <v>3.25</v>
      </c>
      <c r="I6166" s="10" t="n">
        <v>46027</v>
      </c>
      <c r="K6166" s="10"/>
      <c r="M6166" s="7"/>
      <c r="N6166" s="8"/>
      <c r="O6166" s="4"/>
    </row>
    <row r="6167" customFormat="false" ht="15" hidden="false" customHeight="false" outlineLevel="0" collapsed="false">
      <c r="A6167" s="0" t="s">
        <v>8023</v>
      </c>
      <c r="C6167" s="0" t="s">
        <v>31</v>
      </c>
      <c r="D6167" s="7" t="n">
        <v>408</v>
      </c>
      <c r="E6167" s="8" t="n">
        <v>0.0158823529411765</v>
      </c>
      <c r="F6167" s="4" t="n">
        <f aca="false">D6167*E6167</f>
        <v>6.48</v>
      </c>
      <c r="G6167" s="7" t="n">
        <v>17</v>
      </c>
      <c r="H6167" s="9" t="n">
        <f aca="false">IF(G6167&gt;0,D6167/G6167,"")</f>
        <v>24</v>
      </c>
      <c r="I6167" s="10" t="n">
        <v>45986</v>
      </c>
      <c r="J6167" s="3" t="s">
        <v>3251</v>
      </c>
      <c r="K6167" s="10" t="n">
        <v>44198</v>
      </c>
      <c r="L6167" s="3" t="s">
        <v>15</v>
      </c>
      <c r="M6167" s="7" t="n">
        <v>2158</v>
      </c>
      <c r="N6167" s="8" t="n">
        <v>0.0159</v>
      </c>
      <c r="O6167" s="4" t="n">
        <f aca="false">M6167*N6167</f>
        <v>34.3122</v>
      </c>
    </row>
    <row r="6168" customFormat="false" ht="15" hidden="false" customHeight="false" outlineLevel="0" collapsed="false">
      <c r="A6168" s="0" t="s">
        <v>8024</v>
      </c>
      <c r="C6168" s="0" t="s">
        <v>34</v>
      </c>
      <c r="D6168" s="7" t="n">
        <v>65</v>
      </c>
      <c r="E6168" s="8" t="n">
        <v>0.0993846153846154</v>
      </c>
      <c r="F6168" s="4" t="n">
        <f aca="false">D6168*E6168</f>
        <v>6.46</v>
      </c>
      <c r="G6168" s="7" t="n">
        <v>30</v>
      </c>
      <c r="H6168" s="9" t="n">
        <f aca="false">IF(G6168&gt;0,D6168/G6168,"")</f>
        <v>2.16666666666667</v>
      </c>
      <c r="I6168" s="10" t="n">
        <v>45996</v>
      </c>
      <c r="J6168" s="3" t="s">
        <v>2648</v>
      </c>
      <c r="K6168" s="10" t="n">
        <v>45218</v>
      </c>
      <c r="L6168" s="3" t="s">
        <v>15</v>
      </c>
      <c r="M6168" s="7" t="n">
        <v>100</v>
      </c>
      <c r="N6168" s="8" t="n">
        <v>0.09939</v>
      </c>
      <c r="O6168" s="4" t="n">
        <f aca="false">M6168*N6168</f>
        <v>9.939</v>
      </c>
    </row>
    <row r="6169" customFormat="false" ht="15" hidden="false" customHeight="false" outlineLevel="0" collapsed="false">
      <c r="A6169" s="0" t="s">
        <v>8025</v>
      </c>
      <c r="C6169" s="0" t="s">
        <v>34</v>
      </c>
      <c r="D6169" s="7" t="n">
        <v>277</v>
      </c>
      <c r="E6169" s="8" t="n">
        <v>0.0232851985559567</v>
      </c>
      <c r="F6169" s="4" t="n">
        <f aca="false">D6169*E6169</f>
        <v>6.45</v>
      </c>
      <c r="G6169" s="7" t="n">
        <v>190</v>
      </c>
      <c r="H6169" s="9" t="n">
        <f aca="false">IF(G6169&gt;0,D6169/G6169,"")</f>
        <v>1.45789473684211</v>
      </c>
      <c r="I6169" s="10" t="n">
        <v>46237</v>
      </c>
      <c r="J6169" s="3" t="s">
        <v>4763</v>
      </c>
      <c r="K6169" s="10" t="n">
        <v>44980</v>
      </c>
      <c r="L6169" s="3" t="s">
        <v>19</v>
      </c>
      <c r="M6169" s="7" t="n">
        <v>6000</v>
      </c>
      <c r="N6169" s="8" t="n">
        <v>0.0233</v>
      </c>
      <c r="O6169" s="4" t="n">
        <f aca="false">M6169*N6169</f>
        <v>139.8</v>
      </c>
    </row>
    <row r="6170" customFormat="false" ht="15" hidden="false" customHeight="false" outlineLevel="0" collapsed="false">
      <c r="A6170" s="0" t="s">
        <v>8026</v>
      </c>
      <c r="D6170" s="7" t="n">
        <v>4</v>
      </c>
      <c r="E6170" s="8" t="n">
        <v>1.605</v>
      </c>
      <c r="F6170" s="4" t="n">
        <f aca="false">D6170*E6170</f>
        <v>6.42</v>
      </c>
      <c r="G6170" s="7" t="n">
        <v>2</v>
      </c>
      <c r="H6170" s="9" t="n">
        <f aca="false">IF(G6170&gt;0,D6170/G6170,"")</f>
        <v>2</v>
      </c>
      <c r="I6170" s="10" t="n">
        <v>46087</v>
      </c>
      <c r="K6170" s="10"/>
      <c r="M6170" s="7"/>
      <c r="N6170" s="8"/>
      <c r="O6170" s="4"/>
    </row>
    <row r="6171" customFormat="false" ht="15" hidden="false" customHeight="false" outlineLevel="0" collapsed="false">
      <c r="A6171" s="0" t="s">
        <v>8027</v>
      </c>
      <c r="C6171" s="0" t="s">
        <v>1039</v>
      </c>
      <c r="D6171" s="7" t="n">
        <v>729</v>
      </c>
      <c r="E6171" s="8" t="n">
        <v>0.00879286694101509</v>
      </c>
      <c r="F6171" s="4" t="n">
        <f aca="false">D6171*E6171</f>
        <v>6.41</v>
      </c>
      <c r="G6171" s="7" t="n">
        <v>371</v>
      </c>
      <c r="H6171" s="9" t="n">
        <f aca="false">IF(G6171&gt;0,D6171/G6171,"")</f>
        <v>1.96495956873315</v>
      </c>
      <c r="I6171" s="10" t="n">
        <v>46174</v>
      </c>
      <c r="J6171" s="3" t="s">
        <v>675</v>
      </c>
      <c r="K6171" s="10" t="n">
        <v>45471</v>
      </c>
      <c r="L6171" s="3" t="s">
        <v>14</v>
      </c>
      <c r="M6171" s="7" t="n">
        <v>1944</v>
      </c>
      <c r="N6171" s="8" t="n">
        <v>0.0088</v>
      </c>
      <c r="O6171" s="4" t="n">
        <f aca="false">M6171*N6171</f>
        <v>17.1072</v>
      </c>
    </row>
    <row r="6172" customFormat="false" ht="15" hidden="false" customHeight="false" outlineLevel="0" collapsed="false">
      <c r="A6172" s="0" t="s">
        <v>8028</v>
      </c>
      <c r="C6172" s="0" t="s">
        <v>398</v>
      </c>
      <c r="D6172" s="7" t="n">
        <v>62</v>
      </c>
      <c r="E6172" s="8" t="n">
        <v>0.103064516129032</v>
      </c>
      <c r="F6172" s="4" t="n">
        <f aca="false">D6172*E6172</f>
        <v>6.39</v>
      </c>
      <c r="G6172" s="7" t="n">
        <v>5</v>
      </c>
      <c r="H6172" s="9" t="n">
        <f aca="false">IF(G6172&gt;0,D6172/G6172,"")</f>
        <v>12.4</v>
      </c>
      <c r="I6172" s="10" t="n">
        <v>46309</v>
      </c>
      <c r="K6172" s="10"/>
      <c r="M6172" s="7"/>
      <c r="N6172" s="8"/>
      <c r="O6172" s="4"/>
    </row>
    <row r="6173" customFormat="false" ht="15" hidden="false" customHeight="false" outlineLevel="0" collapsed="false">
      <c r="A6173" s="0" t="s">
        <v>8029</v>
      </c>
      <c r="C6173" s="0" t="s">
        <v>31</v>
      </c>
      <c r="D6173" s="7" t="n">
        <v>721</v>
      </c>
      <c r="E6173" s="8" t="n">
        <v>0.00884882108183079</v>
      </c>
      <c r="F6173" s="4" t="n">
        <f aca="false">D6173*E6173</f>
        <v>6.38</v>
      </c>
      <c r="G6173" s="7" t="n">
        <v>299</v>
      </c>
      <c r="H6173" s="9" t="n">
        <f aca="false">IF(G6173&gt;0,D6173/G6173,"")</f>
        <v>2.41137123745819</v>
      </c>
      <c r="I6173" s="10" t="n">
        <v>46276</v>
      </c>
      <c r="J6173" s="3" t="s">
        <v>7162</v>
      </c>
      <c r="K6173" s="10" t="n">
        <v>45496</v>
      </c>
      <c r="L6173" s="3" t="s">
        <v>14</v>
      </c>
      <c r="M6173" s="7" t="n">
        <v>1200</v>
      </c>
      <c r="N6173" s="8" t="n">
        <v>0.0088</v>
      </c>
      <c r="O6173" s="4" t="n">
        <f aca="false">M6173*N6173</f>
        <v>10.56</v>
      </c>
    </row>
    <row r="6174" customFormat="false" ht="15" hidden="false" customHeight="false" outlineLevel="0" collapsed="false">
      <c r="A6174" s="0" t="s">
        <v>8030</v>
      </c>
      <c r="C6174" s="0" t="s">
        <v>438</v>
      </c>
      <c r="D6174" s="7" t="n">
        <v>23</v>
      </c>
      <c r="E6174" s="8" t="n">
        <v>0.274782608695652</v>
      </c>
      <c r="F6174" s="4" t="n">
        <f aca="false">D6174*E6174</f>
        <v>6.32</v>
      </c>
      <c r="G6174" s="7" t="n">
        <v>21</v>
      </c>
      <c r="H6174" s="9" t="n">
        <f aca="false">IF(G6174&gt;0,D6174/G6174,"")</f>
        <v>1.0952380952381</v>
      </c>
      <c r="I6174" s="10" t="n">
        <v>46202</v>
      </c>
      <c r="J6174" s="3" t="s">
        <v>4658</v>
      </c>
      <c r="K6174" s="10" t="n">
        <v>45517</v>
      </c>
      <c r="L6174" s="3" t="s">
        <v>27</v>
      </c>
      <c r="M6174" s="7" t="n">
        <v>100</v>
      </c>
      <c r="N6174" s="8" t="n">
        <v>0.2755</v>
      </c>
      <c r="O6174" s="4" t="n">
        <f aca="false">M6174*N6174</f>
        <v>27.55</v>
      </c>
    </row>
    <row r="6175" customFormat="false" ht="15" hidden="false" customHeight="false" outlineLevel="0" collapsed="false">
      <c r="A6175" s="0" t="s">
        <v>8031</v>
      </c>
      <c r="C6175" s="0" t="s">
        <v>31</v>
      </c>
      <c r="D6175" s="7" t="n">
        <v>196</v>
      </c>
      <c r="E6175" s="8" t="n">
        <v>0.0321428571428571</v>
      </c>
      <c r="F6175" s="4" t="n">
        <f aca="false">D6175*E6175</f>
        <v>6.3</v>
      </c>
      <c r="G6175" s="7" t="n">
        <v>24</v>
      </c>
      <c r="H6175" s="9" t="n">
        <f aca="false">IF(G6175&gt;0,D6175/G6175,"")</f>
        <v>8.16666666666667</v>
      </c>
      <c r="I6175" s="10" t="n">
        <v>46034</v>
      </c>
      <c r="K6175" s="10"/>
      <c r="M6175" s="7"/>
      <c r="N6175" s="8"/>
      <c r="O6175" s="4"/>
    </row>
    <row r="6176" customFormat="false" ht="15" hidden="false" customHeight="false" outlineLevel="0" collapsed="false">
      <c r="A6176" s="0" t="s">
        <v>8032</v>
      </c>
      <c r="C6176" s="0" t="s">
        <v>31</v>
      </c>
      <c r="D6176" s="7" t="n">
        <v>63</v>
      </c>
      <c r="E6176" s="8" t="n">
        <v>0.0995238095238095</v>
      </c>
      <c r="F6176" s="4" t="n">
        <f aca="false">D6176*E6176</f>
        <v>6.27</v>
      </c>
      <c r="G6176" s="7" t="n">
        <v>42</v>
      </c>
      <c r="H6176" s="9" t="n">
        <f aca="false">IF(G6176&gt;0,D6176/G6176,"")</f>
        <v>1.5</v>
      </c>
      <c r="I6176" s="10" t="n">
        <v>46211</v>
      </c>
      <c r="J6176" s="3" t="s">
        <v>4314</v>
      </c>
      <c r="K6176" s="10" t="n">
        <v>45175</v>
      </c>
      <c r="L6176" s="3" t="s">
        <v>14</v>
      </c>
      <c r="M6176" s="7" t="n">
        <v>118</v>
      </c>
      <c r="N6176" s="8" t="n">
        <v>0.0995</v>
      </c>
      <c r="O6176" s="4" t="n">
        <f aca="false">M6176*N6176</f>
        <v>11.741</v>
      </c>
    </row>
    <row r="6177" customFormat="false" ht="15" hidden="false" customHeight="false" outlineLevel="0" collapsed="false">
      <c r="A6177" s="0" t="s">
        <v>8033</v>
      </c>
      <c r="C6177" s="0" t="s">
        <v>1017</v>
      </c>
      <c r="D6177" s="7" t="n">
        <v>204</v>
      </c>
      <c r="E6177" s="8" t="n">
        <v>0.0305882352941177</v>
      </c>
      <c r="F6177" s="4" t="n">
        <f aca="false">D6177*E6177</f>
        <v>6.24</v>
      </c>
      <c r="G6177" s="7" t="n">
        <v>6</v>
      </c>
      <c r="H6177" s="9" t="n">
        <f aca="false">IF(G6177&gt;0,D6177/G6177,"")</f>
        <v>34</v>
      </c>
      <c r="I6177" s="10" t="n">
        <v>45986</v>
      </c>
      <c r="J6177" s="3" t="s">
        <v>1018</v>
      </c>
      <c r="K6177" s="10" t="n">
        <v>45912</v>
      </c>
      <c r="L6177" s="3" t="s">
        <v>15</v>
      </c>
      <c r="M6177" s="7" t="n">
        <v>210</v>
      </c>
      <c r="N6177" s="8" t="n">
        <v>0.03059</v>
      </c>
      <c r="O6177" s="4" t="n">
        <f aca="false">M6177*N6177</f>
        <v>6.4239</v>
      </c>
    </row>
    <row r="6178" customFormat="false" ht="15" hidden="false" customHeight="false" outlineLevel="0" collapsed="false">
      <c r="A6178" s="0" t="s">
        <v>8034</v>
      </c>
      <c r="C6178" s="0" t="s">
        <v>5091</v>
      </c>
      <c r="D6178" s="7" t="n">
        <v>4</v>
      </c>
      <c r="E6178" s="8" t="n">
        <v>1.5575</v>
      </c>
      <c r="F6178" s="4" t="n">
        <f aca="false">D6178*E6178</f>
        <v>6.23</v>
      </c>
      <c r="G6178" s="7" t="n">
        <v>4</v>
      </c>
      <c r="H6178" s="9" t="n">
        <f aca="false">IF(G6178&gt;0,D6178/G6178,"")</f>
        <v>1</v>
      </c>
      <c r="I6178" s="10" t="n">
        <v>46029</v>
      </c>
      <c r="J6178" s="3" t="s">
        <v>5066</v>
      </c>
      <c r="K6178" s="10" t="n">
        <v>45167</v>
      </c>
      <c r="L6178" s="3" t="s">
        <v>14</v>
      </c>
      <c r="M6178" s="7" t="n">
        <v>10</v>
      </c>
      <c r="N6178" s="8" t="n">
        <v>1.556</v>
      </c>
      <c r="O6178" s="4" t="n">
        <f aca="false">M6178*N6178</f>
        <v>15.56</v>
      </c>
    </row>
    <row r="6179" customFormat="false" ht="15" hidden="false" customHeight="false" outlineLevel="0" collapsed="false">
      <c r="A6179" s="0" t="s">
        <v>8035</v>
      </c>
      <c r="C6179" s="0" t="s">
        <v>34</v>
      </c>
      <c r="D6179" s="7" t="n">
        <v>50</v>
      </c>
      <c r="E6179" s="8" t="n">
        <v>0.124</v>
      </c>
      <c r="F6179" s="4" t="n">
        <f aca="false">D6179*E6179</f>
        <v>6.2</v>
      </c>
      <c r="G6179" s="7" t="n">
        <v>40</v>
      </c>
      <c r="H6179" s="9" t="n">
        <f aca="false">IF(G6179&gt;0,D6179/G6179,"")</f>
        <v>1.25</v>
      </c>
      <c r="I6179" s="10" t="n">
        <v>46279</v>
      </c>
      <c r="J6179" s="3" t="s">
        <v>8036</v>
      </c>
      <c r="K6179" s="10" t="n">
        <v>44328</v>
      </c>
      <c r="L6179" s="3" t="s">
        <v>19</v>
      </c>
      <c r="M6179" s="7" t="n">
        <v>100</v>
      </c>
      <c r="N6179" s="8" t="n">
        <v>0.124</v>
      </c>
      <c r="O6179" s="4" t="n">
        <f aca="false">M6179*N6179</f>
        <v>12.4</v>
      </c>
    </row>
    <row r="6180" customFormat="false" ht="15" hidden="false" customHeight="false" outlineLevel="0" collapsed="false">
      <c r="A6180" s="0" t="s">
        <v>8037</v>
      </c>
      <c r="C6180" s="0" t="s">
        <v>34</v>
      </c>
      <c r="D6180" s="7" t="n">
        <v>13</v>
      </c>
      <c r="E6180" s="8" t="n">
        <v>0.473846153846154</v>
      </c>
      <c r="F6180" s="4" t="n">
        <f aca="false">D6180*E6180</f>
        <v>6.16</v>
      </c>
      <c r="G6180" s="7" t="n">
        <v>3</v>
      </c>
      <c r="H6180" s="9" t="n">
        <f aca="false">IF(G6180&gt;0,D6180/G6180,"")</f>
        <v>4.33333333333333</v>
      </c>
      <c r="I6180" s="10" t="n">
        <v>46027</v>
      </c>
      <c r="J6180" s="3" t="s">
        <v>8038</v>
      </c>
      <c r="K6180" s="10" t="n">
        <v>45267</v>
      </c>
      <c r="L6180" s="3" t="s">
        <v>19</v>
      </c>
      <c r="M6180" s="7" t="n">
        <v>50</v>
      </c>
      <c r="N6180" s="8" t="n">
        <v>0.4738</v>
      </c>
      <c r="O6180" s="4" t="n">
        <f aca="false">M6180*N6180</f>
        <v>23.69</v>
      </c>
    </row>
    <row r="6181" customFormat="false" ht="15" hidden="false" customHeight="false" outlineLevel="0" collapsed="false">
      <c r="A6181" s="0" t="s">
        <v>8039</v>
      </c>
      <c r="C6181" s="0" t="s">
        <v>31</v>
      </c>
      <c r="D6181" s="7" t="n">
        <v>30</v>
      </c>
      <c r="E6181" s="8" t="n">
        <v>0.205</v>
      </c>
      <c r="F6181" s="4" t="n">
        <f aca="false">D6181*E6181</f>
        <v>6.15</v>
      </c>
      <c r="G6181" s="7" t="n">
        <v>26</v>
      </c>
      <c r="H6181" s="9" t="n">
        <f aca="false">IF(G6181&gt;0,D6181/G6181,"")</f>
        <v>1.15384615384615</v>
      </c>
      <c r="I6181" s="10" t="n">
        <v>46169</v>
      </c>
      <c r="K6181" s="10"/>
      <c r="M6181" s="7"/>
      <c r="N6181" s="8"/>
      <c r="O6181" s="4"/>
    </row>
    <row r="6182" customFormat="false" ht="15" hidden="false" customHeight="false" outlineLevel="0" collapsed="false">
      <c r="A6182" s="0" t="s">
        <v>8040</v>
      </c>
      <c r="C6182" s="0" t="s">
        <v>38</v>
      </c>
      <c r="D6182" s="7" t="n">
        <v>12</v>
      </c>
      <c r="E6182" s="8" t="n">
        <v>0.510833333333333</v>
      </c>
      <c r="F6182" s="4" t="n">
        <f aca="false">D6182*E6182</f>
        <v>6.13</v>
      </c>
      <c r="G6182" s="7" t="n">
        <v>1</v>
      </c>
      <c r="H6182" s="9" t="n">
        <f aca="false">IF(G6182&gt;0,D6182/G6182,"")</f>
        <v>12</v>
      </c>
      <c r="I6182" s="10" t="n">
        <v>45993</v>
      </c>
      <c r="J6182" s="3" t="s">
        <v>6233</v>
      </c>
      <c r="K6182" s="10" t="n">
        <v>44221</v>
      </c>
      <c r="L6182" s="3" t="s">
        <v>465</v>
      </c>
      <c r="M6182" s="7" t="n">
        <v>100</v>
      </c>
      <c r="N6182" s="8" t="n">
        <v>0.5106</v>
      </c>
      <c r="O6182" s="4" t="n">
        <f aca="false">M6182*N6182</f>
        <v>51.06</v>
      </c>
    </row>
    <row r="6183" customFormat="false" ht="15" hidden="false" customHeight="false" outlineLevel="0" collapsed="false">
      <c r="A6183" s="0" t="s">
        <v>8041</v>
      </c>
      <c r="C6183" s="0" t="s">
        <v>31</v>
      </c>
      <c r="D6183" s="7" t="n">
        <v>515</v>
      </c>
      <c r="E6183" s="8" t="n">
        <v>0.0118834951456311</v>
      </c>
      <c r="F6183" s="4" t="n">
        <f aca="false">D6183*E6183</f>
        <v>6.12</v>
      </c>
      <c r="G6183" s="7" t="n">
        <v>180</v>
      </c>
      <c r="H6183" s="9" t="n">
        <f aca="false">IF(G6183&gt;0,D6183/G6183,"")</f>
        <v>2.86111111111111</v>
      </c>
      <c r="I6183" s="10" t="n">
        <v>46252</v>
      </c>
      <c r="K6183" s="10"/>
      <c r="M6183" s="7"/>
      <c r="N6183" s="8"/>
      <c r="O6183" s="4"/>
    </row>
    <row r="6184" customFormat="false" ht="15" hidden="false" customHeight="false" outlineLevel="0" collapsed="false">
      <c r="A6184" s="0" t="s">
        <v>8042</v>
      </c>
      <c r="C6184" s="0" t="s">
        <v>715</v>
      </c>
      <c r="D6184" s="7" t="n">
        <v>653</v>
      </c>
      <c r="E6184" s="8" t="n">
        <v>0.00935681470137825</v>
      </c>
      <c r="F6184" s="4" t="n">
        <f aca="false">D6184*E6184</f>
        <v>6.11</v>
      </c>
      <c r="G6184" s="7" t="n">
        <v>125</v>
      </c>
      <c r="H6184" s="9" t="n">
        <f aca="false">IF(G6184&gt;0,D6184/G6184,"")</f>
        <v>5.224</v>
      </c>
      <c r="I6184" s="10" t="n">
        <v>46154</v>
      </c>
      <c r="J6184" s="3" t="s">
        <v>7975</v>
      </c>
      <c r="K6184" s="10" t="n">
        <v>44487</v>
      </c>
      <c r="L6184" s="3" t="s">
        <v>19</v>
      </c>
      <c r="M6184" s="7" t="n">
        <v>1110</v>
      </c>
      <c r="N6184" s="8" t="n">
        <v>0.0095</v>
      </c>
      <c r="O6184" s="4" t="n">
        <v>10.45</v>
      </c>
    </row>
    <row r="6185" customFormat="false" ht="15" hidden="false" customHeight="false" outlineLevel="0" collapsed="false">
      <c r="A6185" s="0" t="s">
        <v>8043</v>
      </c>
      <c r="C6185" s="0" t="s">
        <v>34</v>
      </c>
      <c r="D6185" s="7" t="n">
        <v>10</v>
      </c>
      <c r="E6185" s="8" t="n">
        <v>0.61</v>
      </c>
      <c r="F6185" s="4" t="n">
        <f aca="false">D6185*E6185</f>
        <v>6.1</v>
      </c>
      <c r="G6185" s="7" t="n">
        <v>5</v>
      </c>
      <c r="H6185" s="9" t="n">
        <f aca="false">IF(G6185&gt;0,D6185/G6185,"")</f>
        <v>2</v>
      </c>
      <c r="I6185" s="10" t="n">
        <v>46279</v>
      </c>
      <c r="K6185" s="10"/>
      <c r="M6185" s="7"/>
      <c r="N6185" s="8"/>
      <c r="O6185" s="4"/>
    </row>
    <row r="6186" customFormat="false" ht="15" hidden="false" customHeight="false" outlineLevel="0" collapsed="false">
      <c r="A6186" s="0" t="s">
        <v>8044</v>
      </c>
      <c r="C6186" s="0" t="s">
        <v>41</v>
      </c>
      <c r="D6186" s="7" t="n">
        <v>54</v>
      </c>
      <c r="E6186" s="8" t="n">
        <v>0.112592592592593</v>
      </c>
      <c r="F6186" s="4" t="n">
        <f aca="false">D6186*E6186</f>
        <v>6.08</v>
      </c>
      <c r="G6186" s="7" t="n">
        <v>8</v>
      </c>
      <c r="H6186" s="9" t="n">
        <f aca="false">IF(G6186&gt;0,D6186/G6186,"")</f>
        <v>6.75</v>
      </c>
      <c r="I6186" s="10" t="n">
        <v>46254</v>
      </c>
      <c r="J6186" s="3" t="s">
        <v>7863</v>
      </c>
      <c r="K6186" s="10" t="n">
        <v>44390</v>
      </c>
      <c r="L6186" s="3" t="s">
        <v>19</v>
      </c>
      <c r="M6186" s="7" t="n">
        <v>100</v>
      </c>
      <c r="N6186" s="8" t="n">
        <v>0.1127</v>
      </c>
      <c r="O6186" s="4" t="n">
        <f aca="false">M6186*N6186</f>
        <v>11.27</v>
      </c>
    </row>
    <row r="6187" customFormat="false" ht="15" hidden="false" customHeight="false" outlineLevel="0" collapsed="false">
      <c r="A6187" s="0" t="s">
        <v>8045</v>
      </c>
      <c r="C6187" s="0" t="s">
        <v>855</v>
      </c>
      <c r="D6187" s="7" t="n">
        <v>476</v>
      </c>
      <c r="E6187" s="8" t="n">
        <v>0.0127100840336135</v>
      </c>
      <c r="F6187" s="4" t="n">
        <f aca="false">D6187*E6187</f>
        <v>6.05</v>
      </c>
      <c r="G6187" s="7" t="n">
        <v>215</v>
      </c>
      <c r="H6187" s="9" t="n">
        <f aca="false">IF(G6187&gt;0,D6187/G6187,"")</f>
        <v>2.21395348837209</v>
      </c>
      <c r="I6187" s="10" t="n">
        <v>46171</v>
      </c>
      <c r="K6187" s="10"/>
      <c r="M6187" s="7"/>
      <c r="N6187" s="8"/>
      <c r="O6187" s="4"/>
    </row>
    <row r="6188" customFormat="false" ht="15" hidden="false" customHeight="false" outlineLevel="0" collapsed="false">
      <c r="A6188" s="0" t="s">
        <v>8046</v>
      </c>
      <c r="C6188" s="0" t="s">
        <v>438</v>
      </c>
      <c r="D6188" s="7" t="n">
        <v>3</v>
      </c>
      <c r="E6188" s="8" t="n">
        <v>2.01333333333333</v>
      </c>
      <c r="F6188" s="4" t="n">
        <f aca="false">D6188*E6188</f>
        <v>6.04</v>
      </c>
      <c r="G6188" s="7" t="n">
        <v>2</v>
      </c>
      <c r="H6188" s="9" t="n">
        <f aca="false">IF(G6188&gt;0,D6188/G6188,"")</f>
        <v>1.5</v>
      </c>
      <c r="I6188" s="10" t="n">
        <v>46128</v>
      </c>
      <c r="J6188" s="3" t="s">
        <v>8047</v>
      </c>
      <c r="K6188" s="10" t="n">
        <v>45056</v>
      </c>
      <c r="L6188" s="3" t="s">
        <v>14</v>
      </c>
      <c r="M6188" s="7" t="n">
        <v>32</v>
      </c>
      <c r="N6188" s="8" t="n">
        <v>2.0128</v>
      </c>
      <c r="O6188" s="4" t="n">
        <f aca="false">M6188*N6188</f>
        <v>64.4096</v>
      </c>
    </row>
    <row r="6189" customFormat="false" ht="15" hidden="false" customHeight="false" outlineLevel="0" collapsed="false">
      <c r="A6189" s="0" t="s">
        <v>8048</v>
      </c>
      <c r="C6189" s="0" t="s">
        <v>41</v>
      </c>
      <c r="D6189" s="7" t="n">
        <v>106</v>
      </c>
      <c r="E6189" s="8" t="n">
        <v>0.0568867924528302</v>
      </c>
      <c r="F6189" s="4" t="n">
        <f aca="false">D6189*E6189</f>
        <v>6.03</v>
      </c>
      <c r="G6189" s="7" t="n">
        <v>13</v>
      </c>
      <c r="H6189" s="9" t="n">
        <f aca="false">IF(G6189&gt;0,D6189/G6189,"")</f>
        <v>8.15384615384615</v>
      </c>
      <c r="I6189" s="10" t="n">
        <v>46251</v>
      </c>
      <c r="J6189" s="3" t="s">
        <v>8049</v>
      </c>
      <c r="K6189" s="10" t="n">
        <v>44308</v>
      </c>
      <c r="L6189" s="3" t="s">
        <v>19</v>
      </c>
      <c r="M6189" s="7" t="n">
        <v>500</v>
      </c>
      <c r="N6189" s="8" t="n">
        <v>0.0569</v>
      </c>
      <c r="O6189" s="4" t="n">
        <f aca="false">M6189*N6189</f>
        <v>28.45</v>
      </c>
    </row>
    <row r="6190" customFormat="false" ht="15" hidden="false" customHeight="false" outlineLevel="0" collapsed="false">
      <c r="A6190" s="0" t="s">
        <v>8050</v>
      </c>
      <c r="C6190" s="0" t="s">
        <v>31</v>
      </c>
      <c r="D6190" s="7" t="n">
        <v>31</v>
      </c>
      <c r="E6190" s="8" t="n">
        <v>0.193548387096774</v>
      </c>
      <c r="F6190" s="4" t="n">
        <f aca="false">D6190*E6190</f>
        <v>6</v>
      </c>
      <c r="G6190" s="7" t="n">
        <v>30</v>
      </c>
      <c r="H6190" s="9" t="n">
        <f aca="false">IF(G6190&gt;0,D6190/G6190,"")</f>
        <v>1.03333333333333</v>
      </c>
      <c r="I6190" s="10" t="n">
        <v>46308</v>
      </c>
      <c r="J6190" s="3" t="s">
        <v>7929</v>
      </c>
      <c r="K6190" s="10" t="n">
        <v>45483</v>
      </c>
      <c r="L6190" s="3" t="s">
        <v>19</v>
      </c>
      <c r="M6190" s="7" t="n">
        <v>100</v>
      </c>
      <c r="N6190" s="8" t="n">
        <v>0.1936</v>
      </c>
      <c r="O6190" s="4" t="n">
        <f aca="false">M6190*N6190</f>
        <v>19.36</v>
      </c>
    </row>
    <row r="6191" customFormat="false" ht="15" hidden="false" customHeight="false" outlineLevel="0" collapsed="false">
      <c r="A6191" s="0" t="s">
        <v>8051</v>
      </c>
      <c r="C6191" s="0" t="s">
        <v>41</v>
      </c>
      <c r="D6191" s="7" t="n">
        <v>20</v>
      </c>
      <c r="E6191" s="8" t="n">
        <v>0.3</v>
      </c>
      <c r="F6191" s="4" t="n">
        <f aca="false">D6191*E6191</f>
        <v>6</v>
      </c>
      <c r="G6191" s="7" t="n">
        <v>10</v>
      </c>
      <c r="H6191" s="9" t="n">
        <f aca="false">IF(G6191&gt;0,D6191/G6191,"")</f>
        <v>2</v>
      </c>
      <c r="I6191" s="10" t="n">
        <v>46224</v>
      </c>
      <c r="J6191" s="3" t="s">
        <v>7186</v>
      </c>
      <c r="K6191" s="10" t="n">
        <v>45350</v>
      </c>
      <c r="L6191" s="3" t="s">
        <v>19</v>
      </c>
      <c r="M6191" s="7" t="n">
        <v>50</v>
      </c>
      <c r="N6191" s="8" t="n">
        <v>0.3</v>
      </c>
      <c r="O6191" s="4" t="n">
        <f aca="false">M6191*N6191</f>
        <v>15</v>
      </c>
    </row>
    <row r="6192" customFormat="false" ht="15" hidden="false" customHeight="false" outlineLevel="0" collapsed="false">
      <c r="A6192" s="0" t="s">
        <v>8052</v>
      </c>
      <c r="C6192" s="0" t="s">
        <v>38</v>
      </c>
      <c r="D6192" s="7" t="n">
        <v>190</v>
      </c>
      <c r="E6192" s="8" t="n">
        <v>0.031421052631579</v>
      </c>
      <c r="F6192" s="4" t="n">
        <f aca="false">D6192*E6192</f>
        <v>5.97</v>
      </c>
      <c r="G6192" s="7" t="n">
        <v>10</v>
      </c>
      <c r="H6192" s="9" t="n">
        <f aca="false">IF(G6192&gt;0,D6192/G6192,"")</f>
        <v>19</v>
      </c>
      <c r="I6192" s="10" t="n">
        <v>46104</v>
      </c>
      <c r="J6192" s="3" t="s">
        <v>3165</v>
      </c>
      <c r="K6192" s="10" t="n">
        <v>46094</v>
      </c>
      <c r="L6192" s="3" t="s">
        <v>14</v>
      </c>
      <c r="M6192" s="7" t="n">
        <v>200</v>
      </c>
      <c r="N6192" s="8" t="n">
        <v>0.0314</v>
      </c>
      <c r="O6192" s="4" t="n">
        <f aca="false">M6192*N6192</f>
        <v>6.28</v>
      </c>
    </row>
    <row r="6193" customFormat="false" ht="15" hidden="false" customHeight="false" outlineLevel="0" collapsed="false">
      <c r="A6193" s="0" t="s">
        <v>8053</v>
      </c>
      <c r="C6193" s="0" t="s">
        <v>118</v>
      </c>
      <c r="D6193" s="7" t="n">
        <v>18</v>
      </c>
      <c r="E6193" s="8" t="n">
        <v>0.331666666666667</v>
      </c>
      <c r="F6193" s="4" t="n">
        <f aca="false">D6193*E6193</f>
        <v>5.97</v>
      </c>
      <c r="G6193" s="7" t="n">
        <v>2</v>
      </c>
      <c r="H6193" s="9" t="n">
        <f aca="false">IF(G6193&gt;0,D6193/G6193,"")</f>
        <v>9</v>
      </c>
      <c r="I6193" s="10" t="n">
        <v>46083</v>
      </c>
      <c r="K6193" s="10"/>
      <c r="M6193" s="7"/>
      <c r="N6193" s="8"/>
      <c r="O6193" s="4"/>
    </row>
    <row r="6194" customFormat="false" ht="15" hidden="false" customHeight="false" outlineLevel="0" collapsed="false">
      <c r="A6194" s="0" t="s">
        <v>8054</v>
      </c>
      <c r="C6194" s="0" t="s">
        <v>34</v>
      </c>
      <c r="D6194" s="7" t="n">
        <v>6</v>
      </c>
      <c r="E6194" s="8" t="n">
        <v>0.993333333333333</v>
      </c>
      <c r="F6194" s="4" t="n">
        <f aca="false">D6194*E6194</f>
        <v>5.96</v>
      </c>
      <c r="G6194" s="7" t="n">
        <v>5</v>
      </c>
      <c r="H6194" s="9" t="n">
        <f aca="false">IF(G6194&gt;0,D6194/G6194,"")</f>
        <v>1.2</v>
      </c>
      <c r="I6194" s="10" t="n">
        <v>46308</v>
      </c>
      <c r="J6194" s="3" t="s">
        <v>4799</v>
      </c>
      <c r="K6194" s="10" t="n">
        <v>44694</v>
      </c>
      <c r="L6194" s="3" t="s">
        <v>19</v>
      </c>
      <c r="M6194" s="7" t="n">
        <v>25</v>
      </c>
      <c r="N6194" s="8" t="n">
        <v>0.9926</v>
      </c>
      <c r="O6194" s="4" t="n">
        <f aca="false">M6194*N6194</f>
        <v>24.815</v>
      </c>
    </row>
    <row r="6195" customFormat="false" ht="15" hidden="false" customHeight="false" outlineLevel="0" collapsed="false">
      <c r="A6195" s="0" t="s">
        <v>8055</v>
      </c>
      <c r="C6195" s="0" t="s">
        <v>31</v>
      </c>
      <c r="D6195" s="7" t="n">
        <v>2712</v>
      </c>
      <c r="E6195" s="8" t="n">
        <v>0.00219395280235988</v>
      </c>
      <c r="F6195" s="4" t="n">
        <f aca="false">D6195*E6195</f>
        <v>5.95</v>
      </c>
      <c r="G6195" s="7" t="n">
        <v>245</v>
      </c>
      <c r="H6195" s="9" t="n">
        <f aca="false">IF(G6195&gt;0,D6195/G6195,"")</f>
        <v>11.069387755102</v>
      </c>
      <c r="I6195" s="10" t="n">
        <v>46247</v>
      </c>
      <c r="K6195" s="10"/>
      <c r="M6195" s="7"/>
      <c r="N6195" s="8"/>
      <c r="O6195" s="4"/>
    </row>
    <row r="6196" customFormat="false" ht="15" hidden="false" customHeight="false" outlineLevel="0" collapsed="false">
      <c r="A6196" s="0" t="s">
        <v>8056</v>
      </c>
      <c r="C6196" s="0" t="s">
        <v>31</v>
      </c>
      <c r="D6196" s="7" t="n">
        <v>68</v>
      </c>
      <c r="E6196" s="8" t="n">
        <v>0.0875</v>
      </c>
      <c r="F6196" s="4" t="n">
        <f aca="false">D6196*E6196</f>
        <v>5.95</v>
      </c>
      <c r="G6196" s="7" t="n">
        <v>57</v>
      </c>
      <c r="H6196" s="9" t="n">
        <f aca="false">IF(G6196&gt;0,D6196/G6196,"")</f>
        <v>1.19298245614035</v>
      </c>
      <c r="I6196" s="10" t="n">
        <v>46097</v>
      </c>
      <c r="J6196" s="3" t="s">
        <v>6449</v>
      </c>
      <c r="K6196" s="10" t="n">
        <v>44341</v>
      </c>
      <c r="L6196" s="3" t="s">
        <v>19</v>
      </c>
      <c r="M6196" s="7" t="n">
        <v>242</v>
      </c>
      <c r="N6196" s="8" t="n">
        <v>0.0875</v>
      </c>
      <c r="O6196" s="4" t="n">
        <f aca="false">M6196*N6196</f>
        <v>21.175</v>
      </c>
    </row>
    <row r="6197" customFormat="false" ht="15" hidden="false" customHeight="false" outlineLevel="0" collapsed="false">
      <c r="A6197" s="0" t="s">
        <v>8057</v>
      </c>
      <c r="C6197" s="0" t="s">
        <v>741</v>
      </c>
      <c r="D6197" s="7" t="n">
        <v>32</v>
      </c>
      <c r="E6197" s="8" t="n">
        <v>0.185</v>
      </c>
      <c r="F6197" s="4" t="n">
        <f aca="false">D6197*E6197</f>
        <v>5.92</v>
      </c>
      <c r="G6197" s="7" t="n">
        <v>5</v>
      </c>
      <c r="H6197" s="9" t="n">
        <f aca="false">IF(G6197&gt;0,D6197/G6197,"")</f>
        <v>6.4</v>
      </c>
      <c r="I6197" s="10" t="n">
        <v>46014</v>
      </c>
      <c r="K6197" s="10"/>
      <c r="M6197" s="7"/>
      <c r="N6197" s="8"/>
      <c r="O6197" s="4"/>
    </row>
    <row r="6198" customFormat="false" ht="15" hidden="false" customHeight="false" outlineLevel="0" collapsed="false">
      <c r="A6198" s="0" t="s">
        <v>8058</v>
      </c>
      <c r="C6198" s="0" t="s">
        <v>31</v>
      </c>
      <c r="D6198" s="7" t="n">
        <v>563</v>
      </c>
      <c r="E6198" s="8" t="n">
        <v>0.0104795737122558</v>
      </c>
      <c r="F6198" s="4" t="n">
        <f aca="false">D6198*E6198</f>
        <v>5.9</v>
      </c>
      <c r="G6198" s="7" t="n">
        <v>134</v>
      </c>
      <c r="H6198" s="9" t="n">
        <f aca="false">IF(G6198&gt;0,D6198/G6198,"")</f>
        <v>4.20149253731343</v>
      </c>
      <c r="I6198" s="10" t="n">
        <v>46310</v>
      </c>
      <c r="J6198" s="3" t="s">
        <v>8059</v>
      </c>
      <c r="K6198" s="10" t="n">
        <v>44272</v>
      </c>
      <c r="L6198" s="3" t="s">
        <v>19</v>
      </c>
      <c r="M6198" s="7" t="n">
        <v>1000</v>
      </c>
      <c r="N6198" s="8" t="n">
        <v>0.0105</v>
      </c>
      <c r="O6198" s="4" t="n">
        <f aca="false">M6198*N6198</f>
        <v>10.5</v>
      </c>
    </row>
    <row r="6199" customFormat="false" ht="15" hidden="false" customHeight="false" outlineLevel="0" collapsed="false">
      <c r="A6199" s="0" t="s">
        <v>8060</v>
      </c>
      <c r="C6199" s="0" t="s">
        <v>31</v>
      </c>
      <c r="D6199" s="7" t="n">
        <v>521</v>
      </c>
      <c r="E6199" s="8" t="n">
        <v>0.0113051823416507</v>
      </c>
      <c r="F6199" s="4" t="n">
        <f aca="false">D6199*E6199</f>
        <v>5.89</v>
      </c>
      <c r="G6199" s="7" t="n">
        <v>353</v>
      </c>
      <c r="H6199" s="9" t="n">
        <f aca="false">IF(G6199&gt;0,D6199/G6199,"")</f>
        <v>1.47592067988669</v>
      </c>
      <c r="I6199" s="10" t="n">
        <v>46273</v>
      </c>
      <c r="J6199" s="3" t="s">
        <v>1305</v>
      </c>
      <c r="K6199" s="10" t="n">
        <v>45266</v>
      </c>
      <c r="L6199" s="3" t="s">
        <v>19</v>
      </c>
      <c r="M6199" s="7" t="n">
        <v>2500</v>
      </c>
      <c r="N6199" s="8" t="n">
        <v>0.0113</v>
      </c>
      <c r="O6199" s="4" t="n">
        <f aca="false">M6199*N6199</f>
        <v>28.25</v>
      </c>
    </row>
    <row r="6200" customFormat="false" ht="15" hidden="false" customHeight="false" outlineLevel="0" collapsed="false">
      <c r="A6200" s="0" t="s">
        <v>8061</v>
      </c>
      <c r="C6200" s="0" t="s">
        <v>715</v>
      </c>
      <c r="D6200" s="7" t="n">
        <v>202</v>
      </c>
      <c r="E6200" s="8" t="n">
        <v>0.029009900990099</v>
      </c>
      <c r="F6200" s="4" t="n">
        <f aca="false">D6200*E6200</f>
        <v>5.86</v>
      </c>
      <c r="G6200" s="7" t="n">
        <v>42</v>
      </c>
      <c r="H6200" s="9" t="n">
        <f aca="false">IF(G6200&gt;0,D6200/G6200,"")</f>
        <v>4.80952380952381</v>
      </c>
      <c r="I6200" s="10" t="n">
        <v>46147</v>
      </c>
      <c r="K6200" s="10"/>
      <c r="M6200" s="7"/>
      <c r="N6200" s="8"/>
      <c r="O6200" s="4"/>
    </row>
    <row r="6201" customFormat="false" ht="15" hidden="false" customHeight="false" outlineLevel="0" collapsed="false">
      <c r="A6201" s="0" t="s">
        <v>8062</v>
      </c>
      <c r="C6201" s="0" t="s">
        <v>31</v>
      </c>
      <c r="D6201" s="7" t="n">
        <v>272</v>
      </c>
      <c r="E6201" s="8" t="n">
        <v>0.0215441176470588</v>
      </c>
      <c r="F6201" s="4" t="n">
        <f aca="false">D6201*E6201</f>
        <v>5.86</v>
      </c>
      <c r="G6201" s="7" t="n">
        <v>243</v>
      </c>
      <c r="H6201" s="9" t="n">
        <f aca="false">IF(G6201&gt;0,D6201/G6201,"")</f>
        <v>1.11934156378601</v>
      </c>
      <c r="I6201" s="10" t="n">
        <v>46300</v>
      </c>
      <c r="J6201" s="3" t="s">
        <v>8063</v>
      </c>
      <c r="K6201" s="10" t="n">
        <v>44880</v>
      </c>
      <c r="L6201" s="3" t="s">
        <v>19</v>
      </c>
      <c r="M6201" s="7" t="n">
        <v>1000</v>
      </c>
      <c r="N6201" s="8" t="n">
        <v>0.0216</v>
      </c>
      <c r="O6201" s="4" t="n">
        <f aca="false">M6201*N6201</f>
        <v>21.6</v>
      </c>
    </row>
    <row r="6202" customFormat="false" ht="15" hidden="false" customHeight="false" outlineLevel="0" collapsed="false">
      <c r="A6202" s="0" t="s">
        <v>8064</v>
      </c>
      <c r="C6202" s="0" t="s">
        <v>41</v>
      </c>
      <c r="D6202" s="7" t="n">
        <v>37</v>
      </c>
      <c r="E6202" s="8" t="n">
        <v>0.158378378378378</v>
      </c>
      <c r="F6202" s="4" t="n">
        <f aca="false">D6202*E6202</f>
        <v>5.86</v>
      </c>
      <c r="G6202" s="7" t="n">
        <v>5</v>
      </c>
      <c r="H6202" s="9" t="n">
        <f aca="false">IF(G6202&gt;0,D6202/G6202,"")</f>
        <v>7.4</v>
      </c>
      <c r="I6202" s="10" t="n">
        <v>45993</v>
      </c>
      <c r="J6202" s="3" t="s">
        <v>5831</v>
      </c>
      <c r="K6202" s="10" t="n">
        <v>44235</v>
      </c>
      <c r="L6202" s="3" t="s">
        <v>19</v>
      </c>
      <c r="M6202" s="7" t="n">
        <v>100</v>
      </c>
      <c r="N6202" s="8" t="n">
        <v>0.1582</v>
      </c>
      <c r="O6202" s="4" t="n">
        <f aca="false">M6202*N6202</f>
        <v>15.82</v>
      </c>
    </row>
    <row r="6203" customFormat="false" ht="15" hidden="false" customHeight="false" outlineLevel="0" collapsed="false">
      <c r="A6203" s="0" t="s">
        <v>8065</v>
      </c>
      <c r="C6203" s="0" t="s">
        <v>38</v>
      </c>
      <c r="D6203" s="7" t="n">
        <v>694</v>
      </c>
      <c r="E6203" s="8" t="n">
        <v>0.00840057636887608</v>
      </c>
      <c r="F6203" s="4" t="n">
        <f aca="false">D6203*E6203</f>
        <v>5.83</v>
      </c>
      <c r="G6203" s="7" t="n">
        <v>230</v>
      </c>
      <c r="H6203" s="9" t="n">
        <f aca="false">IF(G6203&gt;0,D6203/G6203,"")</f>
        <v>3.01739130434783</v>
      </c>
      <c r="I6203" s="10" t="n">
        <v>46274</v>
      </c>
      <c r="K6203" s="10"/>
      <c r="M6203" s="7"/>
      <c r="N6203" s="8"/>
      <c r="O6203" s="4"/>
    </row>
    <row r="6204" customFormat="false" ht="15" hidden="false" customHeight="false" outlineLevel="0" collapsed="false">
      <c r="A6204" s="0" t="s">
        <v>8066</v>
      </c>
      <c r="C6204" s="0" t="s">
        <v>1169</v>
      </c>
      <c r="D6204" s="7" t="n">
        <v>5</v>
      </c>
      <c r="E6204" s="8" t="n">
        <v>1.164</v>
      </c>
      <c r="F6204" s="4" t="n">
        <f aca="false">D6204*E6204</f>
        <v>5.82</v>
      </c>
      <c r="G6204" s="7" t="n">
        <v>1</v>
      </c>
      <c r="H6204" s="9" t="n">
        <f aca="false">IF(G6204&gt;0,D6204/G6204,"")</f>
        <v>5</v>
      </c>
      <c r="I6204" s="10" t="n">
        <v>46308</v>
      </c>
      <c r="J6204" s="3" t="s">
        <v>3397</v>
      </c>
      <c r="K6204" s="10" t="n">
        <v>45434</v>
      </c>
      <c r="L6204" s="3" t="s">
        <v>19</v>
      </c>
      <c r="M6204" s="7" t="n">
        <v>25</v>
      </c>
      <c r="N6204" s="8" t="n">
        <v>1.1637</v>
      </c>
      <c r="O6204" s="4" t="n">
        <f aca="false">M6204*N6204</f>
        <v>29.0925</v>
      </c>
    </row>
    <row r="6205" customFormat="false" ht="15" hidden="false" customHeight="false" outlineLevel="0" collapsed="false">
      <c r="A6205" s="0" t="s">
        <v>8067</v>
      </c>
      <c r="C6205" s="0" t="s">
        <v>31</v>
      </c>
      <c r="D6205" s="7" t="n">
        <v>431</v>
      </c>
      <c r="E6205" s="8" t="n">
        <v>0.0134570765661253</v>
      </c>
      <c r="F6205" s="4" t="n">
        <f aca="false">D6205*E6205</f>
        <v>5.8</v>
      </c>
      <c r="G6205" s="7" t="n">
        <v>20</v>
      </c>
      <c r="H6205" s="9" t="n">
        <f aca="false">IF(G6205&gt;0,D6205/G6205,"")</f>
        <v>21.55</v>
      </c>
      <c r="I6205" s="10" t="n">
        <v>46052</v>
      </c>
      <c r="K6205" s="10"/>
      <c r="M6205" s="7"/>
      <c r="N6205" s="8"/>
      <c r="O6205" s="4"/>
    </row>
    <row r="6206" customFormat="false" ht="15" hidden="false" customHeight="false" outlineLevel="0" collapsed="false">
      <c r="A6206" s="0" t="s">
        <v>8068</v>
      </c>
      <c r="C6206" s="0" t="s">
        <v>38</v>
      </c>
      <c r="D6206" s="7" t="n">
        <v>774</v>
      </c>
      <c r="E6206" s="8" t="n">
        <v>0.00749354005167959</v>
      </c>
      <c r="F6206" s="4" t="n">
        <f aca="false">D6206*E6206</f>
        <v>5.8</v>
      </c>
      <c r="G6206" s="7" t="n">
        <v>150</v>
      </c>
      <c r="H6206" s="9" t="n">
        <f aca="false">IF(G6206&gt;0,D6206/G6206,"")</f>
        <v>5.16</v>
      </c>
      <c r="I6206" s="10" t="n">
        <v>46274</v>
      </c>
      <c r="K6206" s="10"/>
      <c r="M6206" s="7"/>
      <c r="N6206" s="8"/>
      <c r="O6206" s="4"/>
    </row>
    <row r="6207" customFormat="false" ht="15" hidden="false" customHeight="false" outlineLevel="0" collapsed="false">
      <c r="A6207" s="0" t="s">
        <v>8069</v>
      </c>
      <c r="C6207" s="0" t="s">
        <v>31</v>
      </c>
      <c r="D6207" s="7" t="n">
        <v>65</v>
      </c>
      <c r="E6207" s="8" t="n">
        <v>0.0892307692307692</v>
      </c>
      <c r="F6207" s="4" t="n">
        <f aca="false">D6207*E6207</f>
        <v>5.8</v>
      </c>
      <c r="G6207" s="7" t="n">
        <v>43</v>
      </c>
      <c r="H6207" s="9" t="n">
        <f aca="false">IF(G6207&gt;0,D6207/G6207,"")</f>
        <v>1.51162790697674</v>
      </c>
      <c r="I6207" s="10" t="n">
        <v>46302</v>
      </c>
      <c r="J6207" s="3" t="s">
        <v>2099</v>
      </c>
      <c r="K6207" s="10" t="n">
        <v>45958</v>
      </c>
      <c r="L6207" s="3" t="s">
        <v>16</v>
      </c>
      <c r="M6207" s="7" t="n">
        <v>108</v>
      </c>
      <c r="N6207" s="8" t="n">
        <v>0.0893</v>
      </c>
      <c r="O6207" s="4" t="n">
        <f aca="false">M6207*N6207</f>
        <v>9.6444</v>
      </c>
    </row>
    <row r="6208" customFormat="false" ht="15" hidden="false" customHeight="false" outlineLevel="0" collapsed="false">
      <c r="A6208" s="0" t="s">
        <v>8070</v>
      </c>
      <c r="C6208" s="0" t="s">
        <v>765</v>
      </c>
      <c r="D6208" s="7" t="n">
        <v>49</v>
      </c>
      <c r="E6208" s="8" t="n">
        <v>0.117959183673469</v>
      </c>
      <c r="F6208" s="4" t="n">
        <f aca="false">D6208*E6208</f>
        <v>5.78</v>
      </c>
      <c r="G6208" s="7" t="n">
        <v>18</v>
      </c>
      <c r="H6208" s="9" t="n">
        <f aca="false">IF(G6208&gt;0,D6208/G6208,"")</f>
        <v>2.72222222222222</v>
      </c>
      <c r="I6208" s="10" t="n">
        <v>46197</v>
      </c>
      <c r="K6208" s="10"/>
      <c r="M6208" s="7"/>
      <c r="N6208" s="8"/>
      <c r="O6208" s="4"/>
    </row>
    <row r="6209" customFormat="false" ht="15" hidden="false" customHeight="false" outlineLevel="0" collapsed="false">
      <c r="A6209" s="0" t="s">
        <v>8071</v>
      </c>
      <c r="C6209" s="0" t="s">
        <v>118</v>
      </c>
      <c r="D6209" s="7" t="n">
        <v>29</v>
      </c>
      <c r="E6209" s="8" t="n">
        <v>0.198620689655172</v>
      </c>
      <c r="F6209" s="4" t="n">
        <f aca="false">D6209*E6209</f>
        <v>5.76</v>
      </c>
      <c r="G6209" s="7" t="n">
        <v>22</v>
      </c>
      <c r="H6209" s="9" t="n">
        <f aca="false">IF(G6209&gt;0,D6209/G6209,"")</f>
        <v>1.31818181818182</v>
      </c>
      <c r="I6209" s="10" t="n">
        <v>46185</v>
      </c>
      <c r="J6209" s="3" t="s">
        <v>188</v>
      </c>
      <c r="K6209" s="10" t="n">
        <v>45124</v>
      </c>
      <c r="L6209" s="3" t="s">
        <v>19</v>
      </c>
      <c r="M6209" s="7" t="n">
        <v>100</v>
      </c>
      <c r="N6209" s="8" t="n">
        <v>0.1988</v>
      </c>
      <c r="O6209" s="4" t="n">
        <f aca="false">M6209*N6209</f>
        <v>19.88</v>
      </c>
    </row>
    <row r="6210" customFormat="false" ht="15" hidden="false" customHeight="false" outlineLevel="0" collapsed="false">
      <c r="A6210" s="0" t="s">
        <v>8072</v>
      </c>
      <c r="C6210" s="0" t="s">
        <v>37</v>
      </c>
      <c r="D6210" s="7" t="n">
        <v>65</v>
      </c>
      <c r="E6210" s="8" t="n">
        <v>0.0886153846153846</v>
      </c>
      <c r="F6210" s="4" t="n">
        <f aca="false">D6210*E6210</f>
        <v>5.76</v>
      </c>
      <c r="G6210" s="7" t="n">
        <v>10</v>
      </c>
      <c r="H6210" s="9" t="n">
        <f aca="false">IF(G6210&gt;0,D6210/G6210,"")</f>
        <v>6.5</v>
      </c>
      <c r="I6210" s="10" t="n">
        <v>46255</v>
      </c>
      <c r="J6210" s="3" t="s">
        <v>341</v>
      </c>
      <c r="K6210" s="10" t="n">
        <v>46078</v>
      </c>
      <c r="L6210" s="3" t="s">
        <v>15</v>
      </c>
      <c r="M6210" s="7" t="n">
        <v>75</v>
      </c>
      <c r="N6210" s="8" t="n">
        <v>0.08867</v>
      </c>
      <c r="O6210" s="4" t="n">
        <f aca="false">M6210*N6210</f>
        <v>6.65025</v>
      </c>
    </row>
    <row r="6211" customFormat="false" ht="15" hidden="false" customHeight="false" outlineLevel="0" collapsed="false">
      <c r="A6211" s="0" t="s">
        <v>8073</v>
      </c>
      <c r="C6211" s="0" t="s">
        <v>31</v>
      </c>
      <c r="D6211" s="7" t="n">
        <v>105</v>
      </c>
      <c r="E6211" s="8" t="n">
        <v>0.0546666666666667</v>
      </c>
      <c r="F6211" s="4" t="n">
        <f aca="false">D6211*E6211</f>
        <v>5.74</v>
      </c>
      <c r="G6211" s="7" t="n">
        <v>96</v>
      </c>
      <c r="H6211" s="9" t="n">
        <f aca="false">IF(G6211&gt;0,D6211/G6211,"")</f>
        <v>1.09375</v>
      </c>
      <c r="I6211" s="10" t="n">
        <v>46294</v>
      </c>
      <c r="K6211" s="10"/>
      <c r="M6211" s="7"/>
      <c r="N6211" s="8"/>
      <c r="O6211" s="4"/>
    </row>
    <row r="6212" customFormat="false" ht="15" hidden="false" customHeight="false" outlineLevel="0" collapsed="false">
      <c r="A6212" s="0" t="s">
        <v>8074</v>
      </c>
      <c r="C6212" s="0" t="s">
        <v>855</v>
      </c>
      <c r="D6212" s="7" t="n">
        <v>53</v>
      </c>
      <c r="E6212" s="8" t="n">
        <v>0.108301886792453</v>
      </c>
      <c r="F6212" s="4" t="n">
        <f aca="false">D6212*E6212</f>
        <v>5.74</v>
      </c>
      <c r="G6212" s="7" t="n">
        <v>20</v>
      </c>
      <c r="H6212" s="9" t="n">
        <f aca="false">IF(G6212&gt;0,D6212/G6212,"")</f>
        <v>2.65</v>
      </c>
      <c r="I6212" s="10" t="n">
        <v>46143</v>
      </c>
      <c r="K6212" s="10"/>
      <c r="M6212" s="7"/>
      <c r="N6212" s="8"/>
      <c r="O6212" s="4"/>
    </row>
    <row r="6213" customFormat="false" ht="15" hidden="false" customHeight="false" outlineLevel="0" collapsed="false">
      <c r="A6213" s="0" t="s">
        <v>8075</v>
      </c>
      <c r="C6213" s="0" t="s">
        <v>1169</v>
      </c>
      <c r="D6213" s="7" t="n">
        <v>7</v>
      </c>
      <c r="E6213" s="8" t="n">
        <v>0.817142857142857</v>
      </c>
      <c r="F6213" s="4" t="n">
        <f aca="false">D6213*E6213</f>
        <v>5.72</v>
      </c>
      <c r="G6213" s="7" t="n">
        <v>2</v>
      </c>
      <c r="H6213" s="9" t="n">
        <f aca="false">IF(G6213&gt;0,D6213/G6213,"")</f>
        <v>3.5</v>
      </c>
      <c r="I6213" s="10" t="n">
        <v>46083</v>
      </c>
      <c r="K6213" s="10"/>
      <c r="M6213" s="7"/>
      <c r="N6213" s="8"/>
      <c r="O6213" s="4"/>
    </row>
    <row r="6214" customFormat="false" ht="15" hidden="false" customHeight="false" outlineLevel="0" collapsed="false">
      <c r="A6214" s="0" t="s">
        <v>8076</v>
      </c>
      <c r="C6214" s="0" t="s">
        <v>41</v>
      </c>
      <c r="D6214" s="7" t="n">
        <v>289</v>
      </c>
      <c r="E6214" s="8" t="n">
        <v>0.0197923875432526</v>
      </c>
      <c r="F6214" s="4" t="n">
        <f aca="false">D6214*E6214</f>
        <v>5.72</v>
      </c>
      <c r="G6214" s="7" t="n">
        <v>150</v>
      </c>
      <c r="H6214" s="9" t="n">
        <f aca="false">IF(G6214&gt;0,D6214/G6214,"")</f>
        <v>1.92666666666667</v>
      </c>
      <c r="I6214" s="10" t="n">
        <v>46224</v>
      </c>
      <c r="J6214" s="3" t="s">
        <v>2648</v>
      </c>
      <c r="K6214" s="10" t="n">
        <v>45218</v>
      </c>
      <c r="L6214" s="3" t="s">
        <v>15</v>
      </c>
      <c r="M6214" s="7" t="n">
        <v>500</v>
      </c>
      <c r="N6214" s="8" t="n">
        <v>0.0198</v>
      </c>
      <c r="O6214" s="4" t="n">
        <f aca="false">M6214*N6214</f>
        <v>9.9</v>
      </c>
    </row>
    <row r="6215" customFormat="false" ht="15" hidden="false" customHeight="false" outlineLevel="0" collapsed="false">
      <c r="A6215" s="0" t="s">
        <v>8077</v>
      </c>
      <c r="D6215" s="7" t="n">
        <v>2</v>
      </c>
      <c r="E6215" s="8" t="n">
        <v>2.855</v>
      </c>
      <c r="F6215" s="4" t="n">
        <f aca="false">D6215*E6215</f>
        <v>5.71</v>
      </c>
      <c r="G6215" s="7" t="n">
        <v>1</v>
      </c>
      <c r="H6215" s="9" t="n">
        <f aca="false">IF(G6215&gt;0,D6215/G6215,"")</f>
        <v>2</v>
      </c>
      <c r="I6215" s="10" t="n">
        <v>46269</v>
      </c>
      <c r="J6215" s="3" t="s">
        <v>1456</v>
      </c>
      <c r="K6215" s="10" t="n">
        <v>44832</v>
      </c>
      <c r="L6215" s="3" t="s">
        <v>14</v>
      </c>
      <c r="M6215" s="7" t="n">
        <v>20</v>
      </c>
      <c r="N6215" s="8" t="n">
        <v>2.8575</v>
      </c>
      <c r="O6215" s="4" t="n">
        <f aca="false">M6215*N6215</f>
        <v>57.15</v>
      </c>
    </row>
    <row r="6216" customFormat="false" ht="15" hidden="false" customHeight="false" outlineLevel="0" collapsed="false">
      <c r="A6216" s="0" t="s">
        <v>8078</v>
      </c>
      <c r="C6216" s="0" t="s">
        <v>31</v>
      </c>
      <c r="D6216" s="7" t="n">
        <v>399</v>
      </c>
      <c r="E6216" s="8" t="n">
        <v>0.0142857142857143</v>
      </c>
      <c r="F6216" s="4" t="n">
        <f aca="false">D6216*E6216</f>
        <v>5.7</v>
      </c>
      <c r="G6216" s="7" t="n">
        <v>6</v>
      </c>
      <c r="H6216" s="9" t="n">
        <f aca="false">IF(G6216&gt;0,D6216/G6216,"")</f>
        <v>66.5</v>
      </c>
      <c r="I6216" s="10" t="n">
        <v>46246</v>
      </c>
      <c r="K6216" s="10"/>
      <c r="M6216" s="7"/>
      <c r="N6216" s="8"/>
      <c r="O6216" s="4"/>
    </row>
    <row r="6217" customFormat="false" ht="15" hidden="false" customHeight="false" outlineLevel="0" collapsed="false">
      <c r="A6217" s="0" t="s">
        <v>8079</v>
      </c>
      <c r="C6217" s="0" t="s">
        <v>1039</v>
      </c>
      <c r="D6217" s="7" t="n">
        <v>465</v>
      </c>
      <c r="E6217" s="8" t="n">
        <v>0.0121935483870968</v>
      </c>
      <c r="F6217" s="4" t="n">
        <f aca="false">D6217*E6217</f>
        <v>5.67</v>
      </c>
      <c r="G6217" s="7" t="n">
        <v>170</v>
      </c>
      <c r="H6217" s="9" t="n">
        <f aca="false">IF(G6217&gt;0,D6217/G6217,"")</f>
        <v>2.73529411764706</v>
      </c>
      <c r="I6217" s="10" t="n">
        <v>46273</v>
      </c>
      <c r="J6217" s="3" t="s">
        <v>7345</v>
      </c>
      <c r="K6217" s="10" t="n">
        <v>44418</v>
      </c>
      <c r="L6217" s="3" t="s">
        <v>19</v>
      </c>
      <c r="M6217" s="7" t="n">
        <v>1800</v>
      </c>
      <c r="N6217" s="8" t="n">
        <v>0.0122</v>
      </c>
      <c r="O6217" s="4" t="n">
        <f aca="false">M6217*N6217</f>
        <v>21.96</v>
      </c>
    </row>
    <row r="6218" customFormat="false" ht="15" hidden="false" customHeight="false" outlineLevel="0" collapsed="false">
      <c r="A6218" s="0" t="s">
        <v>8080</v>
      </c>
      <c r="C6218" s="0" t="s">
        <v>35</v>
      </c>
      <c r="D6218" s="7" t="n">
        <v>2</v>
      </c>
      <c r="E6218" s="8" t="n">
        <v>2.825</v>
      </c>
      <c r="F6218" s="4" t="n">
        <f aca="false">D6218*E6218</f>
        <v>5.65</v>
      </c>
      <c r="G6218" s="7" t="n">
        <v>2</v>
      </c>
      <c r="H6218" s="9" t="n">
        <f aca="false">IF(G6218&gt;0,D6218/G6218,"")</f>
        <v>1</v>
      </c>
      <c r="I6218" s="10" t="n">
        <v>46066</v>
      </c>
      <c r="K6218" s="10"/>
      <c r="M6218" s="7"/>
      <c r="N6218" s="8"/>
      <c r="O6218" s="4"/>
    </row>
    <row r="6219" customFormat="false" ht="15" hidden="false" customHeight="false" outlineLevel="0" collapsed="false">
      <c r="A6219" s="0" t="s">
        <v>8081</v>
      </c>
      <c r="C6219" s="0" t="s">
        <v>34</v>
      </c>
      <c r="D6219" s="7" t="n">
        <v>86</v>
      </c>
      <c r="E6219" s="8" t="n">
        <v>0.0655813953488372</v>
      </c>
      <c r="F6219" s="4" t="n">
        <f aca="false">D6219*E6219</f>
        <v>5.64</v>
      </c>
      <c r="G6219" s="7" t="n">
        <v>5</v>
      </c>
      <c r="H6219" s="9" t="n">
        <f aca="false">IF(G6219&gt;0,D6219/G6219,"")</f>
        <v>17.2</v>
      </c>
      <c r="I6219" s="10" t="n">
        <v>46135</v>
      </c>
      <c r="K6219" s="10"/>
      <c r="M6219" s="7"/>
      <c r="N6219" s="8"/>
      <c r="O6219" s="4"/>
    </row>
    <row r="6220" customFormat="false" ht="15" hidden="false" customHeight="false" outlineLevel="0" collapsed="false">
      <c r="A6220" s="0" t="s">
        <v>8082</v>
      </c>
      <c r="C6220" s="0" t="s">
        <v>1039</v>
      </c>
      <c r="D6220" s="7" t="n">
        <v>52</v>
      </c>
      <c r="E6220" s="8" t="n">
        <v>0.108461538461539</v>
      </c>
      <c r="F6220" s="4" t="n">
        <f aca="false">D6220*E6220</f>
        <v>5.64</v>
      </c>
      <c r="G6220" s="7" t="n">
        <v>7</v>
      </c>
      <c r="H6220" s="9" t="n">
        <f aca="false">IF(G6220&gt;0,D6220/G6220,"")</f>
        <v>7.42857142857143</v>
      </c>
      <c r="I6220" s="10" t="n">
        <v>46093</v>
      </c>
      <c r="J6220" s="3" t="s">
        <v>5652</v>
      </c>
      <c r="K6220" s="10" t="n">
        <v>44256</v>
      </c>
      <c r="L6220" s="3" t="s">
        <v>19</v>
      </c>
      <c r="M6220" s="7" t="n">
        <v>100</v>
      </c>
      <c r="N6220" s="8" t="n">
        <v>0.1084</v>
      </c>
      <c r="O6220" s="4" t="n">
        <f aca="false">M6220*N6220</f>
        <v>10.84</v>
      </c>
    </row>
    <row r="6221" customFormat="false" ht="15" hidden="false" customHeight="false" outlineLevel="0" collapsed="false">
      <c r="A6221" s="0" t="s">
        <v>8083</v>
      </c>
      <c r="C6221" s="0" t="s">
        <v>1169</v>
      </c>
      <c r="D6221" s="7" t="n">
        <v>16</v>
      </c>
      <c r="E6221" s="8" t="n">
        <v>0.350625</v>
      </c>
      <c r="F6221" s="4" t="n">
        <f aca="false">D6221*E6221</f>
        <v>5.61</v>
      </c>
      <c r="G6221" s="7" t="n">
        <v>15</v>
      </c>
      <c r="H6221" s="9" t="n">
        <f aca="false">IF(G6221&gt;0,D6221/G6221,"")</f>
        <v>1.06666666666667</v>
      </c>
      <c r="I6221" s="10" t="n">
        <v>46294</v>
      </c>
      <c r="J6221" s="3" t="s">
        <v>8084</v>
      </c>
      <c r="K6221" s="10" t="n">
        <v>46310</v>
      </c>
      <c r="L6221" s="3" t="s">
        <v>21</v>
      </c>
      <c r="M6221" s="7" t="n">
        <v>1700</v>
      </c>
      <c r="N6221" s="8" t="n">
        <v>0.06</v>
      </c>
      <c r="O6221" s="4" t="n">
        <f aca="false">M6221*N6221</f>
        <v>102</v>
      </c>
    </row>
    <row r="6222" customFormat="false" ht="15" hidden="false" customHeight="false" outlineLevel="0" collapsed="false">
      <c r="A6222" s="0" t="s">
        <v>8085</v>
      </c>
      <c r="C6222" s="0" t="s">
        <v>765</v>
      </c>
      <c r="D6222" s="7" t="n">
        <v>24</v>
      </c>
      <c r="E6222" s="8" t="n">
        <v>0.232916666666667</v>
      </c>
      <c r="F6222" s="4" t="n">
        <f aca="false">D6222*E6222</f>
        <v>5.59</v>
      </c>
      <c r="G6222" s="7" t="n">
        <v>4</v>
      </c>
      <c r="H6222" s="9" t="n">
        <f aca="false">IF(G6222&gt;0,D6222/G6222,"")</f>
        <v>6</v>
      </c>
      <c r="I6222" s="10" t="n">
        <v>45985</v>
      </c>
      <c r="K6222" s="10"/>
      <c r="M6222" s="7"/>
      <c r="N6222" s="8"/>
      <c r="O6222" s="4"/>
    </row>
    <row r="6223" customFormat="false" ht="15" hidden="false" customHeight="false" outlineLevel="0" collapsed="false">
      <c r="A6223" s="0" t="s">
        <v>8086</v>
      </c>
      <c r="C6223" s="0" t="s">
        <v>5255</v>
      </c>
      <c r="D6223" s="7" t="n">
        <v>5</v>
      </c>
      <c r="E6223" s="8" t="n">
        <v>1.114</v>
      </c>
      <c r="F6223" s="4" t="n">
        <f aca="false">D6223*E6223</f>
        <v>5.57</v>
      </c>
      <c r="G6223" s="7" t="n">
        <v>2</v>
      </c>
      <c r="H6223" s="9" t="n">
        <f aca="false">IF(G6223&gt;0,D6223/G6223,"")</f>
        <v>2.5</v>
      </c>
      <c r="I6223" s="10" t="n">
        <v>46234</v>
      </c>
      <c r="K6223" s="10"/>
      <c r="M6223" s="7"/>
      <c r="N6223" s="8"/>
      <c r="O6223" s="4"/>
    </row>
    <row r="6224" customFormat="false" ht="15" hidden="false" customHeight="false" outlineLevel="0" collapsed="false">
      <c r="A6224" s="0" t="s">
        <v>8087</v>
      </c>
      <c r="C6224" s="0" t="s">
        <v>31</v>
      </c>
      <c r="D6224" s="7" t="n">
        <v>134</v>
      </c>
      <c r="E6224" s="8" t="n">
        <v>0.0411940298507463</v>
      </c>
      <c r="F6224" s="4" t="n">
        <f aca="false">D6224*E6224</f>
        <v>5.52</v>
      </c>
      <c r="G6224" s="7" t="n">
        <v>20</v>
      </c>
      <c r="H6224" s="9" t="n">
        <f aca="false">IF(G6224&gt;0,D6224/G6224,"")</f>
        <v>6.7</v>
      </c>
      <c r="I6224" s="10" t="n">
        <v>45974</v>
      </c>
      <c r="J6224" s="3" t="s">
        <v>7345</v>
      </c>
      <c r="K6224" s="10" t="n">
        <v>44418</v>
      </c>
      <c r="L6224" s="3" t="s">
        <v>19</v>
      </c>
      <c r="M6224" s="7" t="n">
        <v>500</v>
      </c>
      <c r="N6224" s="8" t="n">
        <v>0.0411</v>
      </c>
      <c r="O6224" s="4" t="n">
        <f aca="false">M6224*N6224</f>
        <v>20.55</v>
      </c>
    </row>
    <row r="6225" customFormat="false" ht="15" hidden="false" customHeight="false" outlineLevel="0" collapsed="false">
      <c r="A6225" s="0" t="s">
        <v>8088</v>
      </c>
      <c r="D6225" s="7" t="n">
        <v>23</v>
      </c>
      <c r="E6225" s="8" t="n">
        <v>0.24</v>
      </c>
      <c r="F6225" s="4" t="n">
        <f aca="false">D6225*E6225</f>
        <v>5.52</v>
      </c>
      <c r="G6225" s="7" t="n">
        <v>2</v>
      </c>
      <c r="H6225" s="9" t="n">
        <f aca="false">IF(G6225&gt;0,D6225/G6225,"")</f>
        <v>11.5</v>
      </c>
      <c r="I6225" s="10" t="n">
        <v>46311</v>
      </c>
      <c r="J6225" s="3" t="s">
        <v>8089</v>
      </c>
      <c r="K6225" s="10" t="n">
        <v>46304</v>
      </c>
      <c r="L6225" s="3" t="s">
        <v>4365</v>
      </c>
      <c r="M6225" s="7" t="n">
        <v>25</v>
      </c>
      <c r="N6225" s="8" t="n">
        <v>0.24</v>
      </c>
      <c r="O6225" s="4" t="n">
        <f aca="false">M6225*N6225</f>
        <v>6</v>
      </c>
    </row>
    <row r="6226" customFormat="false" ht="15" hidden="false" customHeight="false" outlineLevel="0" collapsed="false">
      <c r="A6226" s="0" t="s">
        <v>8090</v>
      </c>
      <c r="C6226" s="0" t="s">
        <v>40</v>
      </c>
      <c r="D6226" s="7" t="n">
        <v>5</v>
      </c>
      <c r="E6226" s="8" t="n">
        <v>1.102</v>
      </c>
      <c r="F6226" s="4" t="n">
        <f aca="false">D6226*E6226</f>
        <v>5.51</v>
      </c>
      <c r="G6226" s="7" t="n">
        <v>1</v>
      </c>
      <c r="H6226" s="9" t="n">
        <f aca="false">IF(G6226&gt;0,D6226/G6226,"")</f>
        <v>5</v>
      </c>
      <c r="I6226" s="10" t="n">
        <v>46192</v>
      </c>
      <c r="J6226" s="3" t="s">
        <v>8091</v>
      </c>
      <c r="K6226" s="10" t="n">
        <v>44253</v>
      </c>
      <c r="L6226" s="3" t="s">
        <v>18</v>
      </c>
      <c r="M6226" s="7" t="n">
        <v>31</v>
      </c>
      <c r="N6226" s="8" t="n">
        <v>1.1025</v>
      </c>
      <c r="O6226" s="4" t="n">
        <f aca="false">M6226*N6226</f>
        <v>34.1775</v>
      </c>
    </row>
    <row r="6227" customFormat="false" ht="15" hidden="false" customHeight="false" outlineLevel="0" collapsed="false">
      <c r="A6227" s="0" t="s">
        <v>8092</v>
      </c>
      <c r="C6227" s="0" t="s">
        <v>34</v>
      </c>
      <c r="D6227" s="7" t="n">
        <v>36</v>
      </c>
      <c r="E6227" s="8" t="n">
        <v>0.151944444444444</v>
      </c>
      <c r="F6227" s="4" t="n">
        <f aca="false">D6227*E6227</f>
        <v>5.47</v>
      </c>
      <c r="G6227" s="7" t="n">
        <v>20</v>
      </c>
      <c r="H6227" s="9" t="n">
        <f aca="false">IF(G6227&gt;0,D6227/G6227,"")</f>
        <v>1.8</v>
      </c>
      <c r="I6227" s="10" t="n">
        <v>46276</v>
      </c>
      <c r="J6227" s="3" t="s">
        <v>6520</v>
      </c>
      <c r="K6227" s="10" t="n">
        <v>44630</v>
      </c>
      <c r="L6227" s="3" t="s">
        <v>19</v>
      </c>
      <c r="M6227" s="7" t="n">
        <v>101</v>
      </c>
      <c r="N6227" s="8" t="n">
        <v>0.1563</v>
      </c>
      <c r="O6227" s="4" t="n">
        <v>15.63</v>
      </c>
    </row>
    <row r="6228" customFormat="false" ht="15" hidden="false" customHeight="false" outlineLevel="0" collapsed="false">
      <c r="A6228" s="0" t="s">
        <v>8093</v>
      </c>
      <c r="C6228" s="0" t="s">
        <v>36</v>
      </c>
      <c r="D6228" s="7" t="n">
        <v>9</v>
      </c>
      <c r="E6228" s="8" t="n">
        <v>0.601111111111111</v>
      </c>
      <c r="F6228" s="4" t="n">
        <f aca="false">D6228*E6228</f>
        <v>5.41</v>
      </c>
      <c r="G6228" s="7" t="n">
        <v>5</v>
      </c>
      <c r="H6228" s="9" t="n">
        <f aca="false">IF(G6228&gt;0,D6228/G6228,"")</f>
        <v>1.8</v>
      </c>
      <c r="I6228" s="10" t="n">
        <v>46253</v>
      </c>
      <c r="K6228" s="10"/>
      <c r="M6228" s="7"/>
      <c r="N6228" s="8"/>
      <c r="O6228" s="4"/>
    </row>
    <row r="6229" customFormat="false" ht="15" hidden="false" customHeight="false" outlineLevel="0" collapsed="false">
      <c r="A6229" s="0" t="s">
        <v>8094</v>
      </c>
      <c r="C6229" s="0" t="s">
        <v>765</v>
      </c>
      <c r="D6229" s="7" t="n">
        <v>50</v>
      </c>
      <c r="E6229" s="8" t="n">
        <v>0.108</v>
      </c>
      <c r="F6229" s="4" t="n">
        <f aca="false">D6229*E6229</f>
        <v>5.4</v>
      </c>
      <c r="G6229" s="7" t="n">
        <v>28</v>
      </c>
      <c r="H6229" s="9" t="n">
        <f aca="false">IF(G6229&gt;0,D6229/G6229,"")</f>
        <v>1.78571428571429</v>
      </c>
      <c r="I6229" s="10" t="n">
        <v>46218</v>
      </c>
      <c r="J6229" s="3" t="s">
        <v>8095</v>
      </c>
      <c r="K6229" s="10" t="n">
        <v>45520</v>
      </c>
      <c r="L6229" s="3" t="s">
        <v>14</v>
      </c>
      <c r="M6229" s="7" t="n">
        <v>100</v>
      </c>
      <c r="N6229" s="8" t="n">
        <v>0.108</v>
      </c>
      <c r="O6229" s="4" t="n">
        <f aca="false">M6229*N6229</f>
        <v>10.8</v>
      </c>
    </row>
    <row r="6230" customFormat="false" ht="15" hidden="false" customHeight="false" outlineLevel="0" collapsed="false">
      <c r="A6230" s="0" t="s">
        <v>8096</v>
      </c>
      <c r="C6230" s="0" t="s">
        <v>34</v>
      </c>
      <c r="D6230" s="7" t="n">
        <v>184</v>
      </c>
      <c r="E6230" s="8" t="n">
        <v>0.0292934782608696</v>
      </c>
      <c r="F6230" s="4" t="n">
        <f aca="false">D6230*E6230</f>
        <v>5.39</v>
      </c>
      <c r="G6230" s="7" t="n">
        <v>5</v>
      </c>
      <c r="H6230" s="9" t="n">
        <f aca="false">IF(G6230&gt;0,D6230/G6230,"")</f>
        <v>36.8</v>
      </c>
      <c r="I6230" s="10" t="n">
        <v>45971</v>
      </c>
      <c r="K6230" s="10"/>
      <c r="M6230" s="7"/>
      <c r="N6230" s="8"/>
      <c r="O6230" s="4"/>
    </row>
    <row r="6231" customFormat="false" ht="15" hidden="false" customHeight="false" outlineLevel="0" collapsed="false">
      <c r="A6231" s="0" t="s">
        <v>8097</v>
      </c>
      <c r="C6231" s="0" t="s">
        <v>1039</v>
      </c>
      <c r="D6231" s="7" t="n">
        <v>415</v>
      </c>
      <c r="E6231" s="8" t="n">
        <v>0.0129879518072289</v>
      </c>
      <c r="F6231" s="4" t="n">
        <f aca="false">D6231*E6231</f>
        <v>5.39</v>
      </c>
      <c r="G6231" s="7" t="n">
        <v>345</v>
      </c>
      <c r="H6231" s="9" t="n">
        <f aca="false">IF(G6231&gt;0,D6231/G6231,"")</f>
        <v>1.20289855072464</v>
      </c>
      <c r="I6231" s="10" t="n">
        <v>46174</v>
      </c>
      <c r="K6231" s="10"/>
      <c r="M6231" s="7"/>
      <c r="N6231" s="8"/>
      <c r="O6231" s="4"/>
    </row>
    <row r="6232" customFormat="false" ht="15" hidden="false" customHeight="false" outlineLevel="0" collapsed="false">
      <c r="A6232" s="0" t="s">
        <v>8098</v>
      </c>
      <c r="D6232" s="7" t="n">
        <v>2</v>
      </c>
      <c r="E6232" s="8" t="n">
        <v>2.695</v>
      </c>
      <c r="F6232" s="4" t="n">
        <f aca="false">D6232*E6232</f>
        <v>5.39</v>
      </c>
      <c r="G6232" s="7" t="n">
        <v>2</v>
      </c>
      <c r="H6232" s="9" t="n">
        <f aca="false">IF(G6232&gt;0,D6232/G6232,"")</f>
        <v>1</v>
      </c>
      <c r="I6232" s="10" t="n">
        <v>46231</v>
      </c>
      <c r="K6232" s="10"/>
      <c r="M6232" s="7"/>
      <c r="N6232" s="8"/>
      <c r="O6232" s="4"/>
    </row>
    <row r="6233" customFormat="false" ht="15" hidden="false" customHeight="false" outlineLevel="0" collapsed="false">
      <c r="A6233" s="0" t="s">
        <v>8099</v>
      </c>
      <c r="C6233" s="0" t="s">
        <v>285</v>
      </c>
      <c r="D6233" s="7" t="n">
        <v>7</v>
      </c>
      <c r="E6233" s="8" t="n">
        <v>0.764285714285714</v>
      </c>
      <c r="F6233" s="4" t="n">
        <f aca="false">D6233*E6233</f>
        <v>5.35</v>
      </c>
      <c r="G6233" s="7" t="n">
        <v>4</v>
      </c>
      <c r="H6233" s="9" t="n">
        <f aca="false">IF(G6233&gt;0,D6233/G6233,"")</f>
        <v>1.75</v>
      </c>
      <c r="I6233" s="10" t="n">
        <v>46113</v>
      </c>
      <c r="J6233" s="3" t="s">
        <v>8100</v>
      </c>
      <c r="K6233" s="10" t="n">
        <v>45531</v>
      </c>
      <c r="L6233" s="3" t="s">
        <v>15</v>
      </c>
      <c r="M6233" s="7" t="n">
        <v>113</v>
      </c>
      <c r="N6233" s="8" t="n">
        <v>0.76378</v>
      </c>
      <c r="O6233" s="4" t="n">
        <f aca="false">M6233*N6233</f>
        <v>86.30714</v>
      </c>
    </row>
    <row r="6234" customFormat="false" ht="15" hidden="false" customHeight="false" outlineLevel="0" collapsed="false">
      <c r="A6234" s="0" t="s">
        <v>8101</v>
      </c>
      <c r="C6234" s="0" t="s">
        <v>31</v>
      </c>
      <c r="D6234" s="7" t="n">
        <v>65</v>
      </c>
      <c r="E6234" s="8" t="n">
        <v>0.0823076923076923</v>
      </c>
      <c r="F6234" s="4" t="n">
        <f aca="false">D6234*E6234</f>
        <v>5.35</v>
      </c>
      <c r="G6234" s="7" t="n">
        <v>12</v>
      </c>
      <c r="H6234" s="9" t="n">
        <f aca="false">IF(G6234&gt;0,D6234/G6234,"")</f>
        <v>5.41666666666667</v>
      </c>
      <c r="I6234" s="10" t="n">
        <v>46252</v>
      </c>
      <c r="J6234" s="3" t="s">
        <v>3385</v>
      </c>
      <c r="K6234" s="10" t="n">
        <v>45595</v>
      </c>
      <c r="L6234" s="3" t="s">
        <v>16</v>
      </c>
      <c r="M6234" s="7" t="n">
        <v>243</v>
      </c>
      <c r="N6234" s="8" t="n">
        <v>0.0823045</v>
      </c>
      <c r="O6234" s="4" t="n">
        <f aca="false">M6234*N6234</f>
        <v>19.9999935</v>
      </c>
    </row>
    <row r="6235" customFormat="false" ht="15" hidden="false" customHeight="false" outlineLevel="0" collapsed="false">
      <c r="A6235" s="0" t="s">
        <v>8102</v>
      </c>
      <c r="C6235" s="0" t="s">
        <v>166</v>
      </c>
      <c r="D6235" s="7" t="n">
        <v>28</v>
      </c>
      <c r="E6235" s="8" t="n">
        <v>0.190714285714286</v>
      </c>
      <c r="F6235" s="4" t="n">
        <f aca="false">D6235*E6235</f>
        <v>5.34</v>
      </c>
      <c r="G6235" s="7" t="n">
        <v>3</v>
      </c>
      <c r="H6235" s="9" t="n">
        <f aca="false">IF(G6235&gt;0,D6235/G6235,"")</f>
        <v>9.33333333333333</v>
      </c>
      <c r="I6235" s="10" t="n">
        <v>46253</v>
      </c>
      <c r="K6235" s="10"/>
      <c r="M6235" s="7"/>
      <c r="N6235" s="8"/>
      <c r="O6235" s="4"/>
    </row>
    <row r="6236" customFormat="false" ht="15" hidden="false" customHeight="false" outlineLevel="0" collapsed="false">
      <c r="A6236" s="0" t="s">
        <v>8103</v>
      </c>
      <c r="C6236" s="0" t="s">
        <v>31</v>
      </c>
      <c r="D6236" s="7" t="n">
        <v>690</v>
      </c>
      <c r="E6236" s="8" t="n">
        <v>0.00769565217391304</v>
      </c>
      <c r="F6236" s="4" t="n">
        <f aca="false">D6236*E6236</f>
        <v>5.31</v>
      </c>
      <c r="G6236" s="7" t="n">
        <v>401</v>
      </c>
      <c r="H6236" s="9" t="n">
        <f aca="false">IF(G6236&gt;0,D6236/G6236,"")</f>
        <v>1.72069825436409</v>
      </c>
      <c r="I6236" s="10" t="n">
        <v>46302</v>
      </c>
      <c r="J6236" s="3" t="s">
        <v>8104</v>
      </c>
      <c r="K6236" s="10" t="n">
        <v>45429</v>
      </c>
      <c r="L6236" s="3" t="s">
        <v>19</v>
      </c>
      <c r="M6236" s="7" t="n">
        <v>2500</v>
      </c>
      <c r="N6236" s="8" t="n">
        <v>0.0077</v>
      </c>
      <c r="O6236" s="4" t="n">
        <f aca="false">M6236*N6236</f>
        <v>19.25</v>
      </c>
    </row>
    <row r="6237" customFormat="false" ht="15" hidden="false" customHeight="false" outlineLevel="0" collapsed="false">
      <c r="A6237" s="0" t="s">
        <v>8105</v>
      </c>
      <c r="C6237" s="0" t="s">
        <v>31</v>
      </c>
      <c r="D6237" s="7" t="n">
        <v>53</v>
      </c>
      <c r="E6237" s="8" t="n">
        <v>0.1</v>
      </c>
      <c r="F6237" s="4" t="n">
        <f aca="false">D6237*E6237</f>
        <v>5.3</v>
      </c>
      <c r="G6237" s="7" t="n">
        <v>14</v>
      </c>
      <c r="H6237" s="9" t="n">
        <f aca="false">IF(G6237&gt;0,D6237/G6237,"")</f>
        <v>3.78571428571429</v>
      </c>
      <c r="I6237" s="10" t="n">
        <v>46034</v>
      </c>
      <c r="K6237" s="10"/>
      <c r="M6237" s="7"/>
      <c r="N6237" s="8"/>
      <c r="O6237" s="4"/>
    </row>
    <row r="6238" customFormat="false" ht="15" hidden="false" customHeight="false" outlineLevel="0" collapsed="false">
      <c r="A6238" s="0" t="s">
        <v>8106</v>
      </c>
      <c r="C6238" s="0" t="s">
        <v>4779</v>
      </c>
      <c r="D6238" s="7" t="n">
        <v>2</v>
      </c>
      <c r="E6238" s="8" t="n">
        <v>2.64</v>
      </c>
      <c r="F6238" s="4" t="n">
        <f aca="false">D6238*E6238</f>
        <v>5.28</v>
      </c>
      <c r="G6238" s="7" t="n">
        <v>1</v>
      </c>
      <c r="H6238" s="9" t="n">
        <f aca="false">IF(G6238&gt;0,D6238/G6238,"")</f>
        <v>2</v>
      </c>
      <c r="I6238" s="10" t="n">
        <v>46006</v>
      </c>
      <c r="K6238" s="10"/>
      <c r="M6238" s="7"/>
      <c r="N6238" s="8"/>
      <c r="O6238" s="4"/>
    </row>
    <row r="6239" customFormat="false" ht="15" hidden="false" customHeight="false" outlineLevel="0" collapsed="false">
      <c r="A6239" s="0" t="s">
        <v>8107</v>
      </c>
      <c r="C6239" s="0" t="s">
        <v>41</v>
      </c>
      <c r="D6239" s="7" t="n">
        <v>257</v>
      </c>
      <c r="E6239" s="8" t="n">
        <v>0.0205058365758755</v>
      </c>
      <c r="F6239" s="4" t="n">
        <f aca="false">D6239*E6239</f>
        <v>5.27</v>
      </c>
      <c r="G6239" s="7" t="n">
        <v>50</v>
      </c>
      <c r="H6239" s="9" t="n">
        <f aca="false">IF(G6239&gt;0,D6239/G6239,"")</f>
        <v>5.14</v>
      </c>
      <c r="I6239" s="10" t="n">
        <v>46147</v>
      </c>
      <c r="J6239" s="3" t="s">
        <v>7623</v>
      </c>
      <c r="K6239" s="10" t="n">
        <v>45567</v>
      </c>
      <c r="L6239" s="3" t="s">
        <v>19</v>
      </c>
      <c r="M6239" s="7" t="n">
        <v>1000</v>
      </c>
      <c r="N6239" s="8" t="n">
        <v>0.0205</v>
      </c>
      <c r="O6239" s="4" t="n">
        <f aca="false">M6239*N6239</f>
        <v>20.5</v>
      </c>
    </row>
    <row r="6240" customFormat="false" ht="15" hidden="false" customHeight="false" outlineLevel="0" collapsed="false">
      <c r="A6240" s="0" t="s">
        <v>8108</v>
      </c>
      <c r="C6240" s="0" t="s">
        <v>31</v>
      </c>
      <c r="D6240" s="7" t="n">
        <v>820</v>
      </c>
      <c r="E6240" s="8" t="n">
        <v>0.0063780487804878</v>
      </c>
      <c r="F6240" s="4" t="n">
        <f aca="false">D6240*E6240</f>
        <v>5.23</v>
      </c>
      <c r="G6240" s="7" t="n">
        <v>521</v>
      </c>
      <c r="H6240" s="9" t="n">
        <f aca="false">IF(G6240&gt;0,D6240/G6240,"")</f>
        <v>1.57389635316699</v>
      </c>
      <c r="I6240" s="10" t="n">
        <v>46163</v>
      </c>
      <c r="J6240" s="3" t="s">
        <v>1416</v>
      </c>
      <c r="K6240" s="10" t="n">
        <v>44484</v>
      </c>
      <c r="L6240" s="3" t="s">
        <v>19</v>
      </c>
      <c r="M6240" s="7" t="n">
        <v>2604</v>
      </c>
      <c r="N6240" s="8" t="n">
        <v>0.0073</v>
      </c>
      <c r="O6240" s="4" t="n">
        <v>18.25</v>
      </c>
    </row>
    <row r="6241" customFormat="false" ht="15" hidden="false" customHeight="false" outlineLevel="0" collapsed="false">
      <c r="A6241" s="0" t="s">
        <v>8109</v>
      </c>
      <c r="C6241" s="0" t="s">
        <v>855</v>
      </c>
      <c r="D6241" s="7" t="n">
        <v>879</v>
      </c>
      <c r="E6241" s="8" t="n">
        <v>0.00590443686006826</v>
      </c>
      <c r="F6241" s="4" t="n">
        <f aca="false">D6241*E6241</f>
        <v>5.19</v>
      </c>
      <c r="G6241" s="7" t="n">
        <v>185</v>
      </c>
      <c r="H6241" s="9" t="n">
        <f aca="false">IF(G6241&gt;0,D6241/G6241,"")</f>
        <v>4.75135135135135</v>
      </c>
      <c r="I6241" s="10" t="n">
        <v>46239</v>
      </c>
      <c r="J6241" s="3" t="s">
        <v>1371</v>
      </c>
      <c r="K6241" s="10" t="n">
        <v>45509</v>
      </c>
      <c r="L6241" s="3" t="s">
        <v>16</v>
      </c>
      <c r="M6241" s="7" t="n">
        <v>6150</v>
      </c>
      <c r="N6241" s="8" t="n">
        <v>0.0059</v>
      </c>
      <c r="O6241" s="4" t="n">
        <f aca="false">M6241*N6241</f>
        <v>36.285</v>
      </c>
    </row>
    <row r="6242" customFormat="false" ht="15" hidden="false" customHeight="false" outlineLevel="0" collapsed="false">
      <c r="A6242" s="0" t="s">
        <v>8110</v>
      </c>
      <c r="C6242" s="0" t="s">
        <v>41</v>
      </c>
      <c r="D6242" s="7" t="n">
        <v>56</v>
      </c>
      <c r="E6242" s="8" t="n">
        <v>0.0925</v>
      </c>
      <c r="F6242" s="4" t="n">
        <f aca="false">D6242*E6242</f>
        <v>5.18</v>
      </c>
      <c r="G6242" s="7" t="n">
        <v>18</v>
      </c>
      <c r="H6242" s="9" t="n">
        <f aca="false">IF(G6242&gt;0,D6242/G6242,"")</f>
        <v>3.11111111111111</v>
      </c>
      <c r="I6242" s="10" t="n">
        <v>46290</v>
      </c>
      <c r="K6242" s="10"/>
      <c r="M6242" s="7"/>
      <c r="N6242" s="8"/>
      <c r="O6242" s="4"/>
    </row>
    <row r="6243" customFormat="false" ht="15" hidden="false" customHeight="false" outlineLevel="0" collapsed="false">
      <c r="A6243" s="0" t="s">
        <v>8111</v>
      </c>
      <c r="C6243" s="0" t="s">
        <v>31</v>
      </c>
      <c r="D6243" s="7" t="n">
        <v>40</v>
      </c>
      <c r="E6243" s="8" t="n">
        <v>0.12875</v>
      </c>
      <c r="F6243" s="4" t="n">
        <f aca="false">D6243*E6243</f>
        <v>5.15</v>
      </c>
      <c r="G6243" s="7" t="n">
        <v>33</v>
      </c>
      <c r="H6243" s="9" t="n">
        <f aca="false">IF(G6243&gt;0,D6243/G6243,"")</f>
        <v>1.21212121212121</v>
      </c>
      <c r="I6243" s="10" t="n">
        <v>46268</v>
      </c>
      <c r="J6243" s="3" t="s">
        <v>5893</v>
      </c>
      <c r="K6243" s="10" t="n">
        <v>45355</v>
      </c>
      <c r="L6243" s="3" t="s">
        <v>19</v>
      </c>
      <c r="M6243" s="7" t="n">
        <v>500</v>
      </c>
      <c r="N6243" s="8" t="n">
        <v>0.1287</v>
      </c>
      <c r="O6243" s="4" t="n">
        <f aca="false">M6243*N6243</f>
        <v>64.35</v>
      </c>
    </row>
    <row r="6244" customFormat="false" ht="15" hidden="false" customHeight="false" outlineLevel="0" collapsed="false">
      <c r="A6244" s="0" t="s">
        <v>8112</v>
      </c>
      <c r="C6244" s="0" t="s">
        <v>34</v>
      </c>
      <c r="D6244" s="7" t="n">
        <v>76</v>
      </c>
      <c r="E6244" s="8" t="n">
        <v>0.0672368421052632</v>
      </c>
      <c r="F6244" s="4" t="n">
        <f aca="false">D6244*E6244</f>
        <v>5.11</v>
      </c>
      <c r="G6244" s="7" t="n">
        <v>10</v>
      </c>
      <c r="H6244" s="9" t="n">
        <f aca="false">IF(G6244&gt;0,D6244/G6244,"")</f>
        <v>7.6</v>
      </c>
      <c r="I6244" s="10" t="n">
        <v>46119</v>
      </c>
      <c r="K6244" s="10"/>
      <c r="M6244" s="7"/>
      <c r="N6244" s="8"/>
      <c r="O6244" s="4"/>
    </row>
    <row r="6245" customFormat="false" ht="15" hidden="false" customHeight="false" outlineLevel="0" collapsed="false">
      <c r="A6245" s="0" t="s">
        <v>8113</v>
      </c>
      <c r="C6245" s="0" t="s">
        <v>34</v>
      </c>
      <c r="D6245" s="7" t="n">
        <v>167</v>
      </c>
      <c r="E6245" s="8" t="n">
        <v>0.0304790419161677</v>
      </c>
      <c r="F6245" s="4" t="n">
        <f aca="false">D6245*E6245</f>
        <v>5.09</v>
      </c>
      <c r="G6245" s="7" t="n">
        <v>132</v>
      </c>
      <c r="H6245" s="9" t="n">
        <f aca="false">IF(G6245&gt;0,D6245/G6245,"")</f>
        <v>1.26515151515152</v>
      </c>
      <c r="I6245" s="10" t="n">
        <v>46300</v>
      </c>
      <c r="J6245" s="3" t="s">
        <v>7093</v>
      </c>
      <c r="K6245" s="10" t="n">
        <v>45719</v>
      </c>
      <c r="L6245" s="3" t="s">
        <v>14</v>
      </c>
      <c r="M6245" s="7" t="n">
        <v>570</v>
      </c>
      <c r="N6245" s="8" t="n">
        <v>0.0305</v>
      </c>
      <c r="O6245" s="4" t="n">
        <f aca="false">M6245*N6245</f>
        <v>17.385</v>
      </c>
    </row>
    <row r="6246" customFormat="false" ht="15" hidden="false" customHeight="false" outlineLevel="0" collapsed="false">
      <c r="A6246" s="0" t="s">
        <v>8114</v>
      </c>
      <c r="C6246" s="0" t="s">
        <v>31</v>
      </c>
      <c r="D6246" s="7" t="n">
        <v>352</v>
      </c>
      <c r="E6246" s="8" t="n">
        <v>0.0142613636363636</v>
      </c>
      <c r="F6246" s="4" t="n">
        <f aca="false">D6246*E6246</f>
        <v>5.02</v>
      </c>
      <c r="G6246" s="7" t="n">
        <v>263</v>
      </c>
      <c r="H6246" s="9" t="n">
        <f aca="false">IF(G6246&gt;0,D6246/G6246,"")</f>
        <v>1.3384030418251</v>
      </c>
      <c r="I6246" s="10" t="n">
        <v>46232</v>
      </c>
      <c r="J6246" s="3" t="s">
        <v>6990</v>
      </c>
      <c r="K6246" s="10" t="n">
        <v>44259</v>
      </c>
      <c r="L6246" s="3" t="s">
        <v>19</v>
      </c>
      <c r="M6246" s="7" t="n">
        <v>1000</v>
      </c>
      <c r="N6246" s="8" t="n">
        <v>0.0142</v>
      </c>
      <c r="O6246" s="4" t="n">
        <f aca="false">M6246*N6246</f>
        <v>14.2</v>
      </c>
    </row>
    <row r="6247" customFormat="false" ht="15" hidden="false" customHeight="false" outlineLevel="0" collapsed="false">
      <c r="A6247" s="0" t="s">
        <v>8115</v>
      </c>
      <c r="C6247" s="0" t="s">
        <v>1039</v>
      </c>
      <c r="D6247" s="7" t="n">
        <v>107</v>
      </c>
      <c r="E6247" s="8" t="n">
        <v>0.0468224299065421</v>
      </c>
      <c r="F6247" s="4" t="n">
        <f aca="false">D6247*E6247</f>
        <v>5.01</v>
      </c>
      <c r="G6247" s="7" t="n">
        <v>60</v>
      </c>
      <c r="H6247" s="9" t="n">
        <f aca="false">IF(G6247&gt;0,D6247/G6247,"")</f>
        <v>1.78333333333333</v>
      </c>
      <c r="I6247" s="10" t="n">
        <v>46237</v>
      </c>
      <c r="K6247" s="10"/>
      <c r="M6247" s="7"/>
      <c r="N6247" s="8"/>
      <c r="O6247" s="4"/>
    </row>
    <row r="6248" customFormat="false" ht="15" hidden="false" customHeight="false" outlineLevel="0" collapsed="false">
      <c r="A6248" s="0" t="s">
        <v>8116</v>
      </c>
      <c r="D6248" s="7" t="n">
        <v>6</v>
      </c>
      <c r="E6248" s="8" t="n">
        <v>0.831666666666667</v>
      </c>
      <c r="F6248" s="4" t="n">
        <f aca="false">D6248*E6248</f>
        <v>4.99</v>
      </c>
      <c r="G6248" s="7" t="n">
        <v>4</v>
      </c>
      <c r="H6248" s="9" t="n">
        <f aca="false">IF(G6248&gt;0,D6248/G6248,"")</f>
        <v>1.5</v>
      </c>
      <c r="I6248" s="10" t="n">
        <v>46293</v>
      </c>
      <c r="J6248" s="3" t="s">
        <v>180</v>
      </c>
      <c r="K6248" s="10" t="n">
        <v>45540</v>
      </c>
      <c r="L6248" s="3" t="s">
        <v>19</v>
      </c>
      <c r="M6248" s="7" t="n">
        <v>25</v>
      </c>
      <c r="N6248" s="8" t="n">
        <v>0.8314</v>
      </c>
      <c r="O6248" s="4" t="n">
        <f aca="false">M6248*N6248</f>
        <v>20.785</v>
      </c>
    </row>
    <row r="6249" customFormat="false" ht="15" hidden="false" customHeight="false" outlineLevel="0" collapsed="false">
      <c r="A6249" s="0" t="s">
        <v>8117</v>
      </c>
      <c r="C6249" s="0" t="s">
        <v>36</v>
      </c>
      <c r="D6249" s="7" t="n">
        <v>66</v>
      </c>
      <c r="E6249" s="8" t="n">
        <v>0.0754545454545455</v>
      </c>
      <c r="F6249" s="4" t="n">
        <f aca="false">D6249*E6249</f>
        <v>4.98</v>
      </c>
      <c r="G6249" s="7" t="n">
        <v>14</v>
      </c>
      <c r="H6249" s="9" t="n">
        <f aca="false">IF(G6249&gt;0,D6249/G6249,"")</f>
        <v>4.71428571428571</v>
      </c>
      <c r="I6249" s="10" t="n">
        <v>46317</v>
      </c>
      <c r="K6249" s="10"/>
      <c r="M6249" s="7"/>
      <c r="N6249" s="8"/>
      <c r="O6249" s="4"/>
    </row>
    <row r="6250" customFormat="false" ht="15" hidden="false" customHeight="false" outlineLevel="0" collapsed="false">
      <c r="A6250" s="0" t="s">
        <v>8118</v>
      </c>
      <c r="C6250" s="0" t="s">
        <v>38</v>
      </c>
      <c r="D6250" s="7" t="n">
        <v>491</v>
      </c>
      <c r="E6250" s="8" t="n">
        <v>0.010142566191446</v>
      </c>
      <c r="F6250" s="4" t="n">
        <f aca="false">D6250*E6250</f>
        <v>4.98</v>
      </c>
      <c r="G6250" s="7" t="n">
        <v>360</v>
      </c>
      <c r="H6250" s="9" t="n">
        <f aca="false">IF(G6250&gt;0,D6250/G6250,"")</f>
        <v>1.36388888888889</v>
      </c>
      <c r="I6250" s="10" t="n">
        <v>46274</v>
      </c>
      <c r="K6250" s="10"/>
      <c r="M6250" s="7"/>
      <c r="N6250" s="8"/>
      <c r="O6250" s="4"/>
    </row>
    <row r="6251" customFormat="false" ht="15" hidden="false" customHeight="false" outlineLevel="0" collapsed="false">
      <c r="A6251" s="0" t="s">
        <v>8119</v>
      </c>
      <c r="C6251" s="0" t="s">
        <v>340</v>
      </c>
      <c r="D6251" s="7" t="n">
        <v>54</v>
      </c>
      <c r="E6251" s="8" t="n">
        <v>0.0922222222222222</v>
      </c>
      <c r="F6251" s="4" t="n">
        <f aca="false">D6251*E6251</f>
        <v>4.98</v>
      </c>
      <c r="G6251" s="7" t="n">
        <v>6</v>
      </c>
      <c r="H6251" s="9" t="n">
        <f aca="false">IF(G6251&gt;0,D6251/G6251,"")</f>
        <v>9</v>
      </c>
      <c r="I6251" s="10" t="n">
        <v>46163</v>
      </c>
      <c r="J6251" s="3" t="s">
        <v>341</v>
      </c>
      <c r="K6251" s="10" t="n">
        <v>46078</v>
      </c>
      <c r="L6251" s="3" t="s">
        <v>15</v>
      </c>
      <c r="M6251" s="7" t="n">
        <v>60</v>
      </c>
      <c r="N6251" s="8" t="n">
        <v>0.09219</v>
      </c>
      <c r="O6251" s="4" t="n">
        <f aca="false">M6251*N6251</f>
        <v>5.5314</v>
      </c>
    </row>
    <row r="6252" customFormat="false" ht="15" hidden="false" customHeight="false" outlineLevel="0" collapsed="false">
      <c r="A6252" s="0" t="s">
        <v>8120</v>
      </c>
      <c r="C6252" s="0" t="s">
        <v>765</v>
      </c>
      <c r="D6252" s="7" t="n">
        <v>195</v>
      </c>
      <c r="E6252" s="8" t="n">
        <v>0.0254358974358974</v>
      </c>
      <c r="F6252" s="4" t="n">
        <f aca="false">D6252*E6252</f>
        <v>4.96</v>
      </c>
      <c r="G6252" s="7" t="n">
        <v>50</v>
      </c>
      <c r="H6252" s="9" t="n">
        <f aca="false">IF(G6252&gt;0,D6252/G6252,"")</f>
        <v>3.9</v>
      </c>
      <c r="I6252" s="10" t="n">
        <v>46289</v>
      </c>
      <c r="K6252" s="10"/>
      <c r="M6252" s="7"/>
      <c r="N6252" s="8"/>
      <c r="O6252" s="4"/>
    </row>
    <row r="6253" customFormat="false" ht="15" hidden="false" customHeight="false" outlineLevel="0" collapsed="false">
      <c r="A6253" s="0" t="s">
        <v>8121</v>
      </c>
      <c r="C6253" s="0" t="s">
        <v>855</v>
      </c>
      <c r="D6253" s="7" t="n">
        <v>1097</v>
      </c>
      <c r="E6253" s="8" t="n">
        <v>0.00450319051959891</v>
      </c>
      <c r="F6253" s="4" t="n">
        <f aca="false">D6253*E6253</f>
        <v>4.94</v>
      </c>
      <c r="G6253" s="7" t="n">
        <v>321</v>
      </c>
      <c r="H6253" s="9" t="n">
        <f aca="false">IF(G6253&gt;0,D6253/G6253,"")</f>
        <v>3.41744548286604</v>
      </c>
      <c r="I6253" s="10" t="n">
        <v>46302</v>
      </c>
      <c r="K6253" s="10"/>
      <c r="M6253" s="7"/>
      <c r="N6253" s="8"/>
      <c r="O6253" s="4"/>
    </row>
    <row r="6254" customFormat="false" ht="15" hidden="false" customHeight="false" outlineLevel="0" collapsed="false">
      <c r="A6254" s="0" t="s">
        <v>8122</v>
      </c>
      <c r="C6254" s="0" t="s">
        <v>31</v>
      </c>
      <c r="D6254" s="7" t="n">
        <v>28</v>
      </c>
      <c r="E6254" s="8" t="n">
        <v>0.175357142857143</v>
      </c>
      <c r="F6254" s="4" t="n">
        <f aca="false">D6254*E6254</f>
        <v>4.91</v>
      </c>
      <c r="G6254" s="7" t="n">
        <v>19</v>
      </c>
      <c r="H6254" s="9" t="n">
        <f aca="false">IF(G6254&gt;0,D6254/G6254,"")</f>
        <v>1.47368421052632</v>
      </c>
      <c r="I6254" s="10" t="n">
        <v>46269</v>
      </c>
      <c r="J6254" s="3" t="s">
        <v>8123</v>
      </c>
      <c r="K6254" s="10" t="n">
        <v>45037</v>
      </c>
      <c r="L6254" s="3" t="s">
        <v>19</v>
      </c>
      <c r="M6254" s="7" t="n">
        <v>100</v>
      </c>
      <c r="N6254" s="8" t="n">
        <v>0.1756</v>
      </c>
      <c r="O6254" s="4" t="n">
        <f aca="false">M6254*N6254</f>
        <v>17.56</v>
      </c>
    </row>
    <row r="6255" customFormat="false" ht="15" hidden="false" customHeight="false" outlineLevel="0" collapsed="false">
      <c r="A6255" s="0" t="s">
        <v>8124</v>
      </c>
      <c r="C6255" s="0" t="s">
        <v>855</v>
      </c>
      <c r="D6255" s="7" t="n">
        <v>581</v>
      </c>
      <c r="E6255" s="8" t="n">
        <v>0.00843373493975904</v>
      </c>
      <c r="F6255" s="4" t="n">
        <f aca="false">D6255*E6255</f>
        <v>4.9</v>
      </c>
      <c r="G6255" s="7" t="n">
        <v>12</v>
      </c>
      <c r="H6255" s="9" t="n">
        <f aca="false">IF(G6255&gt;0,D6255/G6255,"")</f>
        <v>48.4166666666667</v>
      </c>
      <c r="I6255" s="10" t="n">
        <v>45996</v>
      </c>
      <c r="J6255" s="3" t="s">
        <v>7376</v>
      </c>
      <c r="K6255" s="10" t="n">
        <v>45377</v>
      </c>
      <c r="L6255" s="3" t="s">
        <v>15</v>
      </c>
      <c r="M6255" s="7" t="n">
        <v>1040</v>
      </c>
      <c r="N6255" s="8" t="n">
        <v>0.00843</v>
      </c>
      <c r="O6255" s="4" t="n">
        <f aca="false">M6255*N6255</f>
        <v>8.7672</v>
      </c>
    </row>
    <row r="6256" customFormat="false" ht="15" hidden="false" customHeight="false" outlineLevel="0" collapsed="false">
      <c r="A6256" s="0" t="s">
        <v>8125</v>
      </c>
      <c r="C6256" s="0" t="s">
        <v>777</v>
      </c>
      <c r="D6256" s="7" t="n">
        <v>210</v>
      </c>
      <c r="E6256" s="8" t="n">
        <v>0.0230952380952381</v>
      </c>
      <c r="F6256" s="4" t="n">
        <f aca="false">D6256*E6256</f>
        <v>4.85</v>
      </c>
      <c r="G6256" s="7" t="n">
        <v>60</v>
      </c>
      <c r="H6256" s="9" t="n">
        <f aca="false">IF(G6256&gt;0,D6256/G6256,"")</f>
        <v>3.5</v>
      </c>
      <c r="I6256" s="10" t="n">
        <v>46265</v>
      </c>
      <c r="J6256" s="3" t="s">
        <v>1425</v>
      </c>
      <c r="K6256" s="10" t="n">
        <v>45890</v>
      </c>
      <c r="L6256" s="3" t="s">
        <v>15</v>
      </c>
      <c r="M6256" s="7" t="n">
        <v>800</v>
      </c>
      <c r="N6256" s="8" t="n">
        <v>0.02312</v>
      </c>
      <c r="O6256" s="4" t="n">
        <f aca="false">M6256*N6256</f>
        <v>18.496</v>
      </c>
    </row>
    <row r="6257" customFormat="false" ht="15" hidden="false" customHeight="false" outlineLevel="0" collapsed="false">
      <c r="A6257" s="0" t="s">
        <v>8126</v>
      </c>
      <c r="C6257" s="0" t="s">
        <v>31</v>
      </c>
      <c r="D6257" s="7" t="n">
        <v>126</v>
      </c>
      <c r="E6257" s="8" t="n">
        <v>0.0384126984126984</v>
      </c>
      <c r="F6257" s="4" t="n">
        <f aca="false">D6257*E6257</f>
        <v>4.84</v>
      </c>
      <c r="G6257" s="7" t="n">
        <v>98</v>
      </c>
      <c r="H6257" s="9" t="n">
        <f aca="false">IF(G6257&gt;0,D6257/G6257,"")</f>
        <v>1.28571428571429</v>
      </c>
      <c r="I6257" s="10" t="n">
        <v>46308</v>
      </c>
      <c r="J6257" s="3" t="s">
        <v>8127</v>
      </c>
      <c r="K6257" s="10" t="n">
        <v>44601</v>
      </c>
      <c r="L6257" s="3" t="s">
        <v>19</v>
      </c>
      <c r="M6257" s="7" t="n">
        <v>378</v>
      </c>
      <c r="N6257" s="8" t="n">
        <v>0.0384</v>
      </c>
      <c r="O6257" s="4" t="n">
        <f aca="false">M6257*N6257</f>
        <v>14.5152</v>
      </c>
    </row>
    <row r="6258" customFormat="false" ht="15" hidden="false" customHeight="false" outlineLevel="0" collapsed="false">
      <c r="A6258" s="0" t="s">
        <v>8128</v>
      </c>
      <c r="C6258" s="0" t="s">
        <v>4363</v>
      </c>
      <c r="D6258" s="7" t="n">
        <v>21</v>
      </c>
      <c r="E6258" s="8" t="n">
        <v>0.23</v>
      </c>
      <c r="F6258" s="4" t="n">
        <f aca="false">D6258*E6258</f>
        <v>4.83</v>
      </c>
      <c r="G6258" s="7" t="n">
        <v>4</v>
      </c>
      <c r="H6258" s="9" t="n">
        <f aca="false">IF(G6258&gt;0,D6258/G6258,"")</f>
        <v>5.25</v>
      </c>
      <c r="I6258" s="10" t="n">
        <v>46280</v>
      </c>
      <c r="J6258" s="3" t="s">
        <v>8129</v>
      </c>
      <c r="K6258" s="10" t="n">
        <v>46274</v>
      </c>
      <c r="L6258" s="3" t="s">
        <v>4365</v>
      </c>
      <c r="M6258" s="7" t="n">
        <v>25</v>
      </c>
      <c r="N6258" s="8" t="n">
        <v>0.23</v>
      </c>
      <c r="O6258" s="4" t="n">
        <f aca="false">M6258*N6258</f>
        <v>5.75</v>
      </c>
    </row>
    <row r="6259" customFormat="false" ht="15" hidden="false" customHeight="false" outlineLevel="0" collapsed="false">
      <c r="A6259" s="0" t="s">
        <v>8130</v>
      </c>
      <c r="C6259" s="0" t="s">
        <v>1010</v>
      </c>
      <c r="D6259" s="7" t="n">
        <v>19</v>
      </c>
      <c r="E6259" s="8" t="n">
        <v>0.253684210526316</v>
      </c>
      <c r="F6259" s="4" t="n">
        <f aca="false">D6259*E6259</f>
        <v>4.82</v>
      </c>
      <c r="G6259" s="7" t="n">
        <v>6</v>
      </c>
      <c r="H6259" s="9" t="n">
        <f aca="false">IF(G6259&gt;0,D6259/G6259,"")</f>
        <v>3.16666666666667</v>
      </c>
      <c r="I6259" s="10" t="n">
        <v>46195</v>
      </c>
      <c r="J6259" s="3" t="s">
        <v>2705</v>
      </c>
      <c r="K6259" s="10" t="n">
        <v>46175</v>
      </c>
      <c r="L6259" s="3" t="s">
        <v>14</v>
      </c>
      <c r="M6259" s="7" t="n">
        <v>25</v>
      </c>
      <c r="N6259" s="8" t="n">
        <v>0.2536</v>
      </c>
      <c r="O6259" s="4" t="n">
        <f aca="false">M6259*N6259</f>
        <v>6.34</v>
      </c>
    </row>
    <row r="6260" customFormat="false" ht="15" hidden="false" customHeight="false" outlineLevel="0" collapsed="false">
      <c r="A6260" s="0" t="s">
        <v>8131</v>
      </c>
      <c r="C6260" s="0" t="s">
        <v>298</v>
      </c>
      <c r="D6260" s="7" t="n">
        <v>117</v>
      </c>
      <c r="E6260" s="8" t="n">
        <v>0.0408547008547009</v>
      </c>
      <c r="F6260" s="4" t="n">
        <f aca="false">D6260*E6260</f>
        <v>4.78</v>
      </c>
      <c r="G6260" s="7" t="n">
        <v>74</v>
      </c>
      <c r="H6260" s="9" t="n">
        <f aca="false">IF(G6260&gt;0,D6260/G6260,"")</f>
        <v>1.58108108108108</v>
      </c>
      <c r="I6260" s="10" t="n">
        <v>46308</v>
      </c>
      <c r="K6260" s="10"/>
      <c r="M6260" s="7"/>
      <c r="N6260" s="8"/>
      <c r="O6260" s="4"/>
    </row>
    <row r="6261" customFormat="false" ht="15" hidden="false" customHeight="false" outlineLevel="0" collapsed="false">
      <c r="A6261" s="0" t="s">
        <v>8132</v>
      </c>
      <c r="C6261" s="0" t="s">
        <v>438</v>
      </c>
      <c r="D6261" s="7" t="n">
        <v>2</v>
      </c>
      <c r="E6261" s="8" t="n">
        <v>2.385</v>
      </c>
      <c r="F6261" s="4" t="n">
        <f aca="false">D6261*E6261</f>
        <v>4.77</v>
      </c>
      <c r="G6261" s="7" t="n">
        <v>1</v>
      </c>
      <c r="H6261" s="9" t="n">
        <f aca="false">IF(G6261&gt;0,D6261/G6261,"")</f>
        <v>2</v>
      </c>
      <c r="I6261" s="10" t="n">
        <v>46084</v>
      </c>
      <c r="K6261" s="10"/>
      <c r="M6261" s="7"/>
      <c r="N6261" s="8"/>
      <c r="O6261" s="4"/>
    </row>
    <row r="6262" customFormat="false" ht="15" hidden="false" customHeight="false" outlineLevel="0" collapsed="false">
      <c r="A6262" s="0" t="s">
        <v>8133</v>
      </c>
      <c r="C6262" s="0" t="s">
        <v>31</v>
      </c>
      <c r="D6262" s="7" t="n">
        <v>339</v>
      </c>
      <c r="E6262" s="8" t="n">
        <v>0.013952802359882</v>
      </c>
      <c r="F6262" s="4" t="n">
        <f aca="false">D6262*E6262</f>
        <v>4.73</v>
      </c>
      <c r="G6262" s="7" t="n">
        <v>72</v>
      </c>
      <c r="H6262" s="9" t="n">
        <f aca="false">IF(G6262&gt;0,D6262/G6262,"")</f>
        <v>4.70833333333333</v>
      </c>
      <c r="I6262" s="10" t="n">
        <v>46309</v>
      </c>
      <c r="J6262" s="3" t="s">
        <v>8134</v>
      </c>
      <c r="K6262" s="10" t="n">
        <v>45174</v>
      </c>
      <c r="L6262" s="3" t="s">
        <v>25</v>
      </c>
      <c r="M6262" s="7" t="n">
        <v>1120</v>
      </c>
      <c r="N6262" s="8" t="n">
        <v>0.014</v>
      </c>
      <c r="O6262" s="4" t="n">
        <f aca="false">M6262*N6262</f>
        <v>15.68</v>
      </c>
    </row>
    <row r="6263" customFormat="false" ht="15" hidden="false" customHeight="false" outlineLevel="0" collapsed="false">
      <c r="A6263" s="0" t="s">
        <v>8135</v>
      </c>
      <c r="C6263" s="0" t="s">
        <v>855</v>
      </c>
      <c r="D6263" s="7" t="n">
        <v>43</v>
      </c>
      <c r="E6263" s="8" t="n">
        <v>0.109767441860465</v>
      </c>
      <c r="F6263" s="4" t="n">
        <f aca="false">D6263*E6263</f>
        <v>4.72</v>
      </c>
      <c r="G6263" s="7" t="n">
        <v>40</v>
      </c>
      <c r="H6263" s="9" t="n">
        <f aca="false">IF(G6263&gt;0,D6263/G6263,"")</f>
        <v>1.075</v>
      </c>
      <c r="I6263" s="10" t="n">
        <v>46044</v>
      </c>
      <c r="K6263" s="10"/>
      <c r="M6263" s="7"/>
      <c r="N6263" s="8"/>
      <c r="O6263" s="4"/>
    </row>
    <row r="6264" customFormat="false" ht="15" hidden="false" customHeight="false" outlineLevel="0" collapsed="false">
      <c r="A6264" s="0" t="s">
        <v>8136</v>
      </c>
      <c r="C6264" s="0" t="s">
        <v>765</v>
      </c>
      <c r="D6264" s="7" t="n">
        <v>105</v>
      </c>
      <c r="E6264" s="8" t="n">
        <v>0.044952380952381</v>
      </c>
      <c r="F6264" s="4" t="n">
        <f aca="false">D6264*E6264</f>
        <v>4.72</v>
      </c>
      <c r="G6264" s="7" t="n">
        <v>97</v>
      </c>
      <c r="H6264" s="9" t="n">
        <f aca="false">IF(G6264&gt;0,D6264/G6264,"")</f>
        <v>1.08247422680412</v>
      </c>
      <c r="I6264" s="10" t="n">
        <v>46301</v>
      </c>
      <c r="K6264" s="10"/>
      <c r="M6264" s="7"/>
      <c r="N6264" s="8"/>
      <c r="O6264" s="4"/>
    </row>
    <row r="6265" customFormat="false" ht="15" hidden="false" customHeight="false" outlineLevel="0" collapsed="false">
      <c r="A6265" s="0" t="s">
        <v>8137</v>
      </c>
      <c r="C6265" s="0" t="s">
        <v>34</v>
      </c>
      <c r="D6265" s="7" t="n">
        <v>80</v>
      </c>
      <c r="E6265" s="8" t="n">
        <v>0.058625</v>
      </c>
      <c r="F6265" s="4" t="n">
        <f aca="false">D6265*E6265</f>
        <v>4.69</v>
      </c>
      <c r="G6265" s="7" t="n">
        <v>20</v>
      </c>
      <c r="H6265" s="9" t="n">
        <f aca="false">IF(G6265&gt;0,D6265/G6265,"")</f>
        <v>4</v>
      </c>
      <c r="I6265" s="10" t="n">
        <v>46036</v>
      </c>
      <c r="J6265" s="3" t="s">
        <v>5844</v>
      </c>
      <c r="K6265" s="10" t="n">
        <v>45950</v>
      </c>
      <c r="L6265" s="3" t="s">
        <v>15</v>
      </c>
      <c r="M6265" s="7" t="n">
        <v>100</v>
      </c>
      <c r="N6265" s="8" t="n">
        <v>0.05856</v>
      </c>
      <c r="O6265" s="4" t="n">
        <f aca="false">M6265*N6265</f>
        <v>5.856</v>
      </c>
    </row>
    <row r="6266" customFormat="false" ht="15" hidden="false" customHeight="false" outlineLevel="0" collapsed="false">
      <c r="A6266" s="0" t="s">
        <v>8138</v>
      </c>
      <c r="C6266" s="0" t="s">
        <v>31</v>
      </c>
      <c r="D6266" s="7" t="n">
        <v>28</v>
      </c>
      <c r="E6266" s="8" t="n">
        <v>0.166785714285714</v>
      </c>
      <c r="F6266" s="4" t="n">
        <f aca="false">D6266*E6266</f>
        <v>4.67</v>
      </c>
      <c r="G6266" s="7" t="n">
        <v>9</v>
      </c>
      <c r="H6266" s="9" t="n">
        <f aca="false">IF(G6266&gt;0,D6266/G6266,"")</f>
        <v>3.11111111111111</v>
      </c>
      <c r="I6266" s="10" t="n">
        <v>46127</v>
      </c>
      <c r="J6266" s="3" t="s">
        <v>7770</v>
      </c>
      <c r="K6266" s="10" t="n">
        <v>44685</v>
      </c>
      <c r="L6266" s="3" t="s">
        <v>19</v>
      </c>
      <c r="M6266" s="7" t="n">
        <v>85</v>
      </c>
      <c r="N6266" s="8" t="n">
        <v>0.1669</v>
      </c>
      <c r="O6266" s="4" t="n">
        <f aca="false">M6266*N6266</f>
        <v>14.1865</v>
      </c>
    </row>
    <row r="6267" customFormat="false" ht="15" hidden="false" customHeight="false" outlineLevel="0" collapsed="false">
      <c r="A6267" s="0" t="s">
        <v>8139</v>
      </c>
      <c r="C6267" s="0" t="s">
        <v>5091</v>
      </c>
      <c r="D6267" s="7" t="n">
        <v>3</v>
      </c>
      <c r="E6267" s="8" t="n">
        <v>1.55333333333333</v>
      </c>
      <c r="F6267" s="4" t="n">
        <f aca="false">D6267*E6267</f>
        <v>4.66</v>
      </c>
      <c r="G6267" s="7" t="n">
        <v>1</v>
      </c>
      <c r="H6267" s="9" t="n">
        <f aca="false">IF(G6267&gt;0,D6267/G6267,"")</f>
        <v>3</v>
      </c>
      <c r="I6267" s="10" t="n">
        <v>46122</v>
      </c>
      <c r="J6267" s="3" t="s">
        <v>1793</v>
      </c>
      <c r="K6267" s="10" t="n">
        <v>45350</v>
      </c>
      <c r="L6267" s="3" t="s">
        <v>14</v>
      </c>
      <c r="M6267" s="7" t="n">
        <v>5</v>
      </c>
      <c r="N6267" s="8" t="n">
        <v>1.556</v>
      </c>
      <c r="O6267" s="4" t="n">
        <f aca="false">M6267*N6267</f>
        <v>7.78</v>
      </c>
    </row>
    <row r="6268" customFormat="false" ht="15" hidden="false" customHeight="false" outlineLevel="0" collapsed="false">
      <c r="A6268" s="0" t="s">
        <v>8140</v>
      </c>
      <c r="C6268" s="0" t="s">
        <v>765</v>
      </c>
      <c r="D6268" s="7" t="n">
        <v>44</v>
      </c>
      <c r="E6268" s="8" t="n">
        <v>0.105227272727273</v>
      </c>
      <c r="F6268" s="4" t="n">
        <f aca="false">D6268*E6268</f>
        <v>4.63</v>
      </c>
      <c r="G6268" s="7" t="n">
        <v>18</v>
      </c>
      <c r="H6268" s="9" t="n">
        <f aca="false">IF(G6268&gt;0,D6268/G6268,"")</f>
        <v>2.44444444444444</v>
      </c>
      <c r="I6268" s="10" t="n">
        <v>46156</v>
      </c>
      <c r="K6268" s="10"/>
      <c r="M6268" s="7"/>
      <c r="N6268" s="8"/>
      <c r="O6268" s="4"/>
    </row>
    <row r="6269" customFormat="false" ht="15" hidden="false" customHeight="false" outlineLevel="0" collapsed="false">
      <c r="A6269" s="0" t="s">
        <v>8141</v>
      </c>
      <c r="C6269" s="0" t="s">
        <v>765</v>
      </c>
      <c r="D6269" s="7" t="n">
        <v>440</v>
      </c>
      <c r="E6269" s="8" t="n">
        <v>0.0105</v>
      </c>
      <c r="F6269" s="4" t="n">
        <f aca="false">D6269*E6269</f>
        <v>4.62</v>
      </c>
      <c r="G6269" s="7" t="n">
        <v>198</v>
      </c>
      <c r="H6269" s="9" t="n">
        <f aca="false">IF(G6269&gt;0,D6269/G6269,"")</f>
        <v>2.22222222222222</v>
      </c>
      <c r="I6269" s="10" t="n">
        <v>46252</v>
      </c>
      <c r="K6269" s="10"/>
      <c r="M6269" s="7"/>
      <c r="N6269" s="8"/>
      <c r="O6269" s="4"/>
    </row>
    <row r="6270" customFormat="false" ht="15" hidden="false" customHeight="false" outlineLevel="0" collapsed="false">
      <c r="A6270" s="0" t="s">
        <v>8142</v>
      </c>
      <c r="C6270" s="0" t="s">
        <v>31</v>
      </c>
      <c r="D6270" s="7" t="n">
        <v>88</v>
      </c>
      <c r="E6270" s="8" t="n">
        <v>0.0520454545454546</v>
      </c>
      <c r="F6270" s="4" t="n">
        <f aca="false">D6270*E6270</f>
        <v>4.58</v>
      </c>
      <c r="G6270" s="7" t="n">
        <v>74</v>
      </c>
      <c r="H6270" s="9" t="n">
        <f aca="false">IF(G6270&gt;0,D6270/G6270,"")</f>
        <v>1.18918918918919</v>
      </c>
      <c r="I6270" s="10" t="n">
        <v>46247</v>
      </c>
      <c r="J6270" s="3" t="s">
        <v>550</v>
      </c>
      <c r="K6270" s="10" t="n">
        <v>45922</v>
      </c>
      <c r="L6270" s="3" t="s">
        <v>14</v>
      </c>
      <c r="M6270" s="7" t="n">
        <v>200</v>
      </c>
      <c r="N6270" s="8" t="n">
        <v>0.052</v>
      </c>
      <c r="O6270" s="4" t="n">
        <f aca="false">M6270*N6270</f>
        <v>10.4</v>
      </c>
    </row>
    <row r="6271" customFormat="false" ht="15" hidden="false" customHeight="false" outlineLevel="0" collapsed="false">
      <c r="A6271" s="0" t="s">
        <v>8143</v>
      </c>
      <c r="C6271" s="0" t="s">
        <v>31</v>
      </c>
      <c r="D6271" s="7" t="n">
        <v>448</v>
      </c>
      <c r="E6271" s="8" t="n">
        <v>0.01</v>
      </c>
      <c r="F6271" s="4" t="n">
        <f aca="false">D6271*E6271</f>
        <v>4.48</v>
      </c>
      <c r="G6271" s="7" t="n">
        <v>51</v>
      </c>
      <c r="H6271" s="9" t="n">
        <f aca="false">IF(G6271&gt;0,D6271/G6271,"")</f>
        <v>8.7843137254902</v>
      </c>
      <c r="I6271" s="10" t="n">
        <v>46293</v>
      </c>
      <c r="K6271" s="10"/>
      <c r="M6271" s="7"/>
      <c r="N6271" s="8"/>
      <c r="O6271" s="4"/>
    </row>
    <row r="6272" customFormat="false" ht="15" hidden="false" customHeight="false" outlineLevel="0" collapsed="false">
      <c r="A6272" s="0" t="s">
        <v>8144</v>
      </c>
      <c r="C6272" s="0" t="s">
        <v>31</v>
      </c>
      <c r="D6272" s="7" t="n">
        <v>11</v>
      </c>
      <c r="E6272" s="8" t="n">
        <v>0.407272727272727</v>
      </c>
      <c r="F6272" s="4" t="n">
        <f aca="false">D6272*E6272</f>
        <v>4.48</v>
      </c>
      <c r="G6272" s="7" t="n">
        <v>5</v>
      </c>
      <c r="H6272" s="9" t="n">
        <f aca="false">IF(G6272&gt;0,D6272/G6272,"")</f>
        <v>2.2</v>
      </c>
      <c r="I6272" s="10" t="n">
        <v>46191</v>
      </c>
      <c r="J6272" s="3" t="s">
        <v>7011</v>
      </c>
      <c r="K6272" s="10" t="n">
        <v>45805</v>
      </c>
      <c r="L6272" s="3" t="s">
        <v>19</v>
      </c>
      <c r="M6272" s="7" t="n">
        <v>125</v>
      </c>
      <c r="N6272" s="8" t="n">
        <v>0.4077</v>
      </c>
      <c r="O6272" s="4" t="n">
        <f aca="false">M6272*N6272</f>
        <v>50.9625</v>
      </c>
    </row>
    <row r="6273" customFormat="false" ht="15" hidden="false" customHeight="false" outlineLevel="0" collapsed="false">
      <c r="A6273" s="0" t="s">
        <v>8145</v>
      </c>
      <c r="C6273" s="0" t="s">
        <v>360</v>
      </c>
      <c r="D6273" s="7" t="n">
        <v>11</v>
      </c>
      <c r="E6273" s="8" t="n">
        <v>0.407272727272727</v>
      </c>
      <c r="F6273" s="4" t="n">
        <f aca="false">D6273*E6273</f>
        <v>4.48</v>
      </c>
      <c r="G6273" s="7" t="n">
        <v>2</v>
      </c>
      <c r="H6273" s="9" t="n">
        <f aca="false">IF(G6273&gt;0,D6273/G6273,"")</f>
        <v>5.5</v>
      </c>
      <c r="I6273" s="10" t="n">
        <v>46078</v>
      </c>
      <c r="K6273" s="10"/>
      <c r="M6273" s="7"/>
      <c r="N6273" s="8"/>
      <c r="O6273" s="4"/>
    </row>
    <row r="6274" customFormat="false" ht="15" hidden="false" customHeight="false" outlineLevel="0" collapsed="false">
      <c r="A6274" s="0" t="s">
        <v>8146</v>
      </c>
      <c r="C6274" s="0" t="s">
        <v>31</v>
      </c>
      <c r="D6274" s="7" t="n">
        <v>221</v>
      </c>
      <c r="E6274" s="8" t="n">
        <v>0.0202262443438914</v>
      </c>
      <c r="F6274" s="4" t="n">
        <f aca="false">D6274*E6274</f>
        <v>4.47</v>
      </c>
      <c r="G6274" s="7" t="n">
        <v>72</v>
      </c>
      <c r="H6274" s="9" t="n">
        <f aca="false">IF(G6274&gt;0,D6274/G6274,"")</f>
        <v>3.06944444444444</v>
      </c>
      <c r="I6274" s="10" t="n">
        <v>46094</v>
      </c>
      <c r="J6274" s="3" t="s">
        <v>5772</v>
      </c>
      <c r="K6274" s="10" t="n">
        <v>45012</v>
      </c>
      <c r="L6274" s="3" t="s">
        <v>19</v>
      </c>
      <c r="M6274" s="7" t="n">
        <v>1000</v>
      </c>
      <c r="N6274" s="8" t="n">
        <v>0.0202</v>
      </c>
      <c r="O6274" s="4" t="n">
        <f aca="false">M6274*N6274</f>
        <v>20.2</v>
      </c>
    </row>
    <row r="6275" customFormat="false" ht="15" hidden="false" customHeight="false" outlineLevel="0" collapsed="false">
      <c r="A6275" s="0" t="s">
        <v>8147</v>
      </c>
      <c r="C6275" s="0" t="s">
        <v>34</v>
      </c>
      <c r="D6275" s="7" t="n">
        <v>14</v>
      </c>
      <c r="E6275" s="8" t="n">
        <v>0.316428571428571</v>
      </c>
      <c r="F6275" s="4" t="n">
        <f aca="false">D6275*E6275</f>
        <v>4.43</v>
      </c>
      <c r="G6275" s="7" t="n">
        <v>12</v>
      </c>
      <c r="H6275" s="9" t="n">
        <f aca="false">IF(G6275&gt;0,D6275/G6275,"")</f>
        <v>1.16666666666667</v>
      </c>
      <c r="I6275" s="10" t="n">
        <v>46195</v>
      </c>
      <c r="K6275" s="10"/>
      <c r="M6275" s="7"/>
      <c r="N6275" s="8"/>
      <c r="O6275" s="4"/>
    </row>
    <row r="6276" customFormat="false" ht="15" hidden="false" customHeight="false" outlineLevel="0" collapsed="false">
      <c r="A6276" s="0" t="s">
        <v>8148</v>
      </c>
      <c r="C6276" s="0" t="s">
        <v>298</v>
      </c>
      <c r="D6276" s="7" t="n">
        <v>20</v>
      </c>
      <c r="E6276" s="8" t="n">
        <v>0.221</v>
      </c>
      <c r="F6276" s="4" t="n">
        <f aca="false">D6276*E6276</f>
        <v>4.42</v>
      </c>
      <c r="G6276" s="7" t="n">
        <v>16</v>
      </c>
      <c r="H6276" s="9" t="n">
        <f aca="false">IF(G6276&gt;0,D6276/G6276,"")</f>
        <v>1.25</v>
      </c>
      <c r="I6276" s="10" t="n">
        <v>46148</v>
      </c>
      <c r="J6276" s="3" t="s">
        <v>8149</v>
      </c>
      <c r="K6276" s="10" t="n">
        <v>45322</v>
      </c>
      <c r="L6276" s="3" t="s">
        <v>14</v>
      </c>
      <c r="M6276" s="7" t="n">
        <v>100</v>
      </c>
      <c r="N6276" s="8" t="n">
        <v>0.221</v>
      </c>
      <c r="O6276" s="4" t="n">
        <f aca="false">M6276*N6276</f>
        <v>22.1</v>
      </c>
    </row>
    <row r="6277" customFormat="false" ht="15" hidden="false" customHeight="false" outlineLevel="0" collapsed="false">
      <c r="A6277" s="0" t="s">
        <v>8150</v>
      </c>
      <c r="C6277" s="0" t="s">
        <v>166</v>
      </c>
      <c r="D6277" s="7" t="n">
        <v>15</v>
      </c>
      <c r="E6277" s="8" t="n">
        <v>0.294666666666667</v>
      </c>
      <c r="F6277" s="4" t="n">
        <f aca="false">D6277*E6277</f>
        <v>4.42</v>
      </c>
      <c r="G6277" s="7" t="n">
        <v>7</v>
      </c>
      <c r="H6277" s="9" t="n">
        <f aca="false">IF(G6277&gt;0,D6277/G6277,"")</f>
        <v>2.14285714285714</v>
      </c>
      <c r="I6277" s="10" t="n">
        <v>46304</v>
      </c>
      <c r="K6277" s="10"/>
      <c r="M6277" s="7"/>
      <c r="N6277" s="8"/>
      <c r="O6277" s="4"/>
    </row>
    <row r="6278" customFormat="false" ht="15" hidden="false" customHeight="false" outlineLevel="0" collapsed="false">
      <c r="A6278" s="0" t="s">
        <v>8151</v>
      </c>
      <c r="C6278" s="0" t="s">
        <v>31</v>
      </c>
      <c r="D6278" s="7" t="n">
        <v>17</v>
      </c>
      <c r="E6278" s="8" t="n">
        <v>0.259411764705882</v>
      </c>
      <c r="F6278" s="4" t="n">
        <f aca="false">D6278*E6278</f>
        <v>4.41</v>
      </c>
      <c r="G6278" s="7" t="n">
        <v>3</v>
      </c>
      <c r="H6278" s="9" t="n">
        <f aca="false">IF(G6278&gt;0,D6278/G6278,"")</f>
        <v>5.66666666666667</v>
      </c>
      <c r="I6278" s="10" t="n">
        <v>46140</v>
      </c>
      <c r="J6278" s="3" t="s">
        <v>6449</v>
      </c>
      <c r="K6278" s="10" t="n">
        <v>44341</v>
      </c>
      <c r="L6278" s="3" t="s">
        <v>19</v>
      </c>
      <c r="M6278" s="7" t="n">
        <v>50</v>
      </c>
      <c r="N6278" s="8" t="n">
        <v>0.2597</v>
      </c>
      <c r="O6278" s="4" t="n">
        <f aca="false">M6278*N6278</f>
        <v>12.985</v>
      </c>
    </row>
    <row r="6279" customFormat="false" ht="15" hidden="false" customHeight="false" outlineLevel="0" collapsed="false">
      <c r="A6279" s="0" t="s">
        <v>8152</v>
      </c>
      <c r="C6279" s="0" t="s">
        <v>34</v>
      </c>
      <c r="D6279" s="7" t="n">
        <v>1305</v>
      </c>
      <c r="E6279" s="8" t="n">
        <v>0.00337164750957854</v>
      </c>
      <c r="F6279" s="4" t="n">
        <f aca="false">D6279*E6279</f>
        <v>4.4</v>
      </c>
      <c r="G6279" s="7" t="n">
        <v>10</v>
      </c>
      <c r="H6279" s="9" t="n">
        <f aca="false">IF(G6279&gt;0,D6279/G6279,"")</f>
        <v>130.5</v>
      </c>
      <c r="I6279" s="10" t="n">
        <v>46057</v>
      </c>
      <c r="J6279" s="3" t="s">
        <v>1192</v>
      </c>
      <c r="K6279" s="10" t="n">
        <v>45736</v>
      </c>
      <c r="L6279" s="3" t="s">
        <v>26</v>
      </c>
      <c r="M6279" s="7" t="n">
        <v>125</v>
      </c>
      <c r="N6279" s="8" t="n">
        <v>0.0419</v>
      </c>
      <c r="O6279" s="4" t="n">
        <f aca="false">M6279*N6279</f>
        <v>5.2375</v>
      </c>
    </row>
    <row r="6280" customFormat="false" ht="15" hidden="false" customHeight="false" outlineLevel="0" collapsed="false">
      <c r="A6280" s="0" t="s">
        <v>8153</v>
      </c>
      <c r="C6280" s="0" t="s">
        <v>855</v>
      </c>
      <c r="D6280" s="7" t="n">
        <v>921</v>
      </c>
      <c r="E6280" s="8" t="n">
        <v>0.0047557003257329</v>
      </c>
      <c r="F6280" s="4" t="n">
        <f aca="false">D6280*E6280</f>
        <v>4.38</v>
      </c>
      <c r="G6280" s="7" t="n">
        <v>575</v>
      </c>
      <c r="H6280" s="9" t="n">
        <f aca="false">IF(G6280&gt;0,D6280/G6280,"")</f>
        <v>1.60173913043478</v>
      </c>
      <c r="I6280" s="10" t="n">
        <v>46253</v>
      </c>
      <c r="J6280" s="3" t="s">
        <v>8154</v>
      </c>
      <c r="K6280" s="10" t="n">
        <v>44490</v>
      </c>
      <c r="L6280" s="3" t="s">
        <v>16</v>
      </c>
      <c r="M6280" s="7" t="n">
        <v>5204</v>
      </c>
      <c r="N6280" s="8" t="n">
        <v>0</v>
      </c>
      <c r="O6280" s="4" t="n">
        <v>25.8</v>
      </c>
    </row>
    <row r="6281" customFormat="false" ht="15" hidden="false" customHeight="false" outlineLevel="0" collapsed="false">
      <c r="A6281" s="0" t="s">
        <v>8155</v>
      </c>
      <c r="C6281" s="0" t="s">
        <v>360</v>
      </c>
      <c r="D6281" s="7" t="n">
        <v>145</v>
      </c>
      <c r="E6281" s="8" t="n">
        <v>0.03</v>
      </c>
      <c r="F6281" s="4" t="n">
        <f aca="false">D6281*E6281</f>
        <v>4.35</v>
      </c>
      <c r="G6281" s="7" t="n">
        <v>66</v>
      </c>
      <c r="H6281" s="9" t="n">
        <f aca="false">IF(G6281&gt;0,D6281/G6281,"")</f>
        <v>2.1969696969697</v>
      </c>
      <c r="I6281" s="10" t="n">
        <v>46066</v>
      </c>
      <c r="K6281" s="10"/>
      <c r="M6281" s="7"/>
      <c r="N6281" s="8"/>
      <c r="O6281" s="4"/>
    </row>
    <row r="6282" customFormat="false" ht="15" hidden="false" customHeight="false" outlineLevel="0" collapsed="false">
      <c r="A6282" s="0" t="s">
        <v>8156</v>
      </c>
      <c r="C6282" s="0" t="s">
        <v>1010</v>
      </c>
      <c r="D6282" s="7" t="n">
        <v>17</v>
      </c>
      <c r="E6282" s="8" t="n">
        <v>0.254117647058824</v>
      </c>
      <c r="F6282" s="4" t="n">
        <f aca="false">D6282*E6282</f>
        <v>4.32</v>
      </c>
      <c r="G6282" s="7" t="n">
        <v>5</v>
      </c>
      <c r="H6282" s="9" t="n">
        <f aca="false">IF(G6282&gt;0,D6282/G6282,"")</f>
        <v>3.4</v>
      </c>
      <c r="I6282" s="10" t="n">
        <v>46195</v>
      </c>
      <c r="J6282" s="3" t="s">
        <v>2705</v>
      </c>
      <c r="K6282" s="10" t="n">
        <v>46175</v>
      </c>
      <c r="L6282" s="3" t="s">
        <v>14</v>
      </c>
      <c r="M6282" s="7" t="n">
        <v>20</v>
      </c>
      <c r="N6282" s="8" t="n">
        <v>0.254</v>
      </c>
      <c r="O6282" s="4" t="n">
        <f aca="false">M6282*N6282</f>
        <v>5.08</v>
      </c>
    </row>
    <row r="6283" customFormat="false" ht="15" hidden="false" customHeight="false" outlineLevel="0" collapsed="false">
      <c r="A6283" s="0" t="s">
        <v>8157</v>
      </c>
      <c r="C6283" s="0" t="s">
        <v>118</v>
      </c>
      <c r="D6283" s="7" t="n">
        <v>132</v>
      </c>
      <c r="E6283" s="8" t="n">
        <v>0.0325</v>
      </c>
      <c r="F6283" s="4" t="n">
        <f aca="false">D6283*E6283</f>
        <v>4.29</v>
      </c>
      <c r="G6283" s="7" t="n">
        <v>2</v>
      </c>
      <c r="H6283" s="9" t="n">
        <f aca="false">IF(G6283&gt;0,D6283/G6283,"")</f>
        <v>66</v>
      </c>
      <c r="I6283" s="10" t="n">
        <v>46099</v>
      </c>
      <c r="K6283" s="10"/>
      <c r="M6283" s="7"/>
      <c r="N6283" s="8"/>
      <c r="O6283" s="4"/>
    </row>
    <row r="6284" customFormat="false" ht="15" hidden="false" customHeight="false" outlineLevel="0" collapsed="false">
      <c r="A6284" s="0" t="s">
        <v>8158</v>
      </c>
      <c r="C6284" s="0" t="s">
        <v>38</v>
      </c>
      <c r="D6284" s="7" t="n">
        <v>500</v>
      </c>
      <c r="E6284" s="8" t="n">
        <v>0.0084</v>
      </c>
      <c r="F6284" s="4" t="n">
        <f aca="false">D6284*E6284</f>
        <v>4.2</v>
      </c>
      <c r="G6284" s="7" t="n">
        <v>500</v>
      </c>
      <c r="H6284" s="9" t="n">
        <f aca="false">IF(G6284&gt;0,D6284/G6284,"")</f>
        <v>1</v>
      </c>
      <c r="I6284" s="10" t="n">
        <v>46274</v>
      </c>
      <c r="J6284" s="3" t="s">
        <v>170</v>
      </c>
      <c r="K6284" s="10" t="n">
        <v>46237</v>
      </c>
      <c r="L6284" s="3" t="s">
        <v>14</v>
      </c>
      <c r="M6284" s="7" t="n">
        <v>1000</v>
      </c>
      <c r="N6284" s="8" t="n">
        <v>0.0084</v>
      </c>
      <c r="O6284" s="4" t="n">
        <f aca="false">M6284*N6284</f>
        <v>8.4</v>
      </c>
    </row>
    <row r="6285" customFormat="false" ht="15" hidden="false" customHeight="false" outlineLevel="0" collapsed="false">
      <c r="A6285" s="0" t="s">
        <v>8159</v>
      </c>
      <c r="C6285" s="0" t="s">
        <v>855</v>
      </c>
      <c r="D6285" s="7" t="n">
        <v>646</v>
      </c>
      <c r="E6285" s="8" t="n">
        <v>0.00647058823529412</v>
      </c>
      <c r="F6285" s="4" t="n">
        <f aca="false">D6285*E6285</f>
        <v>4.18</v>
      </c>
      <c r="G6285" s="7" t="n">
        <v>240</v>
      </c>
      <c r="H6285" s="9" t="n">
        <f aca="false">IF(G6285&gt;0,D6285/G6285,"")</f>
        <v>2.69166666666667</v>
      </c>
      <c r="I6285" s="10" t="n">
        <v>46279</v>
      </c>
      <c r="J6285" s="3" t="s">
        <v>3860</v>
      </c>
      <c r="K6285" s="10" t="n">
        <v>44692</v>
      </c>
      <c r="L6285" s="3" t="s">
        <v>15</v>
      </c>
      <c r="M6285" s="7" t="n">
        <v>2250</v>
      </c>
      <c r="N6285" s="8" t="n">
        <v>0.00648</v>
      </c>
      <c r="O6285" s="4" t="n">
        <f aca="false">M6285*N6285</f>
        <v>14.58</v>
      </c>
    </row>
    <row r="6286" customFormat="false" ht="15" hidden="false" customHeight="false" outlineLevel="0" collapsed="false">
      <c r="A6286" s="0" t="s">
        <v>8160</v>
      </c>
      <c r="C6286" s="0" t="s">
        <v>1039</v>
      </c>
      <c r="D6286" s="7" t="n">
        <v>4</v>
      </c>
      <c r="E6286" s="8" t="n">
        <v>1.04</v>
      </c>
      <c r="F6286" s="4" t="n">
        <f aca="false">D6286*E6286</f>
        <v>4.16</v>
      </c>
      <c r="G6286" s="7" t="n">
        <v>2</v>
      </c>
      <c r="H6286" s="9" t="n">
        <f aca="false">IF(G6286&gt;0,D6286/G6286,"")</f>
        <v>2</v>
      </c>
      <c r="I6286" s="10" t="n">
        <v>46021</v>
      </c>
      <c r="K6286" s="10"/>
      <c r="M6286" s="7"/>
      <c r="N6286" s="8"/>
      <c r="O6286" s="4"/>
    </row>
    <row r="6287" customFormat="false" ht="15" hidden="false" customHeight="false" outlineLevel="0" collapsed="false">
      <c r="A6287" s="0" t="s">
        <v>8161</v>
      </c>
      <c r="C6287" s="0" t="s">
        <v>360</v>
      </c>
      <c r="D6287" s="7" t="n">
        <v>135</v>
      </c>
      <c r="E6287" s="8" t="n">
        <v>0.0307407407407407</v>
      </c>
      <c r="F6287" s="4" t="n">
        <f aca="false">D6287*E6287</f>
        <v>4.15</v>
      </c>
      <c r="G6287" s="7" t="n">
        <v>20</v>
      </c>
      <c r="H6287" s="9" t="n">
        <f aca="false">IF(G6287&gt;0,D6287/G6287,"")</f>
        <v>6.75</v>
      </c>
      <c r="I6287" s="10" t="n">
        <v>46035</v>
      </c>
      <c r="J6287" s="3" t="s">
        <v>151</v>
      </c>
      <c r="K6287" s="10" t="n">
        <v>45006</v>
      </c>
      <c r="L6287" s="3" t="s">
        <v>14</v>
      </c>
      <c r="M6287" s="7" t="n">
        <v>250</v>
      </c>
      <c r="N6287" s="8" t="n">
        <v>0.0307</v>
      </c>
      <c r="O6287" s="4" t="n">
        <f aca="false">M6287*N6287</f>
        <v>7.675</v>
      </c>
    </row>
    <row r="6288" customFormat="false" ht="15" hidden="false" customHeight="false" outlineLevel="0" collapsed="false">
      <c r="A6288" s="0" t="s">
        <v>8162</v>
      </c>
      <c r="C6288" s="0" t="s">
        <v>855</v>
      </c>
      <c r="D6288" s="7" t="n">
        <v>206</v>
      </c>
      <c r="E6288" s="8" t="n">
        <v>0.0201456310679612</v>
      </c>
      <c r="F6288" s="4" t="n">
        <f aca="false">D6288*E6288</f>
        <v>4.15</v>
      </c>
      <c r="G6288" s="7" t="n">
        <v>81</v>
      </c>
      <c r="H6288" s="9" t="n">
        <f aca="false">IF(G6288&gt;0,D6288/G6288,"")</f>
        <v>2.54320987654321</v>
      </c>
      <c r="I6288" s="10" t="n">
        <v>46183</v>
      </c>
      <c r="J6288" s="3" t="s">
        <v>8163</v>
      </c>
      <c r="K6288" s="10" t="n">
        <v>45371</v>
      </c>
      <c r="L6288" s="3" t="s">
        <v>19</v>
      </c>
      <c r="M6288" s="7" t="n">
        <v>1000</v>
      </c>
      <c r="N6288" s="8" t="n">
        <v>0.0246</v>
      </c>
      <c r="O6288" s="4" t="n">
        <f aca="false">M6288*N6288</f>
        <v>24.6</v>
      </c>
    </row>
    <row r="6289" customFormat="false" ht="15" hidden="false" customHeight="false" outlineLevel="0" collapsed="false">
      <c r="A6289" s="0" t="s">
        <v>8164</v>
      </c>
      <c r="C6289" s="0" t="s">
        <v>855</v>
      </c>
      <c r="D6289" s="7" t="n">
        <v>302</v>
      </c>
      <c r="E6289" s="8" t="n">
        <v>0.0137417218543046</v>
      </c>
      <c r="F6289" s="4" t="n">
        <f aca="false">D6289*E6289</f>
        <v>4.15</v>
      </c>
      <c r="G6289" s="7" t="n">
        <v>228</v>
      </c>
      <c r="H6289" s="9" t="n">
        <f aca="false">IF(G6289&gt;0,D6289/G6289,"")</f>
        <v>1.32456140350877</v>
      </c>
      <c r="I6289" s="10" t="n">
        <v>46282</v>
      </c>
      <c r="J6289" s="3" t="s">
        <v>1934</v>
      </c>
      <c r="K6289" s="10" t="n">
        <v>44337</v>
      </c>
      <c r="L6289" s="3" t="s">
        <v>19</v>
      </c>
      <c r="M6289" s="7" t="n">
        <v>1000</v>
      </c>
      <c r="N6289" s="8" t="n">
        <v>0.0138</v>
      </c>
      <c r="O6289" s="4" t="n">
        <f aca="false">M6289*N6289</f>
        <v>13.8</v>
      </c>
    </row>
    <row r="6290" customFormat="false" ht="15" hidden="false" customHeight="false" outlineLevel="0" collapsed="false">
      <c r="A6290" s="0" t="s">
        <v>8165</v>
      </c>
      <c r="C6290" s="0" t="s">
        <v>34</v>
      </c>
      <c r="D6290" s="7" t="n">
        <v>11</v>
      </c>
      <c r="E6290" s="8" t="n">
        <v>0.374545454545455</v>
      </c>
      <c r="F6290" s="4" t="n">
        <f aca="false">D6290*E6290</f>
        <v>4.12</v>
      </c>
      <c r="G6290" s="7" t="n">
        <v>1</v>
      </c>
      <c r="H6290" s="9" t="n">
        <f aca="false">IF(G6290&gt;0,D6290/G6290,"")</f>
        <v>11</v>
      </c>
      <c r="I6290" s="10" t="n">
        <v>46265</v>
      </c>
      <c r="J6290" s="3" t="s">
        <v>2789</v>
      </c>
      <c r="K6290" s="10" t="n">
        <v>44256</v>
      </c>
      <c r="L6290" s="3" t="s">
        <v>15</v>
      </c>
      <c r="M6290" s="7" t="n">
        <v>418</v>
      </c>
      <c r="N6290" s="8" t="n">
        <v>0.37543</v>
      </c>
      <c r="O6290" s="4" t="n">
        <f aca="false">M6290*N6290</f>
        <v>156.92974</v>
      </c>
    </row>
    <row r="6291" customFormat="false" ht="15" hidden="false" customHeight="false" outlineLevel="0" collapsed="false">
      <c r="A6291" s="0" t="s">
        <v>8166</v>
      </c>
      <c r="C6291" s="0" t="s">
        <v>31</v>
      </c>
      <c r="D6291" s="7" t="n">
        <v>69</v>
      </c>
      <c r="E6291" s="8" t="n">
        <v>0.0595652173913044</v>
      </c>
      <c r="F6291" s="4" t="n">
        <f aca="false">D6291*E6291</f>
        <v>4.11</v>
      </c>
      <c r="G6291" s="7" t="n">
        <v>40</v>
      </c>
      <c r="H6291" s="9" t="n">
        <f aca="false">IF(G6291&gt;0,D6291/G6291,"")</f>
        <v>1.725</v>
      </c>
      <c r="I6291" s="10" t="n">
        <v>46279</v>
      </c>
      <c r="J6291" s="3" t="s">
        <v>8167</v>
      </c>
      <c r="K6291" s="10" t="n">
        <v>46111</v>
      </c>
      <c r="L6291" s="3" t="s">
        <v>14</v>
      </c>
      <c r="M6291" s="7" t="n">
        <v>108</v>
      </c>
      <c r="N6291" s="8" t="n">
        <v>0.0595</v>
      </c>
      <c r="O6291" s="4" t="n">
        <f aca="false">M6291*N6291</f>
        <v>6.426</v>
      </c>
    </row>
    <row r="6292" customFormat="false" ht="15" hidden="false" customHeight="false" outlineLevel="0" collapsed="false">
      <c r="A6292" s="0" t="s">
        <v>8168</v>
      </c>
      <c r="C6292" s="0" t="s">
        <v>40</v>
      </c>
      <c r="D6292" s="7" t="n">
        <v>1332</v>
      </c>
      <c r="E6292" s="8" t="n">
        <v>0.00307057057057057</v>
      </c>
      <c r="F6292" s="4" t="n">
        <f aca="false">D6292*E6292</f>
        <v>4.09</v>
      </c>
      <c r="G6292" s="7" t="n">
        <v>250</v>
      </c>
      <c r="H6292" s="9" t="n">
        <f aca="false">IF(G6292&gt;0,D6292/G6292,"")</f>
        <v>5.328</v>
      </c>
      <c r="I6292" s="10" t="n">
        <v>46148</v>
      </c>
      <c r="K6292" s="10"/>
      <c r="M6292" s="7"/>
      <c r="N6292" s="8"/>
      <c r="O6292" s="4"/>
    </row>
    <row r="6293" customFormat="false" ht="15" hidden="false" customHeight="false" outlineLevel="0" collapsed="false">
      <c r="A6293" s="0" t="s">
        <v>8169</v>
      </c>
      <c r="C6293" s="0" t="s">
        <v>31</v>
      </c>
      <c r="D6293" s="7" t="n">
        <v>223</v>
      </c>
      <c r="E6293" s="8" t="n">
        <v>0.0183408071748879</v>
      </c>
      <c r="F6293" s="4" t="n">
        <f aca="false">D6293*E6293</f>
        <v>4.09</v>
      </c>
      <c r="G6293" s="7" t="n">
        <v>20</v>
      </c>
      <c r="H6293" s="9" t="n">
        <f aca="false">IF(G6293&gt;0,D6293/G6293,"")</f>
        <v>11.15</v>
      </c>
      <c r="I6293" s="10" t="n">
        <v>46076</v>
      </c>
      <c r="K6293" s="10"/>
      <c r="M6293" s="7"/>
      <c r="N6293" s="8"/>
      <c r="O6293" s="4"/>
    </row>
    <row r="6294" customFormat="false" ht="15" hidden="false" customHeight="false" outlineLevel="0" collapsed="false">
      <c r="A6294" s="0" t="s">
        <v>8170</v>
      </c>
      <c r="C6294" s="0" t="s">
        <v>765</v>
      </c>
      <c r="D6294" s="7" t="n">
        <v>44</v>
      </c>
      <c r="E6294" s="8" t="n">
        <v>0.0929545454545455</v>
      </c>
      <c r="F6294" s="4" t="n">
        <f aca="false">D6294*E6294</f>
        <v>4.09</v>
      </c>
      <c r="G6294" s="7" t="n">
        <v>12</v>
      </c>
      <c r="H6294" s="9" t="n">
        <f aca="false">IF(G6294&gt;0,D6294/G6294,"")</f>
        <v>3.66666666666667</v>
      </c>
      <c r="I6294" s="10" t="n">
        <v>45987</v>
      </c>
      <c r="K6294" s="10"/>
      <c r="M6294" s="7"/>
      <c r="N6294" s="8"/>
      <c r="O6294" s="4"/>
    </row>
    <row r="6295" customFormat="false" ht="15" hidden="false" customHeight="false" outlineLevel="0" collapsed="false">
      <c r="A6295" s="0" t="s">
        <v>8171</v>
      </c>
      <c r="C6295" s="0" t="s">
        <v>741</v>
      </c>
      <c r="D6295" s="7" t="n">
        <v>18</v>
      </c>
      <c r="E6295" s="8" t="n">
        <v>0.226111111111111</v>
      </c>
      <c r="F6295" s="4" t="n">
        <f aca="false">D6295*E6295</f>
        <v>4.07</v>
      </c>
      <c r="G6295" s="7" t="n">
        <v>18</v>
      </c>
      <c r="H6295" s="9" t="n">
        <f aca="false">IF(G6295&gt;0,D6295/G6295,"")</f>
        <v>1</v>
      </c>
      <c r="I6295" s="10" t="n">
        <v>46211</v>
      </c>
      <c r="K6295" s="10"/>
      <c r="M6295" s="7"/>
      <c r="N6295" s="8"/>
      <c r="O6295" s="4"/>
    </row>
    <row r="6296" customFormat="false" ht="15" hidden="false" customHeight="false" outlineLevel="0" collapsed="false">
      <c r="A6296" s="0" t="s">
        <v>8172</v>
      </c>
      <c r="C6296" s="0" t="s">
        <v>4779</v>
      </c>
      <c r="D6296" s="7" t="n">
        <v>11</v>
      </c>
      <c r="E6296" s="8" t="n">
        <v>0.37</v>
      </c>
      <c r="F6296" s="4" t="n">
        <f aca="false">D6296*E6296</f>
        <v>4.07</v>
      </c>
      <c r="G6296" s="7" t="n">
        <v>4</v>
      </c>
      <c r="H6296" s="9" t="n">
        <f aca="false">IF(G6296&gt;0,D6296/G6296,"")</f>
        <v>2.75</v>
      </c>
      <c r="I6296" s="10" t="n">
        <v>46091</v>
      </c>
      <c r="J6296" s="3" t="s">
        <v>8173</v>
      </c>
      <c r="K6296" s="10" t="n">
        <v>45223</v>
      </c>
      <c r="L6296" s="3" t="s">
        <v>4365</v>
      </c>
      <c r="M6296" s="7" t="n">
        <v>25</v>
      </c>
      <c r="N6296" s="8" t="n">
        <v>0.37</v>
      </c>
      <c r="O6296" s="4" t="n">
        <f aca="false">M6296*N6296</f>
        <v>9.25</v>
      </c>
    </row>
    <row r="6297" customFormat="false" ht="15" hidden="false" customHeight="false" outlineLevel="0" collapsed="false">
      <c r="A6297" s="0" t="s">
        <v>8174</v>
      </c>
      <c r="C6297" s="0" t="s">
        <v>118</v>
      </c>
      <c r="D6297" s="7" t="n">
        <v>6</v>
      </c>
      <c r="E6297" s="8" t="n">
        <v>0.676666666666667</v>
      </c>
      <c r="F6297" s="4" t="n">
        <f aca="false">D6297*E6297</f>
        <v>4.06</v>
      </c>
      <c r="G6297" s="7" t="n">
        <v>1</v>
      </c>
      <c r="H6297" s="9" t="n">
        <f aca="false">IF(G6297&gt;0,D6297/G6297,"")</f>
        <v>6</v>
      </c>
      <c r="I6297" s="10" t="n">
        <v>46112</v>
      </c>
      <c r="K6297" s="10"/>
      <c r="M6297" s="7"/>
      <c r="N6297" s="8"/>
      <c r="O6297" s="4"/>
    </row>
    <row r="6298" customFormat="false" ht="15" hidden="false" customHeight="false" outlineLevel="0" collapsed="false">
      <c r="A6298" s="0" t="s">
        <v>8175</v>
      </c>
      <c r="C6298" s="0" t="s">
        <v>118</v>
      </c>
      <c r="D6298" s="7" t="n">
        <v>3</v>
      </c>
      <c r="E6298" s="8" t="n">
        <v>1.35333333333333</v>
      </c>
      <c r="F6298" s="4" t="n">
        <f aca="false">D6298*E6298</f>
        <v>4.06</v>
      </c>
      <c r="G6298" s="7" t="n">
        <v>2</v>
      </c>
      <c r="H6298" s="9" t="n">
        <f aca="false">IF(G6298&gt;0,D6298/G6298,"")</f>
        <v>1.5</v>
      </c>
      <c r="I6298" s="10" t="n">
        <v>46009</v>
      </c>
      <c r="K6298" s="10"/>
      <c r="M6298" s="7"/>
      <c r="N6298" s="8"/>
      <c r="O6298" s="4"/>
    </row>
    <row r="6299" customFormat="false" ht="15" hidden="false" customHeight="false" outlineLevel="0" collapsed="false">
      <c r="A6299" s="0" t="s">
        <v>8176</v>
      </c>
      <c r="C6299" s="0" t="s">
        <v>889</v>
      </c>
      <c r="D6299" s="7" t="n">
        <v>99</v>
      </c>
      <c r="E6299" s="8" t="n">
        <v>0.0409090909090909</v>
      </c>
      <c r="F6299" s="4" t="n">
        <f aca="false">D6299*E6299</f>
        <v>4.05</v>
      </c>
      <c r="G6299" s="7" t="n">
        <v>10</v>
      </c>
      <c r="H6299" s="9" t="n">
        <f aca="false">IF(G6299&gt;0,D6299/G6299,"")</f>
        <v>9.9</v>
      </c>
      <c r="I6299" s="10" t="n">
        <v>46254</v>
      </c>
      <c r="K6299" s="10"/>
      <c r="M6299" s="7"/>
      <c r="N6299" s="8"/>
      <c r="O6299" s="4"/>
    </row>
    <row r="6300" customFormat="false" ht="15" hidden="false" customHeight="false" outlineLevel="0" collapsed="false">
      <c r="A6300" s="0" t="s">
        <v>8177</v>
      </c>
      <c r="C6300" s="0" t="s">
        <v>31</v>
      </c>
      <c r="D6300" s="7" t="n">
        <v>50</v>
      </c>
      <c r="E6300" s="8" t="n">
        <v>0.0804</v>
      </c>
      <c r="F6300" s="4" t="n">
        <f aca="false">D6300*E6300</f>
        <v>4.02</v>
      </c>
      <c r="G6300" s="7" t="n">
        <v>50</v>
      </c>
      <c r="H6300" s="9" t="n">
        <f aca="false">IF(G6300&gt;0,D6300/G6300,"")</f>
        <v>1</v>
      </c>
      <c r="I6300" s="10" t="n">
        <v>46246</v>
      </c>
      <c r="J6300" s="3" t="s">
        <v>8178</v>
      </c>
      <c r="K6300" s="10" t="n">
        <v>46238</v>
      </c>
      <c r="L6300" s="3" t="s">
        <v>26</v>
      </c>
      <c r="M6300" s="7" t="n">
        <v>100</v>
      </c>
      <c r="N6300" s="8" t="n">
        <v>0.0805</v>
      </c>
      <c r="O6300" s="4" t="n">
        <f aca="false">M6300*N6300</f>
        <v>8.05</v>
      </c>
    </row>
    <row r="6301" customFormat="false" ht="15" hidden="false" customHeight="false" outlineLevel="0" collapsed="false">
      <c r="A6301" s="0" t="s">
        <v>8179</v>
      </c>
      <c r="C6301" s="0" t="s">
        <v>298</v>
      </c>
      <c r="D6301" s="7" t="n">
        <v>3</v>
      </c>
      <c r="E6301" s="8" t="n">
        <v>1.33666666666667</v>
      </c>
      <c r="F6301" s="4" t="n">
        <f aca="false">D6301*E6301</f>
        <v>4.01</v>
      </c>
      <c r="G6301" s="7" t="n">
        <v>3</v>
      </c>
      <c r="H6301" s="9" t="n">
        <f aca="false">IF(G6301&gt;0,D6301/G6301,"")</f>
        <v>1</v>
      </c>
      <c r="I6301" s="10" t="n">
        <v>46037</v>
      </c>
      <c r="J6301" s="3" t="s">
        <v>8163</v>
      </c>
      <c r="K6301" s="10" t="n">
        <v>45371</v>
      </c>
      <c r="L6301" s="3" t="s">
        <v>19</v>
      </c>
      <c r="M6301" s="7" t="n">
        <v>19</v>
      </c>
      <c r="N6301" s="8" t="n">
        <v>1.3359</v>
      </c>
      <c r="O6301" s="4" t="n">
        <f aca="false">M6301*N6301</f>
        <v>25.3821</v>
      </c>
    </row>
    <row r="6302" customFormat="false" ht="15" hidden="false" customHeight="false" outlineLevel="0" collapsed="false">
      <c r="A6302" s="0" t="s">
        <v>8180</v>
      </c>
      <c r="C6302" s="0" t="s">
        <v>979</v>
      </c>
      <c r="D6302" s="7" t="n">
        <v>4</v>
      </c>
      <c r="E6302" s="8" t="n">
        <v>1</v>
      </c>
      <c r="F6302" s="4" t="n">
        <f aca="false">D6302*E6302</f>
        <v>4</v>
      </c>
      <c r="G6302" s="7" t="n">
        <v>1</v>
      </c>
      <c r="H6302" s="9" t="n">
        <f aca="false">IF(G6302&gt;0,D6302/G6302,"")</f>
        <v>4</v>
      </c>
      <c r="I6302" s="10" t="n">
        <v>46225</v>
      </c>
      <c r="K6302" s="10"/>
      <c r="M6302" s="7"/>
      <c r="N6302" s="8"/>
      <c r="O6302" s="4"/>
    </row>
    <row r="6303" customFormat="false" ht="15" hidden="false" customHeight="false" outlineLevel="0" collapsed="false">
      <c r="A6303" s="0" t="s">
        <v>8181</v>
      </c>
      <c r="C6303" s="0" t="s">
        <v>34</v>
      </c>
      <c r="D6303" s="7" t="n">
        <v>20</v>
      </c>
      <c r="E6303" s="8" t="n">
        <v>0.1995</v>
      </c>
      <c r="F6303" s="4" t="n">
        <f aca="false">D6303*E6303</f>
        <v>3.99</v>
      </c>
      <c r="G6303" s="7" t="n">
        <v>10</v>
      </c>
      <c r="H6303" s="9" t="n">
        <f aca="false">IF(G6303&gt;0,D6303/G6303,"")</f>
        <v>2</v>
      </c>
      <c r="I6303" s="10" t="n">
        <v>46119</v>
      </c>
      <c r="J6303" s="3" t="s">
        <v>2820</v>
      </c>
      <c r="K6303" s="10" t="n">
        <v>45187</v>
      </c>
      <c r="L6303" s="3" t="s">
        <v>19</v>
      </c>
      <c r="M6303" s="7" t="n">
        <v>100</v>
      </c>
      <c r="N6303" s="8" t="n">
        <v>0.1997</v>
      </c>
      <c r="O6303" s="4" t="n">
        <f aca="false">M6303*N6303</f>
        <v>19.97</v>
      </c>
    </row>
    <row r="6304" customFormat="false" ht="15" hidden="false" customHeight="false" outlineLevel="0" collapsed="false">
      <c r="A6304" s="0" t="s">
        <v>8182</v>
      </c>
      <c r="C6304" s="0" t="s">
        <v>31</v>
      </c>
      <c r="D6304" s="7" t="n">
        <v>181</v>
      </c>
      <c r="E6304" s="8" t="n">
        <v>0.021878453038674</v>
      </c>
      <c r="F6304" s="4" t="n">
        <f aca="false">D6304*E6304</f>
        <v>3.96</v>
      </c>
      <c r="G6304" s="7" t="n">
        <v>14</v>
      </c>
      <c r="H6304" s="9" t="n">
        <f aca="false">IF(G6304&gt;0,D6304/G6304,"")</f>
        <v>12.9285714285714</v>
      </c>
      <c r="I6304" s="10" t="n">
        <v>46175</v>
      </c>
      <c r="J6304" s="3" t="s">
        <v>2125</v>
      </c>
      <c r="K6304" s="10" t="n">
        <v>44334</v>
      </c>
      <c r="L6304" s="3" t="s">
        <v>15</v>
      </c>
      <c r="M6304" s="7" t="n">
        <v>1030</v>
      </c>
      <c r="N6304" s="8" t="n">
        <v>0.0219</v>
      </c>
      <c r="O6304" s="4" t="n">
        <f aca="false">M6304*N6304</f>
        <v>22.557</v>
      </c>
    </row>
    <row r="6305" customFormat="false" ht="15" hidden="false" customHeight="false" outlineLevel="0" collapsed="false">
      <c r="A6305" s="0" t="s">
        <v>8183</v>
      </c>
      <c r="C6305" s="0" t="s">
        <v>765</v>
      </c>
      <c r="D6305" s="7" t="n">
        <v>103</v>
      </c>
      <c r="E6305" s="8" t="n">
        <v>0.0383495145631068</v>
      </c>
      <c r="F6305" s="4" t="n">
        <f aca="false">D6305*E6305</f>
        <v>3.95</v>
      </c>
      <c r="G6305" s="7" t="n">
        <v>18</v>
      </c>
      <c r="H6305" s="9" t="n">
        <f aca="false">IF(G6305&gt;0,D6305/G6305,"")</f>
        <v>5.72222222222222</v>
      </c>
      <c r="I6305" s="10" t="n">
        <v>45981</v>
      </c>
      <c r="K6305" s="10"/>
      <c r="M6305" s="7"/>
      <c r="N6305" s="8"/>
      <c r="O6305" s="4"/>
    </row>
    <row r="6306" customFormat="false" ht="15" hidden="false" customHeight="false" outlineLevel="0" collapsed="false">
      <c r="A6306" s="0" t="s">
        <v>8184</v>
      </c>
      <c r="C6306" s="0" t="s">
        <v>31</v>
      </c>
      <c r="D6306" s="7" t="n">
        <v>15</v>
      </c>
      <c r="E6306" s="8" t="n">
        <v>0.263333333333333</v>
      </c>
      <c r="F6306" s="4" t="n">
        <f aca="false">D6306*E6306</f>
        <v>3.95</v>
      </c>
      <c r="G6306" s="7" t="n">
        <v>6</v>
      </c>
      <c r="H6306" s="9" t="n">
        <f aca="false">IF(G6306&gt;0,D6306/G6306,"")</f>
        <v>2.5</v>
      </c>
      <c r="I6306" s="10" t="n">
        <v>45993</v>
      </c>
      <c r="J6306" s="3" t="s">
        <v>3385</v>
      </c>
      <c r="K6306" s="10" t="n">
        <v>45595</v>
      </c>
      <c r="L6306" s="3" t="s">
        <v>16</v>
      </c>
      <c r="M6306" s="7" t="n">
        <v>76</v>
      </c>
      <c r="N6306" s="8" t="n">
        <v>0.263157</v>
      </c>
      <c r="O6306" s="4" t="n">
        <f aca="false">M6306*N6306</f>
        <v>19.999932</v>
      </c>
    </row>
    <row r="6307" customFormat="false" ht="15" hidden="false" customHeight="false" outlineLevel="0" collapsed="false">
      <c r="A6307" s="0" t="s">
        <v>8185</v>
      </c>
      <c r="D6307" s="7" t="n">
        <v>23</v>
      </c>
      <c r="E6307" s="8" t="n">
        <v>0.17</v>
      </c>
      <c r="F6307" s="4" t="n">
        <f aca="false">D6307*E6307</f>
        <v>3.91</v>
      </c>
      <c r="G6307" s="7" t="n">
        <v>2</v>
      </c>
      <c r="H6307" s="9" t="n">
        <f aca="false">IF(G6307&gt;0,D6307/G6307,"")</f>
        <v>11.5</v>
      </c>
      <c r="I6307" s="10" t="n">
        <v>46066</v>
      </c>
      <c r="J6307" s="3" t="s">
        <v>8186</v>
      </c>
      <c r="K6307" s="10" t="n">
        <v>44434</v>
      </c>
      <c r="L6307" s="3" t="s">
        <v>4365</v>
      </c>
      <c r="M6307" s="7" t="n">
        <v>25</v>
      </c>
      <c r="N6307" s="8" t="n">
        <v>0.17</v>
      </c>
      <c r="O6307" s="4" t="n">
        <f aca="false">M6307*N6307</f>
        <v>4.25</v>
      </c>
    </row>
    <row r="6308" customFormat="false" ht="15" hidden="false" customHeight="false" outlineLevel="0" collapsed="false">
      <c r="A6308" s="0" t="s">
        <v>8187</v>
      </c>
      <c r="C6308" s="0" t="s">
        <v>360</v>
      </c>
      <c r="D6308" s="7" t="n">
        <v>33</v>
      </c>
      <c r="E6308" s="8" t="n">
        <v>0.116969696969697</v>
      </c>
      <c r="F6308" s="4" t="n">
        <f aca="false">D6308*E6308</f>
        <v>3.86</v>
      </c>
      <c r="G6308" s="7" t="n">
        <v>15</v>
      </c>
      <c r="H6308" s="9" t="n">
        <f aca="false">IF(G6308&gt;0,D6308/G6308,"")</f>
        <v>2.2</v>
      </c>
      <c r="I6308" s="10" t="n">
        <v>46034</v>
      </c>
      <c r="K6308" s="10"/>
      <c r="M6308" s="7"/>
      <c r="N6308" s="8"/>
      <c r="O6308" s="4"/>
    </row>
    <row r="6309" customFormat="false" ht="15" hidden="false" customHeight="false" outlineLevel="0" collapsed="false">
      <c r="A6309" s="0" t="s">
        <v>8188</v>
      </c>
      <c r="C6309" s="0" t="s">
        <v>31</v>
      </c>
      <c r="D6309" s="7" t="n">
        <v>8</v>
      </c>
      <c r="E6309" s="8" t="n">
        <v>0.47625</v>
      </c>
      <c r="F6309" s="4" t="n">
        <f aca="false">D6309*E6309</f>
        <v>3.81</v>
      </c>
      <c r="G6309" s="7" t="n">
        <v>2</v>
      </c>
      <c r="H6309" s="9" t="n">
        <f aca="false">IF(G6309&gt;0,D6309/G6309,"")</f>
        <v>4</v>
      </c>
      <c r="I6309" s="10" t="n">
        <v>46191</v>
      </c>
      <c r="K6309" s="10"/>
      <c r="M6309" s="7"/>
      <c r="N6309" s="8"/>
      <c r="O6309" s="4"/>
    </row>
    <row r="6310" customFormat="false" ht="15" hidden="false" customHeight="false" outlineLevel="0" collapsed="false">
      <c r="A6310" s="0" t="s">
        <v>8189</v>
      </c>
      <c r="C6310" s="0" t="s">
        <v>765</v>
      </c>
      <c r="D6310" s="7" t="n">
        <v>14</v>
      </c>
      <c r="E6310" s="8" t="n">
        <v>0.272142857142857</v>
      </c>
      <c r="F6310" s="4" t="n">
        <f aca="false">D6310*E6310</f>
        <v>3.81</v>
      </c>
      <c r="G6310" s="7" t="n">
        <v>8</v>
      </c>
      <c r="H6310" s="9" t="n">
        <f aca="false">IF(G6310&gt;0,D6310/G6310,"")</f>
        <v>1.75</v>
      </c>
      <c r="I6310" s="10" t="n">
        <v>46209</v>
      </c>
      <c r="J6310" s="3" t="s">
        <v>3830</v>
      </c>
      <c r="K6310" s="10" t="n">
        <v>46192</v>
      </c>
      <c r="L6310" s="3" t="s">
        <v>14</v>
      </c>
      <c r="M6310" s="7" t="n">
        <v>20</v>
      </c>
      <c r="N6310" s="8" t="n">
        <v>0.272</v>
      </c>
      <c r="O6310" s="4" t="n">
        <f aca="false">M6310*N6310</f>
        <v>5.44</v>
      </c>
    </row>
    <row r="6311" customFormat="false" ht="15" hidden="false" customHeight="false" outlineLevel="0" collapsed="false">
      <c r="A6311" s="0" t="s">
        <v>8190</v>
      </c>
      <c r="C6311" s="0" t="s">
        <v>31</v>
      </c>
      <c r="D6311" s="7" t="n">
        <v>204</v>
      </c>
      <c r="E6311" s="8" t="n">
        <v>0.0186274509803922</v>
      </c>
      <c r="F6311" s="4" t="n">
        <f aca="false">D6311*E6311</f>
        <v>3.8</v>
      </c>
      <c r="G6311" s="7" t="n">
        <v>5</v>
      </c>
      <c r="H6311" s="9" t="n">
        <f aca="false">IF(G6311&gt;0,D6311/G6311,"")</f>
        <v>40.8</v>
      </c>
      <c r="I6311" s="10" t="n">
        <v>46224</v>
      </c>
      <c r="J6311" s="3" t="s">
        <v>8191</v>
      </c>
      <c r="K6311" s="10" t="n">
        <v>44305</v>
      </c>
      <c r="L6311" s="3" t="s">
        <v>154</v>
      </c>
      <c r="M6311" s="7" t="n">
        <v>120</v>
      </c>
      <c r="N6311" s="8" t="n">
        <v>0.0235</v>
      </c>
      <c r="O6311" s="4" t="n">
        <f aca="false">M6311*N6311</f>
        <v>2.82</v>
      </c>
    </row>
    <row r="6312" customFormat="false" ht="15" hidden="false" customHeight="false" outlineLevel="0" collapsed="false">
      <c r="A6312" s="0" t="s">
        <v>8192</v>
      </c>
      <c r="C6312" s="0" t="s">
        <v>295</v>
      </c>
      <c r="D6312" s="7" t="n">
        <v>11</v>
      </c>
      <c r="E6312" s="8" t="n">
        <v>0.344545454545455</v>
      </c>
      <c r="F6312" s="4" t="n">
        <f aca="false">D6312*E6312</f>
        <v>3.79</v>
      </c>
      <c r="G6312" s="7" t="n">
        <v>4</v>
      </c>
      <c r="H6312" s="9" t="n">
        <f aca="false">IF(G6312&gt;0,D6312/G6312,"")</f>
        <v>2.75</v>
      </c>
      <c r="I6312" s="10" t="n">
        <v>46216</v>
      </c>
      <c r="J6312" s="3" t="s">
        <v>247</v>
      </c>
      <c r="K6312" s="10" t="n">
        <v>44914</v>
      </c>
      <c r="L6312" s="3" t="s">
        <v>19</v>
      </c>
      <c r="M6312" s="7" t="n">
        <v>100</v>
      </c>
      <c r="N6312" s="8" t="n">
        <v>0.3448</v>
      </c>
      <c r="O6312" s="4" t="n">
        <f aca="false">M6312*N6312</f>
        <v>34.48</v>
      </c>
    </row>
    <row r="6313" customFormat="false" ht="15" hidden="false" customHeight="false" outlineLevel="0" collapsed="false">
      <c r="A6313" s="0" t="s">
        <v>8193</v>
      </c>
      <c r="C6313" s="0" t="s">
        <v>360</v>
      </c>
      <c r="D6313" s="7" t="n">
        <v>53</v>
      </c>
      <c r="E6313" s="8" t="n">
        <v>0.0715094339622642</v>
      </c>
      <c r="F6313" s="4" t="n">
        <f aca="false">D6313*E6313</f>
        <v>3.79</v>
      </c>
      <c r="G6313" s="7" t="n">
        <v>50</v>
      </c>
      <c r="H6313" s="9" t="n">
        <f aca="false">IF(G6313&gt;0,D6313/G6313,"")</f>
        <v>1.06</v>
      </c>
      <c r="I6313" s="10" t="n">
        <v>46240</v>
      </c>
      <c r="K6313" s="10"/>
      <c r="M6313" s="7"/>
      <c r="N6313" s="8"/>
      <c r="O6313" s="4"/>
    </row>
    <row r="6314" customFormat="false" ht="15" hidden="false" customHeight="false" outlineLevel="0" collapsed="false">
      <c r="A6314" s="0" t="s">
        <v>8194</v>
      </c>
      <c r="C6314" s="0" t="s">
        <v>39</v>
      </c>
      <c r="D6314" s="7" t="n">
        <v>21</v>
      </c>
      <c r="E6314" s="8" t="n">
        <v>0.178571428571429</v>
      </c>
      <c r="F6314" s="4" t="n">
        <f aca="false">D6314*E6314</f>
        <v>3.75</v>
      </c>
      <c r="G6314" s="7" t="n">
        <v>10</v>
      </c>
      <c r="H6314" s="9" t="n">
        <f aca="false">IF(G6314&gt;0,D6314/G6314,"")</f>
        <v>2.1</v>
      </c>
      <c r="I6314" s="10" t="n">
        <v>46205</v>
      </c>
      <c r="K6314" s="10"/>
      <c r="M6314" s="7"/>
      <c r="N6314" s="8"/>
      <c r="O6314" s="4"/>
    </row>
    <row r="6315" customFormat="false" ht="15" hidden="false" customHeight="false" outlineLevel="0" collapsed="false">
      <c r="A6315" s="0" t="s">
        <v>8195</v>
      </c>
      <c r="C6315" s="0" t="s">
        <v>370</v>
      </c>
      <c r="D6315" s="7" t="n">
        <v>14</v>
      </c>
      <c r="E6315" s="8" t="n">
        <v>0.267142857142857</v>
      </c>
      <c r="F6315" s="4" t="n">
        <f aca="false">D6315*E6315</f>
        <v>3.74</v>
      </c>
      <c r="G6315" s="7" t="n">
        <v>1</v>
      </c>
      <c r="H6315" s="9" t="n">
        <f aca="false">IF(G6315&gt;0,D6315/G6315,"")</f>
        <v>14</v>
      </c>
      <c r="I6315" s="10" t="n">
        <v>46104</v>
      </c>
      <c r="K6315" s="10"/>
      <c r="M6315" s="7"/>
      <c r="N6315" s="8"/>
      <c r="O6315" s="4"/>
    </row>
    <row r="6316" customFormat="false" ht="15" hidden="false" customHeight="false" outlineLevel="0" collapsed="false">
      <c r="A6316" s="0" t="s">
        <v>8196</v>
      </c>
      <c r="C6316" s="0" t="s">
        <v>31</v>
      </c>
      <c r="D6316" s="7" t="n">
        <v>131</v>
      </c>
      <c r="E6316" s="8" t="n">
        <v>0.0283969465648855</v>
      </c>
      <c r="F6316" s="4" t="n">
        <f aca="false">D6316*E6316</f>
        <v>3.72</v>
      </c>
      <c r="G6316" s="7" t="n">
        <v>53</v>
      </c>
      <c r="H6316" s="9" t="n">
        <f aca="false">IF(G6316&gt;0,D6316/G6316,"")</f>
        <v>2.47169811320755</v>
      </c>
      <c r="I6316" s="10" t="n">
        <v>46234</v>
      </c>
      <c r="J6316" s="3" t="s">
        <v>1369</v>
      </c>
      <c r="K6316" s="10" t="n">
        <v>44299</v>
      </c>
      <c r="L6316" s="3" t="s">
        <v>15</v>
      </c>
      <c r="M6316" s="7" t="n">
        <v>1140</v>
      </c>
      <c r="N6316" s="8" t="n">
        <v>0.02828</v>
      </c>
      <c r="O6316" s="4" t="n">
        <f aca="false">M6316*N6316</f>
        <v>32.2392</v>
      </c>
    </row>
    <row r="6317" customFormat="false" ht="15" hidden="false" customHeight="false" outlineLevel="0" collapsed="false">
      <c r="A6317" s="0" t="s">
        <v>8197</v>
      </c>
      <c r="C6317" s="0" t="s">
        <v>40</v>
      </c>
      <c r="D6317" s="7" t="n">
        <v>9</v>
      </c>
      <c r="E6317" s="8" t="n">
        <v>0.402222222222222</v>
      </c>
      <c r="F6317" s="4" t="n">
        <f aca="false">D6317*E6317</f>
        <v>3.62</v>
      </c>
      <c r="G6317" s="7" t="n">
        <v>7</v>
      </c>
      <c r="H6317" s="9" t="n">
        <f aca="false">IF(G6317&gt;0,D6317/G6317,"")</f>
        <v>1.28571428571429</v>
      </c>
      <c r="I6317" s="10" t="n">
        <v>46314</v>
      </c>
      <c r="J6317" s="3" t="s">
        <v>8198</v>
      </c>
      <c r="K6317" s="10" t="n">
        <v>45334</v>
      </c>
      <c r="L6317" s="3" t="s">
        <v>18</v>
      </c>
      <c r="M6317" s="7" t="n">
        <v>66</v>
      </c>
      <c r="N6317" s="8" t="n">
        <v>0.4023</v>
      </c>
      <c r="O6317" s="4" t="n">
        <f aca="false">M6317*N6317</f>
        <v>26.5518</v>
      </c>
    </row>
    <row r="6318" customFormat="false" ht="15" hidden="false" customHeight="false" outlineLevel="0" collapsed="false">
      <c r="A6318" s="0" t="s">
        <v>8199</v>
      </c>
      <c r="C6318" s="0" t="s">
        <v>31</v>
      </c>
      <c r="D6318" s="7" t="n">
        <v>142</v>
      </c>
      <c r="E6318" s="8" t="n">
        <v>0.0254225352112676</v>
      </c>
      <c r="F6318" s="4" t="n">
        <f aca="false">D6318*E6318</f>
        <v>3.61</v>
      </c>
      <c r="G6318" s="7" t="n">
        <v>126</v>
      </c>
      <c r="H6318" s="9" t="n">
        <f aca="false">IF(G6318&gt;0,D6318/G6318,"")</f>
        <v>1.12698412698413</v>
      </c>
      <c r="I6318" s="10" t="n">
        <v>46238</v>
      </c>
      <c r="J6318" s="3" t="s">
        <v>6015</v>
      </c>
      <c r="K6318" s="10" t="n">
        <v>44662</v>
      </c>
      <c r="L6318" s="3" t="s">
        <v>14</v>
      </c>
      <c r="M6318" s="7" t="n">
        <v>1036</v>
      </c>
      <c r="N6318" s="8" t="n">
        <v>0.02819</v>
      </c>
      <c r="O6318" s="4" t="n">
        <v>28.81018</v>
      </c>
    </row>
    <row r="6319" customFormat="false" ht="15" hidden="false" customHeight="false" outlineLevel="0" collapsed="false">
      <c r="A6319" s="0" t="s">
        <v>8200</v>
      </c>
      <c r="C6319" s="0" t="s">
        <v>1169</v>
      </c>
      <c r="D6319" s="7" t="n">
        <v>2</v>
      </c>
      <c r="E6319" s="8" t="n">
        <v>1.805</v>
      </c>
      <c r="F6319" s="4" t="n">
        <f aca="false">D6319*E6319</f>
        <v>3.61</v>
      </c>
      <c r="G6319" s="7" t="n">
        <v>2</v>
      </c>
      <c r="H6319" s="9" t="n">
        <f aca="false">IF(G6319&gt;0,D6319/G6319,"")</f>
        <v>1</v>
      </c>
      <c r="I6319" s="10" t="n">
        <v>46267</v>
      </c>
      <c r="J6319" s="3" t="s">
        <v>2820</v>
      </c>
      <c r="K6319" s="10" t="n">
        <v>45187</v>
      </c>
      <c r="L6319" s="3" t="s">
        <v>19</v>
      </c>
      <c r="M6319" s="7" t="n">
        <v>10</v>
      </c>
      <c r="N6319" s="8" t="n">
        <v>1.806</v>
      </c>
      <c r="O6319" s="4" t="n">
        <f aca="false">M6319*N6319</f>
        <v>18.06</v>
      </c>
    </row>
    <row r="6320" customFormat="false" ht="15" hidden="false" customHeight="false" outlineLevel="0" collapsed="false">
      <c r="A6320" s="0" t="s">
        <v>8201</v>
      </c>
      <c r="C6320" s="0" t="s">
        <v>31</v>
      </c>
      <c r="D6320" s="7" t="n">
        <v>23</v>
      </c>
      <c r="E6320" s="8" t="n">
        <v>0.156521739130435</v>
      </c>
      <c r="F6320" s="4" t="n">
        <f aca="false">D6320*E6320</f>
        <v>3.6</v>
      </c>
      <c r="G6320" s="7" t="n">
        <v>12</v>
      </c>
      <c r="H6320" s="9" t="n">
        <f aca="false">IF(G6320&gt;0,D6320/G6320,"")</f>
        <v>1.91666666666667</v>
      </c>
      <c r="I6320" s="10" t="n">
        <v>46280</v>
      </c>
      <c r="K6320" s="10"/>
      <c r="M6320" s="7"/>
      <c r="N6320" s="8"/>
      <c r="O6320" s="4"/>
    </row>
    <row r="6321" customFormat="false" ht="15" hidden="false" customHeight="false" outlineLevel="0" collapsed="false">
      <c r="A6321" s="0" t="s">
        <v>8202</v>
      </c>
      <c r="C6321" s="0" t="s">
        <v>609</v>
      </c>
      <c r="D6321" s="7" t="n">
        <v>2</v>
      </c>
      <c r="E6321" s="8" t="n">
        <v>1.8</v>
      </c>
      <c r="F6321" s="4" t="n">
        <f aca="false">D6321*E6321</f>
        <v>3.6</v>
      </c>
      <c r="G6321" s="7" t="n">
        <v>2</v>
      </c>
      <c r="H6321" s="9" t="n">
        <f aca="false">IF(G6321&gt;0,D6321/G6321,"")</f>
        <v>1</v>
      </c>
      <c r="I6321" s="10" t="n">
        <v>45972</v>
      </c>
      <c r="J6321" s="3" t="s">
        <v>8203</v>
      </c>
      <c r="K6321" s="10" t="n">
        <v>44796</v>
      </c>
      <c r="L6321" s="3" t="s">
        <v>14</v>
      </c>
      <c r="M6321" s="7" t="n">
        <v>7</v>
      </c>
      <c r="N6321" s="8" t="n">
        <v>0</v>
      </c>
      <c r="O6321" s="4" t="n">
        <v>21.6198</v>
      </c>
    </row>
    <row r="6322" customFormat="false" ht="15" hidden="false" customHeight="false" outlineLevel="0" collapsed="false">
      <c r="A6322" s="0" t="s">
        <v>8204</v>
      </c>
      <c r="C6322" s="0" t="s">
        <v>855</v>
      </c>
      <c r="D6322" s="7" t="n">
        <v>80</v>
      </c>
      <c r="E6322" s="8" t="n">
        <v>0.04475</v>
      </c>
      <c r="F6322" s="4" t="n">
        <f aca="false">D6322*E6322</f>
        <v>3.58</v>
      </c>
      <c r="G6322" s="7" t="n">
        <v>76</v>
      </c>
      <c r="H6322" s="9" t="n">
        <f aca="false">IF(G6322&gt;0,D6322/G6322,"")</f>
        <v>1.05263157894737</v>
      </c>
      <c r="I6322" s="10" t="n">
        <v>46268</v>
      </c>
      <c r="J6322" s="3" t="s">
        <v>5831</v>
      </c>
      <c r="K6322" s="10" t="n">
        <v>44235</v>
      </c>
      <c r="L6322" s="3" t="s">
        <v>19</v>
      </c>
      <c r="M6322" s="7" t="n">
        <v>250</v>
      </c>
      <c r="N6322" s="8" t="n">
        <v>0.0447</v>
      </c>
      <c r="O6322" s="4" t="n">
        <f aca="false">M6322*N6322</f>
        <v>11.175</v>
      </c>
    </row>
    <row r="6323" customFormat="false" ht="15" hidden="false" customHeight="false" outlineLevel="0" collapsed="false">
      <c r="A6323" s="0" t="s">
        <v>8205</v>
      </c>
      <c r="C6323" s="0" t="s">
        <v>765</v>
      </c>
      <c r="D6323" s="7" t="n">
        <v>99</v>
      </c>
      <c r="E6323" s="8" t="n">
        <v>0.035959595959596</v>
      </c>
      <c r="F6323" s="4" t="n">
        <f aca="false">D6323*E6323</f>
        <v>3.56</v>
      </c>
      <c r="G6323" s="7" t="n">
        <v>26</v>
      </c>
      <c r="H6323" s="9" t="n">
        <f aca="false">IF(G6323&gt;0,D6323/G6323,"")</f>
        <v>3.80769230769231</v>
      </c>
      <c r="I6323" s="10" t="n">
        <v>46226</v>
      </c>
      <c r="K6323" s="10"/>
      <c r="M6323" s="7"/>
      <c r="N6323" s="8"/>
      <c r="O6323" s="4"/>
    </row>
    <row r="6324" customFormat="false" ht="15" hidden="false" customHeight="false" outlineLevel="0" collapsed="false">
      <c r="A6324" s="0" t="s">
        <v>8206</v>
      </c>
      <c r="C6324" s="0" t="s">
        <v>35</v>
      </c>
      <c r="D6324" s="7" t="n">
        <v>1</v>
      </c>
      <c r="E6324" s="8" t="n">
        <v>3.48</v>
      </c>
      <c r="F6324" s="4" t="n">
        <f aca="false">D6324*E6324</f>
        <v>3.48</v>
      </c>
      <c r="G6324" s="7" t="n">
        <v>1</v>
      </c>
      <c r="H6324" s="9" t="n">
        <f aca="false">IF(G6324&gt;0,D6324/G6324,"")</f>
        <v>1</v>
      </c>
      <c r="I6324" s="10" t="n">
        <v>45996</v>
      </c>
      <c r="J6324" s="3" t="s">
        <v>802</v>
      </c>
      <c r="K6324" s="10" t="n">
        <v>45824</v>
      </c>
      <c r="L6324" s="3" t="s">
        <v>14</v>
      </c>
      <c r="M6324" s="7" t="n">
        <v>30</v>
      </c>
      <c r="N6324" s="8" t="n">
        <v>3.4853333</v>
      </c>
      <c r="O6324" s="4" t="n">
        <f aca="false">M6324*N6324</f>
        <v>104.559999</v>
      </c>
    </row>
    <row r="6325" customFormat="false" ht="15" hidden="false" customHeight="false" outlineLevel="0" collapsed="false">
      <c r="A6325" s="0" t="s">
        <v>8207</v>
      </c>
      <c r="C6325" s="0" t="s">
        <v>544</v>
      </c>
      <c r="D6325" s="7" t="n">
        <v>3</v>
      </c>
      <c r="E6325" s="8" t="n">
        <v>1.15333333333333</v>
      </c>
      <c r="F6325" s="4" t="n">
        <f aca="false">D6325*E6325</f>
        <v>3.46</v>
      </c>
      <c r="G6325" s="7" t="n">
        <v>2</v>
      </c>
      <c r="H6325" s="9" t="n">
        <f aca="false">IF(G6325&gt;0,D6325/G6325,"")</f>
        <v>1.5</v>
      </c>
      <c r="I6325" s="10" t="n">
        <v>45953</v>
      </c>
      <c r="K6325" s="10"/>
      <c r="M6325" s="7"/>
      <c r="N6325" s="8"/>
      <c r="O6325" s="4"/>
    </row>
    <row r="6326" customFormat="false" ht="15" hidden="false" customHeight="false" outlineLevel="0" collapsed="false">
      <c r="A6326" s="0" t="s">
        <v>8208</v>
      </c>
      <c r="C6326" s="0" t="s">
        <v>31</v>
      </c>
      <c r="D6326" s="7" t="n">
        <v>586</v>
      </c>
      <c r="E6326" s="8" t="n">
        <v>0.00588737201365188</v>
      </c>
      <c r="F6326" s="4" t="n">
        <f aca="false">D6326*E6326</f>
        <v>3.45</v>
      </c>
      <c r="G6326" s="7" t="n">
        <v>157</v>
      </c>
      <c r="H6326" s="9" t="n">
        <f aca="false">IF(G6326&gt;0,D6326/G6326,"")</f>
        <v>3.73248407643312</v>
      </c>
      <c r="I6326" s="10" t="n">
        <v>46274</v>
      </c>
      <c r="K6326" s="10"/>
      <c r="M6326" s="7"/>
      <c r="N6326" s="8"/>
      <c r="O6326" s="4"/>
    </row>
    <row r="6327" customFormat="false" ht="15" hidden="false" customHeight="false" outlineLevel="0" collapsed="false">
      <c r="A6327" s="0" t="s">
        <v>8209</v>
      </c>
      <c r="C6327" s="0" t="s">
        <v>855</v>
      </c>
      <c r="D6327" s="7" t="n">
        <v>27</v>
      </c>
      <c r="E6327" s="8" t="n">
        <v>0.127777777777778</v>
      </c>
      <c r="F6327" s="4" t="n">
        <f aca="false">D6327*E6327</f>
        <v>3.45</v>
      </c>
      <c r="G6327" s="7" t="n">
        <v>17</v>
      </c>
      <c r="H6327" s="9" t="n">
        <f aca="false">IF(G6327&gt;0,D6327/G6327,"")</f>
        <v>1.58823529411765</v>
      </c>
      <c r="I6327" s="10" t="n">
        <v>46314</v>
      </c>
      <c r="J6327" s="3" t="s">
        <v>8210</v>
      </c>
      <c r="K6327" s="10" t="n">
        <v>45121</v>
      </c>
      <c r="L6327" s="3" t="s">
        <v>19</v>
      </c>
      <c r="M6327" s="7" t="n">
        <v>250</v>
      </c>
      <c r="N6327" s="8" t="n">
        <v>0.1279</v>
      </c>
      <c r="O6327" s="4" t="n">
        <f aca="false">M6327*N6327</f>
        <v>31.975</v>
      </c>
    </row>
    <row r="6328" customFormat="false" ht="15" hidden="false" customHeight="false" outlineLevel="0" collapsed="false">
      <c r="A6328" s="0" t="s">
        <v>8211</v>
      </c>
      <c r="C6328" s="0" t="s">
        <v>855</v>
      </c>
      <c r="D6328" s="7" t="n">
        <v>33</v>
      </c>
      <c r="E6328" s="8" t="n">
        <v>0.104242424242424</v>
      </c>
      <c r="F6328" s="4" t="n">
        <f aca="false">D6328*E6328</f>
        <v>3.44</v>
      </c>
      <c r="G6328" s="7" t="n">
        <v>33</v>
      </c>
      <c r="H6328" s="9" t="n">
        <f aca="false">IF(G6328&gt;0,D6328/G6328,"")</f>
        <v>1</v>
      </c>
      <c r="I6328" s="10" t="n">
        <v>46216</v>
      </c>
      <c r="J6328" s="3" t="s">
        <v>2564</v>
      </c>
      <c r="K6328" s="10" t="n">
        <v>44403</v>
      </c>
      <c r="L6328" s="3" t="s">
        <v>19</v>
      </c>
      <c r="M6328" s="7" t="n">
        <v>100</v>
      </c>
      <c r="N6328" s="8" t="n">
        <v>0.1044</v>
      </c>
      <c r="O6328" s="4" t="n">
        <f aca="false">M6328*N6328</f>
        <v>10.44</v>
      </c>
    </row>
    <row r="6329" customFormat="false" ht="15" hidden="false" customHeight="false" outlineLevel="0" collapsed="false">
      <c r="A6329" s="0" t="s">
        <v>8212</v>
      </c>
      <c r="C6329" s="0" t="s">
        <v>855</v>
      </c>
      <c r="D6329" s="7" t="n">
        <v>246</v>
      </c>
      <c r="E6329" s="8" t="n">
        <v>0.013739837398374</v>
      </c>
      <c r="F6329" s="4" t="n">
        <f aca="false">D6329*E6329</f>
        <v>3.38</v>
      </c>
      <c r="G6329" s="7" t="n">
        <v>32</v>
      </c>
      <c r="H6329" s="9" t="n">
        <f aca="false">IF(G6329&gt;0,D6329/G6329,"")</f>
        <v>7.6875</v>
      </c>
      <c r="I6329" s="10" t="n">
        <v>46293</v>
      </c>
      <c r="J6329" s="3" t="s">
        <v>8213</v>
      </c>
      <c r="K6329" s="10" t="n">
        <v>45304</v>
      </c>
      <c r="L6329" s="3" t="s">
        <v>16</v>
      </c>
      <c r="M6329" s="7" t="n">
        <v>1436</v>
      </c>
      <c r="N6329" s="8" t="n">
        <v>0.0137</v>
      </c>
      <c r="O6329" s="4" t="n">
        <f aca="false">M6329*N6329</f>
        <v>19.6732</v>
      </c>
    </row>
    <row r="6330" customFormat="false" ht="15" hidden="false" customHeight="false" outlineLevel="0" collapsed="false">
      <c r="A6330" s="0" t="s">
        <v>8214</v>
      </c>
      <c r="C6330" s="0" t="s">
        <v>360</v>
      </c>
      <c r="D6330" s="7" t="n">
        <v>11</v>
      </c>
      <c r="E6330" s="8" t="n">
        <v>0.307272727272727</v>
      </c>
      <c r="F6330" s="4" t="n">
        <f aca="false">D6330*E6330</f>
        <v>3.38</v>
      </c>
      <c r="G6330" s="7" t="n">
        <v>5</v>
      </c>
      <c r="H6330" s="9" t="n">
        <f aca="false">IF(G6330&gt;0,D6330/G6330,"")</f>
        <v>2.2</v>
      </c>
      <c r="I6330" s="10" t="n">
        <v>46076</v>
      </c>
      <c r="K6330" s="10"/>
      <c r="M6330" s="7"/>
      <c r="N6330" s="8"/>
      <c r="O6330" s="4"/>
    </row>
    <row r="6331" customFormat="false" ht="15" hidden="false" customHeight="false" outlineLevel="0" collapsed="false">
      <c r="A6331" s="0" t="s">
        <v>8215</v>
      </c>
      <c r="C6331" s="0" t="s">
        <v>31</v>
      </c>
      <c r="D6331" s="7" t="n">
        <v>50</v>
      </c>
      <c r="E6331" s="8" t="n">
        <v>0.067</v>
      </c>
      <c r="F6331" s="4" t="n">
        <f aca="false">D6331*E6331</f>
        <v>3.35</v>
      </c>
      <c r="G6331" s="7" t="n">
        <v>50</v>
      </c>
      <c r="H6331" s="9" t="n">
        <f aca="false">IF(G6331&gt;0,D6331/G6331,"")</f>
        <v>1</v>
      </c>
      <c r="I6331" s="10" t="n">
        <v>46246</v>
      </c>
      <c r="J6331" s="3" t="s">
        <v>8178</v>
      </c>
      <c r="K6331" s="10" t="n">
        <v>46238</v>
      </c>
      <c r="L6331" s="3" t="s">
        <v>26</v>
      </c>
      <c r="M6331" s="7" t="n">
        <v>100</v>
      </c>
      <c r="N6331" s="8" t="n">
        <v>0.0671</v>
      </c>
      <c r="O6331" s="4" t="n">
        <f aca="false">M6331*N6331</f>
        <v>6.71</v>
      </c>
    </row>
    <row r="6332" customFormat="false" ht="15" hidden="false" customHeight="false" outlineLevel="0" collapsed="false">
      <c r="A6332" s="0" t="s">
        <v>8216</v>
      </c>
      <c r="C6332" s="0" t="s">
        <v>360</v>
      </c>
      <c r="D6332" s="7" t="n">
        <v>3</v>
      </c>
      <c r="E6332" s="8" t="n">
        <v>1.1</v>
      </c>
      <c r="F6332" s="4" t="n">
        <f aca="false">D6332*E6332</f>
        <v>3.3</v>
      </c>
      <c r="G6332" s="7" t="n">
        <v>1</v>
      </c>
      <c r="H6332" s="9" t="n">
        <f aca="false">IF(G6332&gt;0,D6332/G6332,"")</f>
        <v>3</v>
      </c>
      <c r="I6332" s="10" t="n">
        <v>46034</v>
      </c>
      <c r="K6332" s="10"/>
      <c r="M6332" s="7"/>
      <c r="N6332" s="8"/>
      <c r="O6332" s="4"/>
    </row>
    <row r="6333" customFormat="false" ht="15" hidden="false" customHeight="false" outlineLevel="0" collapsed="false">
      <c r="A6333" s="0" t="s">
        <v>8217</v>
      </c>
      <c r="D6333" s="7" t="n">
        <v>4</v>
      </c>
      <c r="E6333" s="8" t="n">
        <v>0.8175</v>
      </c>
      <c r="F6333" s="4" t="n">
        <f aca="false">D6333*E6333</f>
        <v>3.27</v>
      </c>
      <c r="G6333" s="7" t="n">
        <v>2</v>
      </c>
      <c r="H6333" s="9" t="n">
        <f aca="false">IF(G6333&gt;0,D6333/G6333,"")</f>
        <v>2</v>
      </c>
      <c r="I6333" s="10" t="n">
        <v>46244</v>
      </c>
      <c r="K6333" s="10"/>
      <c r="M6333" s="7"/>
      <c r="N6333" s="8"/>
      <c r="O6333" s="4"/>
    </row>
    <row r="6334" customFormat="false" ht="15" hidden="false" customHeight="false" outlineLevel="0" collapsed="false">
      <c r="A6334" s="0" t="s">
        <v>8218</v>
      </c>
      <c r="C6334" s="0" t="s">
        <v>31</v>
      </c>
      <c r="D6334" s="7" t="n">
        <v>11</v>
      </c>
      <c r="E6334" s="8" t="n">
        <v>0.294545454545455</v>
      </c>
      <c r="F6334" s="4" t="n">
        <f aca="false">D6334*E6334</f>
        <v>3.24</v>
      </c>
      <c r="G6334" s="7" t="n">
        <v>5</v>
      </c>
      <c r="H6334" s="9" t="n">
        <f aca="false">IF(G6334&gt;0,D6334/G6334,"")</f>
        <v>2.2</v>
      </c>
      <c r="I6334" s="10" t="n">
        <v>46051</v>
      </c>
      <c r="K6334" s="10"/>
      <c r="M6334" s="7"/>
      <c r="N6334" s="8"/>
      <c r="O6334" s="4"/>
    </row>
    <row r="6335" customFormat="false" ht="15" hidden="false" customHeight="false" outlineLevel="0" collapsed="false">
      <c r="A6335" s="0" t="s">
        <v>8219</v>
      </c>
      <c r="C6335" s="0" t="s">
        <v>285</v>
      </c>
      <c r="D6335" s="7" t="n">
        <v>105</v>
      </c>
      <c r="E6335" s="8" t="n">
        <v>0.0306666666666667</v>
      </c>
      <c r="F6335" s="4" t="n">
        <f aca="false">D6335*E6335</f>
        <v>3.22</v>
      </c>
      <c r="G6335" s="7" t="n">
        <v>54</v>
      </c>
      <c r="H6335" s="9" t="n">
        <f aca="false">IF(G6335&gt;0,D6335/G6335,"")</f>
        <v>1.94444444444444</v>
      </c>
      <c r="I6335" s="10" t="n">
        <v>46155</v>
      </c>
      <c r="K6335" s="10"/>
      <c r="M6335" s="7"/>
      <c r="N6335" s="8"/>
      <c r="O6335" s="4"/>
    </row>
    <row r="6336" customFormat="false" ht="15" hidden="false" customHeight="false" outlineLevel="0" collapsed="false">
      <c r="A6336" s="0" t="s">
        <v>8220</v>
      </c>
      <c r="C6336" s="0" t="s">
        <v>31</v>
      </c>
      <c r="D6336" s="7" t="n">
        <v>126</v>
      </c>
      <c r="E6336" s="8" t="n">
        <v>0.0254761904761905</v>
      </c>
      <c r="F6336" s="4" t="n">
        <f aca="false">D6336*E6336</f>
        <v>3.21</v>
      </c>
      <c r="G6336" s="7" t="n">
        <v>30</v>
      </c>
      <c r="H6336" s="9" t="n">
        <f aca="false">IF(G6336&gt;0,D6336/G6336,"")</f>
        <v>4.2</v>
      </c>
      <c r="I6336" s="10" t="n">
        <v>46178</v>
      </c>
      <c r="J6336" s="3" t="s">
        <v>725</v>
      </c>
      <c r="K6336" s="10" t="n">
        <v>45523</v>
      </c>
      <c r="L6336" s="3" t="s">
        <v>14</v>
      </c>
      <c r="M6336" s="7" t="n">
        <v>200</v>
      </c>
      <c r="N6336" s="8" t="n">
        <v>0.0255</v>
      </c>
      <c r="O6336" s="4" t="n">
        <f aca="false">M6336*N6336</f>
        <v>5.1</v>
      </c>
    </row>
    <row r="6337" customFormat="false" ht="15" hidden="false" customHeight="false" outlineLevel="0" collapsed="false">
      <c r="A6337" s="0" t="s">
        <v>8221</v>
      </c>
      <c r="C6337" s="0" t="s">
        <v>31</v>
      </c>
      <c r="D6337" s="7" t="n">
        <v>27</v>
      </c>
      <c r="E6337" s="8" t="n">
        <v>0.118518518518519</v>
      </c>
      <c r="F6337" s="4" t="n">
        <f aca="false">D6337*E6337</f>
        <v>3.2</v>
      </c>
      <c r="G6337" s="7" t="n">
        <v>25</v>
      </c>
      <c r="H6337" s="9" t="n">
        <f aca="false">IF(G6337&gt;0,D6337/G6337,"")</f>
        <v>1.08</v>
      </c>
      <c r="I6337" s="10" t="n">
        <v>46230</v>
      </c>
      <c r="J6337" s="3" t="s">
        <v>1584</v>
      </c>
      <c r="K6337" s="10" t="n">
        <v>45275</v>
      </c>
      <c r="L6337" s="3" t="s">
        <v>15</v>
      </c>
      <c r="M6337" s="7" t="n">
        <v>158</v>
      </c>
      <c r="N6337" s="8" t="n">
        <v>0.1185</v>
      </c>
      <c r="O6337" s="4" t="n">
        <f aca="false">M6337*N6337</f>
        <v>18.723</v>
      </c>
    </row>
    <row r="6338" customFormat="false" ht="15" hidden="false" customHeight="false" outlineLevel="0" collapsed="false">
      <c r="A6338" s="0" t="s">
        <v>8222</v>
      </c>
      <c r="C6338" s="0" t="s">
        <v>855</v>
      </c>
      <c r="D6338" s="7" t="n">
        <v>401</v>
      </c>
      <c r="E6338" s="8" t="n">
        <v>0.00795511221945137</v>
      </c>
      <c r="F6338" s="4" t="n">
        <f aca="false">D6338*E6338</f>
        <v>3.19</v>
      </c>
      <c r="G6338" s="7" t="n">
        <v>36</v>
      </c>
      <c r="H6338" s="9" t="n">
        <f aca="false">IF(G6338&gt;0,D6338/G6338,"")</f>
        <v>11.1388888888889</v>
      </c>
      <c r="I6338" s="10" t="n">
        <v>45996</v>
      </c>
      <c r="K6338" s="10"/>
      <c r="M6338" s="7"/>
      <c r="N6338" s="8"/>
      <c r="O6338" s="4"/>
    </row>
    <row r="6339" customFormat="false" ht="15" hidden="false" customHeight="false" outlineLevel="0" collapsed="false">
      <c r="A6339" s="0" t="s">
        <v>8223</v>
      </c>
      <c r="C6339" s="0" t="s">
        <v>31</v>
      </c>
      <c r="D6339" s="7" t="n">
        <v>93</v>
      </c>
      <c r="E6339" s="8" t="n">
        <v>0.0326881720430108</v>
      </c>
      <c r="F6339" s="4" t="n">
        <f aca="false">D6339*E6339</f>
        <v>3.04</v>
      </c>
      <c r="G6339" s="7" t="n">
        <v>18</v>
      </c>
      <c r="H6339" s="9" t="n">
        <f aca="false">IF(G6339&gt;0,D6339/G6339,"")</f>
        <v>5.16666666666667</v>
      </c>
      <c r="I6339" s="10" t="n">
        <v>46126</v>
      </c>
      <c r="J6339" s="3" t="s">
        <v>2789</v>
      </c>
      <c r="K6339" s="10" t="n">
        <v>44256</v>
      </c>
      <c r="L6339" s="3" t="s">
        <v>15</v>
      </c>
      <c r="M6339" s="7" t="n">
        <v>150</v>
      </c>
      <c r="N6339" s="8" t="n">
        <v>0.03288</v>
      </c>
      <c r="O6339" s="4" t="n">
        <f aca="false">M6339*N6339</f>
        <v>4.932</v>
      </c>
    </row>
    <row r="6340" customFormat="false" ht="15" hidden="false" customHeight="false" outlineLevel="0" collapsed="false">
      <c r="A6340" s="0" t="s">
        <v>8224</v>
      </c>
      <c r="C6340" s="0" t="s">
        <v>31</v>
      </c>
      <c r="D6340" s="7" t="n">
        <v>33</v>
      </c>
      <c r="E6340" s="8" t="n">
        <v>0.0921212121212121</v>
      </c>
      <c r="F6340" s="4" t="n">
        <f aca="false">D6340*E6340</f>
        <v>3.04</v>
      </c>
      <c r="G6340" s="7" t="n">
        <v>10</v>
      </c>
      <c r="H6340" s="9" t="n">
        <f aca="false">IF(G6340&gt;0,D6340/G6340,"")</f>
        <v>3.3</v>
      </c>
      <c r="I6340" s="10" t="n">
        <v>46059</v>
      </c>
      <c r="J6340" s="3" t="s">
        <v>1311</v>
      </c>
      <c r="K6340" s="10" t="n">
        <v>45940</v>
      </c>
      <c r="L6340" s="3" t="s">
        <v>154</v>
      </c>
      <c r="M6340" s="7" t="n">
        <v>50</v>
      </c>
      <c r="N6340" s="8" t="n">
        <v>0.092</v>
      </c>
      <c r="O6340" s="4" t="n">
        <f aca="false">M6340*N6340</f>
        <v>4.6</v>
      </c>
    </row>
    <row r="6341" customFormat="false" ht="15" hidden="false" customHeight="false" outlineLevel="0" collapsed="false">
      <c r="A6341" s="0" t="s">
        <v>8225</v>
      </c>
      <c r="C6341" s="0" t="s">
        <v>34</v>
      </c>
      <c r="D6341" s="7" t="n">
        <v>6</v>
      </c>
      <c r="E6341" s="8" t="n">
        <v>0.501666666666667</v>
      </c>
      <c r="F6341" s="4" t="n">
        <f aca="false">D6341*E6341</f>
        <v>3.01</v>
      </c>
      <c r="G6341" s="7" t="n">
        <v>4</v>
      </c>
      <c r="H6341" s="9" t="n">
        <f aca="false">IF(G6341&gt;0,D6341/G6341,"")</f>
        <v>1.5</v>
      </c>
      <c r="I6341" s="10" t="n">
        <v>46246</v>
      </c>
      <c r="J6341" s="3" t="s">
        <v>2820</v>
      </c>
      <c r="K6341" s="10" t="n">
        <v>45187</v>
      </c>
      <c r="L6341" s="3" t="s">
        <v>19</v>
      </c>
      <c r="M6341" s="7" t="n">
        <v>100</v>
      </c>
      <c r="N6341" s="8" t="n">
        <v>0.5015</v>
      </c>
      <c r="O6341" s="4" t="n">
        <f aca="false">M6341*N6341</f>
        <v>50.15</v>
      </c>
    </row>
    <row r="6342" customFormat="false" ht="15" hidden="false" customHeight="false" outlineLevel="0" collapsed="false">
      <c r="A6342" s="0" t="s">
        <v>8226</v>
      </c>
      <c r="C6342" s="0" t="s">
        <v>31</v>
      </c>
      <c r="D6342" s="7" t="n">
        <v>8</v>
      </c>
      <c r="E6342" s="8" t="n">
        <v>0.3675</v>
      </c>
      <c r="F6342" s="4" t="n">
        <f aca="false">D6342*E6342</f>
        <v>2.94</v>
      </c>
      <c r="G6342" s="7" t="n">
        <v>6</v>
      </c>
      <c r="H6342" s="9" t="n">
        <f aca="false">IF(G6342&gt;0,D6342/G6342,"")</f>
        <v>1.33333333333333</v>
      </c>
      <c r="I6342" s="10" t="n">
        <v>46177</v>
      </c>
      <c r="J6342" s="3" t="s">
        <v>3979</v>
      </c>
      <c r="K6342" s="10" t="n">
        <v>44286</v>
      </c>
      <c r="L6342" s="3" t="s">
        <v>19</v>
      </c>
      <c r="M6342" s="7" t="n">
        <v>100</v>
      </c>
      <c r="N6342" s="8" t="n">
        <v>0.368</v>
      </c>
      <c r="O6342" s="4" t="n">
        <f aca="false">M6342*N6342</f>
        <v>36.8</v>
      </c>
    </row>
    <row r="6343" customFormat="false" ht="15" hidden="false" customHeight="false" outlineLevel="0" collapsed="false">
      <c r="A6343" s="0" t="s">
        <v>8227</v>
      </c>
      <c r="D6343" s="7" t="n">
        <v>22</v>
      </c>
      <c r="E6343" s="8" t="n">
        <v>0.13</v>
      </c>
      <c r="F6343" s="4" t="n">
        <f aca="false">D6343*E6343</f>
        <v>2.86</v>
      </c>
      <c r="G6343" s="7" t="n">
        <v>1</v>
      </c>
      <c r="H6343" s="9" t="n">
        <f aca="false">IF(G6343&gt;0,D6343/G6343,"")</f>
        <v>22</v>
      </c>
      <c r="I6343" s="10" t="n">
        <v>46113</v>
      </c>
      <c r="J6343" s="3" t="s">
        <v>7423</v>
      </c>
      <c r="K6343" s="10" t="n">
        <v>45357</v>
      </c>
      <c r="L6343" s="3" t="s">
        <v>4365</v>
      </c>
      <c r="M6343" s="7" t="n">
        <v>25</v>
      </c>
      <c r="N6343" s="8" t="n">
        <v>0.13</v>
      </c>
      <c r="O6343" s="4" t="n">
        <f aca="false">M6343*N6343</f>
        <v>3.25</v>
      </c>
    </row>
    <row r="6344" customFormat="false" ht="15" hidden="false" customHeight="false" outlineLevel="0" collapsed="false">
      <c r="A6344" s="0" t="s">
        <v>8228</v>
      </c>
      <c r="C6344" s="0" t="s">
        <v>36</v>
      </c>
      <c r="D6344" s="7" t="n">
        <v>7</v>
      </c>
      <c r="E6344" s="8" t="n">
        <v>0.392857142857143</v>
      </c>
      <c r="F6344" s="4" t="n">
        <f aca="false">D6344*E6344</f>
        <v>2.75</v>
      </c>
      <c r="G6344" s="7" t="n">
        <v>1</v>
      </c>
      <c r="H6344" s="9" t="n">
        <f aca="false">IF(G6344&gt;0,D6344/G6344,"")</f>
        <v>7</v>
      </c>
      <c r="I6344" s="10" t="n">
        <v>46308</v>
      </c>
      <c r="J6344" s="3" t="s">
        <v>4230</v>
      </c>
      <c r="K6344" s="10" t="n">
        <v>44312</v>
      </c>
      <c r="L6344" s="3" t="s">
        <v>15</v>
      </c>
      <c r="M6344" s="7" t="n">
        <v>156</v>
      </c>
      <c r="N6344" s="8" t="n">
        <v>0.39293</v>
      </c>
      <c r="O6344" s="4" t="n">
        <f aca="false">M6344*N6344</f>
        <v>61.29708</v>
      </c>
    </row>
    <row r="6345" customFormat="false" ht="15" hidden="false" customHeight="false" outlineLevel="0" collapsed="false">
      <c r="A6345" s="0" t="s">
        <v>8229</v>
      </c>
      <c r="C6345" s="0" t="s">
        <v>855</v>
      </c>
      <c r="D6345" s="7" t="n">
        <v>19</v>
      </c>
      <c r="E6345" s="8" t="n">
        <v>0.144736842105263</v>
      </c>
      <c r="F6345" s="4" t="n">
        <f aca="false">D6345*E6345</f>
        <v>2.75</v>
      </c>
      <c r="G6345" s="7" t="n">
        <v>15</v>
      </c>
      <c r="H6345" s="9" t="n">
        <f aca="false">IF(G6345&gt;0,D6345/G6345,"")</f>
        <v>1.26666666666667</v>
      </c>
      <c r="I6345" s="10" t="n">
        <v>46288</v>
      </c>
      <c r="K6345" s="10"/>
      <c r="M6345" s="7"/>
      <c r="N6345" s="8"/>
      <c r="O6345" s="4"/>
    </row>
    <row r="6346" customFormat="false" ht="15" hidden="false" customHeight="false" outlineLevel="0" collapsed="false">
      <c r="A6346" s="0" t="s">
        <v>8230</v>
      </c>
      <c r="C6346" s="0" t="s">
        <v>31</v>
      </c>
      <c r="D6346" s="7" t="n">
        <v>5</v>
      </c>
      <c r="E6346" s="8" t="n">
        <v>0.542</v>
      </c>
      <c r="F6346" s="4" t="n">
        <f aca="false">D6346*E6346</f>
        <v>2.71</v>
      </c>
      <c r="G6346" s="7" t="n">
        <v>3</v>
      </c>
      <c r="H6346" s="9" t="n">
        <f aca="false">IF(G6346&gt;0,D6346/G6346,"")</f>
        <v>1.66666666666667</v>
      </c>
      <c r="I6346" s="10" t="n">
        <v>46071</v>
      </c>
      <c r="K6346" s="10"/>
      <c r="M6346" s="7"/>
      <c r="N6346" s="8"/>
      <c r="O6346" s="4"/>
    </row>
    <row r="6347" customFormat="false" ht="15" hidden="false" customHeight="false" outlineLevel="0" collapsed="false">
      <c r="A6347" s="0" t="s">
        <v>8231</v>
      </c>
      <c r="C6347" s="0" t="s">
        <v>31</v>
      </c>
      <c r="D6347" s="7" t="n">
        <v>152</v>
      </c>
      <c r="E6347" s="8" t="n">
        <v>0.0177631578947368</v>
      </c>
      <c r="F6347" s="4" t="n">
        <f aca="false">D6347*E6347</f>
        <v>2.7</v>
      </c>
      <c r="G6347" s="7" t="n">
        <v>117</v>
      </c>
      <c r="H6347" s="9" t="n">
        <f aca="false">IF(G6347&gt;0,D6347/G6347,"")</f>
        <v>1.2991452991453</v>
      </c>
      <c r="I6347" s="10" t="n">
        <v>46238</v>
      </c>
      <c r="J6347" s="3" t="s">
        <v>5431</v>
      </c>
      <c r="K6347" s="10" t="n">
        <v>44764</v>
      </c>
      <c r="L6347" s="3" t="s">
        <v>19</v>
      </c>
      <c r="M6347" s="7" t="n">
        <v>1040</v>
      </c>
      <c r="N6347" s="8" t="n">
        <v>0</v>
      </c>
      <c r="O6347" s="4" t="n">
        <v>24.1</v>
      </c>
    </row>
    <row r="6348" customFormat="false" ht="15" hidden="false" customHeight="false" outlineLevel="0" collapsed="false">
      <c r="A6348" s="0" t="s">
        <v>8232</v>
      </c>
      <c r="C6348" s="0" t="s">
        <v>370</v>
      </c>
      <c r="D6348" s="7" t="n">
        <v>2</v>
      </c>
      <c r="E6348" s="8" t="n">
        <v>1.34</v>
      </c>
      <c r="F6348" s="4" t="n">
        <f aca="false">D6348*E6348</f>
        <v>2.68</v>
      </c>
      <c r="G6348" s="7" t="n">
        <v>2</v>
      </c>
      <c r="H6348" s="9" t="n">
        <f aca="false">IF(G6348&gt;0,D6348/G6348,"")</f>
        <v>1</v>
      </c>
      <c r="I6348" s="10" t="n">
        <v>46008</v>
      </c>
      <c r="J6348" s="3" t="s">
        <v>6630</v>
      </c>
      <c r="K6348" s="10" t="n">
        <v>45509</v>
      </c>
      <c r="L6348" s="3" t="s">
        <v>14</v>
      </c>
      <c r="M6348" s="7" t="n">
        <v>50</v>
      </c>
      <c r="N6348" s="8" t="n">
        <v>1.3424</v>
      </c>
      <c r="O6348" s="4" t="n">
        <f aca="false">M6348*N6348</f>
        <v>67.12</v>
      </c>
    </row>
    <row r="6349" customFormat="false" ht="15" hidden="false" customHeight="false" outlineLevel="0" collapsed="false">
      <c r="A6349" s="0" t="s">
        <v>8233</v>
      </c>
      <c r="C6349" s="0" t="s">
        <v>1039</v>
      </c>
      <c r="D6349" s="7" t="n">
        <v>478</v>
      </c>
      <c r="E6349" s="8" t="n">
        <v>0.00556485355648536</v>
      </c>
      <c r="F6349" s="4" t="n">
        <f aca="false">D6349*E6349</f>
        <v>2.66</v>
      </c>
      <c r="G6349" s="7" t="n">
        <v>385</v>
      </c>
      <c r="H6349" s="9" t="n">
        <f aca="false">IF(G6349&gt;0,D6349/G6349,"")</f>
        <v>1.24155844155844</v>
      </c>
      <c r="I6349" s="10" t="n">
        <v>46174</v>
      </c>
      <c r="J6349" s="3" t="s">
        <v>2294</v>
      </c>
      <c r="K6349" s="10" t="n">
        <v>46220</v>
      </c>
      <c r="L6349" s="3" t="s">
        <v>15</v>
      </c>
      <c r="M6349" s="7" t="n">
        <v>530</v>
      </c>
      <c r="N6349" s="8" t="n">
        <v>0.00429</v>
      </c>
      <c r="O6349" s="4" t="n">
        <f aca="false">M6349*N6349</f>
        <v>2.2737</v>
      </c>
    </row>
    <row r="6350" customFormat="false" ht="15" hidden="false" customHeight="false" outlineLevel="0" collapsed="false">
      <c r="A6350" s="0" t="s">
        <v>8234</v>
      </c>
      <c r="C6350" s="0" t="s">
        <v>31</v>
      </c>
      <c r="D6350" s="7" t="n">
        <v>90</v>
      </c>
      <c r="E6350" s="8" t="n">
        <v>0.0294444444444444</v>
      </c>
      <c r="F6350" s="4" t="n">
        <f aca="false">D6350*E6350</f>
        <v>2.65</v>
      </c>
      <c r="G6350" s="7" t="n">
        <v>20</v>
      </c>
      <c r="H6350" s="9" t="n">
        <f aca="false">IF(G6350&gt;0,D6350/G6350,"")</f>
        <v>4.5</v>
      </c>
      <c r="I6350" s="10" t="n">
        <v>46014</v>
      </c>
      <c r="K6350" s="10"/>
      <c r="M6350" s="7"/>
      <c r="N6350" s="8"/>
      <c r="O6350" s="4"/>
    </row>
    <row r="6351" customFormat="false" ht="15" hidden="false" customHeight="false" outlineLevel="0" collapsed="false">
      <c r="A6351" s="0" t="s">
        <v>8235</v>
      </c>
      <c r="D6351" s="7" t="n">
        <v>22</v>
      </c>
      <c r="E6351" s="8" t="n">
        <v>0.12</v>
      </c>
      <c r="F6351" s="4" t="n">
        <f aca="false">D6351*E6351</f>
        <v>2.64</v>
      </c>
      <c r="G6351" s="7" t="n">
        <v>3</v>
      </c>
      <c r="H6351" s="9" t="n">
        <f aca="false">IF(G6351&gt;0,D6351/G6351,"")</f>
        <v>7.33333333333333</v>
      </c>
      <c r="I6351" s="10" t="n">
        <v>46311</v>
      </c>
      <c r="J6351" s="3" t="s">
        <v>8089</v>
      </c>
      <c r="K6351" s="10" t="n">
        <v>46304</v>
      </c>
      <c r="L6351" s="3" t="s">
        <v>4365</v>
      </c>
      <c r="M6351" s="7" t="n">
        <v>25</v>
      </c>
      <c r="N6351" s="8" t="n">
        <v>0.12</v>
      </c>
      <c r="O6351" s="4" t="n">
        <f aca="false">M6351*N6351</f>
        <v>3</v>
      </c>
    </row>
    <row r="6352" customFormat="false" ht="15" hidden="false" customHeight="false" outlineLevel="0" collapsed="false">
      <c r="A6352" s="0" t="s">
        <v>8236</v>
      </c>
      <c r="C6352" s="0" t="s">
        <v>118</v>
      </c>
      <c r="D6352" s="7" t="n">
        <v>15</v>
      </c>
      <c r="E6352" s="8" t="n">
        <v>0.170666666666667</v>
      </c>
      <c r="F6352" s="4" t="n">
        <f aca="false">D6352*E6352</f>
        <v>2.56</v>
      </c>
      <c r="G6352" s="7" t="n">
        <v>3</v>
      </c>
      <c r="H6352" s="9" t="n">
        <f aca="false">IF(G6352&gt;0,D6352/G6352,"")</f>
        <v>5</v>
      </c>
      <c r="I6352" s="10" t="n">
        <v>46181</v>
      </c>
      <c r="K6352" s="10"/>
      <c r="M6352" s="7"/>
      <c r="N6352" s="8"/>
      <c r="O6352" s="4"/>
    </row>
    <row r="6353" customFormat="false" ht="15" hidden="false" customHeight="false" outlineLevel="0" collapsed="false">
      <c r="A6353" s="0" t="s">
        <v>8237</v>
      </c>
      <c r="C6353" s="0" t="s">
        <v>31</v>
      </c>
      <c r="D6353" s="7" t="n">
        <v>127</v>
      </c>
      <c r="E6353" s="8" t="n">
        <v>0.02</v>
      </c>
      <c r="F6353" s="4" t="n">
        <f aca="false">D6353*E6353</f>
        <v>2.54</v>
      </c>
      <c r="G6353" s="7" t="n">
        <v>45</v>
      </c>
      <c r="H6353" s="9" t="n">
        <f aca="false">IF(G6353&gt;0,D6353/G6353,"")</f>
        <v>2.82222222222222</v>
      </c>
      <c r="I6353" s="10" t="n">
        <v>46275</v>
      </c>
      <c r="K6353" s="10"/>
      <c r="M6353" s="7"/>
      <c r="N6353" s="8"/>
      <c r="O6353" s="4"/>
    </row>
    <row r="6354" customFormat="false" ht="15" hidden="false" customHeight="false" outlineLevel="0" collapsed="false">
      <c r="A6354" s="0" t="s">
        <v>8238</v>
      </c>
      <c r="C6354" s="0" t="s">
        <v>1010</v>
      </c>
      <c r="D6354" s="7" t="n">
        <v>6</v>
      </c>
      <c r="E6354" s="8" t="n">
        <v>0.421666666666667</v>
      </c>
      <c r="F6354" s="4" t="n">
        <f aca="false">D6354*E6354</f>
        <v>2.53</v>
      </c>
      <c r="G6354" s="7" t="n">
        <v>2</v>
      </c>
      <c r="H6354" s="9" t="n">
        <f aca="false">IF(G6354&gt;0,D6354/G6354,"")</f>
        <v>3</v>
      </c>
      <c r="I6354" s="10" t="n">
        <v>46216</v>
      </c>
      <c r="J6354" s="3" t="s">
        <v>812</v>
      </c>
      <c r="K6354" s="10" t="n">
        <v>44830</v>
      </c>
      <c r="L6354" s="3" t="s">
        <v>16</v>
      </c>
      <c r="M6354" s="7" t="n">
        <v>10</v>
      </c>
      <c r="N6354" s="8" t="n">
        <v>0.4234</v>
      </c>
      <c r="O6354" s="4" t="n">
        <f aca="false">M6354*N6354</f>
        <v>4.234</v>
      </c>
    </row>
    <row r="6355" customFormat="false" ht="15" hidden="false" customHeight="false" outlineLevel="0" collapsed="false">
      <c r="A6355" s="0" t="s">
        <v>8239</v>
      </c>
      <c r="C6355" s="0" t="s">
        <v>298</v>
      </c>
      <c r="D6355" s="7" t="n">
        <v>26</v>
      </c>
      <c r="E6355" s="8" t="n">
        <v>0.0973076923076923</v>
      </c>
      <c r="F6355" s="4" t="n">
        <f aca="false">D6355*E6355</f>
        <v>2.53</v>
      </c>
      <c r="G6355" s="7" t="n">
        <v>14</v>
      </c>
      <c r="H6355" s="9" t="n">
        <f aca="false">IF(G6355&gt;0,D6355/G6355,"")</f>
        <v>1.85714285714286</v>
      </c>
      <c r="I6355" s="10" t="n">
        <v>46071</v>
      </c>
      <c r="K6355" s="10"/>
      <c r="M6355" s="7"/>
      <c r="N6355" s="8"/>
      <c r="O6355" s="4"/>
    </row>
    <row r="6356" customFormat="false" ht="15" hidden="false" customHeight="false" outlineLevel="0" collapsed="false">
      <c r="A6356" s="0" t="s">
        <v>8240</v>
      </c>
      <c r="C6356" s="0" t="s">
        <v>765</v>
      </c>
      <c r="D6356" s="7" t="n">
        <v>17</v>
      </c>
      <c r="E6356" s="8" t="n">
        <v>0.146470588235294</v>
      </c>
      <c r="F6356" s="4" t="n">
        <f aca="false">D6356*E6356</f>
        <v>2.49</v>
      </c>
      <c r="G6356" s="7" t="n">
        <v>6</v>
      </c>
      <c r="H6356" s="9" t="n">
        <f aca="false">IF(G6356&gt;0,D6356/G6356,"")</f>
        <v>2.83333333333333</v>
      </c>
      <c r="I6356" s="10" t="n">
        <v>46169</v>
      </c>
      <c r="J6356" s="3" t="s">
        <v>8241</v>
      </c>
      <c r="K6356" s="10" t="n">
        <v>44249</v>
      </c>
      <c r="L6356" s="3" t="s">
        <v>14</v>
      </c>
      <c r="M6356" s="7" t="n">
        <v>100</v>
      </c>
      <c r="N6356" s="8" t="n">
        <v>0.1467</v>
      </c>
      <c r="O6356" s="4" t="n">
        <f aca="false">M6356*N6356</f>
        <v>14.67</v>
      </c>
    </row>
    <row r="6357" customFormat="false" ht="15" hidden="false" customHeight="false" outlineLevel="0" collapsed="false">
      <c r="A6357" s="0" t="s">
        <v>8242</v>
      </c>
      <c r="C6357" s="0" t="s">
        <v>1169</v>
      </c>
      <c r="D6357" s="7" t="n">
        <v>11</v>
      </c>
      <c r="E6357" s="8" t="n">
        <v>0.224545454545455</v>
      </c>
      <c r="F6357" s="4" t="n">
        <f aca="false">D6357*E6357</f>
        <v>2.47</v>
      </c>
      <c r="G6357" s="7" t="n">
        <v>4</v>
      </c>
      <c r="H6357" s="9" t="n">
        <f aca="false">IF(G6357&gt;0,D6357/G6357,"")</f>
        <v>2.75</v>
      </c>
      <c r="I6357" s="10" t="n">
        <v>46176</v>
      </c>
      <c r="J6357" s="3" t="s">
        <v>4237</v>
      </c>
      <c r="K6357" s="10" t="n">
        <v>44951</v>
      </c>
      <c r="L6357" s="3" t="s">
        <v>14</v>
      </c>
      <c r="M6357" s="7" t="n">
        <v>100</v>
      </c>
      <c r="N6357" s="8" t="n">
        <v>0.225</v>
      </c>
      <c r="O6357" s="4" t="n">
        <f aca="false">M6357*N6357</f>
        <v>22.5</v>
      </c>
    </row>
    <row r="6358" customFormat="false" ht="15" hidden="false" customHeight="false" outlineLevel="0" collapsed="false">
      <c r="A6358" s="0" t="s">
        <v>8243</v>
      </c>
      <c r="C6358" s="0" t="s">
        <v>34</v>
      </c>
      <c r="D6358" s="7" t="n">
        <v>5</v>
      </c>
      <c r="E6358" s="8" t="n">
        <v>0.494</v>
      </c>
      <c r="F6358" s="4" t="n">
        <f aca="false">D6358*E6358</f>
        <v>2.47</v>
      </c>
      <c r="G6358" s="7" t="n">
        <v>5</v>
      </c>
      <c r="H6358" s="9" t="n">
        <f aca="false">IF(G6358&gt;0,D6358/G6358,"")</f>
        <v>1</v>
      </c>
      <c r="I6358" s="10" t="n">
        <v>46209</v>
      </c>
      <c r="J6358" s="3" t="s">
        <v>3921</v>
      </c>
      <c r="K6358" s="10" t="n">
        <v>45203</v>
      </c>
      <c r="L6358" s="3" t="s">
        <v>19</v>
      </c>
      <c r="M6358" s="7" t="n">
        <v>50</v>
      </c>
      <c r="N6358" s="8" t="n">
        <v>0.4936</v>
      </c>
      <c r="O6358" s="4" t="n">
        <f aca="false">M6358*N6358</f>
        <v>24.68</v>
      </c>
    </row>
    <row r="6359" customFormat="false" ht="15" hidden="false" customHeight="false" outlineLevel="0" collapsed="false">
      <c r="A6359" s="0" t="s">
        <v>8244</v>
      </c>
      <c r="C6359" s="0" t="s">
        <v>34</v>
      </c>
      <c r="D6359" s="7" t="n">
        <v>37</v>
      </c>
      <c r="E6359" s="8" t="n">
        <v>0.0664864864864865</v>
      </c>
      <c r="F6359" s="4" t="n">
        <f aca="false">D6359*E6359</f>
        <v>2.46</v>
      </c>
      <c r="G6359" s="7" t="n">
        <v>5</v>
      </c>
      <c r="H6359" s="9" t="n">
        <f aca="false">IF(G6359&gt;0,D6359/G6359,"")</f>
        <v>7.4</v>
      </c>
      <c r="I6359" s="10" t="n">
        <v>46119</v>
      </c>
      <c r="J6359" s="3" t="s">
        <v>4645</v>
      </c>
      <c r="K6359" s="10" t="n">
        <v>46310</v>
      </c>
      <c r="L6359" s="3" t="s">
        <v>16</v>
      </c>
      <c r="M6359" s="7" t="n">
        <v>2300</v>
      </c>
      <c r="N6359" s="8" t="n">
        <v>0.0665</v>
      </c>
      <c r="O6359" s="4" t="n">
        <f aca="false">M6359*N6359</f>
        <v>152.95</v>
      </c>
    </row>
    <row r="6360" customFormat="false" ht="15" hidden="false" customHeight="false" outlineLevel="0" collapsed="false">
      <c r="A6360" s="0" t="s">
        <v>8245</v>
      </c>
      <c r="C6360" s="0" t="s">
        <v>715</v>
      </c>
      <c r="D6360" s="7" t="n">
        <v>4</v>
      </c>
      <c r="E6360" s="8" t="n">
        <v>0.61</v>
      </c>
      <c r="F6360" s="4" t="n">
        <f aca="false">D6360*E6360</f>
        <v>2.44</v>
      </c>
      <c r="G6360" s="7" t="n">
        <v>2</v>
      </c>
      <c r="H6360" s="9" t="n">
        <f aca="false">IF(G6360&gt;0,D6360/G6360,"")</f>
        <v>2</v>
      </c>
      <c r="I6360" s="10" t="n">
        <v>46027</v>
      </c>
      <c r="K6360" s="10"/>
      <c r="M6360" s="7"/>
      <c r="N6360" s="8"/>
      <c r="O6360" s="4"/>
    </row>
    <row r="6361" customFormat="false" ht="15" hidden="false" customHeight="false" outlineLevel="0" collapsed="false">
      <c r="A6361" s="0" t="s">
        <v>8246</v>
      </c>
      <c r="C6361" s="0" t="s">
        <v>31</v>
      </c>
      <c r="D6361" s="7" t="n">
        <v>52</v>
      </c>
      <c r="E6361" s="8" t="n">
        <v>0.0469230769230769</v>
      </c>
      <c r="F6361" s="4" t="n">
        <f aca="false">D6361*E6361</f>
        <v>2.44</v>
      </c>
      <c r="G6361" s="7" t="n">
        <v>50</v>
      </c>
      <c r="H6361" s="9" t="n">
        <f aca="false">IF(G6361&gt;0,D6361/G6361,"")</f>
        <v>1.04</v>
      </c>
      <c r="I6361" s="10" t="n">
        <v>46246</v>
      </c>
      <c r="J6361" s="3" t="s">
        <v>8178</v>
      </c>
      <c r="K6361" s="10" t="n">
        <v>46238</v>
      </c>
      <c r="L6361" s="3" t="s">
        <v>26</v>
      </c>
      <c r="M6361" s="7" t="n">
        <v>100</v>
      </c>
      <c r="N6361" s="8" t="n">
        <v>0.0468</v>
      </c>
      <c r="O6361" s="4" t="n">
        <f aca="false">M6361*N6361</f>
        <v>4.68</v>
      </c>
    </row>
    <row r="6362" customFormat="false" ht="15" hidden="false" customHeight="false" outlineLevel="0" collapsed="false">
      <c r="A6362" s="0" t="s">
        <v>8247</v>
      </c>
      <c r="C6362" s="0" t="s">
        <v>41</v>
      </c>
      <c r="D6362" s="7" t="n">
        <v>68</v>
      </c>
      <c r="E6362" s="8" t="n">
        <v>0.0355882352941177</v>
      </c>
      <c r="F6362" s="4" t="n">
        <f aca="false">D6362*E6362</f>
        <v>2.42</v>
      </c>
      <c r="G6362" s="7" t="n">
        <v>10</v>
      </c>
      <c r="H6362" s="9" t="n">
        <f aca="false">IF(G6362&gt;0,D6362/G6362,"")</f>
        <v>6.8</v>
      </c>
      <c r="I6362" s="10" t="n">
        <v>46099</v>
      </c>
      <c r="K6362" s="10"/>
      <c r="M6362" s="7"/>
      <c r="N6362" s="8"/>
      <c r="O6362" s="4"/>
    </row>
    <row r="6363" customFormat="false" ht="15" hidden="false" customHeight="false" outlineLevel="0" collapsed="false">
      <c r="A6363" s="0" t="s">
        <v>8248</v>
      </c>
      <c r="C6363" s="0" t="s">
        <v>31</v>
      </c>
      <c r="D6363" s="7" t="n">
        <v>8</v>
      </c>
      <c r="E6363" s="8" t="n">
        <v>0.29375</v>
      </c>
      <c r="F6363" s="4" t="n">
        <f aca="false">D6363*E6363</f>
        <v>2.35</v>
      </c>
      <c r="G6363" s="7" t="n">
        <v>4</v>
      </c>
      <c r="H6363" s="9" t="n">
        <f aca="false">IF(G6363&gt;0,D6363/G6363,"")</f>
        <v>2</v>
      </c>
      <c r="I6363" s="10" t="n">
        <v>46121</v>
      </c>
      <c r="J6363" s="3" t="s">
        <v>7224</v>
      </c>
      <c r="K6363" s="10" t="n">
        <v>45364</v>
      </c>
      <c r="L6363" s="3" t="s">
        <v>19</v>
      </c>
      <c r="M6363" s="7" t="n">
        <v>25</v>
      </c>
      <c r="N6363" s="8" t="n">
        <v>0.8834</v>
      </c>
      <c r="O6363" s="4" t="n">
        <f aca="false">M6363*N6363</f>
        <v>22.085</v>
      </c>
    </row>
    <row r="6364" customFormat="false" ht="15" hidden="false" customHeight="false" outlineLevel="0" collapsed="false">
      <c r="A6364" s="0" t="s">
        <v>8249</v>
      </c>
      <c r="C6364" s="0" t="s">
        <v>765</v>
      </c>
      <c r="D6364" s="7" t="n">
        <v>107</v>
      </c>
      <c r="E6364" s="8" t="n">
        <v>0.0217757009345794</v>
      </c>
      <c r="F6364" s="4" t="n">
        <f aca="false">D6364*E6364</f>
        <v>2.33</v>
      </c>
      <c r="G6364" s="7" t="n">
        <v>56</v>
      </c>
      <c r="H6364" s="9" t="n">
        <f aca="false">IF(G6364&gt;0,D6364/G6364,"")</f>
        <v>1.91071428571429</v>
      </c>
      <c r="I6364" s="10" t="n">
        <v>46163</v>
      </c>
      <c r="K6364" s="10"/>
      <c r="M6364" s="7"/>
      <c r="N6364" s="8"/>
      <c r="O6364" s="4"/>
    </row>
    <row r="6365" customFormat="false" ht="15" hidden="false" customHeight="false" outlineLevel="0" collapsed="false">
      <c r="A6365" s="0" t="s">
        <v>8250</v>
      </c>
      <c r="C6365" s="0" t="s">
        <v>31</v>
      </c>
      <c r="D6365" s="7" t="n">
        <v>11</v>
      </c>
      <c r="E6365" s="8" t="n">
        <v>0.209090909090909</v>
      </c>
      <c r="F6365" s="4" t="n">
        <f aca="false">D6365*E6365</f>
        <v>2.3</v>
      </c>
      <c r="G6365" s="7" t="n">
        <v>5</v>
      </c>
      <c r="H6365" s="9" t="n">
        <f aca="false">IF(G6365&gt;0,D6365/G6365,"")</f>
        <v>2.2</v>
      </c>
      <c r="I6365" s="10" t="n">
        <v>45993</v>
      </c>
      <c r="J6365" s="3" t="s">
        <v>137</v>
      </c>
      <c r="K6365" s="10" t="n">
        <v>44902</v>
      </c>
      <c r="L6365" s="3" t="s">
        <v>19</v>
      </c>
      <c r="M6365" s="7" t="n">
        <v>220</v>
      </c>
      <c r="N6365" s="8" t="n">
        <v>0.2064</v>
      </c>
      <c r="O6365" s="4" t="n">
        <f aca="false">M6365*N6365</f>
        <v>45.408</v>
      </c>
    </row>
    <row r="6366" customFormat="false" ht="15" hidden="false" customHeight="false" outlineLevel="0" collapsed="false">
      <c r="A6366" s="0" t="s">
        <v>8251</v>
      </c>
      <c r="C6366" s="0" t="s">
        <v>298</v>
      </c>
      <c r="D6366" s="7" t="n">
        <v>4</v>
      </c>
      <c r="E6366" s="8" t="n">
        <v>0.5575</v>
      </c>
      <c r="F6366" s="4" t="n">
        <f aca="false">D6366*E6366</f>
        <v>2.23</v>
      </c>
      <c r="G6366" s="7" t="n">
        <v>1</v>
      </c>
      <c r="H6366" s="9" t="n">
        <f aca="false">IF(G6366&gt;0,D6366/G6366,"")</f>
        <v>4</v>
      </c>
      <c r="I6366" s="10" t="n">
        <v>46021</v>
      </c>
      <c r="J6366" s="3" t="s">
        <v>8252</v>
      </c>
      <c r="K6366" s="10" t="n">
        <v>44960</v>
      </c>
      <c r="L6366" s="3" t="s">
        <v>19</v>
      </c>
      <c r="M6366" s="7" t="n">
        <v>116</v>
      </c>
      <c r="N6366" s="8" t="n">
        <v>0.5583</v>
      </c>
      <c r="O6366" s="4" t="n">
        <f aca="false">M6366*N6366</f>
        <v>64.7628</v>
      </c>
    </row>
    <row r="6367" customFormat="false" ht="15" hidden="false" customHeight="false" outlineLevel="0" collapsed="false">
      <c r="A6367" s="0" t="s">
        <v>8253</v>
      </c>
      <c r="C6367" s="0" t="s">
        <v>1169</v>
      </c>
      <c r="D6367" s="7" t="n">
        <v>1</v>
      </c>
      <c r="E6367" s="8" t="n">
        <v>2.19</v>
      </c>
      <c r="F6367" s="4" t="n">
        <f aca="false">D6367*E6367</f>
        <v>2.19</v>
      </c>
      <c r="G6367" s="7" t="n">
        <v>1</v>
      </c>
      <c r="H6367" s="9" t="n">
        <f aca="false">IF(G6367&gt;0,D6367/G6367,"")</f>
        <v>1</v>
      </c>
      <c r="I6367" s="10" t="n">
        <v>46211</v>
      </c>
      <c r="J6367" s="3" t="s">
        <v>6532</v>
      </c>
      <c r="K6367" s="10" t="n">
        <v>44589</v>
      </c>
      <c r="L6367" s="3" t="s">
        <v>19</v>
      </c>
      <c r="M6367" s="7" t="n">
        <v>10</v>
      </c>
      <c r="N6367" s="8" t="n">
        <v>2.1924</v>
      </c>
      <c r="O6367" s="4" t="n">
        <f aca="false">M6367*N6367</f>
        <v>21.924</v>
      </c>
    </row>
    <row r="6368" customFormat="false" ht="15" hidden="false" customHeight="false" outlineLevel="0" collapsed="false">
      <c r="A6368" s="0" t="s">
        <v>8254</v>
      </c>
      <c r="D6368" s="7" t="n">
        <v>1</v>
      </c>
      <c r="E6368" s="8" t="n">
        <v>2.15</v>
      </c>
      <c r="F6368" s="4" t="n">
        <f aca="false">D6368*E6368</f>
        <v>2.15</v>
      </c>
      <c r="G6368" s="7" t="n">
        <v>1</v>
      </c>
      <c r="H6368" s="9" t="n">
        <f aca="false">IF(G6368&gt;0,D6368/G6368,"")</f>
        <v>1</v>
      </c>
      <c r="I6368" s="10" t="n">
        <v>46010</v>
      </c>
      <c r="K6368" s="10"/>
      <c r="M6368" s="7"/>
      <c r="N6368" s="8"/>
      <c r="O6368" s="4"/>
    </row>
    <row r="6369" customFormat="false" ht="15" hidden="false" customHeight="false" outlineLevel="0" collapsed="false">
      <c r="A6369" s="0" t="s">
        <v>8255</v>
      </c>
      <c r="C6369" s="0" t="s">
        <v>41</v>
      </c>
      <c r="D6369" s="7" t="n">
        <v>49</v>
      </c>
      <c r="E6369" s="8" t="n">
        <v>0.0436734693877551</v>
      </c>
      <c r="F6369" s="4" t="n">
        <f aca="false">D6369*E6369</f>
        <v>2.14</v>
      </c>
      <c r="G6369" s="7" t="n">
        <v>44</v>
      </c>
      <c r="H6369" s="9" t="n">
        <f aca="false">IF(G6369&gt;0,D6369/G6369,"")</f>
        <v>1.11363636363636</v>
      </c>
      <c r="I6369" s="10" t="n">
        <v>46210</v>
      </c>
      <c r="J6369" s="3" t="s">
        <v>6759</v>
      </c>
      <c r="K6369" s="10" t="n">
        <v>44305</v>
      </c>
      <c r="L6369" s="3" t="s">
        <v>19</v>
      </c>
      <c r="M6369" s="7" t="n">
        <v>500</v>
      </c>
      <c r="N6369" s="8" t="n">
        <v>0.0437</v>
      </c>
      <c r="O6369" s="4" t="n">
        <f aca="false">M6369*N6369</f>
        <v>21.85</v>
      </c>
    </row>
    <row r="6370" customFormat="false" ht="15" hidden="false" customHeight="false" outlineLevel="0" collapsed="false">
      <c r="A6370" s="0" t="s">
        <v>8256</v>
      </c>
      <c r="C6370" s="0" t="s">
        <v>38</v>
      </c>
      <c r="D6370" s="7" t="n">
        <v>10</v>
      </c>
      <c r="E6370" s="8" t="n">
        <v>0.213</v>
      </c>
      <c r="F6370" s="4" t="n">
        <f aca="false">D6370*E6370</f>
        <v>2.13</v>
      </c>
      <c r="G6370" s="7" t="n">
        <v>5</v>
      </c>
      <c r="H6370" s="9" t="n">
        <f aca="false">IF(G6370&gt;0,D6370/G6370,"")</f>
        <v>2</v>
      </c>
      <c r="I6370" s="10" t="n">
        <v>46226</v>
      </c>
      <c r="K6370" s="10"/>
      <c r="M6370" s="7"/>
      <c r="N6370" s="8"/>
      <c r="O6370" s="4"/>
    </row>
    <row r="6371" customFormat="false" ht="15" hidden="false" customHeight="false" outlineLevel="0" collapsed="false">
      <c r="A6371" s="0" t="s">
        <v>8257</v>
      </c>
      <c r="C6371" s="0" t="s">
        <v>31</v>
      </c>
      <c r="D6371" s="7" t="n">
        <v>7</v>
      </c>
      <c r="E6371" s="8" t="n">
        <v>0.301428571428571</v>
      </c>
      <c r="F6371" s="4" t="n">
        <f aca="false">D6371*E6371</f>
        <v>2.11</v>
      </c>
      <c r="G6371" s="7" t="n">
        <v>4</v>
      </c>
      <c r="H6371" s="9" t="n">
        <f aca="false">IF(G6371&gt;0,D6371/G6371,"")</f>
        <v>1.75</v>
      </c>
      <c r="I6371" s="10" t="n">
        <v>45993</v>
      </c>
      <c r="J6371" s="3" t="s">
        <v>5340</v>
      </c>
      <c r="K6371" s="10" t="n">
        <v>44285</v>
      </c>
      <c r="L6371" s="3" t="s">
        <v>19</v>
      </c>
      <c r="M6371" s="7" t="n">
        <v>100</v>
      </c>
      <c r="N6371" s="8" t="n">
        <v>0.3008</v>
      </c>
      <c r="O6371" s="4" t="n">
        <f aca="false">M6371*N6371</f>
        <v>30.08</v>
      </c>
    </row>
    <row r="6372" customFormat="false" ht="15" hidden="false" customHeight="false" outlineLevel="0" collapsed="false">
      <c r="A6372" s="0" t="s">
        <v>8258</v>
      </c>
      <c r="C6372" s="0" t="s">
        <v>855</v>
      </c>
      <c r="D6372" s="7" t="n">
        <v>447</v>
      </c>
      <c r="E6372" s="8" t="n">
        <v>0.00458612975391499</v>
      </c>
      <c r="F6372" s="4" t="n">
        <f aca="false">D6372*E6372</f>
        <v>2.05</v>
      </c>
      <c r="G6372" s="7" t="n">
        <v>351</v>
      </c>
      <c r="H6372" s="9" t="n">
        <f aca="false">IF(G6372&gt;0,D6372/G6372,"")</f>
        <v>1.27350427350427</v>
      </c>
      <c r="I6372" s="10" t="n">
        <v>46244</v>
      </c>
      <c r="J6372" s="3" t="s">
        <v>886</v>
      </c>
      <c r="K6372" s="10" t="n">
        <v>44293</v>
      </c>
      <c r="L6372" s="3" t="s">
        <v>15</v>
      </c>
      <c r="M6372" s="7" t="n">
        <v>1340</v>
      </c>
      <c r="N6372" s="8" t="n">
        <v>0.00461</v>
      </c>
      <c r="O6372" s="4" t="n">
        <f aca="false">M6372*N6372</f>
        <v>6.1774</v>
      </c>
    </row>
    <row r="6373" customFormat="false" ht="15" hidden="false" customHeight="false" outlineLevel="0" collapsed="false">
      <c r="A6373" s="0" t="s">
        <v>8259</v>
      </c>
      <c r="C6373" s="0" t="s">
        <v>765</v>
      </c>
      <c r="D6373" s="7" t="n">
        <v>13</v>
      </c>
      <c r="E6373" s="8" t="n">
        <v>0.156153846153846</v>
      </c>
      <c r="F6373" s="4" t="n">
        <f aca="false">D6373*E6373</f>
        <v>2.03</v>
      </c>
      <c r="G6373" s="7" t="n">
        <v>4</v>
      </c>
      <c r="H6373" s="9" t="n">
        <f aca="false">IF(G6373&gt;0,D6373/G6373,"")</f>
        <v>3.25</v>
      </c>
      <c r="I6373" s="10" t="n">
        <v>46021</v>
      </c>
      <c r="K6373" s="10"/>
      <c r="M6373" s="7"/>
      <c r="N6373" s="8"/>
      <c r="O6373" s="4"/>
    </row>
    <row r="6374" customFormat="false" ht="15" hidden="false" customHeight="false" outlineLevel="0" collapsed="false">
      <c r="A6374" s="0" t="s">
        <v>8260</v>
      </c>
      <c r="C6374" s="0" t="s">
        <v>5255</v>
      </c>
      <c r="D6374" s="7" t="n">
        <v>6</v>
      </c>
      <c r="E6374" s="8" t="n">
        <v>0.335</v>
      </c>
      <c r="F6374" s="4" t="n">
        <f aca="false">D6374*E6374</f>
        <v>2.01</v>
      </c>
      <c r="G6374" s="7" t="n">
        <v>5</v>
      </c>
      <c r="H6374" s="9" t="n">
        <f aca="false">IF(G6374&gt;0,D6374/G6374,"")</f>
        <v>1.2</v>
      </c>
      <c r="I6374" s="10" t="n">
        <v>46106</v>
      </c>
      <c r="K6374" s="10"/>
      <c r="M6374" s="7"/>
      <c r="N6374" s="8"/>
      <c r="O6374" s="4"/>
    </row>
    <row r="6375" customFormat="false" ht="15" hidden="false" customHeight="false" outlineLevel="0" collapsed="false">
      <c r="A6375" s="0" t="s">
        <v>8261</v>
      </c>
      <c r="C6375" s="0" t="s">
        <v>855</v>
      </c>
      <c r="D6375" s="7" t="n">
        <v>161</v>
      </c>
      <c r="E6375" s="8" t="n">
        <v>0.0124844720496894</v>
      </c>
      <c r="F6375" s="4" t="n">
        <f aca="false">D6375*E6375</f>
        <v>2.01</v>
      </c>
      <c r="G6375" s="7" t="n">
        <v>142</v>
      </c>
      <c r="H6375" s="9" t="n">
        <f aca="false">IF(G6375&gt;0,D6375/G6375,"")</f>
        <v>1.13380281690141</v>
      </c>
      <c r="I6375" s="10" t="n">
        <v>46014</v>
      </c>
      <c r="J6375" s="3" t="s">
        <v>1934</v>
      </c>
      <c r="K6375" s="10" t="n">
        <v>44337</v>
      </c>
      <c r="L6375" s="3" t="s">
        <v>19</v>
      </c>
      <c r="M6375" s="7" t="n">
        <v>1000</v>
      </c>
      <c r="N6375" s="8" t="n">
        <v>0.0125</v>
      </c>
      <c r="O6375" s="4" t="n">
        <f aca="false">M6375*N6375</f>
        <v>12.5</v>
      </c>
    </row>
    <row r="6376" customFormat="false" ht="15" hidden="false" customHeight="false" outlineLevel="0" collapsed="false">
      <c r="A6376" s="0" t="s">
        <v>8262</v>
      </c>
      <c r="C6376" s="0" t="s">
        <v>118</v>
      </c>
      <c r="D6376" s="7" t="n">
        <v>61</v>
      </c>
      <c r="E6376" s="8" t="n">
        <v>0.0324590163934426</v>
      </c>
      <c r="F6376" s="4" t="n">
        <f aca="false">D6376*E6376</f>
        <v>1.98</v>
      </c>
      <c r="G6376" s="7" t="n">
        <v>42</v>
      </c>
      <c r="H6376" s="9" t="n">
        <f aca="false">IF(G6376&gt;0,D6376/G6376,"")</f>
        <v>1.45238095238095</v>
      </c>
      <c r="I6376" s="10" t="n">
        <v>46099</v>
      </c>
      <c r="K6376" s="10"/>
      <c r="M6376" s="7"/>
      <c r="N6376" s="8"/>
      <c r="O6376" s="4"/>
    </row>
    <row r="6377" customFormat="false" ht="15" hidden="false" customHeight="false" outlineLevel="0" collapsed="false">
      <c r="A6377" s="0" t="s">
        <v>8263</v>
      </c>
      <c r="C6377" s="0" t="s">
        <v>31</v>
      </c>
      <c r="D6377" s="7" t="n">
        <v>11</v>
      </c>
      <c r="E6377" s="8" t="n">
        <v>0.167272727272727</v>
      </c>
      <c r="F6377" s="4" t="n">
        <f aca="false">D6377*E6377</f>
        <v>1.84</v>
      </c>
      <c r="G6377" s="7" t="n">
        <v>8</v>
      </c>
      <c r="H6377" s="9" t="n">
        <f aca="false">IF(G6377&gt;0,D6377/G6377,"")</f>
        <v>1.375</v>
      </c>
      <c r="I6377" s="10" t="n">
        <v>45993</v>
      </c>
      <c r="K6377" s="10"/>
      <c r="M6377" s="7"/>
      <c r="N6377" s="8"/>
      <c r="O6377" s="4"/>
    </row>
    <row r="6378" customFormat="false" ht="15" hidden="false" customHeight="false" outlineLevel="0" collapsed="false">
      <c r="A6378" s="0" t="s">
        <v>8264</v>
      </c>
      <c r="D6378" s="7" t="n">
        <v>9</v>
      </c>
      <c r="E6378" s="8" t="n">
        <v>0.192222222222222</v>
      </c>
      <c r="F6378" s="4" t="n">
        <f aca="false">D6378*E6378</f>
        <v>1.73</v>
      </c>
      <c r="G6378" s="7" t="n">
        <v>5</v>
      </c>
      <c r="H6378" s="9" t="n">
        <f aca="false">IF(G6378&gt;0,D6378/G6378,"")</f>
        <v>1.8</v>
      </c>
      <c r="I6378" s="10" t="n">
        <v>46314</v>
      </c>
      <c r="K6378" s="10"/>
      <c r="M6378" s="7"/>
      <c r="N6378" s="8"/>
      <c r="O6378" s="4"/>
    </row>
    <row r="6379" customFormat="false" ht="15" hidden="false" customHeight="false" outlineLevel="0" collapsed="false">
      <c r="A6379" s="0" t="s">
        <v>8265</v>
      </c>
      <c r="C6379" s="0" t="s">
        <v>34</v>
      </c>
      <c r="D6379" s="7" t="n">
        <v>201</v>
      </c>
      <c r="E6379" s="8" t="n">
        <v>0.0082089552238806</v>
      </c>
      <c r="F6379" s="4" t="n">
        <f aca="false">D6379*E6379</f>
        <v>1.65</v>
      </c>
      <c r="G6379" s="7" t="n">
        <v>54</v>
      </c>
      <c r="H6379" s="9" t="n">
        <f aca="false">IF(G6379&gt;0,D6379/G6379,"")</f>
        <v>3.72222222222222</v>
      </c>
      <c r="I6379" s="10" t="n">
        <v>46170</v>
      </c>
      <c r="J6379" s="3" t="s">
        <v>5419</v>
      </c>
      <c r="K6379" s="10" t="n">
        <v>44980</v>
      </c>
      <c r="L6379" s="3" t="s">
        <v>15</v>
      </c>
      <c r="M6379" s="7" t="n">
        <v>1000</v>
      </c>
      <c r="N6379" s="8" t="n">
        <v>0.00816</v>
      </c>
      <c r="O6379" s="4" t="n">
        <f aca="false">M6379*N6379</f>
        <v>8.16</v>
      </c>
    </row>
    <row r="6380" customFormat="false" ht="15" hidden="false" customHeight="false" outlineLevel="0" collapsed="false">
      <c r="A6380" s="0" t="s">
        <v>8266</v>
      </c>
      <c r="C6380" s="0" t="s">
        <v>41</v>
      </c>
      <c r="D6380" s="7" t="n">
        <v>25</v>
      </c>
      <c r="E6380" s="8" t="n">
        <v>0.0652</v>
      </c>
      <c r="F6380" s="4" t="n">
        <f aca="false">D6380*E6380</f>
        <v>1.63</v>
      </c>
      <c r="G6380" s="7" t="n">
        <v>10</v>
      </c>
      <c r="H6380" s="9" t="n">
        <f aca="false">IF(G6380&gt;0,D6380/G6380,"")</f>
        <v>2.5</v>
      </c>
      <c r="I6380" s="10" t="n">
        <v>46147</v>
      </c>
      <c r="J6380" s="3" t="s">
        <v>8267</v>
      </c>
      <c r="K6380" s="10" t="n">
        <v>45261</v>
      </c>
      <c r="L6380" s="3" t="s">
        <v>15</v>
      </c>
      <c r="M6380" s="7" t="n">
        <v>115</v>
      </c>
      <c r="N6380" s="8" t="n">
        <v>0.06504</v>
      </c>
      <c r="O6380" s="4" t="n">
        <f aca="false">M6380*N6380</f>
        <v>7.4796</v>
      </c>
    </row>
    <row r="6381" customFormat="false" ht="15" hidden="false" customHeight="false" outlineLevel="0" collapsed="false">
      <c r="A6381" s="0" t="s">
        <v>8268</v>
      </c>
      <c r="C6381" s="0" t="s">
        <v>36</v>
      </c>
      <c r="D6381" s="7" t="n">
        <v>9</v>
      </c>
      <c r="E6381" s="8" t="n">
        <v>0.167777777777778</v>
      </c>
      <c r="F6381" s="4" t="n">
        <f aca="false">D6381*E6381</f>
        <v>1.51</v>
      </c>
      <c r="G6381" s="7" t="n">
        <v>6</v>
      </c>
      <c r="H6381" s="9" t="n">
        <f aca="false">IF(G6381&gt;0,D6381/G6381,"")</f>
        <v>1.5</v>
      </c>
      <c r="I6381" s="10" t="n">
        <v>46160</v>
      </c>
      <c r="K6381" s="10"/>
      <c r="M6381" s="7"/>
      <c r="N6381" s="8"/>
      <c r="O6381" s="4"/>
    </row>
    <row r="6382" customFormat="false" ht="15" hidden="false" customHeight="false" outlineLevel="0" collapsed="false">
      <c r="A6382" s="0" t="s">
        <v>8269</v>
      </c>
      <c r="C6382" s="0" t="s">
        <v>61</v>
      </c>
      <c r="D6382" s="7" t="n">
        <v>6</v>
      </c>
      <c r="E6382" s="8" t="n">
        <v>0.24</v>
      </c>
      <c r="F6382" s="4" t="n">
        <f aca="false">D6382*E6382</f>
        <v>1.44</v>
      </c>
      <c r="G6382" s="7" t="n">
        <v>4</v>
      </c>
      <c r="H6382" s="9" t="n">
        <f aca="false">IF(G6382&gt;0,D6382/G6382,"")</f>
        <v>1.5</v>
      </c>
      <c r="I6382" s="10" t="n">
        <v>46177</v>
      </c>
      <c r="J6382" s="3" t="s">
        <v>1663</v>
      </c>
      <c r="K6382" s="10" t="n">
        <v>44291</v>
      </c>
      <c r="L6382" s="3" t="s">
        <v>23</v>
      </c>
      <c r="M6382" s="7" t="n">
        <v>1200</v>
      </c>
      <c r="N6382" s="8" t="n">
        <v>0.24</v>
      </c>
      <c r="O6382" s="4" t="n">
        <f aca="false">M6382*N6382</f>
        <v>288</v>
      </c>
    </row>
    <row r="6383" customFormat="false" ht="15" hidden="false" customHeight="false" outlineLevel="0" collapsed="false">
      <c r="A6383" s="0" t="s">
        <v>8270</v>
      </c>
      <c r="C6383" s="0" t="s">
        <v>95</v>
      </c>
      <c r="D6383" s="7" t="n">
        <v>20</v>
      </c>
      <c r="E6383" s="8" t="n">
        <v>0.0695</v>
      </c>
      <c r="F6383" s="4" t="n">
        <f aca="false">D6383*E6383</f>
        <v>1.39</v>
      </c>
      <c r="G6383" s="7" t="n">
        <v>20</v>
      </c>
      <c r="H6383" s="9" t="n">
        <f aca="false">IF(G6383&gt;0,D6383/G6383,"")</f>
        <v>1</v>
      </c>
      <c r="I6383" s="10" t="n">
        <v>46177</v>
      </c>
      <c r="J6383" s="3" t="s">
        <v>3273</v>
      </c>
      <c r="K6383" s="10" t="n">
        <v>46043</v>
      </c>
      <c r="L6383" s="3" t="s">
        <v>21</v>
      </c>
      <c r="M6383" s="7" t="n">
        <v>1025</v>
      </c>
      <c r="N6383" s="8" t="n">
        <v>0.067</v>
      </c>
      <c r="O6383" s="4" t="n">
        <f aca="false">M6383*N6383</f>
        <v>68.675</v>
      </c>
    </row>
    <row r="6384" customFormat="false" ht="15" hidden="false" customHeight="false" outlineLevel="0" collapsed="false">
      <c r="A6384" s="0" t="s">
        <v>8271</v>
      </c>
      <c r="C6384" s="0" t="s">
        <v>36</v>
      </c>
      <c r="D6384" s="7" t="n">
        <v>32</v>
      </c>
      <c r="E6384" s="8" t="n">
        <v>0.0396875</v>
      </c>
      <c r="F6384" s="4" t="n">
        <f aca="false">D6384*E6384</f>
        <v>1.27</v>
      </c>
      <c r="G6384" s="7" t="n">
        <v>10</v>
      </c>
      <c r="H6384" s="9" t="n">
        <f aca="false">IF(G6384&gt;0,D6384/G6384,"")</f>
        <v>3.2</v>
      </c>
      <c r="I6384" s="10" t="n">
        <v>46255</v>
      </c>
      <c r="J6384" s="3" t="s">
        <v>8272</v>
      </c>
      <c r="K6384" s="10" t="n">
        <v>44376</v>
      </c>
      <c r="L6384" s="3" t="s">
        <v>14</v>
      </c>
      <c r="M6384" s="7" t="n">
        <v>1282</v>
      </c>
      <c r="N6384" s="8" t="n">
        <v>0.0605</v>
      </c>
      <c r="O6384" s="4" t="n">
        <f aca="false">M6384*N6384</f>
        <v>77.561</v>
      </c>
    </row>
    <row r="6385" customFormat="false" ht="15" hidden="false" customHeight="false" outlineLevel="0" collapsed="false">
      <c r="A6385" s="0" t="s">
        <v>8273</v>
      </c>
      <c r="C6385" s="0" t="s">
        <v>31</v>
      </c>
      <c r="D6385" s="7" t="n">
        <v>18</v>
      </c>
      <c r="E6385" s="8" t="n">
        <v>0.07</v>
      </c>
      <c r="F6385" s="4" t="n">
        <f aca="false">D6385*E6385</f>
        <v>1.26</v>
      </c>
      <c r="G6385" s="7" t="n">
        <v>10</v>
      </c>
      <c r="H6385" s="9" t="n">
        <f aca="false">IF(G6385&gt;0,D6385/G6385,"")</f>
        <v>1.8</v>
      </c>
      <c r="I6385" s="10" t="n">
        <v>46036</v>
      </c>
      <c r="J6385" s="3" t="s">
        <v>8274</v>
      </c>
      <c r="K6385" s="10" t="n">
        <v>44834</v>
      </c>
      <c r="L6385" s="3" t="s">
        <v>25</v>
      </c>
      <c r="M6385" s="7" t="n">
        <v>108</v>
      </c>
      <c r="N6385" s="8" t="n">
        <v>0.07</v>
      </c>
      <c r="O6385" s="4" t="n">
        <f aca="false">M6385*N6385</f>
        <v>7.56</v>
      </c>
    </row>
    <row r="6386" customFormat="false" ht="15" hidden="false" customHeight="false" outlineLevel="0" collapsed="false">
      <c r="A6386" s="0" t="s">
        <v>8275</v>
      </c>
      <c r="C6386" s="0" t="s">
        <v>34</v>
      </c>
      <c r="D6386" s="7" t="n">
        <v>20</v>
      </c>
      <c r="E6386" s="8" t="n">
        <v>0.0625</v>
      </c>
      <c r="F6386" s="4" t="n">
        <f aca="false">D6386*E6386</f>
        <v>1.25</v>
      </c>
      <c r="G6386" s="7" t="n">
        <v>9</v>
      </c>
      <c r="H6386" s="9" t="n">
        <f aca="false">IF(G6386&gt;0,D6386/G6386,"")</f>
        <v>2.22222222222222</v>
      </c>
      <c r="I6386" s="10" t="n">
        <v>46006</v>
      </c>
      <c r="K6386" s="10"/>
      <c r="M6386" s="7"/>
      <c r="N6386" s="8"/>
      <c r="O6386" s="4"/>
    </row>
    <row r="6387" customFormat="false" ht="15" hidden="false" customHeight="false" outlineLevel="0" collapsed="false">
      <c r="A6387" s="0" t="s">
        <v>8276</v>
      </c>
      <c r="C6387" s="0" t="s">
        <v>36</v>
      </c>
      <c r="D6387" s="7" t="n">
        <v>4</v>
      </c>
      <c r="E6387" s="8" t="n">
        <v>0.3025</v>
      </c>
      <c r="F6387" s="4" t="n">
        <f aca="false">D6387*E6387</f>
        <v>1.21</v>
      </c>
      <c r="G6387" s="7" t="n">
        <v>3</v>
      </c>
      <c r="H6387" s="9" t="n">
        <f aca="false">IF(G6387&gt;0,D6387/G6387,"")</f>
        <v>1.33333333333333</v>
      </c>
      <c r="I6387" s="10" t="n">
        <v>46314</v>
      </c>
      <c r="K6387" s="10"/>
      <c r="M6387" s="7"/>
      <c r="N6387" s="8"/>
      <c r="O6387" s="4"/>
    </row>
    <row r="6388" customFormat="false" ht="15" hidden="false" customHeight="false" outlineLevel="0" collapsed="false">
      <c r="A6388" s="0" t="s">
        <v>8277</v>
      </c>
      <c r="C6388" s="0" t="s">
        <v>45</v>
      </c>
      <c r="D6388" s="7" t="n">
        <v>1</v>
      </c>
      <c r="E6388" s="8" t="n">
        <v>1.09</v>
      </c>
      <c r="F6388" s="4" t="n">
        <f aca="false">D6388*E6388</f>
        <v>1.09</v>
      </c>
      <c r="G6388" s="7" t="n">
        <v>1</v>
      </c>
      <c r="H6388" s="9" t="n">
        <f aca="false">IF(G6388&gt;0,D6388/G6388,"")</f>
        <v>1</v>
      </c>
      <c r="I6388" s="10" t="n">
        <v>46112</v>
      </c>
      <c r="K6388" s="10"/>
      <c r="M6388" s="7"/>
      <c r="N6388" s="8"/>
      <c r="O6388" s="4"/>
    </row>
    <row r="6389" customFormat="false" ht="15" hidden="false" customHeight="false" outlineLevel="0" collapsed="false">
      <c r="A6389" s="0" t="s">
        <v>8278</v>
      </c>
      <c r="C6389" s="0" t="s">
        <v>41</v>
      </c>
      <c r="D6389" s="7" t="n">
        <v>40</v>
      </c>
      <c r="E6389" s="8" t="n">
        <v>0.02725</v>
      </c>
      <c r="F6389" s="4" t="n">
        <f aca="false">D6389*E6389</f>
        <v>1.09</v>
      </c>
      <c r="G6389" s="7" t="n">
        <v>20</v>
      </c>
      <c r="H6389" s="9" t="n">
        <f aca="false">IF(G6389&gt;0,D6389/G6389,"")</f>
        <v>2</v>
      </c>
      <c r="I6389" s="10" t="n">
        <v>46232</v>
      </c>
      <c r="J6389" s="3" t="s">
        <v>5144</v>
      </c>
      <c r="K6389" s="10" t="n">
        <v>45119</v>
      </c>
      <c r="L6389" s="3" t="s">
        <v>15</v>
      </c>
      <c r="M6389" s="7" t="n">
        <v>1660</v>
      </c>
      <c r="N6389" s="8" t="n">
        <v>0.02731</v>
      </c>
      <c r="O6389" s="4" t="n">
        <f aca="false">M6389*N6389</f>
        <v>45.3346</v>
      </c>
    </row>
    <row r="6390" customFormat="false" ht="15" hidden="false" customHeight="false" outlineLevel="0" collapsed="false">
      <c r="A6390" s="0" t="s">
        <v>8279</v>
      </c>
      <c r="C6390" s="0" t="s">
        <v>36</v>
      </c>
      <c r="D6390" s="7" t="n">
        <v>105</v>
      </c>
      <c r="E6390" s="8" t="n">
        <v>0.01</v>
      </c>
      <c r="F6390" s="4" t="n">
        <f aca="false">D6390*E6390</f>
        <v>1.05</v>
      </c>
      <c r="G6390" s="7" t="n">
        <v>100</v>
      </c>
      <c r="H6390" s="9" t="n">
        <f aca="false">IF(G6390&gt;0,D6390/G6390,"")</f>
        <v>1.05</v>
      </c>
      <c r="I6390" s="10" t="n">
        <v>46141</v>
      </c>
      <c r="J6390" s="3" t="s">
        <v>8280</v>
      </c>
      <c r="K6390" s="10" t="n">
        <v>46295</v>
      </c>
      <c r="L6390" s="3" t="s">
        <v>1295</v>
      </c>
      <c r="M6390" s="7" t="n">
        <v>30000</v>
      </c>
      <c r="N6390" s="8" t="n">
        <v>0.0166</v>
      </c>
      <c r="O6390" s="4" t="n">
        <f aca="false">M6390*N6390</f>
        <v>498</v>
      </c>
    </row>
    <row r="6391" customFormat="false" ht="15" hidden="false" customHeight="false" outlineLevel="0" collapsed="false">
      <c r="A6391" s="0" t="s">
        <v>8281</v>
      </c>
      <c r="C6391" s="0" t="s">
        <v>765</v>
      </c>
      <c r="D6391" s="7" t="n">
        <v>3</v>
      </c>
      <c r="E6391" s="8" t="n">
        <v>0.31</v>
      </c>
      <c r="F6391" s="4" t="n">
        <f aca="false">D6391*E6391</f>
        <v>0.93</v>
      </c>
      <c r="G6391" s="7" t="n">
        <v>3</v>
      </c>
      <c r="H6391" s="9" t="n">
        <f aca="false">IF(G6391&gt;0,D6391/G6391,"")</f>
        <v>1</v>
      </c>
      <c r="I6391" s="10" t="n">
        <v>46086</v>
      </c>
      <c r="K6391" s="10"/>
      <c r="M6391" s="7"/>
      <c r="N6391" s="8"/>
      <c r="O6391" s="4"/>
    </row>
    <row r="6392" customFormat="false" ht="15" hidden="false" customHeight="false" outlineLevel="0" collapsed="false">
      <c r="A6392" s="0" t="s">
        <v>8282</v>
      </c>
      <c r="D6392" s="7" t="n">
        <v>109</v>
      </c>
      <c r="E6392" s="8" t="n">
        <v>0.00825688073394496</v>
      </c>
      <c r="F6392" s="4" t="n">
        <f aca="false">D6392*E6392</f>
        <v>0.9</v>
      </c>
      <c r="G6392" s="7" t="n">
        <v>10</v>
      </c>
      <c r="H6392" s="9" t="n">
        <f aca="false">IF(G6392&gt;0,D6392/G6392,"")</f>
        <v>10.9</v>
      </c>
      <c r="I6392" s="10" t="n">
        <v>46127</v>
      </c>
      <c r="K6392" s="10"/>
      <c r="M6392" s="7"/>
      <c r="N6392" s="8"/>
      <c r="O6392" s="4"/>
    </row>
    <row r="6393" customFormat="false" ht="15" hidden="false" customHeight="false" outlineLevel="0" collapsed="false">
      <c r="A6393" s="0" t="s">
        <v>8283</v>
      </c>
      <c r="C6393" s="0" t="s">
        <v>31</v>
      </c>
      <c r="D6393" s="7" t="n">
        <v>20</v>
      </c>
      <c r="E6393" s="8" t="n">
        <v>0.0445</v>
      </c>
      <c r="F6393" s="4" t="n">
        <f aca="false">D6393*E6393</f>
        <v>0.89</v>
      </c>
      <c r="G6393" s="7" t="n">
        <v>1</v>
      </c>
      <c r="H6393" s="9" t="n">
        <f aca="false">IF(G6393&gt;0,D6393/G6393,"")</f>
        <v>20</v>
      </c>
      <c r="I6393" s="10" t="n">
        <v>46101</v>
      </c>
      <c r="K6393" s="10"/>
      <c r="M6393" s="7"/>
      <c r="N6393" s="8"/>
      <c r="O6393" s="4"/>
    </row>
    <row r="6394" customFormat="false" ht="15" hidden="false" customHeight="false" outlineLevel="0" collapsed="false">
      <c r="A6394" s="0" t="s">
        <v>8284</v>
      </c>
      <c r="D6394" s="7" t="n">
        <v>7</v>
      </c>
      <c r="E6394" s="8" t="n">
        <v>0.12</v>
      </c>
      <c r="F6394" s="4" t="n">
        <f aca="false">D6394*E6394</f>
        <v>0.84</v>
      </c>
      <c r="G6394" s="7" t="n">
        <v>1</v>
      </c>
      <c r="H6394" s="9" t="n">
        <f aca="false">IF(G6394&gt;0,D6394/G6394,"")</f>
        <v>7</v>
      </c>
      <c r="I6394" s="10" t="n">
        <v>46113</v>
      </c>
      <c r="J6394" s="3" t="s">
        <v>8285</v>
      </c>
      <c r="K6394" s="10" t="n">
        <v>45071</v>
      </c>
      <c r="L6394" s="3" t="s">
        <v>4365</v>
      </c>
      <c r="M6394" s="7" t="n">
        <v>25</v>
      </c>
      <c r="N6394" s="8" t="n">
        <v>0.12</v>
      </c>
      <c r="O6394" s="4" t="n">
        <f aca="false">M6394*N6394</f>
        <v>3</v>
      </c>
    </row>
    <row r="6395" customFormat="false" ht="15" hidden="false" customHeight="false" outlineLevel="0" collapsed="false">
      <c r="A6395" s="0" t="s">
        <v>8286</v>
      </c>
      <c r="C6395" s="0" t="s">
        <v>398</v>
      </c>
      <c r="D6395" s="7" t="n">
        <v>17</v>
      </c>
      <c r="E6395" s="8" t="n">
        <v>0.0488235294117647</v>
      </c>
      <c r="F6395" s="4" t="n">
        <f aca="false">D6395*E6395</f>
        <v>0.83</v>
      </c>
      <c r="G6395" s="7" t="n">
        <v>17</v>
      </c>
      <c r="H6395" s="9" t="n">
        <f aca="false">IF(G6395&gt;0,D6395/G6395,"")</f>
        <v>1</v>
      </c>
      <c r="I6395" s="10" t="n">
        <v>46286</v>
      </c>
      <c r="K6395" s="10"/>
      <c r="M6395" s="7"/>
      <c r="N6395" s="8"/>
      <c r="O6395" s="4"/>
    </row>
    <row r="6396" customFormat="false" ht="15" hidden="false" customHeight="false" outlineLevel="0" collapsed="false">
      <c r="A6396" s="0" t="s">
        <v>8287</v>
      </c>
      <c r="C6396" s="0" t="s">
        <v>41</v>
      </c>
      <c r="D6396" s="7" t="n">
        <v>20</v>
      </c>
      <c r="E6396" s="8" t="n">
        <v>0.0395</v>
      </c>
      <c r="F6396" s="4" t="n">
        <f aca="false">D6396*E6396</f>
        <v>0.79</v>
      </c>
      <c r="G6396" s="7" t="n">
        <v>20</v>
      </c>
      <c r="H6396" s="9" t="n">
        <f aca="false">IF(G6396&gt;0,D6396/G6396,"")</f>
        <v>1</v>
      </c>
      <c r="I6396" s="10" t="n">
        <v>46006</v>
      </c>
      <c r="K6396" s="10"/>
      <c r="M6396" s="7"/>
      <c r="N6396" s="8"/>
      <c r="O6396" s="4"/>
    </row>
    <row r="6397" customFormat="false" ht="15" hidden="false" customHeight="false" outlineLevel="0" collapsed="false">
      <c r="A6397" s="0" t="s">
        <v>8288</v>
      </c>
      <c r="C6397" s="0" t="s">
        <v>34</v>
      </c>
      <c r="D6397" s="7" t="n">
        <v>10</v>
      </c>
      <c r="E6397" s="8" t="n">
        <v>0.073</v>
      </c>
      <c r="F6397" s="4" t="n">
        <f aca="false">D6397*E6397</f>
        <v>0.73</v>
      </c>
      <c r="G6397" s="7" t="n">
        <v>10</v>
      </c>
      <c r="H6397" s="9" t="n">
        <f aca="false">IF(G6397&gt;0,D6397/G6397,"")</f>
        <v>1</v>
      </c>
      <c r="I6397" s="10" t="n">
        <v>46156</v>
      </c>
      <c r="K6397" s="10"/>
      <c r="M6397" s="7"/>
      <c r="N6397" s="8"/>
      <c r="O6397" s="4"/>
    </row>
    <row r="6398" customFormat="false" ht="15" hidden="false" customHeight="false" outlineLevel="0" collapsed="false">
      <c r="A6398" s="0" t="s">
        <v>8289</v>
      </c>
      <c r="C6398" s="0" t="s">
        <v>41</v>
      </c>
      <c r="D6398" s="7" t="n">
        <v>294</v>
      </c>
      <c r="E6398" s="8" t="n">
        <v>0.00244897959183674</v>
      </c>
      <c r="F6398" s="4" t="n">
        <f aca="false">D6398*E6398</f>
        <v>0.72</v>
      </c>
      <c r="G6398" s="7" t="n">
        <v>223</v>
      </c>
      <c r="H6398" s="9" t="n">
        <f aca="false">IF(G6398&gt;0,D6398/G6398,"")</f>
        <v>1.31838565022422</v>
      </c>
      <c r="I6398" s="10" t="n">
        <v>46154</v>
      </c>
      <c r="J6398" s="3" t="s">
        <v>4970</v>
      </c>
      <c r="K6398" s="10" t="n">
        <v>44292</v>
      </c>
      <c r="L6398" s="3" t="s">
        <v>15</v>
      </c>
      <c r="M6398" s="7" t="n">
        <v>2400</v>
      </c>
      <c r="N6398" s="8" t="n">
        <v>0.0024</v>
      </c>
      <c r="O6398" s="4" t="n">
        <f aca="false">M6398*N6398</f>
        <v>5.76</v>
      </c>
    </row>
    <row r="6399" customFormat="false" ht="15" hidden="false" customHeight="false" outlineLevel="0" collapsed="false">
      <c r="A6399" s="0" t="s">
        <v>8290</v>
      </c>
      <c r="C6399" s="0" t="s">
        <v>34</v>
      </c>
      <c r="D6399" s="7" t="n">
        <v>2</v>
      </c>
      <c r="E6399" s="8" t="n">
        <v>0.21</v>
      </c>
      <c r="F6399" s="4" t="n">
        <f aca="false">D6399*E6399</f>
        <v>0.42</v>
      </c>
      <c r="G6399" s="7" t="n">
        <v>1</v>
      </c>
      <c r="H6399" s="9" t="n">
        <f aca="false">IF(G6399&gt;0,D6399/G6399,"")</f>
        <v>2</v>
      </c>
      <c r="I6399" s="10" t="n">
        <v>46304</v>
      </c>
      <c r="J6399" s="3" t="s">
        <v>1545</v>
      </c>
      <c r="K6399" s="10" t="n">
        <v>45546</v>
      </c>
      <c r="L6399" s="3" t="s">
        <v>14</v>
      </c>
      <c r="M6399" s="7" t="n">
        <v>25</v>
      </c>
      <c r="N6399" s="8" t="n">
        <v>0.4344</v>
      </c>
      <c r="O6399" s="4" t="n">
        <f aca="false">M6399*N6399</f>
        <v>10.86</v>
      </c>
    </row>
    <row r="6400" customFormat="false" ht="15" hidden="false" customHeight="false" outlineLevel="0" collapsed="false">
      <c r="A6400" s="0" t="s">
        <v>8291</v>
      </c>
      <c r="C6400" s="0" t="s">
        <v>38</v>
      </c>
      <c r="D6400" s="7" t="n">
        <v>33233</v>
      </c>
      <c r="E6400" s="8" t="n">
        <v>0</v>
      </c>
      <c r="F6400" s="4" t="n">
        <f aca="false">D6400*E6400</f>
        <v>0</v>
      </c>
      <c r="G6400" s="7" t="n">
        <v>300</v>
      </c>
      <c r="H6400" s="9" t="n">
        <f aca="false">IF(G6400&gt;0,D6400/G6400,"")</f>
        <v>110.776666666667</v>
      </c>
      <c r="I6400" s="10" t="n">
        <v>46274</v>
      </c>
      <c r="K6400" s="10"/>
      <c r="M6400" s="7"/>
      <c r="N6400" s="8"/>
      <c r="O6400" s="4"/>
    </row>
    <row r="6401" customFormat="false" ht="15" hidden="false" customHeight="false" outlineLevel="0" collapsed="false">
      <c r="A6401" s="0" t="s">
        <v>8292</v>
      </c>
      <c r="C6401" s="0" t="s">
        <v>38</v>
      </c>
      <c r="D6401" s="7" t="n">
        <v>1526</v>
      </c>
      <c r="E6401" s="8" t="n">
        <v>0</v>
      </c>
      <c r="F6401" s="4" t="n">
        <f aca="false">D6401*E6401</f>
        <v>0</v>
      </c>
      <c r="G6401" s="7" t="n">
        <v>437</v>
      </c>
      <c r="H6401" s="9" t="n">
        <f aca="false">IF(G6401&gt;0,D6401/G6401,"")</f>
        <v>3.49199084668192</v>
      </c>
      <c r="I6401" s="10" t="n">
        <v>46267</v>
      </c>
      <c r="J6401" s="3" t="s">
        <v>4116</v>
      </c>
      <c r="K6401" s="10" t="n">
        <v>45895</v>
      </c>
      <c r="L6401" s="3" t="s">
        <v>16</v>
      </c>
      <c r="M6401" s="7" t="n">
        <v>2063</v>
      </c>
      <c r="N6401" s="8" t="n">
        <v>0</v>
      </c>
      <c r="O6401" s="4" t="n">
        <v>0</v>
      </c>
    </row>
    <row r="6402" customFormat="false" ht="15" hidden="false" customHeight="false" outlineLevel="0" collapsed="false">
      <c r="A6402" s="0" t="s">
        <v>8293</v>
      </c>
      <c r="C6402" s="0" t="s">
        <v>40</v>
      </c>
      <c r="D6402" s="7" t="n">
        <v>10943</v>
      </c>
      <c r="E6402" s="8" t="n">
        <v>0</v>
      </c>
      <c r="F6402" s="4" t="n">
        <f aca="false">D6402*E6402</f>
        <v>0</v>
      </c>
      <c r="G6402" s="7" t="n">
        <v>1971</v>
      </c>
      <c r="H6402" s="9" t="n">
        <f aca="false">IF(G6402&gt;0,D6402/G6402,"")</f>
        <v>5.55200405885337</v>
      </c>
      <c r="I6402" s="10" t="n">
        <v>46217</v>
      </c>
      <c r="J6402" s="3" t="s">
        <v>2014</v>
      </c>
      <c r="K6402" s="10" t="n">
        <v>44246</v>
      </c>
      <c r="L6402" s="3" t="s">
        <v>18</v>
      </c>
      <c r="M6402" s="7" t="n">
        <v>30000</v>
      </c>
      <c r="N6402" s="8" t="n">
        <v>0.0034</v>
      </c>
      <c r="O6402" s="4" t="n">
        <f aca="false">M6402*N6402</f>
        <v>102</v>
      </c>
    </row>
    <row r="6403" customFormat="false" ht="15" hidden="false" customHeight="false" outlineLevel="0" collapsed="false">
      <c r="A6403" s="0" t="s">
        <v>8294</v>
      </c>
      <c r="C6403" s="0" t="s">
        <v>295</v>
      </c>
      <c r="D6403" s="7" t="n">
        <v>70</v>
      </c>
      <c r="E6403" s="8" t="n">
        <v>0</v>
      </c>
      <c r="F6403" s="4" t="n">
        <f aca="false">D6403*E6403</f>
        <v>0</v>
      </c>
      <c r="G6403" s="7" t="n">
        <v>29</v>
      </c>
      <c r="H6403" s="9" t="n">
        <f aca="false">IF(G6403&gt;0,D6403/G6403,"")</f>
        <v>2.41379310344828</v>
      </c>
      <c r="I6403" s="10" t="n">
        <v>46121</v>
      </c>
      <c r="J6403" s="3" t="s">
        <v>2321</v>
      </c>
      <c r="K6403" s="10" t="n">
        <v>46094</v>
      </c>
      <c r="L6403" s="3" t="s">
        <v>16</v>
      </c>
      <c r="M6403" s="7" t="n">
        <v>99</v>
      </c>
      <c r="N6403" s="8" t="n">
        <v>0</v>
      </c>
      <c r="O6403" s="4" t="n">
        <v>0</v>
      </c>
    </row>
    <row r="6404" customFormat="false" ht="15" hidden="false" customHeight="false" outlineLevel="0" collapsed="false">
      <c r="A6404" s="0" t="s">
        <v>8295</v>
      </c>
      <c r="C6404" s="0" t="s">
        <v>4136</v>
      </c>
      <c r="D6404" s="7" t="n">
        <v>994</v>
      </c>
      <c r="E6404" s="8" t="n">
        <v>0</v>
      </c>
      <c r="F6404" s="4" t="n">
        <f aca="false">D6404*E6404</f>
        <v>0</v>
      </c>
      <c r="G6404" s="7" t="n">
        <v>150</v>
      </c>
      <c r="H6404" s="9" t="n">
        <f aca="false">IF(G6404&gt;0,D6404/G6404,"")</f>
        <v>6.62666666666667</v>
      </c>
      <c r="I6404" s="10" t="n">
        <v>46176</v>
      </c>
      <c r="J6404" s="3" t="s">
        <v>2358</v>
      </c>
      <c r="K6404" s="10" t="n">
        <v>44272</v>
      </c>
      <c r="L6404" s="3" t="s">
        <v>15</v>
      </c>
      <c r="M6404" s="7" t="n">
        <v>1390</v>
      </c>
      <c r="N6404" s="8" t="n">
        <v>0</v>
      </c>
      <c r="O6404" s="4" t="n">
        <v>0</v>
      </c>
    </row>
    <row r="6405" customFormat="false" ht="15" hidden="false" customHeight="false" outlineLevel="0" collapsed="false">
      <c r="A6405" s="0" t="s">
        <v>8296</v>
      </c>
      <c r="C6405" s="0" t="s">
        <v>2981</v>
      </c>
      <c r="D6405" s="7" t="n">
        <v>16</v>
      </c>
      <c r="E6405" s="8" t="n">
        <v>0</v>
      </c>
      <c r="F6405" s="4" t="n">
        <f aca="false">D6405*E6405</f>
        <v>0</v>
      </c>
      <c r="G6405" s="7" t="n">
        <v>14</v>
      </c>
      <c r="H6405" s="9" t="n">
        <f aca="false">IF(G6405&gt;0,D6405/G6405,"")</f>
        <v>1.14285714285714</v>
      </c>
      <c r="I6405" s="10" t="n">
        <v>45961</v>
      </c>
      <c r="J6405" s="3" t="s">
        <v>8297</v>
      </c>
      <c r="K6405" s="10" t="n">
        <v>45909</v>
      </c>
      <c r="L6405" s="3" t="s">
        <v>313</v>
      </c>
      <c r="M6405" s="7" t="n">
        <v>53</v>
      </c>
      <c r="N6405" s="8" t="n">
        <v>2.0755</v>
      </c>
      <c r="O6405" s="4" t="n">
        <f aca="false">M6405*N6405</f>
        <v>110.0015</v>
      </c>
    </row>
    <row r="6406" customFormat="false" ht="15" hidden="false" customHeight="false" outlineLevel="0" collapsed="false">
      <c r="A6406" s="0" t="s">
        <v>8298</v>
      </c>
      <c r="D6406" s="7" t="n">
        <v>120</v>
      </c>
      <c r="E6406" s="8" t="n">
        <v>0</v>
      </c>
      <c r="F6406" s="4" t="n">
        <f aca="false">D6406*E6406</f>
        <v>0</v>
      </c>
      <c r="G6406" s="7" t="n">
        <v>3</v>
      </c>
      <c r="H6406" s="9" t="n">
        <f aca="false">IF(G6406&gt;0,D6406/G6406,"")</f>
        <v>40</v>
      </c>
      <c r="I6406" s="10" t="n">
        <v>45971</v>
      </c>
      <c r="J6406" s="3" t="s">
        <v>8299</v>
      </c>
      <c r="K6406" s="10" t="n">
        <v>46259</v>
      </c>
      <c r="L6406" s="3" t="s">
        <v>8300</v>
      </c>
      <c r="M6406" s="7" t="n">
        <v>360</v>
      </c>
      <c r="N6406" s="8" t="n">
        <v>0</v>
      </c>
      <c r="O6406" s="4" t="n">
        <v>0</v>
      </c>
    </row>
    <row r="6407" customFormat="false" ht="15" hidden="false" customHeight="false" outlineLevel="0" collapsed="false">
      <c r="A6407" s="0" t="s">
        <v>8301</v>
      </c>
      <c r="C6407" s="0" t="s">
        <v>2515</v>
      </c>
      <c r="D6407" s="7" t="n">
        <v>25</v>
      </c>
      <c r="E6407" s="8" t="n">
        <v>0</v>
      </c>
      <c r="F6407" s="4" t="n">
        <f aca="false">D6407*E6407</f>
        <v>0</v>
      </c>
      <c r="G6407" s="7" t="n">
        <v>2</v>
      </c>
      <c r="H6407" s="9" t="n">
        <f aca="false">IF(G6407&gt;0,D6407/G6407,"")</f>
        <v>12.5</v>
      </c>
      <c r="I6407" s="10" t="n">
        <v>46160</v>
      </c>
      <c r="J6407" s="3" t="s">
        <v>8297</v>
      </c>
      <c r="K6407" s="10" t="n">
        <v>45909</v>
      </c>
      <c r="L6407" s="3" t="s">
        <v>313</v>
      </c>
      <c r="M6407" s="7" t="n">
        <v>27</v>
      </c>
      <c r="N6407" s="8" t="n">
        <v>0</v>
      </c>
      <c r="O6407" s="4" t="n">
        <v>0</v>
      </c>
    </row>
    <row r="6408" customFormat="false" ht="15" hidden="false" customHeight="false" outlineLevel="0" collapsed="false">
      <c r="A6408" s="0" t="s">
        <v>8302</v>
      </c>
      <c r="C6408" s="0" t="s">
        <v>31</v>
      </c>
      <c r="D6408" s="7" t="n">
        <v>3770</v>
      </c>
      <c r="E6408" s="8" t="n">
        <v>0</v>
      </c>
      <c r="F6408" s="4" t="n">
        <f aca="false">D6408*E6408</f>
        <v>0</v>
      </c>
      <c r="G6408" s="7" t="n">
        <v>110</v>
      </c>
      <c r="H6408" s="9" t="n">
        <f aca="false">IF(G6408&gt;0,D6408/G6408,"")</f>
        <v>34.2727272727273</v>
      </c>
      <c r="I6408" s="10" t="n">
        <v>46311</v>
      </c>
      <c r="J6408" s="3" t="s">
        <v>1959</v>
      </c>
      <c r="K6408" s="10" t="n">
        <v>46164</v>
      </c>
      <c r="L6408" s="3" t="s">
        <v>15</v>
      </c>
      <c r="M6408" s="7" t="n">
        <v>3880</v>
      </c>
      <c r="N6408" s="8" t="n">
        <v>0</v>
      </c>
      <c r="O6408" s="4" t="n">
        <v>0</v>
      </c>
    </row>
    <row r="6409" customFormat="false" ht="15" hidden="false" customHeight="false" outlineLevel="0" collapsed="false">
      <c r="A6409" s="0" t="s">
        <v>8303</v>
      </c>
      <c r="C6409" s="0" t="s">
        <v>31</v>
      </c>
      <c r="D6409" s="7" t="n">
        <v>38173</v>
      </c>
      <c r="E6409" s="8" t="n">
        <v>0</v>
      </c>
      <c r="F6409" s="4" t="n">
        <f aca="false">D6409*E6409</f>
        <v>0</v>
      </c>
      <c r="G6409" s="7" t="n">
        <v>6270</v>
      </c>
      <c r="H6409" s="9" t="n">
        <f aca="false">IF(G6409&gt;0,D6409/G6409,"")</f>
        <v>6.08819776714514</v>
      </c>
      <c r="I6409" s="10" t="n">
        <v>46311</v>
      </c>
      <c r="J6409" s="3" t="s">
        <v>1844</v>
      </c>
      <c r="K6409" s="10" t="n">
        <v>44198</v>
      </c>
      <c r="L6409" s="3" t="s">
        <v>15</v>
      </c>
      <c r="M6409" s="7" t="n">
        <v>65000</v>
      </c>
      <c r="N6409" s="8" t="n">
        <v>0.0031</v>
      </c>
      <c r="O6409" s="4" t="n">
        <f aca="false">M6409*N6409</f>
        <v>201.5</v>
      </c>
    </row>
    <row r="6410" customFormat="false" ht="15" hidden="false" customHeight="false" outlineLevel="0" collapsed="false">
      <c r="A6410" s="0" t="s">
        <v>8304</v>
      </c>
      <c r="C6410" s="0" t="s">
        <v>31</v>
      </c>
      <c r="D6410" s="7" t="n">
        <v>38861</v>
      </c>
      <c r="E6410" s="8" t="n">
        <v>0</v>
      </c>
      <c r="F6410" s="4" t="n">
        <f aca="false">D6410*E6410</f>
        <v>0</v>
      </c>
      <c r="G6410" s="7" t="n">
        <v>3032</v>
      </c>
      <c r="H6410" s="9" t="n">
        <f aca="false">IF(G6410&gt;0,D6410/G6410,"")</f>
        <v>12.8169525065963</v>
      </c>
      <c r="I6410" s="10" t="n">
        <v>46308</v>
      </c>
      <c r="K6410" s="10"/>
      <c r="M6410" s="7"/>
      <c r="N6410" s="8"/>
      <c r="O6410" s="4"/>
    </row>
    <row r="6411" customFormat="false" ht="15" hidden="false" customHeight="false" outlineLevel="0" collapsed="false">
      <c r="A6411" s="0" t="s">
        <v>8305</v>
      </c>
      <c r="C6411" s="0" t="s">
        <v>31</v>
      </c>
      <c r="D6411" s="7" t="n">
        <v>31367</v>
      </c>
      <c r="E6411" s="8" t="n">
        <v>0</v>
      </c>
      <c r="F6411" s="4" t="n">
        <f aca="false">D6411*E6411</f>
        <v>0</v>
      </c>
      <c r="G6411" s="7" t="n">
        <v>1496</v>
      </c>
      <c r="H6411" s="9" t="n">
        <f aca="false">IF(G6411&gt;0,D6411/G6411,"")</f>
        <v>20.9672459893048</v>
      </c>
      <c r="I6411" s="10" t="n">
        <v>46259</v>
      </c>
      <c r="K6411" s="10"/>
      <c r="M6411" s="7"/>
      <c r="N6411" s="8"/>
      <c r="O6411" s="4"/>
    </row>
    <row r="6412" customFormat="false" ht="15" hidden="false" customHeight="false" outlineLevel="0" collapsed="false">
      <c r="A6412" s="0" t="s">
        <v>8306</v>
      </c>
      <c r="C6412" s="0" t="s">
        <v>31</v>
      </c>
      <c r="D6412" s="7" t="n">
        <v>21134</v>
      </c>
      <c r="E6412" s="8" t="n">
        <v>0</v>
      </c>
      <c r="F6412" s="4" t="n">
        <f aca="false">D6412*E6412</f>
        <v>0</v>
      </c>
      <c r="G6412" s="7" t="n">
        <v>1595</v>
      </c>
      <c r="H6412" s="9" t="n">
        <f aca="false">IF(G6412&gt;0,D6412/G6412,"")</f>
        <v>13.2501567398119</v>
      </c>
      <c r="I6412" s="10" t="n">
        <v>46293</v>
      </c>
      <c r="J6412" s="3" t="s">
        <v>2561</v>
      </c>
      <c r="K6412" s="10" t="n">
        <v>44680</v>
      </c>
      <c r="L6412" s="3" t="s">
        <v>15</v>
      </c>
      <c r="M6412" s="7" t="n">
        <v>26713</v>
      </c>
      <c r="N6412" s="8" t="n">
        <v>0.00384</v>
      </c>
      <c r="O6412" s="4" t="n">
        <f aca="false">M6412*N6412</f>
        <v>102.57792</v>
      </c>
    </row>
    <row r="6413" customFormat="false" ht="15" hidden="false" customHeight="false" outlineLevel="0" collapsed="false">
      <c r="A6413" s="0" t="s">
        <v>8307</v>
      </c>
      <c r="C6413" s="0" t="s">
        <v>31</v>
      </c>
      <c r="D6413" s="7" t="n">
        <v>1330</v>
      </c>
      <c r="E6413" s="8" t="n">
        <v>0</v>
      </c>
      <c r="F6413" s="4" t="n">
        <f aca="false">D6413*E6413</f>
        <v>0</v>
      </c>
      <c r="G6413" s="7" t="n">
        <v>1166</v>
      </c>
      <c r="H6413" s="9" t="n">
        <f aca="false">IF(G6413&gt;0,D6413/G6413,"")</f>
        <v>1.14065180102916</v>
      </c>
      <c r="I6413" s="10" t="n">
        <v>46288</v>
      </c>
      <c r="J6413" s="3" t="s">
        <v>1315</v>
      </c>
      <c r="K6413" s="10" t="n">
        <v>45904</v>
      </c>
      <c r="L6413" s="3" t="s">
        <v>16</v>
      </c>
      <c r="M6413" s="7" t="n">
        <v>3222</v>
      </c>
      <c r="N6413" s="8" t="n">
        <v>0</v>
      </c>
      <c r="O6413" s="4" t="n">
        <v>0</v>
      </c>
    </row>
    <row r="6414" customFormat="false" ht="15" hidden="false" customHeight="false" outlineLevel="0" collapsed="false">
      <c r="A6414" s="0" t="s">
        <v>8308</v>
      </c>
      <c r="C6414" s="0" t="s">
        <v>31</v>
      </c>
      <c r="D6414" s="7" t="n">
        <v>15</v>
      </c>
      <c r="E6414" s="8" t="n">
        <v>0</v>
      </c>
      <c r="F6414" s="4" t="n">
        <f aca="false">D6414*E6414</f>
        <v>0</v>
      </c>
      <c r="G6414" s="7" t="n">
        <v>10</v>
      </c>
      <c r="H6414" s="9" t="n">
        <f aca="false">IF(G6414&gt;0,D6414/G6414,"")</f>
        <v>1.5</v>
      </c>
      <c r="I6414" s="10" t="n">
        <v>46027</v>
      </c>
      <c r="K6414" s="10"/>
      <c r="M6414" s="7"/>
      <c r="N6414" s="8"/>
      <c r="O6414" s="4"/>
    </row>
    <row r="6415" customFormat="false" ht="15" hidden="false" customHeight="false" outlineLevel="0" collapsed="false">
      <c r="A6415" s="0" t="s">
        <v>8309</v>
      </c>
      <c r="C6415" s="0" t="s">
        <v>31</v>
      </c>
      <c r="D6415" s="7" t="n">
        <v>8012</v>
      </c>
      <c r="E6415" s="8" t="n">
        <v>0</v>
      </c>
      <c r="F6415" s="4" t="n">
        <f aca="false">D6415*E6415</f>
        <v>0</v>
      </c>
      <c r="G6415" s="7" t="n">
        <v>1150</v>
      </c>
      <c r="H6415" s="9" t="n">
        <f aca="false">IF(G6415&gt;0,D6415/G6415,"")</f>
        <v>6.96695652173913</v>
      </c>
      <c r="I6415" s="10" t="n">
        <v>46314</v>
      </c>
      <c r="K6415" s="10"/>
      <c r="M6415" s="7"/>
      <c r="N6415" s="8"/>
      <c r="O6415" s="4"/>
    </row>
    <row r="6416" customFormat="false" ht="15" hidden="false" customHeight="false" outlineLevel="0" collapsed="false">
      <c r="A6416" s="0" t="s">
        <v>8310</v>
      </c>
      <c r="C6416" s="0" t="s">
        <v>31</v>
      </c>
      <c r="D6416" s="7" t="n">
        <v>32312</v>
      </c>
      <c r="E6416" s="8" t="n">
        <v>0</v>
      </c>
      <c r="F6416" s="4" t="n">
        <f aca="false">D6416*E6416</f>
        <v>0</v>
      </c>
      <c r="G6416" s="7" t="n">
        <v>21405</v>
      </c>
      <c r="H6416" s="9" t="n">
        <f aca="false">IF(G6416&gt;0,D6416/G6416,"")</f>
        <v>1.50955384256015</v>
      </c>
      <c r="I6416" s="10" t="n">
        <v>46308</v>
      </c>
      <c r="K6416" s="10"/>
      <c r="M6416" s="7"/>
      <c r="N6416" s="8"/>
      <c r="O6416" s="4"/>
    </row>
    <row r="6417" customFormat="false" ht="15" hidden="false" customHeight="false" outlineLevel="0" collapsed="false">
      <c r="A6417" s="0" t="s">
        <v>8311</v>
      </c>
      <c r="C6417" s="0" t="s">
        <v>31</v>
      </c>
      <c r="D6417" s="7" t="n">
        <v>53829</v>
      </c>
      <c r="E6417" s="8" t="n">
        <v>0</v>
      </c>
      <c r="F6417" s="4" t="n">
        <f aca="false">D6417*E6417</f>
        <v>0</v>
      </c>
      <c r="G6417" s="7" t="n">
        <v>5851</v>
      </c>
      <c r="H6417" s="9" t="n">
        <f aca="false">IF(G6417&gt;0,D6417/G6417,"")</f>
        <v>9.19996581780892</v>
      </c>
      <c r="I6417" s="10" t="n">
        <v>46310</v>
      </c>
      <c r="K6417" s="10"/>
      <c r="M6417" s="7"/>
      <c r="N6417" s="8"/>
      <c r="O6417" s="4"/>
    </row>
    <row r="6418" customFormat="false" ht="15" hidden="false" customHeight="false" outlineLevel="0" collapsed="false">
      <c r="A6418" s="0" t="s">
        <v>8312</v>
      </c>
      <c r="C6418" s="0" t="s">
        <v>31</v>
      </c>
      <c r="D6418" s="7" t="n">
        <v>10857</v>
      </c>
      <c r="E6418" s="8" t="n">
        <v>0</v>
      </c>
      <c r="F6418" s="4" t="n">
        <f aca="false">D6418*E6418</f>
        <v>0</v>
      </c>
      <c r="G6418" s="7" t="n">
        <v>2409</v>
      </c>
      <c r="H6418" s="9" t="n">
        <f aca="false">IF(G6418&gt;0,D6418/G6418,"")</f>
        <v>4.50684931506849</v>
      </c>
      <c r="I6418" s="10" t="n">
        <v>46248</v>
      </c>
      <c r="K6418" s="10"/>
      <c r="M6418" s="7"/>
      <c r="N6418" s="8"/>
      <c r="O6418" s="4"/>
    </row>
    <row r="6419" customFormat="false" ht="15" hidden="false" customHeight="false" outlineLevel="0" collapsed="false">
      <c r="A6419" s="0" t="s">
        <v>8313</v>
      </c>
      <c r="C6419" s="0" t="s">
        <v>31</v>
      </c>
      <c r="D6419" s="7" t="n">
        <v>14409</v>
      </c>
      <c r="E6419" s="8" t="n">
        <v>0</v>
      </c>
      <c r="F6419" s="4" t="n">
        <f aca="false">D6419*E6419</f>
        <v>0</v>
      </c>
      <c r="G6419" s="7" t="n">
        <v>3041</v>
      </c>
      <c r="H6419" s="9" t="n">
        <f aca="false">IF(G6419&gt;0,D6419/G6419,"")</f>
        <v>4.73824399868464</v>
      </c>
      <c r="I6419" s="10" t="n">
        <v>46197</v>
      </c>
      <c r="K6419" s="10"/>
      <c r="M6419" s="7"/>
      <c r="N6419" s="8"/>
      <c r="O6419" s="4"/>
    </row>
    <row r="6420" customFormat="false" ht="15" hidden="false" customHeight="false" outlineLevel="0" collapsed="false">
      <c r="A6420" s="0" t="s">
        <v>8314</v>
      </c>
      <c r="C6420" s="0" t="s">
        <v>31</v>
      </c>
      <c r="D6420" s="7" t="n">
        <v>31</v>
      </c>
      <c r="E6420" s="8" t="n">
        <v>0</v>
      </c>
      <c r="F6420" s="4" t="n">
        <f aca="false">D6420*E6420</f>
        <v>0</v>
      </c>
      <c r="G6420" s="7" t="n">
        <v>20</v>
      </c>
      <c r="H6420" s="9" t="n">
        <f aca="false">IF(G6420&gt;0,D6420/G6420,"")</f>
        <v>1.55</v>
      </c>
      <c r="I6420" s="10" t="n">
        <v>46120</v>
      </c>
      <c r="K6420" s="10"/>
      <c r="M6420" s="7"/>
      <c r="N6420" s="8"/>
      <c r="O6420" s="4"/>
    </row>
    <row r="6421" customFormat="false" ht="15" hidden="false" customHeight="false" outlineLevel="0" collapsed="false">
      <c r="A6421" s="0" t="s">
        <v>8315</v>
      </c>
      <c r="C6421" s="0" t="s">
        <v>31</v>
      </c>
      <c r="D6421" s="7" t="n">
        <v>4312</v>
      </c>
      <c r="E6421" s="8" t="n">
        <v>0</v>
      </c>
      <c r="F6421" s="4" t="n">
        <f aca="false">D6421*E6421</f>
        <v>0</v>
      </c>
      <c r="G6421" s="7" t="n">
        <v>688</v>
      </c>
      <c r="H6421" s="9" t="n">
        <f aca="false">IF(G6421&gt;0,D6421/G6421,"")</f>
        <v>6.26744186046512</v>
      </c>
      <c r="I6421" s="10" t="n">
        <v>46310</v>
      </c>
      <c r="J6421" s="3" t="s">
        <v>1315</v>
      </c>
      <c r="K6421" s="10" t="n">
        <v>45904</v>
      </c>
      <c r="L6421" s="3" t="s">
        <v>16</v>
      </c>
      <c r="M6421" s="7" t="n">
        <v>5000</v>
      </c>
      <c r="N6421" s="8" t="n">
        <v>0</v>
      </c>
      <c r="O6421" s="4" t="n">
        <v>0</v>
      </c>
    </row>
    <row r="6422" customFormat="false" ht="15" hidden="false" customHeight="false" outlineLevel="0" collapsed="false">
      <c r="A6422" s="0" t="s">
        <v>8316</v>
      </c>
      <c r="C6422" s="0" t="s">
        <v>31</v>
      </c>
      <c r="D6422" s="7" t="n">
        <v>4080</v>
      </c>
      <c r="E6422" s="8" t="n">
        <v>0</v>
      </c>
      <c r="F6422" s="4" t="n">
        <f aca="false">D6422*E6422</f>
        <v>0</v>
      </c>
      <c r="G6422" s="7" t="n">
        <v>230</v>
      </c>
      <c r="H6422" s="9" t="n">
        <f aca="false">IF(G6422&gt;0,D6422/G6422,"")</f>
        <v>17.7391304347826</v>
      </c>
      <c r="I6422" s="10" t="n">
        <v>46294</v>
      </c>
      <c r="J6422" s="3" t="s">
        <v>1315</v>
      </c>
      <c r="K6422" s="10" t="n">
        <v>45904</v>
      </c>
      <c r="L6422" s="3" t="s">
        <v>16</v>
      </c>
      <c r="M6422" s="7" t="n">
        <v>4290</v>
      </c>
      <c r="N6422" s="8" t="n">
        <v>0</v>
      </c>
      <c r="O6422" s="4" t="n">
        <v>0</v>
      </c>
    </row>
    <row r="6423" customFormat="false" ht="15" hidden="false" customHeight="false" outlineLevel="0" collapsed="false">
      <c r="A6423" s="0" t="s">
        <v>8317</v>
      </c>
      <c r="C6423" s="0" t="s">
        <v>31</v>
      </c>
      <c r="D6423" s="7" t="n">
        <v>1720</v>
      </c>
      <c r="E6423" s="8" t="n">
        <v>0</v>
      </c>
      <c r="F6423" s="4" t="n">
        <f aca="false">D6423*E6423</f>
        <v>0</v>
      </c>
      <c r="G6423" s="7" t="n">
        <v>80</v>
      </c>
      <c r="H6423" s="9" t="n">
        <f aca="false">IF(G6423&gt;0,D6423/G6423,"")</f>
        <v>21.5</v>
      </c>
      <c r="I6423" s="10" t="n">
        <v>46316</v>
      </c>
      <c r="J6423" s="3" t="s">
        <v>1315</v>
      </c>
      <c r="K6423" s="10" t="n">
        <v>45904</v>
      </c>
      <c r="L6423" s="3" t="s">
        <v>16</v>
      </c>
      <c r="M6423" s="7" t="n">
        <v>2000</v>
      </c>
      <c r="N6423" s="8" t="n">
        <v>0</v>
      </c>
      <c r="O6423" s="4" t="n">
        <v>0</v>
      </c>
    </row>
    <row r="6424" customFormat="false" ht="15" hidden="false" customHeight="false" outlineLevel="0" collapsed="false">
      <c r="A6424" s="0" t="s">
        <v>8318</v>
      </c>
      <c r="C6424" s="0" t="s">
        <v>31</v>
      </c>
      <c r="D6424" s="7" t="n">
        <v>524</v>
      </c>
      <c r="E6424" s="8" t="n">
        <v>0</v>
      </c>
      <c r="F6424" s="4" t="n">
        <f aca="false">D6424*E6424</f>
        <v>0</v>
      </c>
      <c r="G6424" s="7" t="n">
        <v>226</v>
      </c>
      <c r="H6424" s="9" t="n">
        <f aca="false">IF(G6424&gt;0,D6424/G6424,"")</f>
        <v>2.31858407079646</v>
      </c>
      <c r="I6424" s="10" t="n">
        <v>46266</v>
      </c>
      <c r="J6424" s="3" t="s">
        <v>1315</v>
      </c>
      <c r="K6424" s="10" t="n">
        <v>45904</v>
      </c>
      <c r="L6424" s="3" t="s">
        <v>16</v>
      </c>
      <c r="M6424" s="7" t="n">
        <v>800</v>
      </c>
      <c r="N6424" s="8" t="n">
        <v>0</v>
      </c>
      <c r="O6424" s="4" t="n">
        <v>0</v>
      </c>
    </row>
    <row r="6425" customFormat="false" ht="15" hidden="false" customHeight="false" outlineLevel="0" collapsed="false">
      <c r="A6425" s="0" t="s">
        <v>8319</v>
      </c>
      <c r="C6425" s="0" t="s">
        <v>31</v>
      </c>
      <c r="D6425" s="7" t="n">
        <v>788</v>
      </c>
      <c r="E6425" s="8" t="n">
        <v>0</v>
      </c>
      <c r="F6425" s="4" t="n">
        <f aca="false">D6425*E6425</f>
        <v>0</v>
      </c>
      <c r="G6425" s="7" t="n">
        <v>84</v>
      </c>
      <c r="H6425" s="9" t="n">
        <f aca="false">IF(G6425&gt;0,D6425/G6425,"")</f>
        <v>9.38095238095238</v>
      </c>
      <c r="I6425" s="10" t="n">
        <v>46146</v>
      </c>
      <c r="J6425" s="3" t="s">
        <v>1315</v>
      </c>
      <c r="K6425" s="10" t="n">
        <v>45904</v>
      </c>
      <c r="L6425" s="3" t="s">
        <v>16</v>
      </c>
      <c r="M6425" s="7" t="n">
        <v>894</v>
      </c>
      <c r="N6425" s="8" t="n">
        <v>0</v>
      </c>
      <c r="O6425" s="4" t="n">
        <v>0</v>
      </c>
    </row>
    <row r="6426" customFormat="false" ht="15" hidden="false" customHeight="false" outlineLevel="0" collapsed="false">
      <c r="A6426" s="0" t="s">
        <v>8320</v>
      </c>
      <c r="C6426" s="0" t="s">
        <v>31</v>
      </c>
      <c r="D6426" s="7" t="n">
        <v>604</v>
      </c>
      <c r="E6426" s="8" t="n">
        <v>0</v>
      </c>
      <c r="F6426" s="4" t="n">
        <f aca="false">D6426*E6426</f>
        <v>0</v>
      </c>
      <c r="G6426" s="7" t="n">
        <v>36</v>
      </c>
      <c r="H6426" s="9" t="n">
        <f aca="false">IF(G6426&gt;0,D6426/G6426,"")</f>
        <v>16.7777777777778</v>
      </c>
      <c r="I6426" s="10" t="n">
        <v>46037</v>
      </c>
      <c r="J6426" s="3" t="s">
        <v>1200</v>
      </c>
      <c r="K6426" s="10" t="n">
        <v>44805</v>
      </c>
      <c r="L6426" s="3" t="s">
        <v>16</v>
      </c>
      <c r="M6426" s="7" t="n">
        <v>1000</v>
      </c>
      <c r="N6426" s="8" t="n">
        <v>0</v>
      </c>
      <c r="O6426" s="4" t="n">
        <v>0</v>
      </c>
    </row>
    <row r="6427" customFormat="false" ht="15" hidden="false" customHeight="false" outlineLevel="0" collapsed="false">
      <c r="A6427" s="0" t="s">
        <v>8321</v>
      </c>
      <c r="C6427" s="0" t="s">
        <v>31</v>
      </c>
      <c r="D6427" s="7" t="n">
        <v>3282</v>
      </c>
      <c r="E6427" s="8" t="n">
        <v>0</v>
      </c>
      <c r="F6427" s="4" t="n">
        <f aca="false">D6427*E6427</f>
        <v>0</v>
      </c>
      <c r="G6427" s="7" t="n">
        <v>374</v>
      </c>
      <c r="H6427" s="9" t="n">
        <f aca="false">IF(G6427&gt;0,D6427/G6427,"")</f>
        <v>8.77540106951872</v>
      </c>
      <c r="I6427" s="10" t="n">
        <v>46269</v>
      </c>
      <c r="J6427" s="3" t="s">
        <v>1315</v>
      </c>
      <c r="K6427" s="10" t="n">
        <v>45904</v>
      </c>
      <c r="L6427" s="3" t="s">
        <v>16</v>
      </c>
      <c r="M6427" s="7" t="n">
        <v>3650</v>
      </c>
      <c r="N6427" s="8" t="n">
        <v>0</v>
      </c>
      <c r="O6427" s="4" t="n">
        <v>0</v>
      </c>
    </row>
    <row r="6428" customFormat="false" ht="15" hidden="false" customHeight="false" outlineLevel="0" collapsed="false">
      <c r="A6428" s="0" t="s">
        <v>8322</v>
      </c>
      <c r="C6428" s="0" t="s">
        <v>31</v>
      </c>
      <c r="D6428" s="7" t="n">
        <v>61</v>
      </c>
      <c r="E6428" s="8" t="n">
        <v>0</v>
      </c>
      <c r="F6428" s="4" t="n">
        <f aca="false">D6428*E6428</f>
        <v>0</v>
      </c>
      <c r="G6428" s="7" t="n">
        <v>30</v>
      </c>
      <c r="H6428" s="9" t="n">
        <f aca="false">IF(G6428&gt;0,D6428/G6428,"")</f>
        <v>2.03333333333333</v>
      </c>
      <c r="I6428" s="10" t="n">
        <v>46218</v>
      </c>
      <c r="K6428" s="10"/>
      <c r="M6428" s="7"/>
      <c r="N6428" s="8"/>
      <c r="O6428" s="4"/>
    </row>
    <row r="6429" customFormat="false" ht="15" hidden="false" customHeight="false" outlineLevel="0" collapsed="false">
      <c r="A6429" s="0" t="s">
        <v>8323</v>
      </c>
      <c r="D6429" s="7" t="n">
        <v>368</v>
      </c>
      <c r="E6429" s="8" t="n">
        <v>0</v>
      </c>
      <c r="F6429" s="4" t="n">
        <f aca="false">D6429*E6429</f>
        <v>0</v>
      </c>
      <c r="G6429" s="7" t="n">
        <v>77</v>
      </c>
      <c r="H6429" s="9" t="n">
        <f aca="false">IF(G6429&gt;0,D6429/G6429,"")</f>
        <v>4.77922077922078</v>
      </c>
      <c r="I6429" s="10" t="n">
        <v>46274</v>
      </c>
      <c r="K6429" s="10"/>
      <c r="M6429" s="7"/>
      <c r="N6429" s="8"/>
      <c r="O6429" s="4"/>
    </row>
    <row r="6430" customFormat="false" ht="15" hidden="false" customHeight="false" outlineLevel="0" collapsed="false">
      <c r="A6430" s="0" t="s">
        <v>8324</v>
      </c>
      <c r="D6430" s="7" t="n">
        <v>19</v>
      </c>
      <c r="E6430" s="8" t="n">
        <v>0</v>
      </c>
      <c r="F6430" s="4" t="n">
        <f aca="false">D6430*E6430</f>
        <v>0</v>
      </c>
      <c r="G6430" s="7" t="n">
        <v>1</v>
      </c>
      <c r="H6430" s="9" t="n">
        <f aca="false">IF(G6430&gt;0,D6430/G6430,"")</f>
        <v>19</v>
      </c>
      <c r="I6430" s="10" t="n">
        <v>45957</v>
      </c>
      <c r="J6430" s="3" t="s">
        <v>8325</v>
      </c>
      <c r="K6430" s="10" t="n">
        <v>45690</v>
      </c>
      <c r="L6430" s="3" t="s">
        <v>313</v>
      </c>
      <c r="M6430" s="7" t="n">
        <v>22</v>
      </c>
      <c r="N6430" s="8" t="n">
        <v>13.8698</v>
      </c>
      <c r="O6430" s="4" t="n">
        <f aca="false">M6430*N6430</f>
        <v>305.1356</v>
      </c>
    </row>
    <row r="6431" customFormat="false" ht="15" hidden="false" customHeight="false" outlineLevel="0" collapsed="false">
      <c r="A6431" s="0" t="s">
        <v>8326</v>
      </c>
      <c r="C6431" s="0" t="s">
        <v>118</v>
      </c>
      <c r="D6431" s="7" t="n">
        <v>9130</v>
      </c>
      <c r="E6431" s="8" t="n">
        <v>0</v>
      </c>
      <c r="F6431" s="4" t="n">
        <f aca="false">D6431*E6431</f>
        <v>0</v>
      </c>
      <c r="G6431" s="7" t="n">
        <v>10</v>
      </c>
      <c r="H6431" s="9" t="n">
        <f aca="false">IF(G6431&gt;0,D6431/G6431,"")</f>
        <v>913</v>
      </c>
      <c r="I6431" s="10" t="n">
        <v>46163</v>
      </c>
      <c r="K6431" s="10"/>
      <c r="M6431" s="7"/>
      <c r="N6431" s="8"/>
      <c r="O6431" s="4"/>
    </row>
    <row r="6432" customFormat="false" ht="15" hidden="false" customHeight="false" outlineLevel="0" collapsed="false">
      <c r="A6432" s="0" t="s">
        <v>8327</v>
      </c>
      <c r="C6432" s="0" t="s">
        <v>79</v>
      </c>
      <c r="D6432" s="7" t="n">
        <v>2553</v>
      </c>
      <c r="E6432" s="8" t="n">
        <v>0</v>
      </c>
      <c r="F6432" s="4" t="n">
        <f aca="false">D6432*E6432</f>
        <v>0</v>
      </c>
      <c r="G6432" s="7" t="n">
        <v>77</v>
      </c>
      <c r="H6432" s="9" t="n">
        <f aca="false">IF(G6432&gt;0,D6432/G6432,"")</f>
        <v>33.1558441558442</v>
      </c>
      <c r="I6432" s="10" t="n">
        <v>46108</v>
      </c>
      <c r="J6432" s="3" t="s">
        <v>8328</v>
      </c>
      <c r="K6432" s="10" t="n">
        <v>44274</v>
      </c>
      <c r="L6432" s="3" t="s">
        <v>15</v>
      </c>
      <c r="M6432" s="7" t="n">
        <v>2800</v>
      </c>
      <c r="N6432" s="8" t="n">
        <v>0</v>
      </c>
      <c r="O6432" s="4" t="n">
        <v>0</v>
      </c>
    </row>
    <row r="6433" customFormat="false" ht="15" hidden="false" customHeight="false" outlineLevel="0" collapsed="false">
      <c r="A6433" s="0" t="s">
        <v>8329</v>
      </c>
      <c r="D6433" s="7" t="n">
        <v>534</v>
      </c>
      <c r="E6433" s="8" t="n">
        <v>0</v>
      </c>
      <c r="F6433" s="4" t="n">
        <f aca="false">D6433*E6433</f>
        <v>0</v>
      </c>
      <c r="G6433" s="7" t="n">
        <v>13</v>
      </c>
      <c r="H6433" s="9" t="n">
        <f aca="false">IF(G6433&gt;0,D6433/G6433,"")</f>
        <v>41.0769230769231</v>
      </c>
      <c r="I6433" s="10" t="n">
        <v>46083</v>
      </c>
      <c r="K6433" s="10"/>
      <c r="M6433" s="7"/>
      <c r="N6433" s="8"/>
      <c r="O6433" s="4"/>
    </row>
    <row r="6434" customFormat="false" ht="15" hidden="false" customHeight="false" outlineLevel="0" collapsed="false">
      <c r="A6434" s="0" t="s">
        <v>8330</v>
      </c>
      <c r="C6434" s="0" t="s">
        <v>41</v>
      </c>
      <c r="D6434" s="7" t="n">
        <v>17250</v>
      </c>
      <c r="E6434" s="8" t="n">
        <v>0</v>
      </c>
      <c r="F6434" s="4" t="n">
        <f aca="false">D6434*E6434</f>
        <v>0</v>
      </c>
      <c r="G6434" s="7" t="n">
        <v>2700</v>
      </c>
      <c r="H6434" s="9" t="n">
        <f aca="false">IF(G6434&gt;0,D6434/G6434,"")</f>
        <v>6.38888888888889</v>
      </c>
      <c r="I6434" s="10" t="n">
        <v>46184</v>
      </c>
      <c r="J6434" s="3" t="s">
        <v>4116</v>
      </c>
      <c r="K6434" s="10" t="n">
        <v>45895</v>
      </c>
      <c r="L6434" s="3" t="s">
        <v>16</v>
      </c>
      <c r="M6434" s="7" t="n">
        <v>20000</v>
      </c>
      <c r="N6434" s="8" t="n">
        <v>0</v>
      </c>
      <c r="O6434" s="4" t="n">
        <v>0</v>
      </c>
    </row>
    <row r="6435" customFormat="false" ht="15" hidden="false" customHeight="false" outlineLevel="0" collapsed="false">
      <c r="A6435" s="0" t="s">
        <v>8331</v>
      </c>
      <c r="C6435" s="0" t="s">
        <v>4779</v>
      </c>
      <c r="D6435" s="7" t="n">
        <v>1059</v>
      </c>
      <c r="E6435" s="8" t="n">
        <v>0</v>
      </c>
      <c r="F6435" s="4" t="n">
        <f aca="false">D6435*E6435</f>
        <v>0</v>
      </c>
      <c r="G6435" s="7" t="n">
        <v>663</v>
      </c>
      <c r="H6435" s="9" t="n">
        <f aca="false">IF(G6435&gt;0,D6435/G6435,"")</f>
        <v>1.5972850678733</v>
      </c>
      <c r="I6435" s="10" t="n">
        <v>46314</v>
      </c>
      <c r="K6435" s="10"/>
      <c r="M6435" s="7"/>
      <c r="N6435" s="8"/>
      <c r="O6435" s="4"/>
    </row>
    <row r="6436" customFormat="false" ht="15" hidden="false" customHeight="false" outlineLevel="0" collapsed="false">
      <c r="A6436" s="0" t="s">
        <v>8332</v>
      </c>
      <c r="C6436" s="0" t="s">
        <v>34</v>
      </c>
      <c r="D6436" s="7" t="n">
        <v>2631</v>
      </c>
      <c r="E6436" s="8" t="n">
        <v>0</v>
      </c>
      <c r="F6436" s="4" t="n">
        <f aca="false">D6436*E6436</f>
        <v>0</v>
      </c>
      <c r="G6436" s="7" t="n">
        <v>321</v>
      </c>
      <c r="H6436" s="9" t="n">
        <f aca="false">IF(G6436&gt;0,D6436/G6436,"")</f>
        <v>8.19626168224299</v>
      </c>
      <c r="I6436" s="10" t="n">
        <v>46234</v>
      </c>
      <c r="J6436" s="3" t="s">
        <v>1200</v>
      </c>
      <c r="K6436" s="10" t="n">
        <v>44805</v>
      </c>
      <c r="L6436" s="3" t="s">
        <v>16</v>
      </c>
      <c r="M6436" s="7" t="n">
        <v>9195</v>
      </c>
      <c r="N6436" s="8" t="n">
        <v>0</v>
      </c>
      <c r="O6436" s="4" t="n">
        <v>0</v>
      </c>
    </row>
    <row r="6437" customFormat="false" ht="15" hidden="false" customHeight="false" outlineLevel="0" collapsed="false">
      <c r="A6437" s="0" t="s">
        <v>8333</v>
      </c>
      <c r="C6437" s="0" t="s">
        <v>34</v>
      </c>
      <c r="D6437" s="7" t="n">
        <v>1685</v>
      </c>
      <c r="E6437" s="8" t="n">
        <v>0</v>
      </c>
      <c r="F6437" s="4" t="n">
        <f aca="false">D6437*E6437</f>
        <v>0</v>
      </c>
      <c r="G6437" s="7" t="n">
        <v>115</v>
      </c>
      <c r="H6437" s="9" t="n">
        <f aca="false">IF(G6437&gt;0,D6437/G6437,"")</f>
        <v>14.6521739130435</v>
      </c>
      <c r="I6437" s="10" t="n">
        <v>46317</v>
      </c>
      <c r="J6437" s="3" t="s">
        <v>4116</v>
      </c>
      <c r="K6437" s="10" t="n">
        <v>45895</v>
      </c>
      <c r="L6437" s="3" t="s">
        <v>16</v>
      </c>
      <c r="M6437" s="7" t="n">
        <v>2000</v>
      </c>
      <c r="N6437" s="8" t="n">
        <v>0</v>
      </c>
      <c r="O6437" s="4" t="n">
        <v>0</v>
      </c>
    </row>
    <row r="6438" customFormat="false" ht="15" hidden="false" customHeight="false" outlineLevel="0" collapsed="false">
      <c r="A6438" s="0" t="s">
        <v>8334</v>
      </c>
      <c r="C6438" s="0" t="s">
        <v>34</v>
      </c>
      <c r="D6438" s="7" t="n">
        <v>943</v>
      </c>
      <c r="E6438" s="8" t="n">
        <v>0</v>
      </c>
      <c r="F6438" s="4" t="n">
        <f aca="false">D6438*E6438</f>
        <v>0</v>
      </c>
      <c r="G6438" s="7" t="n">
        <v>57</v>
      </c>
      <c r="H6438" s="9" t="n">
        <f aca="false">IF(G6438&gt;0,D6438/G6438,"")</f>
        <v>16.5438596491228</v>
      </c>
      <c r="I6438" s="10" t="n">
        <v>46287</v>
      </c>
      <c r="J6438" s="3" t="s">
        <v>4116</v>
      </c>
      <c r="K6438" s="10" t="n">
        <v>45895</v>
      </c>
      <c r="L6438" s="3" t="s">
        <v>16</v>
      </c>
      <c r="M6438" s="7" t="n">
        <v>1000</v>
      </c>
      <c r="N6438" s="8" t="n">
        <v>0</v>
      </c>
      <c r="O6438" s="4" t="n">
        <v>0</v>
      </c>
    </row>
    <row r="6439" customFormat="false" ht="15" hidden="false" customHeight="false" outlineLevel="0" collapsed="false">
      <c r="A6439" s="0" t="s">
        <v>8335</v>
      </c>
      <c r="C6439" s="0" t="s">
        <v>889</v>
      </c>
      <c r="D6439" s="7" t="n">
        <v>61091</v>
      </c>
      <c r="E6439" s="8" t="n">
        <v>0</v>
      </c>
      <c r="F6439" s="4" t="n">
        <f aca="false">D6439*E6439</f>
        <v>0</v>
      </c>
      <c r="G6439" s="7" t="n">
        <v>5760</v>
      </c>
      <c r="H6439" s="9" t="n">
        <f aca="false">IF(G6439&gt;0,D6439/G6439,"")</f>
        <v>10.6060763888889</v>
      </c>
      <c r="I6439" s="10" t="n">
        <v>46297</v>
      </c>
      <c r="K6439" s="10"/>
      <c r="M6439" s="7"/>
      <c r="N6439" s="8"/>
      <c r="O6439" s="4"/>
    </row>
    <row r="6440" customFormat="false" ht="15" hidden="false" customHeight="false" outlineLevel="0" collapsed="false">
      <c r="A6440" s="0" t="s">
        <v>8336</v>
      </c>
      <c r="D6440" s="7" t="n">
        <v>17</v>
      </c>
      <c r="E6440" s="8" t="n">
        <v>0</v>
      </c>
      <c r="F6440" s="4" t="n">
        <f aca="false">D6440*E6440</f>
        <v>0</v>
      </c>
      <c r="G6440" s="7" t="n">
        <v>3</v>
      </c>
      <c r="H6440" s="9" t="n">
        <f aca="false">IF(G6440&gt;0,D6440/G6440,"")</f>
        <v>5.66666666666667</v>
      </c>
      <c r="I6440" s="10" t="n">
        <v>46289</v>
      </c>
      <c r="J6440" s="3" t="s">
        <v>6021</v>
      </c>
      <c r="K6440" s="10" t="n">
        <v>45734</v>
      </c>
      <c r="L6440" s="3" t="s">
        <v>313</v>
      </c>
      <c r="M6440" s="7" t="n">
        <v>21</v>
      </c>
      <c r="N6440" s="8" t="n">
        <v>2.4</v>
      </c>
      <c r="O6440" s="4" t="n">
        <f aca="false">M6440*N6440</f>
        <v>50.4</v>
      </c>
    </row>
    <row r="6441" customFormat="false" ht="15" hidden="false" customHeight="false" outlineLevel="0" collapsed="false">
      <c r="A6441" s="0" t="s">
        <v>8337</v>
      </c>
      <c r="C6441" s="0" t="s">
        <v>285</v>
      </c>
      <c r="D6441" s="7" t="n">
        <v>8261</v>
      </c>
      <c r="E6441" s="8" t="n">
        <v>0</v>
      </c>
      <c r="F6441" s="4" t="n">
        <f aca="false">D6441*E6441</f>
        <v>0</v>
      </c>
      <c r="G6441" s="7" t="n">
        <v>324</v>
      </c>
      <c r="H6441" s="9" t="n">
        <f aca="false">IF(G6441&gt;0,D6441/G6441,"")</f>
        <v>25.4969135802469</v>
      </c>
      <c r="I6441" s="10" t="n">
        <v>46245</v>
      </c>
      <c r="J6441" s="3" t="s">
        <v>5635</v>
      </c>
      <c r="K6441" s="10" t="n">
        <v>45461</v>
      </c>
      <c r="L6441" s="3" t="s">
        <v>15</v>
      </c>
      <c r="M6441" s="7" t="n">
        <v>15090</v>
      </c>
      <c r="N6441" s="8" t="n">
        <v>0.03692</v>
      </c>
      <c r="O6441" s="4" t="n">
        <v>221.52</v>
      </c>
    </row>
    <row r="6442" customFormat="false" ht="15" hidden="false" customHeight="false" outlineLevel="0" collapsed="false">
      <c r="A6442" s="0" t="s">
        <v>8338</v>
      </c>
      <c r="C6442" s="0" t="s">
        <v>285</v>
      </c>
      <c r="D6442" s="7" t="n">
        <v>759</v>
      </c>
      <c r="E6442" s="8" t="n">
        <v>0</v>
      </c>
      <c r="F6442" s="4" t="n">
        <f aca="false">D6442*E6442</f>
        <v>0</v>
      </c>
      <c r="G6442" s="7" t="n">
        <v>45</v>
      </c>
      <c r="H6442" s="9" t="n">
        <f aca="false">IF(G6442&gt;0,D6442/G6442,"")</f>
        <v>16.8666666666667</v>
      </c>
      <c r="I6442" s="10" t="n">
        <v>46184</v>
      </c>
      <c r="K6442" s="10"/>
      <c r="M6442" s="7"/>
      <c r="N6442" s="8"/>
      <c r="O6442" s="4"/>
    </row>
    <row r="6443" customFormat="false" ht="15" hidden="false" customHeight="false" outlineLevel="0" collapsed="false">
      <c r="A6443" s="0" t="s">
        <v>8339</v>
      </c>
      <c r="C6443" s="0" t="s">
        <v>166</v>
      </c>
      <c r="D6443" s="7" t="n">
        <v>3</v>
      </c>
      <c r="E6443" s="8" t="n">
        <v>0</v>
      </c>
      <c r="F6443" s="4" t="n">
        <f aca="false">D6443*E6443</f>
        <v>0</v>
      </c>
      <c r="G6443" s="7" t="n">
        <v>2</v>
      </c>
      <c r="H6443" s="9" t="n">
        <f aca="false">IF(G6443&gt;0,D6443/G6443,"")</f>
        <v>1.5</v>
      </c>
      <c r="I6443" s="10" t="n">
        <v>46202</v>
      </c>
      <c r="K6443" s="10"/>
      <c r="M6443" s="7"/>
      <c r="N6443" s="8"/>
      <c r="O6443" s="4"/>
    </row>
    <row r="6444" customFormat="false" ht="15" hidden="false" customHeight="false" outlineLevel="0" collapsed="false">
      <c r="A6444" s="0" t="s">
        <v>8340</v>
      </c>
      <c r="C6444" s="0" t="s">
        <v>31</v>
      </c>
      <c r="D6444" s="7" t="n">
        <v>149</v>
      </c>
      <c r="E6444" s="8" t="n">
        <v>0</v>
      </c>
      <c r="F6444" s="4" t="n">
        <f aca="false">D6444*E6444</f>
        <v>0</v>
      </c>
      <c r="G6444" s="7" t="n">
        <v>34</v>
      </c>
      <c r="H6444" s="9" t="n">
        <f aca="false">IF(G6444&gt;0,D6444/G6444,"")</f>
        <v>4.38235294117647</v>
      </c>
      <c r="I6444" s="10" t="n">
        <v>46202</v>
      </c>
      <c r="K6444" s="10"/>
      <c r="M6444" s="7"/>
      <c r="N6444" s="8"/>
      <c r="O6444" s="4"/>
    </row>
    <row r="6445" customFormat="false" ht="15" hidden="false" customHeight="false" outlineLevel="0" collapsed="false">
      <c r="A6445" s="0" t="s">
        <v>8341</v>
      </c>
      <c r="C6445" s="0" t="s">
        <v>855</v>
      </c>
      <c r="D6445" s="7" t="n">
        <v>6486</v>
      </c>
      <c r="E6445" s="8" t="n">
        <v>0</v>
      </c>
      <c r="F6445" s="4" t="n">
        <f aca="false">D6445*E6445</f>
        <v>0</v>
      </c>
      <c r="G6445" s="7" t="n">
        <v>1565</v>
      </c>
      <c r="H6445" s="9" t="n">
        <f aca="false">IF(G6445&gt;0,D6445/G6445,"")</f>
        <v>4.1444089456869</v>
      </c>
      <c r="I6445" s="10" t="n">
        <v>46314</v>
      </c>
      <c r="K6445" s="10"/>
      <c r="M6445" s="7"/>
      <c r="N6445" s="8"/>
      <c r="O6445" s="4"/>
    </row>
    <row r="6446" customFormat="false" ht="15" hidden="false" customHeight="false" outlineLevel="0" collapsed="false">
      <c r="A6446" s="0" t="s">
        <v>8342</v>
      </c>
      <c r="C6446" s="0" t="s">
        <v>855</v>
      </c>
      <c r="D6446" s="7" t="n">
        <v>1062</v>
      </c>
      <c r="E6446" s="8" t="n">
        <v>0</v>
      </c>
      <c r="F6446" s="4" t="n">
        <f aca="false">D6446*E6446</f>
        <v>0</v>
      </c>
      <c r="G6446" s="7" t="n">
        <v>358</v>
      </c>
      <c r="H6446" s="9" t="n">
        <f aca="false">IF(G6446&gt;0,D6446/G6446,"")</f>
        <v>2.96648044692737</v>
      </c>
      <c r="I6446" s="10" t="n">
        <v>46238</v>
      </c>
      <c r="K6446" s="10"/>
      <c r="M6446" s="7"/>
      <c r="N6446" s="8"/>
      <c r="O6446" s="4"/>
    </row>
    <row r="6447" customFormat="false" ht="15" hidden="false" customHeight="false" outlineLevel="0" collapsed="false">
      <c r="A6447" s="0" t="s">
        <v>8343</v>
      </c>
      <c r="C6447" s="0" t="s">
        <v>41</v>
      </c>
      <c r="D6447" s="7" t="n">
        <v>10802</v>
      </c>
      <c r="E6447" s="8" t="n">
        <v>0</v>
      </c>
      <c r="F6447" s="4" t="n">
        <f aca="false">D6447*E6447</f>
        <v>0</v>
      </c>
      <c r="G6447" s="7" t="n">
        <v>1040</v>
      </c>
      <c r="H6447" s="9" t="n">
        <f aca="false">IF(G6447&gt;0,D6447/G6447,"")</f>
        <v>10.3865384615385</v>
      </c>
      <c r="I6447" s="10" t="n">
        <v>46192</v>
      </c>
      <c r="J6447" s="3" t="s">
        <v>8328</v>
      </c>
      <c r="K6447" s="10" t="n">
        <v>44274</v>
      </c>
      <c r="L6447" s="3" t="s">
        <v>15</v>
      </c>
      <c r="M6447" s="7" t="n">
        <v>12180</v>
      </c>
      <c r="N6447" s="8" t="n">
        <v>0</v>
      </c>
      <c r="O6447" s="4" t="n">
        <v>0</v>
      </c>
    </row>
    <row r="6448" customFormat="false" ht="15" hidden="false" customHeight="false" outlineLevel="0" collapsed="false">
      <c r="A6448" s="0" t="s">
        <v>8344</v>
      </c>
      <c r="C6448" s="0" t="s">
        <v>41</v>
      </c>
      <c r="D6448" s="7" t="n">
        <v>139</v>
      </c>
      <c r="E6448" s="8" t="n">
        <v>0</v>
      </c>
      <c r="F6448" s="4" t="n">
        <f aca="false">D6448*E6448</f>
        <v>0</v>
      </c>
      <c r="G6448" s="7" t="n">
        <v>16</v>
      </c>
      <c r="H6448" s="9" t="n">
        <f aca="false">IF(G6448&gt;0,D6448/G6448,"")</f>
        <v>8.6875</v>
      </c>
      <c r="I6448" s="10" t="n">
        <v>46218</v>
      </c>
      <c r="K6448" s="10"/>
      <c r="M6448" s="7"/>
      <c r="N6448" s="8"/>
      <c r="O6448" s="4"/>
    </row>
    <row r="6449" customFormat="false" ht="15" hidden="false" customHeight="false" outlineLevel="0" collapsed="false">
      <c r="A6449" s="0" t="s">
        <v>8345</v>
      </c>
      <c r="C6449" s="0" t="s">
        <v>41</v>
      </c>
      <c r="D6449" s="7" t="n">
        <v>25493</v>
      </c>
      <c r="E6449" s="8" t="n">
        <v>0</v>
      </c>
      <c r="F6449" s="4" t="n">
        <f aca="false">D6449*E6449</f>
        <v>0</v>
      </c>
      <c r="G6449" s="7" t="n">
        <v>175</v>
      </c>
      <c r="H6449" s="9" t="n">
        <f aca="false">IF(G6449&gt;0,D6449/G6449,"")</f>
        <v>145.674285714286</v>
      </c>
      <c r="I6449" s="10" t="n">
        <v>46266</v>
      </c>
      <c r="J6449" s="3" t="s">
        <v>2338</v>
      </c>
      <c r="K6449" s="10" t="n">
        <v>44272</v>
      </c>
      <c r="L6449" s="3" t="s">
        <v>16</v>
      </c>
      <c r="M6449" s="7" t="n">
        <v>25899</v>
      </c>
      <c r="N6449" s="8" t="n">
        <v>0.0084</v>
      </c>
      <c r="O6449" s="4" t="n">
        <f aca="false">M6449*N6449</f>
        <v>217.5516</v>
      </c>
    </row>
    <row r="6450" customFormat="false" ht="15" hidden="false" customHeight="false" outlineLevel="0" collapsed="false">
      <c r="A6450" s="0" t="s">
        <v>8346</v>
      </c>
      <c r="C6450" s="0" t="s">
        <v>855</v>
      </c>
      <c r="D6450" s="7" t="n">
        <v>6770</v>
      </c>
      <c r="E6450" s="8" t="n">
        <v>0</v>
      </c>
      <c r="F6450" s="4" t="n">
        <f aca="false">D6450*E6450</f>
        <v>0</v>
      </c>
      <c r="G6450" s="7" t="n">
        <v>2200</v>
      </c>
      <c r="H6450" s="9" t="n">
        <f aca="false">IF(G6450&gt;0,D6450/G6450,"")</f>
        <v>3.07727272727273</v>
      </c>
      <c r="I6450" s="10" t="n">
        <v>46280</v>
      </c>
      <c r="J6450" s="3" t="s">
        <v>2338</v>
      </c>
      <c r="K6450" s="10" t="n">
        <v>44272</v>
      </c>
      <c r="L6450" s="3" t="s">
        <v>16</v>
      </c>
      <c r="M6450" s="7" t="n">
        <v>11906</v>
      </c>
      <c r="N6450" s="8" t="n">
        <v>0.0053</v>
      </c>
      <c r="O6450" s="4" t="n">
        <f aca="false">M6450*N6450</f>
        <v>63.1018</v>
      </c>
    </row>
    <row r="6451" customFormat="false" ht="15" hidden="false" customHeight="false" outlineLevel="0" collapsed="false">
      <c r="A6451" s="0" t="s">
        <v>8347</v>
      </c>
      <c r="C6451" s="0" t="s">
        <v>8348</v>
      </c>
      <c r="D6451" s="7" t="n">
        <v>12</v>
      </c>
      <c r="E6451" s="8" t="n">
        <v>0</v>
      </c>
      <c r="F6451" s="4" t="n">
        <f aca="false">D6451*E6451</f>
        <v>0</v>
      </c>
      <c r="G6451" s="7" t="n">
        <v>2</v>
      </c>
      <c r="H6451" s="9" t="n">
        <f aca="false">IF(G6451&gt;0,D6451/G6451,"")</f>
        <v>6</v>
      </c>
      <c r="I6451" s="10" t="n">
        <v>46304</v>
      </c>
      <c r="K6451" s="10"/>
      <c r="M6451" s="7"/>
      <c r="N6451" s="8"/>
      <c r="O6451" s="4"/>
    </row>
    <row r="6452" customFormat="false" ht="15" hidden="false" customHeight="false" outlineLevel="0" collapsed="false">
      <c r="A6452" s="0" t="s">
        <v>8349</v>
      </c>
      <c r="C6452" s="0" t="s">
        <v>8350</v>
      </c>
      <c r="D6452" s="7" t="n">
        <v>9719</v>
      </c>
      <c r="E6452" s="8" t="n">
        <v>0</v>
      </c>
      <c r="F6452" s="4" t="n">
        <f aca="false">D6452*E6452</f>
        <v>0</v>
      </c>
      <c r="G6452" s="7" t="n">
        <v>14</v>
      </c>
      <c r="H6452" s="9" t="n">
        <f aca="false">IF(G6452&gt;0,D6452/G6452,"")</f>
        <v>694.214285714286</v>
      </c>
      <c r="I6452" s="10" t="n">
        <v>45972</v>
      </c>
      <c r="K6452" s="10"/>
      <c r="M6452" s="7"/>
      <c r="N6452" s="8"/>
      <c r="O6452" s="4"/>
    </row>
    <row r="6453" customFormat="false" ht="15" hidden="false" customHeight="false" outlineLevel="0" collapsed="false">
      <c r="A6453" s="0" t="s">
        <v>8351</v>
      </c>
      <c r="C6453" s="0" t="s">
        <v>1039</v>
      </c>
      <c r="D6453" s="7" t="n">
        <v>9355</v>
      </c>
      <c r="E6453" s="8" t="n">
        <v>0</v>
      </c>
      <c r="F6453" s="4" t="n">
        <f aca="false">D6453*E6453</f>
        <v>0</v>
      </c>
      <c r="G6453" s="7" t="n">
        <v>100</v>
      </c>
      <c r="H6453" s="9" t="n">
        <f aca="false">IF(G6453&gt;0,D6453/G6453,"")</f>
        <v>93.55</v>
      </c>
      <c r="I6453" s="10" t="n">
        <v>46300</v>
      </c>
      <c r="K6453" s="10"/>
      <c r="M6453" s="7"/>
      <c r="N6453" s="8"/>
      <c r="O6453" s="4"/>
    </row>
    <row r="6454" customFormat="false" ht="15" hidden="false" customHeight="false" outlineLevel="0" collapsed="false">
      <c r="A6454" s="0" t="s">
        <v>8352</v>
      </c>
      <c r="C6454" s="0" t="s">
        <v>340</v>
      </c>
      <c r="D6454" s="7" t="n">
        <v>1686</v>
      </c>
      <c r="E6454" s="8" t="n">
        <v>0</v>
      </c>
      <c r="F6454" s="4" t="n">
        <f aca="false">D6454*E6454</f>
        <v>0</v>
      </c>
      <c r="G6454" s="7" t="n">
        <v>25</v>
      </c>
      <c r="H6454" s="9" t="n">
        <f aca="false">IF(G6454&gt;0,D6454/G6454,"")</f>
        <v>67.44</v>
      </c>
      <c r="I6454" s="10" t="n">
        <v>46177</v>
      </c>
      <c r="J6454" s="3" t="s">
        <v>3385</v>
      </c>
      <c r="K6454" s="10" t="n">
        <v>45595</v>
      </c>
      <c r="L6454" s="3" t="s">
        <v>16</v>
      </c>
      <c r="M6454" s="7" t="n">
        <v>2811</v>
      </c>
      <c r="N6454" s="8" t="n">
        <v>0.0203</v>
      </c>
      <c r="O6454" s="4" t="n">
        <f aca="false">M6454*N6454</f>
        <v>57.0633</v>
      </c>
    </row>
    <row r="6455" customFormat="false" ht="15" hidden="false" customHeight="false" outlineLevel="0" collapsed="false">
      <c r="A6455" s="0" t="s">
        <v>8353</v>
      </c>
      <c r="C6455" s="0" t="s">
        <v>340</v>
      </c>
      <c r="D6455" s="7" t="n">
        <v>355</v>
      </c>
      <c r="E6455" s="8" t="n">
        <v>0</v>
      </c>
      <c r="F6455" s="4" t="n">
        <f aca="false">D6455*E6455</f>
        <v>0</v>
      </c>
      <c r="G6455" s="7" t="n">
        <v>109</v>
      </c>
      <c r="H6455" s="9" t="n">
        <f aca="false">IF(G6455&gt;0,D6455/G6455,"")</f>
        <v>3.25688073394495</v>
      </c>
      <c r="I6455" s="10" t="n">
        <v>46317</v>
      </c>
      <c r="J6455" s="3" t="s">
        <v>1315</v>
      </c>
      <c r="K6455" s="10" t="n">
        <v>45904</v>
      </c>
      <c r="L6455" s="3" t="s">
        <v>16</v>
      </c>
      <c r="M6455" s="7" t="n">
        <v>474</v>
      </c>
      <c r="N6455" s="8" t="n">
        <v>0</v>
      </c>
      <c r="O6455" s="4" t="n">
        <v>0</v>
      </c>
    </row>
    <row r="6456" customFormat="false" ht="15" hidden="false" customHeight="false" outlineLevel="0" collapsed="false">
      <c r="A6456" s="0" t="s">
        <v>8354</v>
      </c>
      <c r="C6456" s="0" t="s">
        <v>340</v>
      </c>
      <c r="D6456" s="7" t="n">
        <v>854</v>
      </c>
      <c r="E6456" s="8" t="n">
        <v>0</v>
      </c>
      <c r="F6456" s="4" t="n">
        <f aca="false">D6456*E6456</f>
        <v>0</v>
      </c>
      <c r="G6456" s="7" t="n">
        <v>212</v>
      </c>
      <c r="H6456" s="9" t="n">
        <f aca="false">IF(G6456&gt;0,D6456/G6456,"")</f>
        <v>4.02830188679245</v>
      </c>
      <c r="I6456" s="10" t="n">
        <v>46097</v>
      </c>
      <c r="J6456" s="3" t="s">
        <v>1315</v>
      </c>
      <c r="K6456" s="10" t="n">
        <v>45904</v>
      </c>
      <c r="L6456" s="3" t="s">
        <v>16</v>
      </c>
      <c r="M6456" s="7" t="n">
        <v>1072</v>
      </c>
      <c r="N6456" s="8" t="n">
        <v>0</v>
      </c>
      <c r="O6456" s="4" t="n">
        <v>0</v>
      </c>
    </row>
    <row r="6457" customFormat="false" ht="15" hidden="false" customHeight="false" outlineLevel="0" collapsed="false">
      <c r="A6457" s="0" t="s">
        <v>8355</v>
      </c>
      <c r="C6457" s="0" t="s">
        <v>340</v>
      </c>
      <c r="D6457" s="7" t="n">
        <v>1819</v>
      </c>
      <c r="E6457" s="8" t="n">
        <v>0</v>
      </c>
      <c r="F6457" s="4" t="n">
        <f aca="false">D6457*E6457</f>
        <v>0</v>
      </c>
      <c r="G6457" s="7" t="n">
        <v>375</v>
      </c>
      <c r="H6457" s="9" t="n">
        <f aca="false">IF(G6457&gt;0,D6457/G6457,"")</f>
        <v>4.85066666666667</v>
      </c>
      <c r="I6457" s="10" t="n">
        <v>46308</v>
      </c>
      <c r="K6457" s="10"/>
      <c r="M6457" s="7"/>
      <c r="N6457" s="8"/>
      <c r="O6457" s="4"/>
    </row>
    <row r="6458" customFormat="false" ht="15" hidden="false" customHeight="false" outlineLevel="0" collapsed="false">
      <c r="A6458" s="0" t="s">
        <v>8356</v>
      </c>
      <c r="C6458" s="0" t="s">
        <v>31</v>
      </c>
      <c r="D6458" s="7" t="n">
        <v>46</v>
      </c>
      <c r="E6458" s="8" t="n">
        <v>0</v>
      </c>
      <c r="F6458" s="4" t="n">
        <f aca="false">D6458*E6458</f>
        <v>0</v>
      </c>
      <c r="G6458" s="7" t="n">
        <v>28</v>
      </c>
      <c r="H6458" s="9" t="n">
        <f aca="false">IF(G6458&gt;0,D6458/G6458,"")</f>
        <v>1.64285714285714</v>
      </c>
      <c r="I6458" s="10" t="n">
        <v>46118</v>
      </c>
      <c r="K6458" s="10"/>
      <c r="M6458" s="7"/>
      <c r="N6458" s="8"/>
      <c r="O6458" s="4"/>
    </row>
    <row r="6459" customFormat="false" ht="15" hidden="false" customHeight="false" outlineLevel="0" collapsed="false">
      <c r="A6459" s="0" t="s">
        <v>8357</v>
      </c>
      <c r="C6459" s="0" t="s">
        <v>4363</v>
      </c>
      <c r="D6459" s="7" t="n">
        <v>4</v>
      </c>
      <c r="E6459" s="8" t="n">
        <v>0</v>
      </c>
      <c r="F6459" s="4" t="n">
        <f aca="false">D6459*E6459</f>
        <v>0</v>
      </c>
      <c r="G6459" s="7" t="n">
        <v>1</v>
      </c>
      <c r="H6459" s="9" t="n">
        <f aca="false">IF(G6459&gt;0,D6459/G6459,"")</f>
        <v>4</v>
      </c>
      <c r="I6459" s="10" t="n">
        <v>46140</v>
      </c>
      <c r="K6459" s="10"/>
      <c r="M6459" s="7"/>
      <c r="N6459" s="8"/>
      <c r="O6459" s="4"/>
    </row>
    <row r="6460" customFormat="false" ht="15" hidden="false" customHeight="false" outlineLevel="0" collapsed="false">
      <c r="A6460" s="0" t="s">
        <v>8358</v>
      </c>
      <c r="D6460" s="7" t="n">
        <v>1328</v>
      </c>
      <c r="E6460" s="8" t="n">
        <v>0</v>
      </c>
      <c r="F6460" s="4" t="n">
        <f aca="false">D6460*E6460</f>
        <v>0</v>
      </c>
      <c r="G6460" s="7" t="n">
        <v>10</v>
      </c>
      <c r="H6460" s="9" t="n">
        <f aca="false">IF(G6460&gt;0,D6460/G6460,"")</f>
        <v>132.8</v>
      </c>
      <c r="I6460" s="10" t="n">
        <v>46127</v>
      </c>
      <c r="J6460" s="3" t="s">
        <v>558</v>
      </c>
      <c r="K6460" s="10" t="n">
        <v>45457</v>
      </c>
      <c r="L6460" s="3" t="s">
        <v>15</v>
      </c>
      <c r="M6460" s="7" t="n">
        <v>2278</v>
      </c>
      <c r="N6460" s="8" t="n">
        <v>0.54095</v>
      </c>
      <c r="O6460" s="4" t="n">
        <v>243.4275</v>
      </c>
    </row>
    <row r="6461" customFormat="false" ht="15" hidden="false" customHeight="false" outlineLevel="0" collapsed="false">
      <c r="A6461" s="0" t="s">
        <v>8359</v>
      </c>
      <c r="C6461" s="0" t="s">
        <v>32</v>
      </c>
      <c r="D6461" s="7" t="n">
        <v>375</v>
      </c>
      <c r="E6461" s="8" t="n">
        <v>0</v>
      </c>
      <c r="F6461" s="4" t="n">
        <f aca="false">D6461*E6461</f>
        <v>0</v>
      </c>
      <c r="G6461" s="7" t="n">
        <v>325</v>
      </c>
      <c r="H6461" s="9" t="n">
        <f aca="false">IF(G6461&gt;0,D6461/G6461,"")</f>
        <v>1.15384615384615</v>
      </c>
      <c r="I6461" s="10" t="n">
        <v>46034</v>
      </c>
      <c r="K6461" s="10"/>
      <c r="M6461" s="7"/>
      <c r="N6461" s="8"/>
      <c r="O6461" s="4"/>
    </row>
    <row r="6462" customFormat="false" ht="15" hidden="false" customHeight="false" outlineLevel="0" collapsed="false">
      <c r="A6462" s="0" t="s">
        <v>8360</v>
      </c>
      <c r="C6462" s="0" t="s">
        <v>197</v>
      </c>
      <c r="D6462" s="7" t="n">
        <v>1015</v>
      </c>
      <c r="E6462" s="8" t="n">
        <v>0</v>
      </c>
      <c r="F6462" s="4" t="n">
        <f aca="false">D6462*E6462</f>
        <v>0</v>
      </c>
      <c r="G6462" s="7" t="n">
        <v>269</v>
      </c>
      <c r="H6462" s="9" t="n">
        <f aca="false">IF(G6462&gt;0,D6462/G6462,"")</f>
        <v>3.77323420074349</v>
      </c>
      <c r="I6462" s="10" t="n">
        <v>46317</v>
      </c>
      <c r="J6462" s="3" t="s">
        <v>8361</v>
      </c>
      <c r="K6462" s="10" t="n">
        <v>46268</v>
      </c>
      <c r="L6462" s="3" t="s">
        <v>199</v>
      </c>
      <c r="M6462" s="7" t="n">
        <v>1000</v>
      </c>
      <c r="N6462" s="8" t="n">
        <v>0</v>
      </c>
      <c r="O6462" s="4" t="n">
        <v>0</v>
      </c>
    </row>
    <row r="6463" customFormat="false" ht="15" hidden="false" customHeight="false" outlineLevel="0" collapsed="false">
      <c r="A6463" s="0" t="s">
        <v>8362</v>
      </c>
      <c r="C6463" s="0" t="s">
        <v>197</v>
      </c>
      <c r="D6463" s="7" t="n">
        <v>95</v>
      </c>
      <c r="E6463" s="8" t="n">
        <v>0</v>
      </c>
      <c r="F6463" s="4" t="n">
        <f aca="false">D6463*E6463</f>
        <v>0</v>
      </c>
      <c r="G6463" s="7" t="n">
        <v>30</v>
      </c>
      <c r="H6463" s="9" t="n">
        <f aca="false">IF(G6463&gt;0,D6463/G6463,"")</f>
        <v>3.16666666666667</v>
      </c>
      <c r="I6463" s="10" t="n">
        <v>46288</v>
      </c>
      <c r="K6463" s="10"/>
      <c r="M6463" s="7"/>
      <c r="N6463" s="8"/>
      <c r="O6463" s="4"/>
    </row>
    <row r="6464" customFormat="false" ht="15" hidden="false" customHeight="false" outlineLevel="0" collapsed="false">
      <c r="A6464" s="0" t="s">
        <v>8363</v>
      </c>
      <c r="C6464" s="0" t="s">
        <v>197</v>
      </c>
      <c r="D6464" s="7" t="n">
        <v>172</v>
      </c>
      <c r="E6464" s="8" t="n">
        <v>0</v>
      </c>
      <c r="F6464" s="4" t="n">
        <f aca="false">D6464*E6464</f>
        <v>0</v>
      </c>
      <c r="G6464" s="7" t="n">
        <v>1</v>
      </c>
      <c r="H6464" s="9" t="n">
        <f aca="false">IF(G6464&gt;0,D6464/G6464,"")</f>
        <v>172</v>
      </c>
      <c r="I6464" s="10" t="n">
        <v>45996</v>
      </c>
      <c r="K6464" s="10"/>
      <c r="M6464" s="7"/>
      <c r="N6464" s="8"/>
      <c r="O6464" s="4"/>
    </row>
    <row r="6465" customFormat="false" ht="15" hidden="false" customHeight="false" outlineLevel="0" collapsed="false">
      <c r="A6465" s="0" t="s">
        <v>8364</v>
      </c>
      <c r="C6465" s="0" t="s">
        <v>438</v>
      </c>
      <c r="D6465" s="7" t="n">
        <v>658</v>
      </c>
      <c r="E6465" s="8" t="n">
        <v>0</v>
      </c>
      <c r="F6465" s="4" t="n">
        <f aca="false">D6465*E6465</f>
        <v>0</v>
      </c>
      <c r="G6465" s="7" t="n">
        <v>37</v>
      </c>
      <c r="H6465" s="9" t="n">
        <f aca="false">IF(G6465&gt;0,D6465/G6465,"")</f>
        <v>17.7837837837838</v>
      </c>
      <c r="I6465" s="10" t="n">
        <v>46309</v>
      </c>
      <c r="J6465" s="3" t="s">
        <v>995</v>
      </c>
      <c r="K6465" s="10" t="n">
        <v>44692</v>
      </c>
      <c r="L6465" s="3" t="s">
        <v>14</v>
      </c>
      <c r="M6465" s="7" t="n">
        <v>1000</v>
      </c>
      <c r="N6465" s="8" t="n">
        <v>0</v>
      </c>
      <c r="O6465" s="4" t="n">
        <v>0</v>
      </c>
    </row>
    <row r="6466" customFormat="false" ht="15" hidden="false" customHeight="false" outlineLevel="0" collapsed="false">
      <c r="A6466" s="0" t="s">
        <v>8365</v>
      </c>
      <c r="C6466" s="0" t="s">
        <v>615</v>
      </c>
      <c r="D6466" s="7" t="n">
        <v>10075</v>
      </c>
      <c r="E6466" s="8" t="n">
        <v>0</v>
      </c>
      <c r="F6466" s="4" t="n">
        <f aca="false">D6466*E6466</f>
        <v>0</v>
      </c>
      <c r="G6466" s="7" t="n">
        <v>25</v>
      </c>
      <c r="H6466" s="9" t="n">
        <f aca="false">IF(G6466&gt;0,D6466/G6466,"")</f>
        <v>403</v>
      </c>
      <c r="I6466" s="10" t="n">
        <v>46010</v>
      </c>
      <c r="J6466" s="3" t="s">
        <v>1087</v>
      </c>
      <c r="K6466" s="10" t="n">
        <v>45490</v>
      </c>
      <c r="L6466" s="3" t="s">
        <v>15</v>
      </c>
      <c r="M6466" s="7" t="n">
        <v>16100</v>
      </c>
      <c r="N6466" s="8" t="n">
        <v>0</v>
      </c>
      <c r="O6466" s="4" t="n">
        <v>216.06</v>
      </c>
    </row>
    <row r="6467" customFormat="false" ht="15" hidden="false" customHeight="false" outlineLevel="0" collapsed="false">
      <c r="A6467" s="0" t="s">
        <v>8366</v>
      </c>
      <c r="C6467" s="0" t="s">
        <v>8367</v>
      </c>
      <c r="D6467" s="7" t="n">
        <v>951</v>
      </c>
      <c r="E6467" s="8" t="n">
        <v>0</v>
      </c>
      <c r="F6467" s="4" t="n">
        <f aca="false">D6467*E6467</f>
        <v>0</v>
      </c>
      <c r="G6467" s="7" t="n">
        <v>19</v>
      </c>
      <c r="H6467" s="9" t="n">
        <f aca="false">IF(G6467&gt;0,D6467/G6467,"")</f>
        <v>50.0526315789474</v>
      </c>
      <c r="I6467" s="10" t="n">
        <v>46314</v>
      </c>
      <c r="J6467" s="3" t="s">
        <v>8368</v>
      </c>
      <c r="K6467" s="10" t="n">
        <v>45670</v>
      </c>
      <c r="L6467" s="3" t="s">
        <v>824</v>
      </c>
      <c r="M6467" s="7" t="n">
        <v>1</v>
      </c>
      <c r="N6467" s="8" t="n">
        <v>0</v>
      </c>
      <c r="O6467" s="4" t="n">
        <v>0</v>
      </c>
    </row>
    <row r="6468" customFormat="false" ht="15" hidden="false" customHeight="false" outlineLevel="0" collapsed="false">
      <c r="A6468" s="0" t="s">
        <v>8369</v>
      </c>
      <c r="C6468" s="0" t="s">
        <v>844</v>
      </c>
      <c r="D6468" s="7" t="n">
        <v>35</v>
      </c>
      <c r="E6468" s="8" t="n">
        <v>0</v>
      </c>
      <c r="F6468" s="4" t="n">
        <f aca="false">D6468*E6468</f>
        <v>0</v>
      </c>
      <c r="G6468" s="7" t="n">
        <v>1</v>
      </c>
      <c r="H6468" s="9" t="n">
        <f aca="false">IF(G6468&gt;0,D6468/G6468,"")</f>
        <v>35</v>
      </c>
      <c r="I6468" s="10" t="n">
        <v>46266</v>
      </c>
      <c r="K6468" s="10"/>
      <c r="M6468" s="7"/>
      <c r="N6468" s="8"/>
      <c r="O6468" s="4"/>
    </row>
    <row r="6469" customFormat="false" ht="15" hidden="false" customHeight="false" outlineLevel="0" collapsed="false">
      <c r="A6469" s="0" t="s">
        <v>8370</v>
      </c>
      <c r="C6469" s="0" t="s">
        <v>8367</v>
      </c>
      <c r="D6469" s="7" t="n">
        <v>944</v>
      </c>
      <c r="E6469" s="8" t="n">
        <v>0</v>
      </c>
      <c r="F6469" s="4" t="n">
        <f aca="false">D6469*E6469</f>
        <v>0</v>
      </c>
      <c r="G6469" s="7" t="n">
        <v>35</v>
      </c>
      <c r="H6469" s="9" t="n">
        <f aca="false">IF(G6469&gt;0,D6469/G6469,"")</f>
        <v>26.9714285714286</v>
      </c>
      <c r="I6469" s="10" t="n">
        <v>46220</v>
      </c>
      <c r="J6469" s="3" t="s">
        <v>8371</v>
      </c>
      <c r="K6469" s="10" t="n">
        <v>45629</v>
      </c>
      <c r="L6469" s="3" t="s">
        <v>25</v>
      </c>
      <c r="M6469" s="7" t="n">
        <v>1</v>
      </c>
      <c r="N6469" s="8" t="n">
        <v>0</v>
      </c>
      <c r="O6469" s="4" t="n">
        <v>0</v>
      </c>
    </row>
    <row r="6470" customFormat="false" ht="15" hidden="false" customHeight="false" outlineLevel="0" collapsed="false">
      <c r="A6470" s="0" t="s">
        <v>8372</v>
      </c>
      <c r="C6470" s="0" t="s">
        <v>69</v>
      </c>
      <c r="D6470" s="7" t="n">
        <v>1963</v>
      </c>
      <c r="E6470" s="8" t="n">
        <v>0</v>
      </c>
      <c r="F6470" s="4" t="n">
        <f aca="false">D6470*E6470</f>
        <v>0</v>
      </c>
      <c r="G6470" s="7" t="n">
        <v>49</v>
      </c>
      <c r="H6470" s="9" t="n">
        <f aca="false">IF(G6470&gt;0,D6470/G6470,"")</f>
        <v>40.0612244897959</v>
      </c>
      <c r="I6470" s="10" t="n">
        <v>46260</v>
      </c>
      <c r="K6470" s="10"/>
      <c r="M6470" s="7"/>
      <c r="N6470" s="8"/>
      <c r="O6470" s="4"/>
    </row>
    <row r="6471" customFormat="false" ht="15" hidden="false" customHeight="false" outlineLevel="0" collapsed="false">
      <c r="A6471" s="0" t="s">
        <v>8373</v>
      </c>
      <c r="C6471" s="0" t="s">
        <v>69</v>
      </c>
      <c r="D6471" s="7" t="n">
        <v>8645</v>
      </c>
      <c r="E6471" s="8" t="n">
        <v>0</v>
      </c>
      <c r="F6471" s="4" t="n">
        <f aca="false">D6471*E6471</f>
        <v>0</v>
      </c>
      <c r="G6471" s="7" t="n">
        <v>500</v>
      </c>
      <c r="H6471" s="9" t="n">
        <f aca="false">IF(G6471&gt;0,D6471/G6471,"")</f>
        <v>17.29</v>
      </c>
      <c r="I6471" s="10" t="n">
        <v>46253</v>
      </c>
      <c r="K6471" s="10"/>
      <c r="M6471" s="7"/>
      <c r="N6471" s="8"/>
      <c r="O6471" s="4"/>
    </row>
    <row r="6472" customFormat="false" ht="15" hidden="false" customHeight="false" outlineLevel="0" collapsed="false">
      <c r="A6472" s="0" t="s">
        <v>8374</v>
      </c>
      <c r="C6472" s="0" t="s">
        <v>45</v>
      </c>
      <c r="D6472" s="7" t="n">
        <v>170</v>
      </c>
      <c r="E6472" s="8" t="n">
        <v>0</v>
      </c>
      <c r="F6472" s="4" t="n">
        <f aca="false">D6472*E6472</f>
        <v>0</v>
      </c>
      <c r="G6472" s="7" t="n">
        <v>21</v>
      </c>
      <c r="H6472" s="9" t="n">
        <f aca="false">IF(G6472&gt;0,D6472/G6472,"")</f>
        <v>8.0952380952381</v>
      </c>
      <c r="I6472" s="10" t="n">
        <v>46219</v>
      </c>
      <c r="K6472" s="10"/>
      <c r="M6472" s="7"/>
      <c r="N6472" s="8"/>
      <c r="O6472" s="4"/>
    </row>
    <row r="6473" customFormat="false" ht="15" hidden="false" customHeight="false" outlineLevel="0" collapsed="false">
      <c r="A6473" s="0" t="s">
        <v>8375</v>
      </c>
      <c r="C6473" s="0" t="s">
        <v>8350</v>
      </c>
      <c r="D6473" s="7" t="n">
        <v>9979</v>
      </c>
      <c r="E6473" s="8" t="n">
        <v>0</v>
      </c>
      <c r="F6473" s="4" t="n">
        <f aca="false">D6473*E6473</f>
        <v>0</v>
      </c>
      <c r="G6473" s="7" t="n">
        <v>18</v>
      </c>
      <c r="H6473" s="9" t="n">
        <f aca="false">IF(G6473&gt;0,D6473/G6473,"")</f>
        <v>554.388888888889</v>
      </c>
      <c r="I6473" s="10" t="n">
        <v>46085</v>
      </c>
      <c r="K6473" s="10"/>
      <c r="M6473" s="7"/>
      <c r="N6473" s="8"/>
      <c r="O6473" s="4"/>
    </row>
    <row r="6474" customFormat="false" ht="15" hidden="false" customHeight="false" outlineLevel="0" collapsed="false">
      <c r="A6474" s="0" t="s">
        <v>8376</v>
      </c>
      <c r="C6474" s="0" t="s">
        <v>41</v>
      </c>
      <c r="D6474" s="7" t="n">
        <v>16652</v>
      </c>
      <c r="E6474" s="8" t="n">
        <v>0</v>
      </c>
      <c r="F6474" s="4" t="n">
        <f aca="false">D6474*E6474</f>
        <v>0</v>
      </c>
      <c r="G6474" s="7" t="n">
        <v>146</v>
      </c>
      <c r="H6474" s="9" t="n">
        <f aca="false">IF(G6474&gt;0,D6474/G6474,"")</f>
        <v>114.054794520548</v>
      </c>
      <c r="I6474" s="10" t="n">
        <v>46279</v>
      </c>
      <c r="J6474" s="3" t="s">
        <v>1315</v>
      </c>
      <c r="K6474" s="10" t="n">
        <v>45904</v>
      </c>
      <c r="L6474" s="3" t="s">
        <v>16</v>
      </c>
      <c r="M6474" s="7" t="n">
        <v>16818</v>
      </c>
      <c r="N6474" s="8" t="n">
        <v>0</v>
      </c>
      <c r="O6474" s="4" t="n">
        <v>0</v>
      </c>
    </row>
    <row r="6475" customFormat="false" ht="15" hidden="false" customHeight="false" outlineLevel="0" collapsed="false">
      <c r="A6475" s="0" t="s">
        <v>8377</v>
      </c>
      <c r="C6475" s="0" t="s">
        <v>41</v>
      </c>
      <c r="D6475" s="7" t="n">
        <v>2120</v>
      </c>
      <c r="E6475" s="8" t="n">
        <v>0</v>
      </c>
      <c r="F6475" s="4" t="n">
        <f aca="false">D6475*E6475</f>
        <v>0</v>
      </c>
      <c r="G6475" s="7" t="n">
        <v>130</v>
      </c>
      <c r="H6475" s="9" t="n">
        <f aca="false">IF(G6475&gt;0,D6475/G6475,"")</f>
        <v>16.3076923076923</v>
      </c>
      <c r="I6475" s="10" t="n">
        <v>46098</v>
      </c>
      <c r="K6475" s="10"/>
      <c r="M6475" s="7"/>
      <c r="N6475" s="8"/>
      <c r="O6475" s="4"/>
    </row>
    <row r="6476" customFormat="false" ht="15" hidden="false" customHeight="false" outlineLevel="0" collapsed="false">
      <c r="A6476" s="0" t="s">
        <v>8378</v>
      </c>
      <c r="C6476" s="0" t="s">
        <v>95</v>
      </c>
      <c r="D6476" s="7" t="n">
        <v>2350</v>
      </c>
      <c r="E6476" s="8" t="n">
        <v>0</v>
      </c>
      <c r="F6476" s="4" t="n">
        <f aca="false">D6476*E6476</f>
        <v>0</v>
      </c>
      <c r="G6476" s="7" t="n">
        <v>150</v>
      </c>
      <c r="H6476" s="9" t="n">
        <f aca="false">IF(G6476&gt;0,D6476/G6476,"")</f>
        <v>15.6666666666667</v>
      </c>
      <c r="I6476" s="10" t="n">
        <v>46104</v>
      </c>
      <c r="K6476" s="10"/>
      <c r="M6476" s="7"/>
      <c r="N6476" s="8"/>
      <c r="O6476" s="4"/>
    </row>
    <row r="6477" customFormat="false" ht="15" hidden="false" customHeight="false" outlineLevel="0" collapsed="false">
      <c r="A6477" s="2" t="s">
        <v>8379</v>
      </c>
      <c r="F6477" s="11" t="n">
        <f aca="false">SUBTOTAL(9,F2:F6476)</f>
        <v>908669.4</v>
      </c>
      <c r="O6477" s="11" t="n">
        <f aca="false">SUBTOTAL(9,O2:O6476)</f>
        <v>972038.20619923</v>
      </c>
    </row>
  </sheetData>
  <autoFilter ref="A1:O64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2026-10-23T13:55:43Z</dcterms:created>
  <dc:creator>openpyxl</dc:creator>
  <dc:description/>
  <dc:language>en-US</dc:language>
  <cp:lastModifiedBy/>
  <dcterms:modified xsi:type="dcterms:W3CDTF">2026-10-23T13:55:44Z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