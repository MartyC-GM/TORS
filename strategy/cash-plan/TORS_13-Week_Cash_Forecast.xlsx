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13-Week Forecast" sheetId="3" state="visible" r:id="rId5"/>
    <sheet name="Vendor Cal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<sst xmlns="http://schemas.openxmlformats.org/spreadsheetml/2006/main" count="240" uniqueCount="157">
  <si>
    <t xml:space="preserve">Get Even by January 1: Cash Plan Summary</t>
  </si>
  <si>
    <t xml:space="preserve">Built 10/23/2026 from the AP schedule, FY2026 income statement, balance sheets, and NetSuite receipts. Rough plan, not accounting.</t>
  </si>
  <si>
    <t xml:space="preserve">Plan</t>
  </si>
  <si>
    <t xml:space="preserve">Lowest cash in 13 weeks</t>
  </si>
  <si>
    <t xml:space="preserve">Cash on Jan 22</t>
  </si>
  <si>
    <t xml:space="preserve">Past-due bills left</t>
  </si>
  <si>
    <t xml:space="preserve">PayPal loan still owed</t>
  </si>
  <si>
    <t xml:space="preserve">Weeks below $40K floor</t>
  </si>
  <si>
    <t xml:space="preserve">PLAN A: Keep doing what we're doing (no cuts, no loan)</t>
  </si>
  <si>
    <t xml:space="preserve">PLAN B: Tighten up (buy less, cut software, sell dead stock, vendor payment plans)</t>
  </si>
  <si>
    <t xml:space="preserve">PLAN C: Tighten up + PayPal loan (pay off past-due bills now)</t>
  </si>
  <si>
    <t xml:space="preserve">PLAN D: PayPal loan only, no other changes</t>
  </si>
  <si>
    <t xml:space="preserve">How to read this:</t>
  </si>
  <si>
    <t xml:space="preserve">Plan A: business as usual. We make money, but the past-due bills only get caught up by paying a little extra each week.</t>
  </si>
  <si>
    <t xml:space="preserve">Plan B: same sales, but we buy 25% less inventory until January, trim software, sell some dead stock, and agree payment plans with vendors.</t>
  </si>
  <si>
    <t xml:space="preserve">Plan C: Plan B plus a PayPal Working Capital loan to pay the past-due bills right away. PayPal then takes 10% of PayPal sales until it's repaid.</t>
  </si>
  <si>
    <t xml:space="preserve">Plan D: the PayPal loan by itself with no other changes. Shows whether a loan alone gets us there.</t>
  </si>
  <si>
    <t xml:space="preserve">Not in this forecast: Groundwork (no more money goes there), big one-time buys, tax payments, owner draws. Add them on the forecast tab if they come up.</t>
  </si>
  <si>
    <t xml:space="preserve">The PayPal fee is a guess (10%). Plug in the real number from PayPal's offer on the Assumptions tab.</t>
  </si>
  <si>
    <t xml:space="preserve">Late fees we stop paying (about $3K/month this year) are a bonus on top of Plans B and C.</t>
  </si>
  <si>
    <t xml:space="preserve">13-Week Cash Forecast: Assumptions (yellow cells can be changed)</t>
  </si>
  <si>
    <t xml:space="preserve">Assumption</t>
  </si>
  <si>
    <t xml:space="preserve">Value</t>
  </si>
  <si>
    <t xml:space="preserve">Where it comes from</t>
  </si>
  <si>
    <t xml:space="preserve">Starting operating cash (AP schedule, 10/22/2026)</t>
  </si>
  <si>
    <t xml:space="preserve">Bank Balances tab of the AP schedule</t>
  </si>
  <si>
    <t xml:space="preserve">Cash floor we never want to go below</t>
  </si>
  <si>
    <t xml:space="preserve">About 1.5 weeks of payroll + bills</t>
  </si>
  <si>
    <t xml:space="preserve">Payroll all in, per month</t>
  </si>
  <si>
    <t xml:space="preserve">YTD wages $992K + taxes + health + comp, about $122K/mo, plus about $6K/mo of employer taxes not yet on the P&amp;L</t>
  </si>
  <si>
    <t xml:space="preserve">Other operating expenses, per month (not payroll, not inventory)</t>
  </si>
  <si>
    <t xml:space="preserve">FY2026 income statement: total expense less payroll, about $100K/mo (shipping, software, rent, insurance, fees)</t>
  </si>
  <si>
    <t xml:space="preserve">Inventory purchases as % of sales</t>
  </si>
  <si>
    <t xml:space="preserve">COGS + inbound freight + tariffs = 36.3% of income YTD</t>
  </si>
  <si>
    <t xml:space="preserve">Buying cut in Plans B and C (until Jan)</t>
  </si>
  <si>
    <t xml:space="preserve">Buy for open orders and top movers only</t>
  </si>
  <si>
    <t xml:space="preserve">Software savings per month (Plans B and C)</t>
  </si>
  <si>
    <t xml:space="preserve">Software runs about $18K/mo; target a 20% cut</t>
  </si>
  <si>
    <t xml:space="preserve">Dead stock cash recovered, total (Plans B and C)</t>
  </si>
  <si>
    <t xml:space="preserve">Sell/return part of $251K with no sales in 12 months; spread over weeks 7 to 13</t>
  </si>
  <si>
    <t xml:space="preserve">Credit card paydown per month (Plans A and B)</t>
  </si>
  <si>
    <t xml:space="preserve">Cards: MC $22.7K + Amex $32.5K</t>
  </si>
  <si>
    <t xml:space="preserve">Credit card paydown per month (Plan C)</t>
  </si>
  <si>
    <t xml:space="preserve">Loan payments per month (Ally truck + GM Financial)</t>
  </si>
  <si>
    <t xml:space="preserve">Ally $1,223/mo actual; GM Financial payment unknown, $900 assumed</t>
  </si>
  <si>
    <t xml:space="preserve">Shareholder buyout payments per month</t>
  </si>
  <si>
    <t xml:space="preserve">$19K paid YTD</t>
  </si>
  <si>
    <t xml:space="preserve">Past-due vendor bills at 10/22</t>
  </si>
  <si>
    <t xml:space="preserve">AP schedule, oldest is 22 days late</t>
  </si>
  <si>
    <t xml:space="preserve">Weeks to catch up past-due bills, Plan A</t>
  </si>
  <si>
    <t xml:space="preserve">Weeks to catch up past-due bills, Plan B</t>
  </si>
  <si>
    <t xml:space="preserve">With payment plans agreed on the vendor calls</t>
  </si>
  <si>
    <t xml:space="preserve">Weeks to catch up past-due bills, Plan C</t>
  </si>
  <si>
    <t xml:space="preserve">Pay them off with the loan</t>
  </si>
  <si>
    <t xml:space="preserve">PayPal Working Capital loan amount (Plan C)</t>
  </si>
  <si>
    <t xml:space="preserve">PayPal sets the max from PayPal sales volume; check the actual offer</t>
  </si>
  <si>
    <t xml:space="preserve">PayPal loan fee (one fixed fee)</t>
  </si>
  <si>
    <t xml:space="preserve">ASSUMED about 10%. Use the real number from PayPal's offer</t>
  </si>
  <si>
    <t xml:space="preserve">Repayment % of PayPal sales</t>
  </si>
  <si>
    <t xml:space="preserve">What Marty described</t>
  </si>
  <si>
    <t xml:space="preserve">Share of collections that run through PayPal / Payflow</t>
  </si>
  <si>
    <t xml:space="preserve">Q3 2026: $823K of $1.26M receipts came in through Payflow</t>
  </si>
  <si>
    <t xml:space="preserve">Sales: October 2026 pace, per month</t>
  </si>
  <si>
    <t xml:space="preserve">Oct 1 to 22 invoiced $311K</t>
  </si>
  <si>
    <t xml:space="preserve">Sales: November 2026, per month</t>
  </si>
  <si>
    <t xml:space="preserve">Nov 2025 ($331K) + 5%</t>
  </si>
  <si>
    <t xml:space="preserve">Sales: December 2026, per month</t>
  </si>
  <si>
    <t xml:space="preserve">Dec 2025 ($350K) + 5%</t>
  </si>
  <si>
    <t xml:space="preserve">Sales: January 2027, per month</t>
  </si>
  <si>
    <t xml:space="preserve">Jan 2026 ($366K) + 5%</t>
  </si>
  <si>
    <t xml:space="preserve">13-Week Cash Forecast: The O-Ring Store</t>
  </si>
  <si>
    <t xml:space="preserve">Three plans side by side. Change the yellow cells on the Assumptions tab and everything updates.</t>
  </si>
  <si>
    <t xml:space="preserve">Week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</si>
  <si>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</si>
  <si>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</si>
  <si>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</si>
  <si>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</si>
  <si>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</si>
  <si>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</si>
  <si>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</si>
  <si>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</si>
  <si>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</si>
  <si>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</si>
  <si>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</si>
  <si>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</si>
  <si>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Wk 13</t>
  </si>
  <si>
    <t xml:space="preserve">13-wk total</t>
  </si>
  <si>
    <t xml:space="preserve">Week starting</t>
  </si>
  <si>
    <t xml:space="preserve">Slow-week factor (1 = normal; monthly pace already includes holidays)</t>
  </si>
  <si>
    <t xml:space="preserve">Monthly sales pace used</t>
  </si>
  <si>
    <t xml:space="preserve">Expected collections</t>
  </si>
  <si>
    <t xml:space="preserve">Bills already entered and due (wks 1 and 2, AP schedule)</t>
  </si>
  <si>
    <t xml:space="preserve">Starting cash</t>
  </si>
  <si>
    <t xml:space="preserve">+ Customer collections</t>
  </si>
  <si>
    <t xml:space="preserve">+ Dead stock sold</t>
  </si>
  <si>
    <t xml:space="preserve">+ PayPal loan</t>
  </si>
  <si>
    <t xml:space="preserve">Total cash in</t>
  </si>
  <si>
    <t xml:space="preserve">- Payroll</t>
  </si>
  <si>
    <t xml:space="preserve">- Vendor bills and expenses (current)</t>
  </si>
  <si>
    <t xml:space="preserve">- Catch up past-due bills</t>
  </si>
  <si>
    <t xml:space="preserve">- Credit cards</t>
  </si>
  <si>
    <t xml:space="preserve">- Truck/vehicle loans</t>
  </si>
  <si>
    <t xml:space="preserve">- Shareholder buyout</t>
  </si>
  <si>
    <t xml:space="preserve">- PayPal loan repayment</t>
  </si>
  <si>
    <t xml:space="preserve">Total cash out</t>
  </si>
  <si>
    <t xml:space="preserve">Net for the week</t>
  </si>
  <si>
    <t xml:space="preserve">Ending cash</t>
  </si>
  <si>
    <t xml:space="preserve">Below the cash floor?</t>
  </si>
  <si>
    <t xml:space="preserve">Vendor Call List: sorted by past-due dollars</t>
  </si>
  <si>
    <t xml:space="preserve">Goal of each call: thank them, tell them where we are, offer a specific payment date or plan, ask for late fees to be waived. Keep the relationship good.</t>
  </si>
  <si>
    <t xml:space="preserve">#</t>
  </si>
  <si>
    <t xml:space="preserve">Vendor</t>
  </si>
  <si>
    <t xml:space="preserve">Past due</t>
  </si>
  <si>
    <t xml:space="preserve">Total open</t>
  </si>
  <si>
    <t xml:space="preserve">Days late (oldest)</t>
  </si>
  <si>
    <t xml:space="preserve">Bills</t>
  </si>
  <si>
    <t xml:space="preserve">Terms</t>
  </si>
  <si>
    <t xml:space="preserve">Ask for</t>
  </si>
  <si>
    <t xml:space="preserve">Who calls</t>
  </si>
  <si>
    <t xml:space="preserve">Promised date / plan</t>
  </si>
  <si>
    <t xml:space="preserve">Notes</t>
  </si>
  <si>
    <t xml:space="preserve">Universal Polymer &amp; Rubber, LTD.</t>
  </si>
  <si>
    <t xml:space="preserve">Net 30</t>
  </si>
  <si>
    <t xml:space="preserve">Split past due over 4 to 6 weeks; waive late fees; keep current bills on time</t>
  </si>
  <si>
    <t xml:space="preserve">FedEx - 338493479</t>
  </si>
  <si>
    <t xml:space="preserve">Net 15</t>
  </si>
  <si>
    <t xml:space="preserve">Payment plan on past due; keep shipping account in good standing</t>
  </si>
  <si>
    <t xml:space="preserve">Freudenberg</t>
  </si>
  <si>
    <t xml:space="preserve">ShipJunction</t>
  </si>
  <si>
    <t xml:space="preserve">Seal and Rubber Technologies</t>
  </si>
  <si>
    <t xml:space="preserve">2% 10 Net 30</t>
  </si>
  <si>
    <t xml:space="preserve">Catch up past due, then pay inside 10 days to get the 2% back</t>
  </si>
  <si>
    <t xml:space="preserve">GE MAO RUBBER INDUSTRIAL CO., LTD .</t>
  </si>
  <si>
    <t xml:space="preserve">Best Ring Industrial Corporation</t>
  </si>
  <si>
    <t xml:space="preserve">ACH Net-30</t>
  </si>
  <si>
    <t xml:space="preserve">UPS</t>
  </si>
  <si>
    <t xml:space="preserve">ACH</t>
  </si>
  <si>
    <t xml:space="preserve">Olypsys</t>
  </si>
  <si>
    <t xml:space="preserve">Splendid Rubber Products Co., Ltd</t>
  </si>
  <si>
    <t xml:space="preserve">Prepaid</t>
  </si>
  <si>
    <t xml:space="preserve">Pay past due in next 2 weeks</t>
  </si>
  <si>
    <t xml:space="preserve">Martin B Frostad (Grandpa)</t>
  </si>
  <si>
    <t xml:space="preserve">Family: Marty's call</t>
  </si>
  <si>
    <t xml:space="preserve">NetSuite</t>
  </si>
  <si>
    <t xml:space="preserve">AnySeals, Inc</t>
  </si>
  <si>
    <t xml:space="preserve">Precision Associates, Inc.</t>
  </si>
  <si>
    <t xml:space="preserve">Port of Whitman County</t>
  </si>
  <si>
    <t xml:space="preserve">COD</t>
  </si>
  <si>
    <t xml:space="preserve">Sealcore Operations, LLC</t>
  </si>
  <si>
    <t xml:space="preserve">Allied Seals, Inc.</t>
  </si>
  <si>
    <t xml:space="preserve">Vulcan Seals</t>
  </si>
  <si>
    <t xml:space="preserve">Shamrock Seals</t>
  </si>
  <si>
    <t xml:space="preserve">SCS Cloud: Netgain Solutions, Inc.</t>
  </si>
  <si>
    <t xml:space="preserve">Due on receipt</t>
  </si>
  <si>
    <t xml:space="preserve">Nothing past due. Pay on time, keep as-is.</t>
  </si>
  <si>
    <t xml:space="preserve">FedEx Logistics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</si>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</sst>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-#,##0"/>
    <numFmt numFmtId="166" formatCode="General"/>
    <numFmt numFmtId="167" formatCode="0%"/>
    <numFmt numFmtId="168" formatCode="0"/>
    <numFmt numFmtId="169" formatCode="mmm\ 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customFormat="false" ht="15" hidden="false" customHeight="false" outlineLevel="0" collapsed="false">
      <c r="A5" s="0" t="s">
        <v>8</v>
      </c>
      <c r="B5" s="3" t="n">
        <f aca="false">MIN('13-Week Forecast'!B26:N26)</f>
        <v>-118397.58</v>
      </c>
      <c r="C5" s="3" t="n">
        <f aca="false">'13-Week Forecast'!N26</f>
        <v>-118397.58</v>
      </c>
      <c r="D5" s="3" t="n">
        <f aca="false">Assumptions!$B$16-'13-Week Forecast'!O19</f>
        <v>0</v>
      </c>
      <c r="E5" s="3" t="n">
        <f aca="false">'13-Week Forecast'!N27</f>
        <v>0</v>
      </c>
      <c r="F5" s="4" t="n">
        <f aca="false">COUNTIF('13-Week Forecast'!B28:N28,"YES")</f>
        <v>13</v>
      </c>
    </row>
    <row r="6" customFormat="false" ht="15" hidden="false" customHeight="false" outlineLevel="0" collapsed="false">
      <c r="A6" s="0" t="s">
        <v>9</v>
      </c>
      <c r="B6" s="3" t="n">
        <f aca="false">MIN('13-Week Forecast'!B46:N46)</f>
        <v>-61238.8547252748</v>
      </c>
      <c r="C6" s="3" t="n">
        <f aca="false">'13-Week Forecast'!N46</f>
        <v>15923.4007692306</v>
      </c>
      <c r="D6" s="3" t="n">
        <f aca="false">Assumptions!$B$16-'13-Week Forecast'!O39</f>
        <v>0</v>
      </c>
      <c r="E6" s="3" t="n">
        <f aca="false">'13-Week Forecast'!N47</f>
        <v>0</v>
      </c>
      <c r="F6" s="4" t="n">
        <f aca="false">COUNTIF('13-Week Forecast'!B48:N48,"YES")</f>
        <v>13</v>
      </c>
    </row>
    <row r="7" customFormat="false" ht="15" hidden="false" customHeight="false" outlineLevel="0" collapsed="false">
      <c r="A7" s="0" t="s">
        <v>10</v>
      </c>
      <c r="B7" s="3" t="n">
        <f aca="false">MIN('13-Week Forecast'!B66:N66)</f>
        <v>21699.1892307692</v>
      </c>
      <c r="C7" s="3" t="n">
        <f aca="false">'13-Week Forecast'!N66</f>
        <v>78818.4007692307</v>
      </c>
      <c r="D7" s="3" t="n">
        <f aca="false">Assumptions!$B$16-'13-Week Forecast'!O59</f>
        <v>0</v>
      </c>
      <c r="E7" s="3" t="n">
        <f aca="false">'13-Week Forecast'!N67</f>
        <v>92895</v>
      </c>
      <c r="F7" s="4" t="n">
        <f aca="false">COUNTIF('13-Week Forecast'!B68:N68,"YES")</f>
        <v>7</v>
      </c>
    </row>
    <row r="8" customFormat="false" ht="15" hidden="false" customHeight="false" outlineLevel="0" collapsed="false">
      <c r="A8" s="0" t="s">
        <v>11</v>
      </c>
      <c r="B8" s="3" t="n">
        <f aca="false">MIN('13-Week Forecast'!B86:N86)</f>
        <v>-40502.58</v>
      </c>
      <c r="C8" s="3" t="n">
        <f aca="false">'13-Week Forecast'!N86</f>
        <v>-40502.58</v>
      </c>
      <c r="D8" s="3" t="n">
        <f aca="false">Assumptions!$B$16-'13-Week Forecast'!O79</f>
        <v>0</v>
      </c>
      <c r="E8" s="3" t="n">
        <f aca="false">'13-Week Forecast'!N87</f>
        <v>92895</v>
      </c>
      <c r="F8" s="4" t="n">
        <f aca="false">COUNTIF('13-Week Forecast'!B88:N88,"YES")</f>
        <v>12</v>
      </c>
    </row>
    <row r="10" customFormat="false" ht="15" hidden="false" customHeight="false" outlineLevel="0" collapsed="false">
      <c r="A10" s="5" t="s">
        <v>12</v>
      </c>
    </row>
    <row r="11" customFormat="false" ht="15" hidden="false" customHeight="false" outlineLevel="0" collapsed="false">
      <c r="A11" s="6" t="s">
        <v>13</v>
      </c>
    </row>
    <row r="12" customFormat="false" ht="15" hidden="false" customHeight="false" outlineLevel="0" collapsed="false">
      <c r="A12" s="6" t="s">
        <v>14</v>
      </c>
    </row>
    <row r="13" customFormat="false" ht="15" hidden="false" customHeight="false" outlineLevel="0" collapsed="false">
      <c r="A13" s="6" t="s">
        <v>15</v>
      </c>
    </row>
    <row r="14" customFormat="false" ht="15" hidden="false" customHeight="false" outlineLevel="0" collapsed="false">
      <c r="A14" s="6" t="s">
        <v>16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6" t="s">
        <v>17</v>
      </c>
    </row>
    <row r="17" customFormat="false" ht="15" hidden="false" customHeight="false" outlineLevel="0" collapsed="false">
      <c r="A17" s="6" t="s">
        <v>18</v>
      </c>
    </row>
    <row r="18" customFormat="false" ht="15" hidden="false" customHeight="false" outlineLevel="0" collapsed="false">
      <c r="A18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2" t="s">
        <v>21</v>
      </c>
      <c r="B3" s="2" t="s">
        <v>22</v>
      </c>
      <c r="C3" s="2" t="s">
        <v>23</v>
      </c>
    </row>
    <row r="4" customFormat="false" ht="15" hidden="false" customHeight="false" outlineLevel="0" collapsed="false">
      <c r="A4" s="0" t="s">
        <v>24</v>
      </c>
      <c r="B4" s="7" t="n">
        <v>63212</v>
      </c>
      <c r="C4" s="4" t="s">
        <v>25</v>
      </c>
    </row>
    <row r="5" customFormat="false" ht="15" hidden="false" customHeight="false" outlineLevel="0" collapsed="false">
      <c r="A5" s="0" t="s">
        <v>26</v>
      </c>
      <c r="B5" s="7" t="n">
        <v>40000</v>
      </c>
      <c r="C5" s="4" t="s">
        <v>27</v>
      </c>
    </row>
    <row r="6" customFormat="false" ht="15" hidden="false" customHeight="false" outlineLevel="0" collapsed="false">
      <c r="A6" s="0" t="s">
        <v>28</v>
      </c>
      <c r="B6" s="7" t="n">
        <v>128000</v>
      </c>
      <c r="C6" s="4" t="s">
        <v>29</v>
      </c>
    </row>
    <row r="7" customFormat="false" ht="15" hidden="false" customHeight="false" outlineLevel="0" collapsed="false">
      <c r="A7" s="0" t="s">
        <v>30</v>
      </c>
      <c r="B7" s="7" t="n">
        <v>100000</v>
      </c>
      <c r="C7" s="4" t="s">
        <v>31</v>
      </c>
    </row>
    <row r="8" customFormat="false" ht="15" hidden="false" customHeight="false" outlineLevel="0" collapsed="false">
      <c r="A8" s="0" t="s">
        <v>32</v>
      </c>
      <c r="B8" s="8" t="n">
        <v>0.363</v>
      </c>
      <c r="C8" s="4" t="s">
        <v>33</v>
      </c>
    </row>
    <row r="9" customFormat="false" ht="15" hidden="false" customHeight="false" outlineLevel="0" collapsed="false">
      <c r="A9" s="0" t="s">
        <v>34</v>
      </c>
      <c r="B9" s="8" t="n">
        <v>0.25</v>
      </c>
      <c r="C9" s="4" t="s">
        <v>35</v>
      </c>
    </row>
    <row r="10" customFormat="false" ht="15" hidden="false" customHeight="false" outlineLevel="0" collapsed="false">
      <c r="A10" s="0" t="s">
        <v>36</v>
      </c>
      <c r="B10" s="7" t="n">
        <v>4000</v>
      </c>
      <c r="C10" s="4" t="s">
        <v>37</v>
      </c>
    </row>
    <row r="11" customFormat="false" ht="15" hidden="false" customHeight="false" outlineLevel="0" collapsed="false">
      <c r="A11" s="0" t="s">
        <v>38</v>
      </c>
      <c r="B11" s="7" t="n">
        <v>40000</v>
      </c>
      <c r="C11" s="4" t="s">
        <v>39</v>
      </c>
    </row>
    <row r="12" customFormat="false" ht="15" hidden="false" customHeight="false" outlineLevel="0" collapsed="false">
      <c r="A12" s="0" t="s">
        <v>40</v>
      </c>
      <c r="B12" s="7" t="n">
        <v>5000</v>
      </c>
      <c r="C12" s="4" t="s">
        <v>41</v>
      </c>
    </row>
    <row r="13" customFormat="false" ht="15" hidden="false" customHeight="false" outlineLevel="0" collapsed="false">
      <c r="A13" s="0" t="s">
        <v>42</v>
      </c>
      <c r="B13" s="7" t="n">
        <v>10000</v>
      </c>
    </row>
    <row r="14" customFormat="false" ht="15" hidden="false" customHeight="false" outlineLevel="0" collapsed="false">
      <c r="A14" s="0" t="s">
        <v>43</v>
      </c>
      <c r="B14" s="7" t="n">
        <v>2123</v>
      </c>
      <c r="C14" s="4" t="s">
        <v>44</v>
      </c>
    </row>
    <row r="15" customFormat="false" ht="15" hidden="false" customHeight="false" outlineLevel="0" collapsed="false">
      <c r="A15" s="0" t="s">
        <v>45</v>
      </c>
      <c r="B15" s="7" t="n">
        <v>2000</v>
      </c>
      <c r="C15" s="4" t="s">
        <v>46</v>
      </c>
    </row>
    <row r="16" customFormat="false" ht="15" hidden="false" customHeight="false" outlineLevel="0" collapsed="false">
      <c r="A16" s="0" t="s">
        <v>47</v>
      </c>
      <c r="B16" s="7" t="n">
        <v>147789</v>
      </c>
      <c r="C16" s="4" t="s">
        <v>48</v>
      </c>
    </row>
    <row r="17" customFormat="false" ht="15" hidden="false" customHeight="false" outlineLevel="0" collapsed="false">
      <c r="A17" s="0" t="s">
        <v>49</v>
      </c>
      <c r="B17" s="9" t="n">
        <v>13</v>
      </c>
    </row>
    <row r="18" customFormat="false" ht="15" hidden="false" customHeight="false" outlineLevel="0" collapsed="false">
      <c r="A18" s="0" t="s">
        <v>50</v>
      </c>
      <c r="B18" s="9" t="n">
        <v>8</v>
      </c>
      <c r="C18" s="4" t="s">
        <v>51</v>
      </c>
    </row>
    <row r="19" customFormat="false" ht="15" hidden="false" customHeight="false" outlineLevel="0" collapsed="false">
      <c r="A19" s="0" t="s">
        <v>52</v>
      </c>
      <c r="B19" s="9" t="n">
        <v>2</v>
      </c>
      <c r="C19" s="4" t="s">
        <v>53</v>
      </c>
    </row>
    <row r="20" customFormat="false" ht="15" hidden="false" customHeight="false" outlineLevel="0" collapsed="false">
      <c r="A20" s="0" t="s">
        <v>54</v>
      </c>
      <c r="B20" s="7" t="n">
        <v>150000</v>
      </c>
      <c r="C20" s="4" t="s">
        <v>55</v>
      </c>
    </row>
    <row r="21" customFormat="false" ht="15" hidden="false" customHeight="false" outlineLevel="0" collapsed="false">
      <c r="A21" s="0" t="s">
        <v>56</v>
      </c>
      <c r="B21" s="7" t="n">
        <v>15000</v>
      </c>
      <c r="C21" s="4" t="s">
        <v>57</v>
      </c>
    </row>
    <row r="22" customFormat="false" ht="15" hidden="false" customHeight="false" outlineLevel="0" collapsed="false">
      <c r="A22" s="0" t="s">
        <v>58</v>
      </c>
      <c r="B22" s="8" t="n">
        <v>0.1</v>
      </c>
      <c r="C22" s="4" t="s">
        <v>59</v>
      </c>
    </row>
    <row r="23" customFormat="false" ht="15" hidden="false" customHeight="false" outlineLevel="0" collapsed="false">
      <c r="A23" s="0" t="s">
        <v>60</v>
      </c>
      <c r="B23" s="8" t="n">
        <v>0.65</v>
      </c>
      <c r="C23" s="4" t="s">
        <v>61</v>
      </c>
    </row>
    <row r="24" customFormat="false" ht="15" hidden="false" customHeight="false" outlineLevel="0" collapsed="false">
      <c r="A24" s="0" t="s">
        <v>62</v>
      </c>
      <c r="B24" s="7" t="n">
        <v>440000</v>
      </c>
      <c r="C24" s="4" t="s">
        <v>63</v>
      </c>
    </row>
    <row r="25" customFormat="false" ht="15" hidden="false" customHeight="false" outlineLevel="0" collapsed="false">
      <c r="A25" s="0" t="s">
        <v>64</v>
      </c>
      <c r="B25" s="7" t="n">
        <v>348000</v>
      </c>
      <c r="C25" s="4" t="s">
        <v>65</v>
      </c>
    </row>
    <row r="26" customFormat="false" ht="15" hidden="false" customHeight="false" outlineLevel="0" collapsed="false">
      <c r="A26" s="0" t="s">
        <v>66</v>
      </c>
      <c r="B26" s="7" t="n">
        <v>368000</v>
      </c>
      <c r="C26" s="4" t="s">
        <v>67</v>
      </c>
    </row>
    <row r="27" customFormat="false" ht="15" hidden="false" customHeight="false" outlineLevel="0" collapsed="false">
      <c r="A27" s="0" t="s">
        <v>68</v>
      </c>
      <c r="B27" s="7" t="n">
        <v>385000</v>
      </c>
      <c r="C27" s="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5" min="2" style="0" width="11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0" t="s">
        <v>71</v>
      </c>
    </row>
    <row r="4" customFormat="false" ht="15" hidden="false" customHeight="false" outlineLevel="0" collapsed="false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80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</row>
    <row r="5" customFormat="false" ht="15" hidden="false" customHeight="false" outlineLevel="0" collapsed="false">
      <c r="A5" s="5" t="s">
        <v>87</v>
      </c>
      <c r="B5" s="10" t="n">
        <v>46321</v>
      </c>
      <c r="C5" s="10" t="n">
        <v>46328</v>
      </c>
      <c r="D5" s="10" t="n">
        <v>46335</v>
      </c>
      <c r="E5" s="10" t="n">
        <v>46342</v>
      </c>
      <c r="F5" s="10" t="n">
        <v>46349</v>
      </c>
      <c r="G5" s="10" t="n">
        <v>46356</v>
      </c>
      <c r="H5" s="10" t="n">
        <v>46363</v>
      </c>
      <c r="I5" s="10" t="n">
        <v>46370</v>
      </c>
      <c r="J5" s="10" t="n">
        <v>46377</v>
      </c>
      <c r="K5" s="10" t="n">
        <v>46384</v>
      </c>
      <c r="L5" s="10" t="n">
        <v>46391</v>
      </c>
      <c r="M5" s="10" t="n">
        <v>46398</v>
      </c>
      <c r="N5" s="10" t="n">
        <v>46405</v>
      </c>
    </row>
    <row r="6" customFormat="false" ht="15" hidden="false" customHeight="false" outlineLevel="0" collapsed="false">
      <c r="A6" s="0" t="s">
        <v>88</v>
      </c>
      <c r="B6" s="11" t="n">
        <v>1</v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</row>
    <row r="7" customFormat="false" ht="15" hidden="false" customHeight="false" outlineLevel="0" collapsed="false">
      <c r="A7" s="0" t="s">
        <v>89</v>
      </c>
      <c r="B7" s="3" t="n">
        <f aca="false">Assumptions!$B$24</f>
        <v>440000</v>
      </c>
      <c r="C7" s="3" t="n">
        <f aca="false">Assumptions!$B$25</f>
        <v>348000</v>
      </c>
      <c r="D7" s="3" t="n">
        <f aca="false">Assumptions!$B$25</f>
        <v>348000</v>
      </c>
      <c r="E7" s="3" t="n">
        <f aca="false">Assumptions!$B$25</f>
        <v>348000</v>
      </c>
      <c r="F7" s="3" t="n">
        <f aca="false">Assumptions!$B$25</f>
        <v>348000</v>
      </c>
      <c r="G7" s="3" t="n">
        <f aca="false">Assumptions!$B$25</f>
        <v>348000</v>
      </c>
      <c r="H7" s="3" t="n">
        <f aca="false">Assumptions!$B$26</f>
        <v>368000</v>
      </c>
      <c r="I7" s="3" t="n">
        <f aca="false">Assumptions!$B$26</f>
        <v>368000</v>
      </c>
      <c r="J7" s="3" t="n">
        <f aca="false">Assumptions!$B$26</f>
        <v>368000</v>
      </c>
      <c r="K7" s="3" t="n">
        <f aca="false">Assumptions!$B$26</f>
        <v>368000</v>
      </c>
      <c r="L7" s="3" t="n">
        <f aca="false">Assumptions!$B$27</f>
        <v>385000</v>
      </c>
      <c r="M7" s="3" t="n">
        <f aca="false">Assumptions!$B$27</f>
        <v>385000</v>
      </c>
      <c r="N7" s="3" t="n">
        <f aca="false">Assumptions!$B$27</f>
        <v>385000</v>
      </c>
    </row>
    <row r="8" customFormat="false" ht="15" hidden="false" customHeight="false" outlineLevel="0" collapsed="false">
      <c r="A8" s="5" t="s">
        <v>90</v>
      </c>
      <c r="B8" s="3" t="n">
        <f aca="false">B7*12/52*B6</f>
        <v>101538.461538462</v>
      </c>
      <c r="C8" s="3" t="n">
        <f aca="false">C7*12/52*C6</f>
        <v>80307.6923076923</v>
      </c>
      <c r="D8" s="3" t="n">
        <f aca="false">D7*12/52*D6</f>
        <v>80307.6923076923</v>
      </c>
      <c r="E8" s="3" t="n">
        <f aca="false">E7*12/52*E6</f>
        <v>80307.6923076923</v>
      </c>
      <c r="F8" s="3" t="n">
        <f aca="false">F7*12/52*F6</f>
        <v>80307.6923076923</v>
      </c>
      <c r="G8" s="3" t="n">
        <f aca="false">G7*12/52*G6</f>
        <v>80307.6923076923</v>
      </c>
      <c r="H8" s="3" t="n">
        <f aca="false">H7*12/52*H6</f>
        <v>84923.0769230769</v>
      </c>
      <c r="I8" s="3" t="n">
        <f aca="false">I7*12/52*I6</f>
        <v>84923.0769230769</v>
      </c>
      <c r="J8" s="3" t="n">
        <f aca="false">J7*12/52*J6</f>
        <v>84923.0769230769</v>
      </c>
      <c r="K8" s="3" t="n">
        <f aca="false">K7*12/52*K6</f>
        <v>84923.0769230769</v>
      </c>
      <c r="L8" s="3" t="n">
        <f aca="false">L7*12/52*L6</f>
        <v>88846.1538461538</v>
      </c>
      <c r="M8" s="3" t="n">
        <f aca="false">M7*12/52*M6</f>
        <v>88846.1538461538</v>
      </c>
      <c r="N8" s="3" t="n">
        <f aca="false">N7*12/52*N6</f>
        <v>88846.1538461538</v>
      </c>
      <c r="O8" s="3" t="n">
        <f aca="false">SUM(B8:N8)</f>
        <v>1109307.69230769</v>
      </c>
    </row>
    <row r="9" customFormat="false" ht="15" hidden="false" customHeight="false" outlineLevel="0" collapsed="false">
      <c r="A9" s="0" t="s">
        <v>91</v>
      </c>
      <c r="B9" s="3" t="n">
        <v>96289.32</v>
      </c>
      <c r="C9" s="3" t="n">
        <v>44955.26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1" customFormat="false" ht="15" hidden="false" customHeight="false" outlineLevel="0" collapsed="false">
      <c r="A11" s="12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customFormat="false" ht="15" hidden="false" customHeight="false" outlineLevel="0" collapsed="false">
      <c r="A12" s="5" t="s">
        <v>92</v>
      </c>
      <c r="B12" s="3" t="n">
        <f aca="false">Assumptions!$B$4</f>
        <v>63212</v>
      </c>
      <c r="C12" s="3" t="n">
        <f aca="false">B26</f>
        <v>25448.9876923077</v>
      </c>
      <c r="D12" s="3" t="n">
        <f aca="false">C26</f>
        <v>17789.2661538461</v>
      </c>
      <c r="E12" s="3" t="n">
        <f aca="false">D26</f>
        <v>2856.1892307692</v>
      </c>
      <c r="F12" s="3" t="n">
        <f aca="false">E26</f>
        <v>-12076.8876923077</v>
      </c>
      <c r="G12" s="3" t="n">
        <f aca="false">F26</f>
        <v>-27009.9646153847</v>
      </c>
      <c r="H12" s="3" t="n">
        <f aca="false">G26</f>
        <v>-41943.0415384616</v>
      </c>
      <c r="I12" s="3" t="n">
        <f aca="false">H26</f>
        <v>-53936.1184615385</v>
      </c>
      <c r="J12" s="3" t="n">
        <f aca="false">I26</f>
        <v>-65929.1953846155</v>
      </c>
      <c r="K12" s="3" t="n">
        <f aca="false">J26</f>
        <v>-77922.2723076924</v>
      </c>
      <c r="L12" s="3" t="n">
        <f aca="false">K26</f>
        <v>-89915.3492307694</v>
      </c>
      <c r="M12" s="3" t="n">
        <f aca="false">L26</f>
        <v>-99409.4261538463</v>
      </c>
      <c r="N12" s="3" t="n">
        <f aca="false">M26</f>
        <v>-108903.503076923</v>
      </c>
    </row>
    <row r="13" customFormat="false" ht="15" hidden="false" customHeight="false" outlineLevel="0" collapsed="false">
      <c r="A13" s="0" t="s">
        <v>93</v>
      </c>
      <c r="B13" s="3" t="n">
        <f aca="false">B8</f>
        <v>101538.461538462</v>
      </c>
      <c r="C13" s="3" t="n">
        <f aca="false">C8</f>
        <v>80307.6923076923</v>
      </c>
      <c r="D13" s="3" t="n">
        <f aca="false">D8</f>
        <v>80307.6923076923</v>
      </c>
      <c r="E13" s="3" t="n">
        <f aca="false">E8</f>
        <v>80307.6923076923</v>
      </c>
      <c r="F13" s="3" t="n">
        <f aca="false">F8</f>
        <v>80307.6923076923</v>
      </c>
      <c r="G13" s="3" t="n">
        <f aca="false">G8</f>
        <v>80307.6923076923</v>
      </c>
      <c r="H13" s="3" t="n">
        <f aca="false">H8</f>
        <v>84923.0769230769</v>
      </c>
      <c r="I13" s="3" t="n">
        <f aca="false">I8</f>
        <v>84923.0769230769</v>
      </c>
      <c r="J13" s="3" t="n">
        <f aca="false">J8</f>
        <v>84923.0769230769</v>
      </c>
      <c r="K13" s="3" t="n">
        <f aca="false">K8</f>
        <v>84923.0769230769</v>
      </c>
      <c r="L13" s="3" t="n">
        <f aca="false">L8</f>
        <v>88846.1538461538</v>
      </c>
      <c r="M13" s="3" t="n">
        <f aca="false">M8</f>
        <v>88846.1538461538</v>
      </c>
      <c r="N13" s="3" t="n">
        <f aca="false">N8</f>
        <v>88846.1538461538</v>
      </c>
      <c r="O13" s="3" t="n">
        <f aca="false">SUM(B13:N13)</f>
        <v>1109307.69230769</v>
      </c>
    </row>
    <row r="14" customFormat="false" ht="15" hidden="false" customHeight="false" outlineLevel="0" collapsed="false">
      <c r="A14" s="0" t="s">
        <v>94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f aca="false">SUM(B14:N14)</f>
        <v>0</v>
      </c>
    </row>
    <row r="15" customFormat="false" ht="15" hidden="false" customHeight="false" outlineLevel="0" collapsed="false">
      <c r="A15" s="0" t="s">
        <v>95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f aca="false">SUM(B15:N15)</f>
        <v>0</v>
      </c>
    </row>
    <row r="16" customFormat="false" ht="15" hidden="false" customHeight="false" outlineLevel="0" collapsed="false">
      <c r="A16" s="5" t="s">
        <v>96</v>
      </c>
      <c r="B16" s="3" t="n">
        <f aca="false">SUM(B13:B15)</f>
        <v>101538.461538462</v>
      </c>
      <c r="C16" s="3" t="n">
        <f aca="false">SUM(C13:C15)</f>
        <v>80307.6923076923</v>
      </c>
      <c r="D16" s="3" t="n">
        <f aca="false">SUM(D13:D15)</f>
        <v>80307.6923076923</v>
      </c>
      <c r="E16" s="3" t="n">
        <f aca="false">SUM(E13:E15)</f>
        <v>80307.6923076923</v>
      </c>
      <c r="F16" s="3" t="n">
        <f aca="false">SUM(F13:F15)</f>
        <v>80307.6923076923</v>
      </c>
      <c r="G16" s="3" t="n">
        <f aca="false">SUM(G13:G15)</f>
        <v>80307.6923076923</v>
      </c>
      <c r="H16" s="3" t="n">
        <f aca="false">SUM(H13:H15)</f>
        <v>84923.0769230769</v>
      </c>
      <c r="I16" s="3" t="n">
        <f aca="false">SUM(I13:I15)</f>
        <v>84923.0769230769</v>
      </c>
      <c r="J16" s="3" t="n">
        <f aca="false">SUM(J13:J15)</f>
        <v>84923.0769230769</v>
      </c>
      <c r="K16" s="3" t="n">
        <f aca="false">SUM(K13:K15)</f>
        <v>84923.0769230769</v>
      </c>
      <c r="L16" s="3" t="n">
        <f aca="false">SUM(L13:L15)</f>
        <v>88846.1538461538</v>
      </c>
      <c r="M16" s="3" t="n">
        <f aca="false">SUM(M13:M15)</f>
        <v>88846.1538461538</v>
      </c>
      <c r="N16" s="3" t="n">
        <f aca="false">SUM(N13:N15)</f>
        <v>88846.1538461538</v>
      </c>
      <c r="O16" s="3" t="n">
        <f aca="false">SUM(B16:N16)</f>
        <v>1109307.69230769</v>
      </c>
    </row>
    <row r="17" customFormat="false" ht="15" hidden="false" customHeight="false" outlineLevel="0" collapsed="false">
      <c r="A17" s="0" t="s">
        <v>97</v>
      </c>
      <c r="B17" s="3" t="n">
        <f aca="false">Assumptions!$B$6*12/52</f>
        <v>29538.4615384615</v>
      </c>
      <c r="C17" s="3" t="n">
        <f aca="false">Assumptions!$B$6*12/52</f>
        <v>29538.4615384615</v>
      </c>
      <c r="D17" s="3" t="n">
        <f aca="false">Assumptions!$B$6*12/52</f>
        <v>29538.4615384615</v>
      </c>
      <c r="E17" s="3" t="n">
        <f aca="false">Assumptions!$B$6*12/52</f>
        <v>29538.4615384615</v>
      </c>
      <c r="F17" s="3" t="n">
        <f aca="false">Assumptions!$B$6*12/52</f>
        <v>29538.4615384615</v>
      </c>
      <c r="G17" s="3" t="n">
        <f aca="false">Assumptions!$B$6*12/52</f>
        <v>29538.4615384615</v>
      </c>
      <c r="H17" s="3" t="n">
        <f aca="false">Assumptions!$B$6*12/52</f>
        <v>29538.4615384615</v>
      </c>
      <c r="I17" s="3" t="n">
        <f aca="false">Assumptions!$B$6*12/52</f>
        <v>29538.4615384615</v>
      </c>
      <c r="J17" s="3" t="n">
        <f aca="false">Assumptions!$B$6*12/52</f>
        <v>29538.4615384615</v>
      </c>
      <c r="K17" s="3" t="n">
        <f aca="false">Assumptions!$B$6*12/52</f>
        <v>29538.4615384615</v>
      </c>
      <c r="L17" s="3" t="n">
        <f aca="false">Assumptions!$B$6*12/52</f>
        <v>29538.4615384615</v>
      </c>
      <c r="M17" s="3" t="n">
        <f aca="false">Assumptions!$B$6*12/52</f>
        <v>29538.4615384615</v>
      </c>
      <c r="N17" s="3" t="n">
        <f aca="false">Assumptions!$B$6*12/52</f>
        <v>29538.4615384615</v>
      </c>
      <c r="O17" s="3" t="n">
        <f aca="false">SUM(B17:N17)</f>
        <v>384000</v>
      </c>
    </row>
    <row r="18" customFormat="false" ht="15" hidden="false" customHeight="false" outlineLevel="0" collapsed="false">
      <c r="A18" s="0" t="s">
        <v>98</v>
      </c>
      <c r="B18" s="3" t="n">
        <f aca="false">B9</f>
        <v>96289.32</v>
      </c>
      <c r="C18" s="3" t="n">
        <f aca="false">C9</f>
        <v>44955.26</v>
      </c>
      <c r="D18" s="3" t="n">
        <f aca="false">D8*Assumptions!$B$8+Assumptions!$B$7*12/52</f>
        <v>52228.6153846154</v>
      </c>
      <c r="E18" s="3" t="n">
        <f aca="false">E8*Assumptions!$B$8+Assumptions!$B$7*12/52</f>
        <v>52228.6153846154</v>
      </c>
      <c r="F18" s="3" t="n">
        <f aca="false">F8*Assumptions!$B$8+Assumptions!$B$7*12/52</f>
        <v>52228.6153846154</v>
      </c>
      <c r="G18" s="3" t="n">
        <f aca="false">G8*Assumptions!$B$8+Assumptions!$B$7*12/52</f>
        <v>52228.6153846154</v>
      </c>
      <c r="H18" s="3" t="n">
        <f aca="false">H8*Assumptions!$B$8+Assumptions!$B$7*12/52</f>
        <v>53904</v>
      </c>
      <c r="I18" s="3" t="n">
        <f aca="false">I8*Assumptions!$B$8+Assumptions!$B$7*12/52</f>
        <v>53904</v>
      </c>
      <c r="J18" s="3" t="n">
        <f aca="false">J8*Assumptions!$B$8+Assumptions!$B$7*12/52</f>
        <v>53904</v>
      </c>
      <c r="K18" s="3" t="n">
        <f aca="false">K8*Assumptions!$B$8+Assumptions!$B$7*12/52</f>
        <v>53904</v>
      </c>
      <c r="L18" s="3" t="n">
        <f aca="false">L8*Assumptions!$B$8+Assumptions!$B$7*12/52</f>
        <v>55328.0769230769</v>
      </c>
      <c r="M18" s="3" t="n">
        <f aca="false">M8*Assumptions!$B$8+Assumptions!$B$7*12/52</f>
        <v>55328.0769230769</v>
      </c>
      <c r="N18" s="3" t="n">
        <f aca="false">N8*Assumptions!$B$8+Assumptions!$B$7*12/52</f>
        <v>55328.0769230769</v>
      </c>
      <c r="O18" s="3" t="n">
        <f aca="false">SUM(B18:N18)</f>
        <v>731759.272307692</v>
      </c>
    </row>
    <row r="19" customFormat="false" ht="15" hidden="false" customHeight="false" outlineLevel="0" collapsed="false">
      <c r="A19" s="0" t="s">
        <v>99</v>
      </c>
      <c r="B19" s="3" t="n">
        <f aca="false">IF(1&lt;=Assumptions!$B$17,Assumptions!$B$16/Assumptions!$B$17,0)</f>
        <v>11368.3846153846</v>
      </c>
      <c r="C19" s="3" t="n">
        <f aca="false">IF(2&lt;=Assumptions!$B$17,Assumptions!$B$16/Assumptions!$B$17,0)</f>
        <v>11368.3846153846</v>
      </c>
      <c r="D19" s="3" t="n">
        <f aca="false">IF(3&lt;=Assumptions!$B$17,Assumptions!$B$16/Assumptions!$B$17,0)</f>
        <v>11368.3846153846</v>
      </c>
      <c r="E19" s="3" t="n">
        <f aca="false">IF(4&lt;=Assumptions!$B$17,Assumptions!$B$16/Assumptions!$B$17,0)</f>
        <v>11368.3846153846</v>
      </c>
      <c r="F19" s="3" t="n">
        <f aca="false">IF(5&lt;=Assumptions!$B$17,Assumptions!$B$16/Assumptions!$B$17,0)</f>
        <v>11368.3846153846</v>
      </c>
      <c r="G19" s="3" t="n">
        <f aca="false">IF(6&lt;=Assumptions!$B$17,Assumptions!$B$16/Assumptions!$B$17,0)</f>
        <v>11368.3846153846</v>
      </c>
      <c r="H19" s="3" t="n">
        <f aca="false">IF(7&lt;=Assumptions!$B$17,Assumptions!$B$16/Assumptions!$B$17,0)</f>
        <v>11368.3846153846</v>
      </c>
      <c r="I19" s="3" t="n">
        <f aca="false">IF(8&lt;=Assumptions!$B$17,Assumptions!$B$16/Assumptions!$B$17,0)</f>
        <v>11368.3846153846</v>
      </c>
      <c r="J19" s="3" t="n">
        <f aca="false">IF(9&lt;=Assumptions!$B$17,Assumptions!$B$16/Assumptions!$B$17,0)</f>
        <v>11368.3846153846</v>
      </c>
      <c r="K19" s="3" t="n">
        <f aca="false">IF(10&lt;=Assumptions!$B$17,Assumptions!$B$16/Assumptions!$B$17,0)</f>
        <v>11368.3846153846</v>
      </c>
      <c r="L19" s="3" t="n">
        <f aca="false">IF(11&lt;=Assumptions!$B$17,Assumptions!$B$16/Assumptions!$B$17,0)</f>
        <v>11368.3846153846</v>
      </c>
      <c r="M19" s="3" t="n">
        <f aca="false">IF(12&lt;=Assumptions!$B$17,Assumptions!$B$16/Assumptions!$B$17,0)</f>
        <v>11368.3846153846</v>
      </c>
      <c r="N19" s="3" t="n">
        <f aca="false">IF(13&lt;=Assumptions!$B$17,Assumptions!$B$16/Assumptions!$B$17,0)</f>
        <v>11368.3846153846</v>
      </c>
      <c r="O19" s="3" t="n">
        <f aca="false">SUM(B19:N19)</f>
        <v>147789</v>
      </c>
    </row>
    <row r="20" customFormat="false" ht="15" hidden="false" customHeight="false" outlineLevel="0" collapsed="false">
      <c r="A20" s="0" t="s">
        <v>100</v>
      </c>
      <c r="B20" s="3" t="n">
        <f aca="false">Assumptions!$B$12*12/52</f>
        <v>1153.84615384615</v>
      </c>
      <c r="C20" s="3" t="n">
        <f aca="false">Assumptions!$B$12*12/52</f>
        <v>1153.84615384615</v>
      </c>
      <c r="D20" s="3" t="n">
        <f aca="false">Assumptions!$B$12*12/52</f>
        <v>1153.84615384615</v>
      </c>
      <c r="E20" s="3" t="n">
        <f aca="false">Assumptions!$B$12*12/52</f>
        <v>1153.84615384615</v>
      </c>
      <c r="F20" s="3" t="n">
        <f aca="false">Assumptions!$B$12*12/52</f>
        <v>1153.84615384615</v>
      </c>
      <c r="G20" s="3" t="n">
        <f aca="false">Assumptions!$B$12*12/52</f>
        <v>1153.84615384615</v>
      </c>
      <c r="H20" s="3" t="n">
        <f aca="false">Assumptions!$B$12*12/52</f>
        <v>1153.84615384615</v>
      </c>
      <c r="I20" s="3" t="n">
        <f aca="false">Assumptions!$B$12*12/52</f>
        <v>1153.84615384615</v>
      </c>
      <c r="J20" s="3" t="n">
        <f aca="false">Assumptions!$B$12*12/52</f>
        <v>1153.84615384615</v>
      </c>
      <c r="K20" s="3" t="n">
        <f aca="false">Assumptions!$B$12*12/52</f>
        <v>1153.84615384615</v>
      </c>
      <c r="L20" s="3" t="n">
        <f aca="false">Assumptions!$B$12*12/52</f>
        <v>1153.84615384615</v>
      </c>
      <c r="M20" s="3" t="n">
        <f aca="false">Assumptions!$B$12*12/52</f>
        <v>1153.84615384615</v>
      </c>
      <c r="N20" s="3" t="n">
        <f aca="false">Assumptions!$B$12*12/52</f>
        <v>1153.84615384615</v>
      </c>
      <c r="O20" s="3" t="n">
        <f aca="false">SUM(B20:N20)</f>
        <v>15000</v>
      </c>
    </row>
    <row r="21" customFormat="false" ht="15" hidden="false" customHeight="false" outlineLevel="0" collapsed="false">
      <c r="A21" s="0" t="s">
        <v>101</v>
      </c>
      <c r="B21" s="3" t="n">
        <f aca="false">Assumptions!$B$14*12/52</f>
        <v>489.923076923077</v>
      </c>
      <c r="C21" s="3" t="n">
        <f aca="false">Assumptions!$B$14*12/52</f>
        <v>489.923076923077</v>
      </c>
      <c r="D21" s="3" t="n">
        <f aca="false">Assumptions!$B$14*12/52</f>
        <v>489.923076923077</v>
      </c>
      <c r="E21" s="3" t="n">
        <f aca="false">Assumptions!$B$14*12/52</f>
        <v>489.923076923077</v>
      </c>
      <c r="F21" s="3" t="n">
        <f aca="false">Assumptions!$B$14*12/52</f>
        <v>489.923076923077</v>
      </c>
      <c r="G21" s="3" t="n">
        <f aca="false">Assumptions!$B$14*12/52</f>
        <v>489.923076923077</v>
      </c>
      <c r="H21" s="3" t="n">
        <f aca="false">Assumptions!$B$14*12/52</f>
        <v>489.923076923077</v>
      </c>
      <c r="I21" s="3" t="n">
        <f aca="false">Assumptions!$B$14*12/52</f>
        <v>489.923076923077</v>
      </c>
      <c r="J21" s="3" t="n">
        <f aca="false">Assumptions!$B$14*12/52</f>
        <v>489.923076923077</v>
      </c>
      <c r="K21" s="3" t="n">
        <f aca="false">Assumptions!$B$14*12/52</f>
        <v>489.923076923077</v>
      </c>
      <c r="L21" s="3" t="n">
        <f aca="false">Assumptions!$B$14*12/52</f>
        <v>489.923076923077</v>
      </c>
      <c r="M21" s="3" t="n">
        <f aca="false">Assumptions!$B$14*12/52</f>
        <v>489.923076923077</v>
      </c>
      <c r="N21" s="3" t="n">
        <f aca="false">Assumptions!$B$14*12/52</f>
        <v>489.923076923077</v>
      </c>
      <c r="O21" s="3" t="n">
        <f aca="false">SUM(B21:N21)</f>
        <v>6369</v>
      </c>
    </row>
    <row r="22" customFormat="false" ht="15" hidden="false" customHeight="false" outlineLevel="0" collapsed="false">
      <c r="A22" s="0" t="s">
        <v>102</v>
      </c>
      <c r="B22" s="3" t="n">
        <f aca="false">Assumptions!$B$15*12/52</f>
        <v>461.538461538462</v>
      </c>
      <c r="C22" s="3" t="n">
        <f aca="false">Assumptions!$B$15*12/52</f>
        <v>461.538461538462</v>
      </c>
      <c r="D22" s="3" t="n">
        <f aca="false">Assumptions!$B$15*12/52</f>
        <v>461.538461538462</v>
      </c>
      <c r="E22" s="3" t="n">
        <f aca="false">Assumptions!$B$15*12/52</f>
        <v>461.538461538462</v>
      </c>
      <c r="F22" s="3" t="n">
        <f aca="false">Assumptions!$B$15*12/52</f>
        <v>461.538461538462</v>
      </c>
      <c r="G22" s="3" t="n">
        <f aca="false">Assumptions!$B$15*12/52</f>
        <v>461.538461538462</v>
      </c>
      <c r="H22" s="3" t="n">
        <f aca="false">Assumptions!$B$15*12/52</f>
        <v>461.538461538462</v>
      </c>
      <c r="I22" s="3" t="n">
        <f aca="false">Assumptions!$B$15*12/52</f>
        <v>461.538461538462</v>
      </c>
      <c r="J22" s="3" t="n">
        <f aca="false">Assumptions!$B$15*12/52</f>
        <v>461.538461538462</v>
      </c>
      <c r="K22" s="3" t="n">
        <f aca="false">Assumptions!$B$15*12/52</f>
        <v>461.538461538462</v>
      </c>
      <c r="L22" s="3" t="n">
        <f aca="false">Assumptions!$B$15*12/52</f>
        <v>461.538461538462</v>
      </c>
      <c r="M22" s="3" t="n">
        <f aca="false">Assumptions!$B$15*12/52</f>
        <v>461.538461538462</v>
      </c>
      <c r="N22" s="3" t="n">
        <f aca="false">Assumptions!$B$15*12/52</f>
        <v>461.538461538462</v>
      </c>
      <c r="O22" s="3" t="n">
        <f aca="false">SUM(B22:N22)</f>
        <v>6000</v>
      </c>
    </row>
    <row r="23" customFormat="false" ht="15" hidden="false" customHeight="false" outlineLevel="0" collapsed="false">
      <c r="A23" s="0" t="s">
        <v>103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f aca="false">SUM(B23:N23)</f>
        <v>0</v>
      </c>
    </row>
    <row r="24" customFormat="false" ht="15" hidden="false" customHeight="false" outlineLevel="0" collapsed="false">
      <c r="A24" s="5" t="s">
        <v>104</v>
      </c>
      <c r="B24" s="3" t="n">
        <f aca="false">SUM(B17:B23)</f>
        <v>139301.473846154</v>
      </c>
      <c r="C24" s="3" t="n">
        <f aca="false">SUM(C17:C23)</f>
        <v>87967.4138461539</v>
      </c>
      <c r="D24" s="3" t="n">
        <f aca="false">SUM(D17:D23)</f>
        <v>95240.7692307693</v>
      </c>
      <c r="E24" s="3" t="n">
        <f aca="false">SUM(E17:E23)</f>
        <v>95240.7692307693</v>
      </c>
      <c r="F24" s="3" t="n">
        <f aca="false">SUM(F17:F23)</f>
        <v>95240.7692307693</v>
      </c>
      <c r="G24" s="3" t="n">
        <f aca="false">SUM(G17:G23)</f>
        <v>95240.7692307693</v>
      </c>
      <c r="H24" s="3" t="n">
        <f aca="false">SUM(H17:H23)</f>
        <v>96916.1538461539</v>
      </c>
      <c r="I24" s="3" t="n">
        <f aca="false">SUM(I17:I23)</f>
        <v>96916.1538461539</v>
      </c>
      <c r="J24" s="3" t="n">
        <f aca="false">SUM(J17:J23)</f>
        <v>96916.1538461539</v>
      </c>
      <c r="K24" s="3" t="n">
        <f aca="false">SUM(K17:K23)</f>
        <v>96916.1538461539</v>
      </c>
      <c r="L24" s="3" t="n">
        <f aca="false">SUM(L17:L23)</f>
        <v>98340.2307692308</v>
      </c>
      <c r="M24" s="3" t="n">
        <f aca="false">SUM(M17:M23)</f>
        <v>98340.2307692308</v>
      </c>
      <c r="N24" s="3" t="n">
        <f aca="false">SUM(N17:N23)</f>
        <v>98340.2307692308</v>
      </c>
      <c r="O24" s="3" t="n">
        <f aca="false">SUM(B24:N24)</f>
        <v>1290917.27230769</v>
      </c>
    </row>
    <row r="25" customFormat="false" ht="15" hidden="false" customHeight="false" outlineLevel="0" collapsed="false">
      <c r="A25" s="0" t="s">
        <v>105</v>
      </c>
      <c r="B25" s="3" t="n">
        <f aca="false">B16-B24</f>
        <v>-37763.0123076923</v>
      </c>
      <c r="C25" s="3" t="n">
        <f aca="false">C16-C24</f>
        <v>-7659.72153846154</v>
      </c>
      <c r="D25" s="3" t="n">
        <f aca="false">D16-D24</f>
        <v>-14933.0769230769</v>
      </c>
      <c r="E25" s="3" t="n">
        <f aca="false">E16-E24</f>
        <v>-14933.0769230769</v>
      </c>
      <c r="F25" s="3" t="n">
        <f aca="false">F16-F24</f>
        <v>-14933.0769230769</v>
      </c>
      <c r="G25" s="3" t="n">
        <f aca="false">G16-G24</f>
        <v>-14933.0769230769</v>
      </c>
      <c r="H25" s="3" t="n">
        <f aca="false">H16-H24</f>
        <v>-11993.0769230769</v>
      </c>
      <c r="I25" s="3" t="n">
        <f aca="false">I16-I24</f>
        <v>-11993.0769230769</v>
      </c>
      <c r="J25" s="3" t="n">
        <f aca="false">J16-J24</f>
        <v>-11993.0769230769</v>
      </c>
      <c r="K25" s="3" t="n">
        <f aca="false">K16-K24</f>
        <v>-11993.0769230769</v>
      </c>
      <c r="L25" s="3" t="n">
        <f aca="false">L16-L24</f>
        <v>-9494.07692307694</v>
      </c>
      <c r="M25" s="3" t="n">
        <f aca="false">M16-M24</f>
        <v>-9494.07692307694</v>
      </c>
      <c r="N25" s="3" t="n">
        <f aca="false">N16-N24</f>
        <v>-9494.07692307694</v>
      </c>
      <c r="O25" s="3" t="n">
        <f aca="false">SUM(B25:N25)</f>
        <v>-181609.58</v>
      </c>
    </row>
    <row r="26" customFormat="false" ht="15" hidden="false" customHeight="false" outlineLevel="0" collapsed="false">
      <c r="A26" s="5" t="s">
        <v>106</v>
      </c>
      <c r="B26" s="14" t="n">
        <f aca="false">B12+B25</f>
        <v>25448.9876923077</v>
      </c>
      <c r="C26" s="14" t="n">
        <f aca="false">C12+C25</f>
        <v>17789.2661538461</v>
      </c>
      <c r="D26" s="14" t="n">
        <f aca="false">D12+D25</f>
        <v>2856.1892307692</v>
      </c>
      <c r="E26" s="14" t="n">
        <f aca="false">E12+E25</f>
        <v>-12076.8876923077</v>
      </c>
      <c r="F26" s="14" t="n">
        <f aca="false">F12+F25</f>
        <v>-27009.9646153847</v>
      </c>
      <c r="G26" s="14" t="n">
        <f aca="false">G12+G25</f>
        <v>-41943.0415384616</v>
      </c>
      <c r="H26" s="14" t="n">
        <f aca="false">H12+H25</f>
        <v>-53936.1184615385</v>
      </c>
      <c r="I26" s="14" t="n">
        <f aca="false">I12+I25</f>
        <v>-65929.1953846155</v>
      </c>
      <c r="J26" s="14" t="n">
        <f aca="false">J12+J25</f>
        <v>-77922.2723076924</v>
      </c>
      <c r="K26" s="14" t="n">
        <f aca="false">K12+K25</f>
        <v>-89915.3492307694</v>
      </c>
      <c r="L26" s="14" t="n">
        <f aca="false">L12+L25</f>
        <v>-99409.4261538463</v>
      </c>
      <c r="M26" s="14" t="n">
        <f aca="false">M12+M25</f>
        <v>-108903.503076923</v>
      </c>
      <c r="N26" s="14" t="n">
        <f aca="false">N12+N25</f>
        <v>-118397.58</v>
      </c>
      <c r="O26" s="14" t="n">
        <f aca="false">N26</f>
        <v>-118397.58</v>
      </c>
    </row>
    <row r="27" customFormat="false" ht="15" hidden="false" customHeight="false" outlineLevel="0" collapsed="false">
      <c r="A27" s="0" t="s">
        <v>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</row>
    <row r="28" customFormat="false" ht="15" hidden="false" customHeight="false" outlineLevel="0" collapsed="false">
      <c r="A28" s="0" t="s">
        <v>107</v>
      </c>
      <c r="B28" s="0" t="str">
        <f aca="false">IF(B26&lt;Assumptions!$B$5,"YES","")</f>
        <v>YES</v>
      </c>
      <c r="C28" s="0" t="str">
        <f aca="false">IF(C26&lt;Assumptions!$B$5,"YES","")</f>
        <v>YES</v>
      </c>
      <c r="D28" s="0" t="str">
        <f aca="false">IF(D26&lt;Assumptions!$B$5,"YES","")</f>
        <v>YES</v>
      </c>
      <c r="E28" s="0" t="str">
        <f aca="false">IF(E26&lt;Assumptions!$B$5,"YES","")</f>
        <v>YES</v>
      </c>
      <c r="F28" s="0" t="str">
        <f aca="false">IF(F26&lt;Assumptions!$B$5,"YES","")</f>
        <v>YES</v>
      </c>
      <c r="G28" s="0" t="str">
        <f aca="false">IF(G26&lt;Assumptions!$B$5,"YES","")</f>
        <v>YES</v>
      </c>
      <c r="H28" s="0" t="str">
        <f aca="false">IF(H26&lt;Assumptions!$B$5,"YES","")</f>
        <v>YES</v>
      </c>
      <c r="I28" s="0" t="str">
        <f aca="false">IF(I26&lt;Assumptions!$B$5,"YES","")</f>
        <v>YES</v>
      </c>
      <c r="J28" s="0" t="str">
        <f aca="false">IF(J26&lt;Assumptions!$B$5,"YES","")</f>
        <v>YES</v>
      </c>
      <c r="K28" s="0" t="str">
        <f aca="false">IF(K26&lt;Assumptions!$B$5,"YES","")</f>
        <v>YES</v>
      </c>
      <c r="L28" s="0" t="str">
        <f aca="false">IF(L26&lt;Assumptions!$B$5,"YES","")</f>
        <v>YES</v>
      </c>
      <c r="M28" s="0" t="str">
        <f aca="false">IF(M26&lt;Assumptions!$B$5,"YES","")</f>
        <v>YES</v>
      </c>
      <c r="N28" s="0" t="str">
        <f aca="false">IF(N26&lt;Assumptions!$B$5,"YES","")</f>
        <v>YES</v>
      </c>
    </row>
    <row r="31" customFormat="false" ht="15" hidden="false" customHeight="false" outlineLevel="0" collapsed="false">
      <c r="A31" s="12" t="s">
        <v>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customFormat="false" ht="15" hidden="false" customHeight="false" outlineLevel="0" collapsed="false">
      <c r="A32" s="5" t="s">
        <v>92</v>
      </c>
      <c r="B32" s="3" t="n">
        <f aca="false">Assumptions!$B$4</f>
        <v>63212</v>
      </c>
      <c r="C32" s="3" t="n">
        <f aca="false">B46</f>
        <v>18343.7473076923</v>
      </c>
      <c r="D32" s="3" t="n">
        <f aca="false">C46</f>
        <v>3578.78538461535</v>
      </c>
      <c r="E32" s="3" t="n">
        <f aca="false">D46</f>
        <v>-10248.531923077</v>
      </c>
      <c r="F32" s="3" t="n">
        <f aca="false">E46</f>
        <v>-24075.8492307693</v>
      </c>
      <c r="G32" s="3" t="n">
        <f aca="false">F46</f>
        <v>-37903.1665384616</v>
      </c>
      <c r="H32" s="3" t="n">
        <f aca="false">G46</f>
        <v>-51730.4838461539</v>
      </c>
      <c r="I32" s="3" t="n">
        <f aca="false">H46</f>
        <v>-56484.6692857144</v>
      </c>
      <c r="J32" s="3" t="n">
        <f aca="false">I46</f>
        <v>-61238.8547252748</v>
      </c>
      <c r="K32" s="3" t="n">
        <f aca="false">J46</f>
        <v>-47519.4151648352</v>
      </c>
      <c r="L32" s="3" t="n">
        <f aca="false">K46</f>
        <v>-33799.9756043957</v>
      </c>
      <c r="M32" s="3" t="n">
        <f aca="false">L46</f>
        <v>-17225.5168131869</v>
      </c>
      <c r="N32" s="3" t="n">
        <f aca="false">M46</f>
        <v>-651.058021978141</v>
      </c>
    </row>
    <row r="33" customFormat="false" ht="15" hidden="false" customHeight="false" outlineLevel="0" collapsed="false">
      <c r="A33" s="0" t="s">
        <v>93</v>
      </c>
      <c r="B33" s="3" t="n">
        <f aca="false">B8</f>
        <v>101538.461538462</v>
      </c>
      <c r="C33" s="3" t="n">
        <f aca="false">C8</f>
        <v>80307.6923076923</v>
      </c>
      <c r="D33" s="3" t="n">
        <f aca="false">D8</f>
        <v>80307.6923076923</v>
      </c>
      <c r="E33" s="3" t="n">
        <f aca="false">E8</f>
        <v>80307.6923076923</v>
      </c>
      <c r="F33" s="3" t="n">
        <f aca="false">F8</f>
        <v>80307.6923076923</v>
      </c>
      <c r="G33" s="3" t="n">
        <f aca="false">G8</f>
        <v>80307.6923076923</v>
      </c>
      <c r="H33" s="3" t="n">
        <f aca="false">H8</f>
        <v>84923.0769230769</v>
      </c>
      <c r="I33" s="3" t="n">
        <f aca="false">I8</f>
        <v>84923.0769230769</v>
      </c>
      <c r="J33" s="3" t="n">
        <f aca="false">J8</f>
        <v>84923.0769230769</v>
      </c>
      <c r="K33" s="3" t="n">
        <f aca="false">K8</f>
        <v>84923.0769230769</v>
      </c>
      <c r="L33" s="3" t="n">
        <f aca="false">L8</f>
        <v>88846.1538461538</v>
      </c>
      <c r="M33" s="3" t="n">
        <f aca="false">M8</f>
        <v>88846.1538461538</v>
      </c>
      <c r="N33" s="3" t="n">
        <f aca="false">N8</f>
        <v>88846.1538461538</v>
      </c>
      <c r="O33" s="3" t="n">
        <f aca="false">SUM(B33:N33)</f>
        <v>1109307.69230769</v>
      </c>
    </row>
    <row r="34" customFormat="false" ht="15" hidden="false" customHeight="false" outlineLevel="0" collapsed="false">
      <c r="A34" s="0" t="s">
        <v>94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f aca="false">Assumptions!$B$11/7</f>
        <v>5714.28571428572</v>
      </c>
      <c r="I34" s="3" t="n">
        <f aca="false">Assumptions!$B$11/7</f>
        <v>5714.28571428572</v>
      </c>
      <c r="J34" s="3" t="n">
        <f aca="false">Assumptions!$B$11/7</f>
        <v>5714.28571428572</v>
      </c>
      <c r="K34" s="3" t="n">
        <f aca="false">Assumptions!$B$11/7</f>
        <v>5714.28571428572</v>
      </c>
      <c r="L34" s="3" t="n">
        <f aca="false">Assumptions!$B$11/7</f>
        <v>5714.28571428572</v>
      </c>
      <c r="M34" s="3" t="n">
        <f aca="false">Assumptions!$B$11/7</f>
        <v>5714.28571428572</v>
      </c>
      <c r="N34" s="3" t="n">
        <f aca="false">Assumptions!$B$11/7</f>
        <v>5714.28571428572</v>
      </c>
      <c r="O34" s="3" t="n">
        <f aca="false">SUM(B34:N34)</f>
        <v>40000</v>
      </c>
    </row>
    <row r="35" customFormat="false" ht="15" hidden="false" customHeight="false" outlineLevel="0" collapsed="false">
      <c r="A35" s="0" t="s">
        <v>95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f aca="false">SUM(B35:N35)</f>
        <v>0</v>
      </c>
    </row>
    <row r="36" customFormat="false" ht="15" hidden="false" customHeight="false" outlineLevel="0" collapsed="false">
      <c r="A36" s="5" t="s">
        <v>96</v>
      </c>
      <c r="B36" s="3" t="n">
        <f aca="false">SUM(B33:B35)</f>
        <v>101538.461538462</v>
      </c>
      <c r="C36" s="3" t="n">
        <f aca="false">SUM(C33:C35)</f>
        <v>80307.6923076923</v>
      </c>
      <c r="D36" s="3" t="n">
        <f aca="false">SUM(D33:D35)</f>
        <v>80307.6923076923</v>
      </c>
      <c r="E36" s="3" t="n">
        <f aca="false">SUM(E33:E35)</f>
        <v>80307.6923076923</v>
      </c>
      <c r="F36" s="3" t="n">
        <f aca="false">SUM(F33:F35)</f>
        <v>80307.6923076923</v>
      </c>
      <c r="G36" s="3" t="n">
        <f aca="false">SUM(G33:G35)</f>
        <v>80307.6923076923</v>
      </c>
      <c r="H36" s="3" t="n">
        <f aca="false">SUM(H33:H35)</f>
        <v>90637.3626373626</v>
      </c>
      <c r="I36" s="3" t="n">
        <f aca="false">SUM(I33:I35)</f>
        <v>90637.3626373626</v>
      </c>
      <c r="J36" s="3" t="n">
        <f aca="false">SUM(J33:J35)</f>
        <v>90637.3626373626</v>
      </c>
      <c r="K36" s="3" t="n">
        <f aca="false">SUM(K33:K35)</f>
        <v>90637.3626373626</v>
      </c>
      <c r="L36" s="3" t="n">
        <f aca="false">SUM(L33:L35)</f>
        <v>94560.4395604396</v>
      </c>
      <c r="M36" s="3" t="n">
        <f aca="false">SUM(M33:M35)</f>
        <v>94560.4395604396</v>
      </c>
      <c r="N36" s="3" t="n">
        <f aca="false">SUM(N33:N35)</f>
        <v>94560.4395604396</v>
      </c>
      <c r="O36" s="3" t="n">
        <f aca="false">SUM(B36:N36)</f>
        <v>1149307.69230769</v>
      </c>
    </row>
    <row r="37" customFormat="false" ht="15" hidden="false" customHeight="false" outlineLevel="0" collapsed="false">
      <c r="A37" s="0" t="s">
        <v>97</v>
      </c>
      <c r="B37" s="3" t="n">
        <f aca="false">Assumptions!$B$6*12/52</f>
        <v>29538.4615384615</v>
      </c>
      <c r="C37" s="3" t="n">
        <f aca="false">Assumptions!$B$6*12/52</f>
        <v>29538.4615384615</v>
      </c>
      <c r="D37" s="3" t="n">
        <f aca="false">Assumptions!$B$6*12/52</f>
        <v>29538.4615384615</v>
      </c>
      <c r="E37" s="3" t="n">
        <f aca="false">Assumptions!$B$6*12/52</f>
        <v>29538.4615384615</v>
      </c>
      <c r="F37" s="3" t="n">
        <f aca="false">Assumptions!$B$6*12/52</f>
        <v>29538.4615384615</v>
      </c>
      <c r="G37" s="3" t="n">
        <f aca="false">Assumptions!$B$6*12/52</f>
        <v>29538.4615384615</v>
      </c>
      <c r="H37" s="3" t="n">
        <f aca="false">Assumptions!$B$6*12/52</f>
        <v>29538.4615384615</v>
      </c>
      <c r="I37" s="3" t="n">
        <f aca="false">Assumptions!$B$6*12/52</f>
        <v>29538.4615384615</v>
      </c>
      <c r="J37" s="3" t="n">
        <f aca="false">Assumptions!$B$6*12/52</f>
        <v>29538.4615384615</v>
      </c>
      <c r="K37" s="3" t="n">
        <f aca="false">Assumptions!$B$6*12/52</f>
        <v>29538.4615384615</v>
      </c>
      <c r="L37" s="3" t="n">
        <f aca="false">Assumptions!$B$6*12/52</f>
        <v>29538.4615384615</v>
      </c>
      <c r="M37" s="3" t="n">
        <f aca="false">Assumptions!$B$6*12/52</f>
        <v>29538.4615384615</v>
      </c>
      <c r="N37" s="3" t="n">
        <f aca="false">Assumptions!$B$6*12/52</f>
        <v>29538.4615384615</v>
      </c>
      <c r="O37" s="3" t="n">
        <f aca="false">SUM(B37:N37)</f>
        <v>384000</v>
      </c>
    </row>
    <row r="38" customFormat="false" ht="15" hidden="false" customHeight="false" outlineLevel="0" collapsed="false">
      <c r="A38" s="0" t="s">
        <v>98</v>
      </c>
      <c r="B38" s="3" t="n">
        <f aca="false">B9</f>
        <v>96289.32</v>
      </c>
      <c r="C38" s="3" t="n">
        <f aca="false">C9</f>
        <v>44955.26</v>
      </c>
      <c r="D38" s="3" t="n">
        <f aca="false">D8*Assumptions!$B$8*(1-Assumptions!$B$9)+Assumptions!$B$7*12/52-Assumptions!$B$10*12/52</f>
        <v>44017.6153846154</v>
      </c>
      <c r="E38" s="3" t="n">
        <f aca="false">E8*Assumptions!$B$8*(1-Assumptions!$B$9)+Assumptions!$B$7*12/52-Assumptions!$B$10*12/52</f>
        <v>44017.6153846154</v>
      </c>
      <c r="F38" s="3" t="n">
        <f aca="false">F8*Assumptions!$B$8*(1-Assumptions!$B$9)+Assumptions!$B$7*12/52-Assumptions!$B$10*12/52</f>
        <v>44017.6153846154</v>
      </c>
      <c r="G38" s="3" t="n">
        <f aca="false">G8*Assumptions!$B$8*(1-Assumptions!$B$9)+Assumptions!$B$7*12/52-Assumptions!$B$10*12/52</f>
        <v>44017.6153846154</v>
      </c>
      <c r="H38" s="3" t="n">
        <f aca="false">H8*Assumptions!$B$8*(1-Assumptions!$B$9)+Assumptions!$B$7*12/52-Assumptions!$B$10*12/52</f>
        <v>45274.1538461538</v>
      </c>
      <c r="I38" s="3" t="n">
        <f aca="false">I8*Assumptions!$B$8*(1-Assumptions!$B$9)+Assumptions!$B$7*12/52-Assumptions!$B$10*12/52</f>
        <v>45274.1538461538</v>
      </c>
      <c r="J38" s="3" t="n">
        <f aca="false">J8*Assumptions!$B$8*(1-Assumptions!$B$9)+Assumptions!$B$7*12/52-Assumptions!$B$10*12/52</f>
        <v>45274.1538461538</v>
      </c>
      <c r="K38" s="3" t="n">
        <f aca="false">K8*Assumptions!$B$8*(1-Assumptions!$B$9)+Assumptions!$B$7*12/52-Assumptions!$B$10*12/52</f>
        <v>45274.1538461538</v>
      </c>
      <c r="L38" s="3" t="n">
        <f aca="false">L8*Assumptions!$B$8*(1-Assumptions!$B$9)+Assumptions!$B$7*12/52-Assumptions!$B$10*12/52</f>
        <v>46342.2115384615</v>
      </c>
      <c r="M38" s="3" t="n">
        <f aca="false">M8*Assumptions!$B$8*(1-Assumptions!$B$9)+Assumptions!$B$7*12/52-Assumptions!$B$10*12/52</f>
        <v>46342.2115384615</v>
      </c>
      <c r="N38" s="3" t="n">
        <f aca="false">N8*Assumptions!$B$8*(1-Assumptions!$B$9)+Assumptions!$B$7*12/52-Assumptions!$B$10*12/52</f>
        <v>46342.2115384615</v>
      </c>
      <c r="O38" s="3" t="n">
        <f aca="false">SUM(B38:N38)</f>
        <v>637438.291538462</v>
      </c>
    </row>
    <row r="39" customFormat="false" ht="15" hidden="false" customHeight="false" outlineLevel="0" collapsed="false">
      <c r="A39" s="0" t="s">
        <v>99</v>
      </c>
      <c r="B39" s="3" t="n">
        <f aca="false">IF(1&lt;=Assumptions!$B$18,Assumptions!$B$16/Assumptions!$B$18,0)</f>
        <v>18473.625</v>
      </c>
      <c r="C39" s="3" t="n">
        <f aca="false">IF(2&lt;=Assumptions!$B$18,Assumptions!$B$16/Assumptions!$B$18,0)</f>
        <v>18473.625</v>
      </c>
      <c r="D39" s="3" t="n">
        <f aca="false">IF(3&lt;=Assumptions!$B$18,Assumptions!$B$16/Assumptions!$B$18,0)</f>
        <v>18473.625</v>
      </c>
      <c r="E39" s="3" t="n">
        <f aca="false">IF(4&lt;=Assumptions!$B$18,Assumptions!$B$16/Assumptions!$B$18,0)</f>
        <v>18473.625</v>
      </c>
      <c r="F39" s="3" t="n">
        <f aca="false">IF(5&lt;=Assumptions!$B$18,Assumptions!$B$16/Assumptions!$B$18,0)</f>
        <v>18473.625</v>
      </c>
      <c r="G39" s="3" t="n">
        <f aca="false">IF(6&lt;=Assumptions!$B$18,Assumptions!$B$16/Assumptions!$B$18,0)</f>
        <v>18473.625</v>
      </c>
      <c r="H39" s="3" t="n">
        <f aca="false">IF(7&lt;=Assumptions!$B$18,Assumptions!$B$16/Assumptions!$B$18,0)</f>
        <v>18473.625</v>
      </c>
      <c r="I39" s="3" t="n">
        <f aca="false">IF(8&lt;=Assumptions!$B$18,Assumptions!$B$16/Assumptions!$B$18,0)</f>
        <v>18473.625</v>
      </c>
      <c r="J39" s="3" t="n">
        <f aca="false">IF(9&lt;=Assumptions!$B$18,Assumptions!$B$16/Assumptions!$B$18,0)</f>
        <v>0</v>
      </c>
      <c r="K39" s="3" t="n">
        <f aca="false">IF(10&lt;=Assumptions!$B$18,Assumptions!$B$16/Assumptions!$B$18,0)</f>
        <v>0</v>
      </c>
      <c r="L39" s="3" t="n">
        <f aca="false">IF(11&lt;=Assumptions!$B$18,Assumptions!$B$16/Assumptions!$B$18,0)</f>
        <v>0</v>
      </c>
      <c r="M39" s="3" t="n">
        <f aca="false">IF(12&lt;=Assumptions!$B$18,Assumptions!$B$16/Assumptions!$B$18,0)</f>
        <v>0</v>
      </c>
      <c r="N39" s="3" t="n">
        <f aca="false">IF(13&lt;=Assumptions!$B$18,Assumptions!$B$16/Assumptions!$B$18,0)</f>
        <v>0</v>
      </c>
      <c r="O39" s="3" t="n">
        <f aca="false">SUM(B39:N39)</f>
        <v>147789</v>
      </c>
    </row>
    <row r="40" customFormat="false" ht="15" hidden="false" customHeight="false" outlineLevel="0" collapsed="false">
      <c r="A40" s="0" t="s">
        <v>100</v>
      </c>
      <c r="B40" s="3" t="n">
        <f aca="false">Assumptions!$B$12*12/52</f>
        <v>1153.84615384615</v>
      </c>
      <c r="C40" s="3" t="n">
        <f aca="false">Assumptions!$B$12*12/52</f>
        <v>1153.84615384615</v>
      </c>
      <c r="D40" s="3" t="n">
        <f aca="false">Assumptions!$B$12*12/52</f>
        <v>1153.84615384615</v>
      </c>
      <c r="E40" s="3" t="n">
        <f aca="false">Assumptions!$B$12*12/52</f>
        <v>1153.84615384615</v>
      </c>
      <c r="F40" s="3" t="n">
        <f aca="false">Assumptions!$B$12*12/52</f>
        <v>1153.84615384615</v>
      </c>
      <c r="G40" s="3" t="n">
        <f aca="false">Assumptions!$B$12*12/52</f>
        <v>1153.84615384615</v>
      </c>
      <c r="H40" s="3" t="n">
        <f aca="false">Assumptions!$B$12*12/52</f>
        <v>1153.84615384615</v>
      </c>
      <c r="I40" s="3" t="n">
        <f aca="false">Assumptions!$B$12*12/52</f>
        <v>1153.84615384615</v>
      </c>
      <c r="J40" s="3" t="n">
        <f aca="false">Assumptions!$B$12*12/52</f>
        <v>1153.84615384615</v>
      </c>
      <c r="K40" s="3" t="n">
        <f aca="false">Assumptions!$B$12*12/52</f>
        <v>1153.84615384615</v>
      </c>
      <c r="L40" s="3" t="n">
        <f aca="false">Assumptions!$B$12*12/52</f>
        <v>1153.84615384615</v>
      </c>
      <c r="M40" s="3" t="n">
        <f aca="false">Assumptions!$B$12*12/52</f>
        <v>1153.84615384615</v>
      </c>
      <c r="N40" s="3" t="n">
        <f aca="false">Assumptions!$B$12*12/52</f>
        <v>1153.84615384615</v>
      </c>
      <c r="O40" s="3" t="n">
        <f aca="false">SUM(B40:N40)</f>
        <v>15000</v>
      </c>
    </row>
    <row r="41" customFormat="false" ht="15" hidden="false" customHeight="false" outlineLevel="0" collapsed="false">
      <c r="A41" s="0" t="s">
        <v>101</v>
      </c>
      <c r="B41" s="3" t="n">
        <f aca="false">Assumptions!$B$14*12/52</f>
        <v>489.923076923077</v>
      </c>
      <c r="C41" s="3" t="n">
        <f aca="false">Assumptions!$B$14*12/52</f>
        <v>489.923076923077</v>
      </c>
      <c r="D41" s="3" t="n">
        <f aca="false">Assumptions!$B$14*12/52</f>
        <v>489.923076923077</v>
      </c>
      <c r="E41" s="3" t="n">
        <f aca="false">Assumptions!$B$14*12/52</f>
        <v>489.923076923077</v>
      </c>
      <c r="F41" s="3" t="n">
        <f aca="false">Assumptions!$B$14*12/52</f>
        <v>489.923076923077</v>
      </c>
      <c r="G41" s="3" t="n">
        <f aca="false">Assumptions!$B$14*12/52</f>
        <v>489.923076923077</v>
      </c>
      <c r="H41" s="3" t="n">
        <f aca="false">Assumptions!$B$14*12/52</f>
        <v>489.923076923077</v>
      </c>
      <c r="I41" s="3" t="n">
        <f aca="false">Assumptions!$B$14*12/52</f>
        <v>489.923076923077</v>
      </c>
      <c r="J41" s="3" t="n">
        <f aca="false">Assumptions!$B$14*12/52</f>
        <v>489.923076923077</v>
      </c>
      <c r="K41" s="3" t="n">
        <f aca="false">Assumptions!$B$14*12/52</f>
        <v>489.923076923077</v>
      </c>
      <c r="L41" s="3" t="n">
        <f aca="false">Assumptions!$B$14*12/52</f>
        <v>489.923076923077</v>
      </c>
      <c r="M41" s="3" t="n">
        <f aca="false">Assumptions!$B$14*12/52</f>
        <v>489.923076923077</v>
      </c>
      <c r="N41" s="3" t="n">
        <f aca="false">Assumptions!$B$14*12/52</f>
        <v>489.923076923077</v>
      </c>
      <c r="O41" s="3" t="n">
        <f aca="false">SUM(B41:N41)</f>
        <v>6369</v>
      </c>
    </row>
    <row r="42" customFormat="false" ht="15" hidden="false" customHeight="false" outlineLevel="0" collapsed="false">
      <c r="A42" s="0" t="s">
        <v>102</v>
      </c>
      <c r="B42" s="3" t="n">
        <f aca="false">Assumptions!$B$15*12/52</f>
        <v>461.538461538462</v>
      </c>
      <c r="C42" s="3" t="n">
        <f aca="false">Assumptions!$B$15*12/52</f>
        <v>461.538461538462</v>
      </c>
      <c r="D42" s="3" t="n">
        <f aca="false">Assumptions!$B$15*12/52</f>
        <v>461.538461538462</v>
      </c>
      <c r="E42" s="3" t="n">
        <f aca="false">Assumptions!$B$15*12/52</f>
        <v>461.538461538462</v>
      </c>
      <c r="F42" s="3" t="n">
        <f aca="false">Assumptions!$B$15*12/52</f>
        <v>461.538461538462</v>
      </c>
      <c r="G42" s="3" t="n">
        <f aca="false">Assumptions!$B$15*12/52</f>
        <v>461.538461538462</v>
      </c>
      <c r="H42" s="3" t="n">
        <f aca="false">Assumptions!$B$15*12/52</f>
        <v>461.538461538462</v>
      </c>
      <c r="I42" s="3" t="n">
        <f aca="false">Assumptions!$B$15*12/52</f>
        <v>461.538461538462</v>
      </c>
      <c r="J42" s="3" t="n">
        <f aca="false">Assumptions!$B$15*12/52</f>
        <v>461.538461538462</v>
      </c>
      <c r="K42" s="3" t="n">
        <f aca="false">Assumptions!$B$15*12/52</f>
        <v>461.538461538462</v>
      </c>
      <c r="L42" s="3" t="n">
        <f aca="false">Assumptions!$B$15*12/52</f>
        <v>461.538461538462</v>
      </c>
      <c r="M42" s="3" t="n">
        <f aca="false">Assumptions!$B$15*12/52</f>
        <v>461.538461538462</v>
      </c>
      <c r="N42" s="3" t="n">
        <f aca="false">Assumptions!$B$15*12/52</f>
        <v>461.538461538462</v>
      </c>
      <c r="O42" s="3" t="n">
        <f aca="false">SUM(B42:N42)</f>
        <v>6000</v>
      </c>
    </row>
    <row r="43" customFormat="false" ht="15" hidden="false" customHeight="false" outlineLevel="0" collapsed="false">
      <c r="A43" s="0" t="s">
        <v>103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f aca="false">SUM(B43:N43)</f>
        <v>0</v>
      </c>
    </row>
    <row r="44" customFormat="false" ht="15" hidden="false" customHeight="false" outlineLevel="0" collapsed="false">
      <c r="A44" s="5" t="s">
        <v>104</v>
      </c>
      <c r="B44" s="3" t="n">
        <f aca="false">SUM(B37:B43)</f>
        <v>146406.714230769</v>
      </c>
      <c r="C44" s="3" t="n">
        <f aca="false">SUM(C37:C43)</f>
        <v>95072.6542307692</v>
      </c>
      <c r="D44" s="3" t="n">
        <f aca="false">SUM(D37:D43)</f>
        <v>94135.0096153846</v>
      </c>
      <c r="E44" s="3" t="n">
        <f aca="false">SUM(E37:E43)</f>
        <v>94135.0096153846</v>
      </c>
      <c r="F44" s="3" t="n">
        <f aca="false">SUM(F37:F43)</f>
        <v>94135.0096153846</v>
      </c>
      <c r="G44" s="3" t="n">
        <f aca="false">SUM(G37:G43)</f>
        <v>94135.0096153846</v>
      </c>
      <c r="H44" s="3" t="n">
        <f aca="false">SUM(H37:H43)</f>
        <v>95391.5480769231</v>
      </c>
      <c r="I44" s="3" t="n">
        <f aca="false">SUM(I37:I43)</f>
        <v>95391.5480769231</v>
      </c>
      <c r="J44" s="3" t="n">
        <f aca="false">SUM(J37:J43)</f>
        <v>76917.9230769231</v>
      </c>
      <c r="K44" s="3" t="n">
        <f aca="false">SUM(K37:K43)</f>
        <v>76917.9230769231</v>
      </c>
      <c r="L44" s="3" t="n">
        <f aca="false">SUM(L37:L43)</f>
        <v>77985.9807692308</v>
      </c>
      <c r="M44" s="3" t="n">
        <f aca="false">SUM(M37:M43)</f>
        <v>77985.9807692308</v>
      </c>
      <c r="N44" s="3" t="n">
        <f aca="false">SUM(N37:N43)</f>
        <v>77985.9807692308</v>
      </c>
      <c r="O44" s="3" t="n">
        <f aca="false">SUM(B44:N44)</f>
        <v>1196596.29153846</v>
      </c>
    </row>
    <row r="45" customFormat="false" ht="15" hidden="false" customHeight="false" outlineLevel="0" collapsed="false">
      <c r="A45" s="0" t="s">
        <v>105</v>
      </c>
      <c r="B45" s="3" t="n">
        <f aca="false">B36-B44</f>
        <v>-44868.2526923077</v>
      </c>
      <c r="C45" s="3" t="n">
        <f aca="false">C36-C44</f>
        <v>-14764.9619230769</v>
      </c>
      <c r="D45" s="3" t="n">
        <f aca="false">D36-D44</f>
        <v>-13827.3173076923</v>
      </c>
      <c r="E45" s="3" t="n">
        <f aca="false">E36-E44</f>
        <v>-13827.3173076923</v>
      </c>
      <c r="F45" s="3" t="n">
        <f aca="false">F36-F44</f>
        <v>-13827.3173076923</v>
      </c>
      <c r="G45" s="3" t="n">
        <f aca="false">G36-G44</f>
        <v>-13827.3173076923</v>
      </c>
      <c r="H45" s="3" t="n">
        <f aca="false">H36-H44</f>
        <v>-4754.18543956045</v>
      </c>
      <c r="I45" s="3" t="n">
        <f aca="false">I36-I44</f>
        <v>-4754.18543956045</v>
      </c>
      <c r="J45" s="3" t="n">
        <f aca="false">J36-J44</f>
        <v>13719.4395604396</v>
      </c>
      <c r="K45" s="3" t="n">
        <f aca="false">K36-K44</f>
        <v>13719.4395604396</v>
      </c>
      <c r="L45" s="3" t="n">
        <f aca="false">L36-L44</f>
        <v>16574.4587912088</v>
      </c>
      <c r="M45" s="3" t="n">
        <f aca="false">M36-M44</f>
        <v>16574.4587912088</v>
      </c>
      <c r="N45" s="3" t="n">
        <f aca="false">N36-N44</f>
        <v>16574.4587912088</v>
      </c>
      <c r="O45" s="3" t="n">
        <f aca="false">SUM(B45:N45)</f>
        <v>-47288.5992307694</v>
      </c>
    </row>
    <row r="46" customFormat="false" ht="15" hidden="false" customHeight="false" outlineLevel="0" collapsed="false">
      <c r="A46" s="5" t="s">
        <v>106</v>
      </c>
      <c r="B46" s="14" t="n">
        <f aca="false">B32+B45</f>
        <v>18343.7473076923</v>
      </c>
      <c r="C46" s="14" t="n">
        <f aca="false">C32+C45</f>
        <v>3578.78538461535</v>
      </c>
      <c r="D46" s="14" t="n">
        <f aca="false">D32+D45</f>
        <v>-10248.531923077</v>
      </c>
      <c r="E46" s="14" t="n">
        <f aca="false">E32+E45</f>
        <v>-24075.8492307693</v>
      </c>
      <c r="F46" s="14" t="n">
        <f aca="false">F32+F45</f>
        <v>-37903.1665384616</v>
      </c>
      <c r="G46" s="14" t="n">
        <f aca="false">G32+G45</f>
        <v>-51730.4838461539</v>
      </c>
      <c r="H46" s="14" t="n">
        <f aca="false">H32+H45</f>
        <v>-56484.6692857144</v>
      </c>
      <c r="I46" s="14" t="n">
        <f aca="false">I32+I45</f>
        <v>-61238.8547252748</v>
      </c>
      <c r="J46" s="14" t="n">
        <f aca="false">J32+J45</f>
        <v>-47519.4151648352</v>
      </c>
      <c r="K46" s="14" t="n">
        <f aca="false">K32+K45</f>
        <v>-33799.9756043957</v>
      </c>
      <c r="L46" s="14" t="n">
        <f aca="false">L32+L45</f>
        <v>-17225.5168131869</v>
      </c>
      <c r="M46" s="14" t="n">
        <f aca="false">M32+M45</f>
        <v>-651.058021978141</v>
      </c>
      <c r="N46" s="14" t="n">
        <f aca="false">N32+N45</f>
        <v>15923.4007692306</v>
      </c>
      <c r="O46" s="14" t="n">
        <f aca="false">N46</f>
        <v>15923.4007692306</v>
      </c>
    </row>
    <row r="47" customFormat="false" ht="15" hidden="false" customHeight="false" outlineLevel="0" collapsed="false">
      <c r="A47" s="0" t="s">
        <v>6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 customFormat="false" ht="15" hidden="false" customHeight="false" outlineLevel="0" collapsed="false">
      <c r="A48" s="0" t="s">
        <v>107</v>
      </c>
      <c r="B48" s="0" t="str">
        <f aca="false">IF(B46&lt;Assumptions!$B$5,"YES","")</f>
        <v>YES</v>
      </c>
      <c r="C48" s="0" t="str">
        <f aca="false">IF(C46&lt;Assumptions!$B$5,"YES","")</f>
        <v>YES</v>
      </c>
      <c r="D48" s="0" t="str">
        <f aca="false">IF(D46&lt;Assumptions!$B$5,"YES","")</f>
        <v>YES</v>
      </c>
      <c r="E48" s="0" t="str">
        <f aca="false">IF(E46&lt;Assumptions!$B$5,"YES","")</f>
        <v>YES</v>
      </c>
      <c r="F48" s="0" t="str">
        <f aca="false">IF(F46&lt;Assumptions!$B$5,"YES","")</f>
        <v>YES</v>
      </c>
      <c r="G48" s="0" t="str">
        <f aca="false">IF(G46&lt;Assumptions!$B$5,"YES","")</f>
        <v>YES</v>
      </c>
      <c r="H48" s="0" t="str">
        <f aca="false">IF(H46&lt;Assumptions!$B$5,"YES","")</f>
        <v>YES</v>
      </c>
      <c r="I48" s="0" t="str">
        <f aca="false">IF(I46&lt;Assumptions!$B$5,"YES","")</f>
        <v>YES</v>
      </c>
      <c r="J48" s="0" t="str">
        <f aca="false">IF(J46&lt;Assumptions!$B$5,"YES","")</f>
        <v>YES</v>
      </c>
      <c r="K48" s="0" t="str">
        <f aca="false">IF(K46&lt;Assumptions!$B$5,"YES","")</f>
        <v>YES</v>
      </c>
      <c r="L48" s="0" t="str">
        <f aca="false">IF(L46&lt;Assumptions!$B$5,"YES","")</f>
        <v>YES</v>
      </c>
      <c r="M48" s="0" t="str">
        <f aca="false">IF(M46&lt;Assumptions!$B$5,"YES","")</f>
        <v>YES</v>
      </c>
      <c r="N48" s="0" t="str">
        <f aca="false">IF(N46&lt;Assumptions!$B$5,"YES","")</f>
        <v>YES</v>
      </c>
    </row>
    <row r="51" customFormat="false" ht="15" hidden="false" customHeight="false" outlineLevel="0" collapsed="false">
      <c r="A51" s="12" t="s">
        <v>10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customFormat="false" ht="15" hidden="false" customHeight="false" outlineLevel="0" collapsed="false">
      <c r="A52" s="5" t="s">
        <v>92</v>
      </c>
      <c r="B52" s="3" t="n">
        <f aca="false">Assumptions!$B$4</f>
        <v>63212</v>
      </c>
      <c r="C52" s="3" t="n">
        <f aca="false">B66</f>
        <v>105169.026153846</v>
      </c>
      <c r="D52" s="3" t="n">
        <f aca="false">C66</f>
        <v>28609.3430769231</v>
      </c>
      <c r="E52" s="3" t="n">
        <f aca="false">D66</f>
        <v>26881.8046153846</v>
      </c>
      <c r="F52" s="3" t="n">
        <f aca="false">E66</f>
        <v>25154.2661538461</v>
      </c>
      <c r="G52" s="3" t="n">
        <f aca="false">F66</f>
        <v>23426.7276923077</v>
      </c>
      <c r="H52" s="3" t="n">
        <f aca="false">G66</f>
        <v>21699.1892307692</v>
      </c>
      <c r="I52" s="3" t="n">
        <f aca="false">H66</f>
        <v>28744.7826373626</v>
      </c>
      <c r="J52" s="3" t="n">
        <f aca="false">I66</f>
        <v>35790.376043956</v>
      </c>
      <c r="K52" s="3" t="n">
        <f aca="false">J66</f>
        <v>42835.9694505494</v>
      </c>
      <c r="L52" s="3" t="n">
        <f aca="false">K66</f>
        <v>49881.5628571428</v>
      </c>
      <c r="M52" s="3" t="n">
        <f aca="false">L66</f>
        <v>59527.1754945054</v>
      </c>
      <c r="N52" s="3" t="n">
        <f aca="false">M66</f>
        <v>69172.7881318681</v>
      </c>
    </row>
    <row r="53" customFormat="false" ht="15" hidden="false" customHeight="false" outlineLevel="0" collapsed="false">
      <c r="A53" s="0" t="s">
        <v>93</v>
      </c>
      <c r="B53" s="3" t="n">
        <f aca="false">B8</f>
        <v>101538.461538462</v>
      </c>
      <c r="C53" s="3" t="n">
        <f aca="false">C8</f>
        <v>80307.6923076923</v>
      </c>
      <c r="D53" s="3" t="n">
        <f aca="false">D8</f>
        <v>80307.6923076923</v>
      </c>
      <c r="E53" s="3" t="n">
        <f aca="false">E8</f>
        <v>80307.6923076923</v>
      </c>
      <c r="F53" s="3" t="n">
        <f aca="false">F8</f>
        <v>80307.6923076923</v>
      </c>
      <c r="G53" s="3" t="n">
        <f aca="false">G8</f>
        <v>80307.6923076923</v>
      </c>
      <c r="H53" s="3" t="n">
        <f aca="false">H8</f>
        <v>84923.0769230769</v>
      </c>
      <c r="I53" s="3" t="n">
        <f aca="false">I8</f>
        <v>84923.0769230769</v>
      </c>
      <c r="J53" s="3" t="n">
        <f aca="false">J8</f>
        <v>84923.0769230769</v>
      </c>
      <c r="K53" s="3" t="n">
        <f aca="false">K8</f>
        <v>84923.0769230769</v>
      </c>
      <c r="L53" s="3" t="n">
        <f aca="false">L8</f>
        <v>88846.1538461538</v>
      </c>
      <c r="M53" s="3" t="n">
        <f aca="false">M8</f>
        <v>88846.1538461538</v>
      </c>
      <c r="N53" s="3" t="n">
        <f aca="false">N8</f>
        <v>88846.1538461538</v>
      </c>
      <c r="O53" s="3" t="n">
        <f aca="false">SUM(B53:N53)</f>
        <v>1109307.69230769</v>
      </c>
    </row>
    <row r="54" customFormat="false" ht="15" hidden="false" customHeight="false" outlineLevel="0" collapsed="false">
      <c r="A54" s="0" t="s">
        <v>94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f aca="false">Assumptions!$B$11/7</f>
        <v>5714.28571428572</v>
      </c>
      <c r="I54" s="3" t="n">
        <f aca="false">Assumptions!$B$11/7</f>
        <v>5714.28571428572</v>
      </c>
      <c r="J54" s="3" t="n">
        <f aca="false">Assumptions!$B$11/7</f>
        <v>5714.28571428572</v>
      </c>
      <c r="K54" s="3" t="n">
        <f aca="false">Assumptions!$B$11/7</f>
        <v>5714.28571428572</v>
      </c>
      <c r="L54" s="3" t="n">
        <f aca="false">Assumptions!$B$11/7</f>
        <v>5714.28571428572</v>
      </c>
      <c r="M54" s="3" t="n">
        <f aca="false">Assumptions!$B$11/7</f>
        <v>5714.28571428572</v>
      </c>
      <c r="N54" s="3" t="n">
        <f aca="false">Assumptions!$B$11/7</f>
        <v>5714.28571428572</v>
      </c>
      <c r="O54" s="3" t="n">
        <f aca="false">SUM(B54:N54)</f>
        <v>40000</v>
      </c>
    </row>
    <row r="55" customFormat="false" ht="15" hidden="false" customHeight="false" outlineLevel="0" collapsed="false">
      <c r="A55" s="0" t="s">
        <v>95</v>
      </c>
      <c r="B55" s="3" t="n">
        <f aca="false">Assumptions!$B$20</f>
        <v>150000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f aca="false">SUM(B55:N55)</f>
        <v>150000</v>
      </c>
    </row>
    <row r="56" customFormat="false" ht="15" hidden="false" customHeight="false" outlineLevel="0" collapsed="false">
      <c r="A56" s="5" t="s">
        <v>96</v>
      </c>
      <c r="B56" s="3" t="n">
        <f aca="false">SUM(B53:B55)</f>
        <v>251538.461538462</v>
      </c>
      <c r="C56" s="3" t="n">
        <f aca="false">SUM(C53:C55)</f>
        <v>80307.6923076923</v>
      </c>
      <c r="D56" s="3" t="n">
        <f aca="false">SUM(D53:D55)</f>
        <v>80307.6923076923</v>
      </c>
      <c r="E56" s="3" t="n">
        <f aca="false">SUM(E53:E55)</f>
        <v>80307.6923076923</v>
      </c>
      <c r="F56" s="3" t="n">
        <f aca="false">SUM(F53:F55)</f>
        <v>80307.6923076923</v>
      </c>
      <c r="G56" s="3" t="n">
        <f aca="false">SUM(G53:G55)</f>
        <v>80307.6923076923</v>
      </c>
      <c r="H56" s="3" t="n">
        <f aca="false">SUM(H53:H55)</f>
        <v>90637.3626373626</v>
      </c>
      <c r="I56" s="3" t="n">
        <f aca="false">SUM(I53:I55)</f>
        <v>90637.3626373626</v>
      </c>
      <c r="J56" s="3" t="n">
        <f aca="false">SUM(J53:J55)</f>
        <v>90637.3626373626</v>
      </c>
      <c r="K56" s="3" t="n">
        <f aca="false">SUM(K53:K55)</f>
        <v>90637.3626373626</v>
      </c>
      <c r="L56" s="3" t="n">
        <f aca="false">SUM(L53:L55)</f>
        <v>94560.4395604396</v>
      </c>
      <c r="M56" s="3" t="n">
        <f aca="false">SUM(M53:M55)</f>
        <v>94560.4395604396</v>
      </c>
      <c r="N56" s="3" t="n">
        <f aca="false">SUM(N53:N55)</f>
        <v>94560.4395604396</v>
      </c>
      <c r="O56" s="3" t="n">
        <f aca="false">SUM(B56:N56)</f>
        <v>1299307.69230769</v>
      </c>
    </row>
    <row r="57" customFormat="false" ht="15" hidden="false" customHeight="false" outlineLevel="0" collapsed="false">
      <c r="A57" s="0" t="s">
        <v>97</v>
      </c>
      <c r="B57" s="3" t="n">
        <f aca="false">Assumptions!$B$6*12/52</f>
        <v>29538.4615384615</v>
      </c>
      <c r="C57" s="3" t="n">
        <f aca="false">Assumptions!$B$6*12/52</f>
        <v>29538.4615384615</v>
      </c>
      <c r="D57" s="3" t="n">
        <f aca="false">Assumptions!$B$6*12/52</f>
        <v>29538.4615384615</v>
      </c>
      <c r="E57" s="3" t="n">
        <f aca="false">Assumptions!$B$6*12/52</f>
        <v>29538.4615384615</v>
      </c>
      <c r="F57" s="3" t="n">
        <f aca="false">Assumptions!$B$6*12/52</f>
        <v>29538.4615384615</v>
      </c>
      <c r="G57" s="3" t="n">
        <f aca="false">Assumptions!$B$6*12/52</f>
        <v>29538.4615384615</v>
      </c>
      <c r="H57" s="3" t="n">
        <f aca="false">Assumptions!$B$6*12/52</f>
        <v>29538.4615384615</v>
      </c>
      <c r="I57" s="3" t="n">
        <f aca="false">Assumptions!$B$6*12/52</f>
        <v>29538.4615384615</v>
      </c>
      <c r="J57" s="3" t="n">
        <f aca="false">Assumptions!$B$6*12/52</f>
        <v>29538.4615384615</v>
      </c>
      <c r="K57" s="3" t="n">
        <f aca="false">Assumptions!$B$6*12/52</f>
        <v>29538.4615384615</v>
      </c>
      <c r="L57" s="3" t="n">
        <f aca="false">Assumptions!$B$6*12/52</f>
        <v>29538.4615384615</v>
      </c>
      <c r="M57" s="3" t="n">
        <f aca="false">Assumptions!$B$6*12/52</f>
        <v>29538.4615384615</v>
      </c>
      <c r="N57" s="3" t="n">
        <f aca="false">Assumptions!$B$6*12/52</f>
        <v>29538.4615384615</v>
      </c>
      <c r="O57" s="3" t="n">
        <f aca="false">SUM(B57:N57)</f>
        <v>384000</v>
      </c>
    </row>
    <row r="58" customFormat="false" ht="15" hidden="false" customHeight="false" outlineLevel="0" collapsed="false">
      <c r="A58" s="0" t="s">
        <v>98</v>
      </c>
      <c r="B58" s="3" t="n">
        <f aca="false">B9</f>
        <v>96289.32</v>
      </c>
      <c r="C58" s="3" t="n">
        <f aca="false">C9</f>
        <v>44955.26</v>
      </c>
      <c r="D58" s="3" t="n">
        <f aca="false">D8*Assumptions!$B$8*(1-Assumptions!$B$9)+Assumptions!$B$7*12/52-Assumptions!$B$10*12/52</f>
        <v>44017.6153846154</v>
      </c>
      <c r="E58" s="3" t="n">
        <f aca="false">E8*Assumptions!$B$8*(1-Assumptions!$B$9)+Assumptions!$B$7*12/52-Assumptions!$B$10*12/52</f>
        <v>44017.6153846154</v>
      </c>
      <c r="F58" s="3" t="n">
        <f aca="false">F8*Assumptions!$B$8*(1-Assumptions!$B$9)+Assumptions!$B$7*12/52-Assumptions!$B$10*12/52</f>
        <v>44017.6153846154</v>
      </c>
      <c r="G58" s="3" t="n">
        <f aca="false">G8*Assumptions!$B$8*(1-Assumptions!$B$9)+Assumptions!$B$7*12/52-Assumptions!$B$10*12/52</f>
        <v>44017.6153846154</v>
      </c>
      <c r="H58" s="3" t="n">
        <f aca="false">H8*Assumptions!$B$8*(1-Assumptions!$B$9)+Assumptions!$B$7*12/52-Assumptions!$B$10*12/52</f>
        <v>45274.1538461538</v>
      </c>
      <c r="I58" s="3" t="n">
        <f aca="false">I8*Assumptions!$B$8*(1-Assumptions!$B$9)+Assumptions!$B$7*12/52-Assumptions!$B$10*12/52</f>
        <v>45274.1538461538</v>
      </c>
      <c r="J58" s="3" t="n">
        <f aca="false">J8*Assumptions!$B$8*(1-Assumptions!$B$9)+Assumptions!$B$7*12/52-Assumptions!$B$10*12/52</f>
        <v>45274.1538461538</v>
      </c>
      <c r="K58" s="3" t="n">
        <f aca="false">K8*Assumptions!$B$8*(1-Assumptions!$B$9)+Assumptions!$B$7*12/52-Assumptions!$B$10*12/52</f>
        <v>45274.1538461538</v>
      </c>
      <c r="L58" s="3" t="n">
        <f aca="false">L8*Assumptions!$B$8*(1-Assumptions!$B$9)+Assumptions!$B$7*12/52-Assumptions!$B$10*12/52</f>
        <v>46342.2115384615</v>
      </c>
      <c r="M58" s="3" t="n">
        <f aca="false">M8*Assumptions!$B$8*(1-Assumptions!$B$9)+Assumptions!$B$7*12/52-Assumptions!$B$10*12/52</f>
        <v>46342.2115384615</v>
      </c>
      <c r="N58" s="3" t="n">
        <f aca="false">N8*Assumptions!$B$8*(1-Assumptions!$B$9)+Assumptions!$B$7*12/52-Assumptions!$B$10*12/52</f>
        <v>46342.2115384615</v>
      </c>
      <c r="O58" s="3" t="n">
        <f aca="false">SUM(B58:N58)</f>
        <v>637438.291538462</v>
      </c>
    </row>
    <row r="59" customFormat="false" ht="15" hidden="false" customHeight="false" outlineLevel="0" collapsed="false">
      <c r="A59" s="0" t="s">
        <v>99</v>
      </c>
      <c r="B59" s="3" t="n">
        <f aca="false">IF(1&lt;=Assumptions!$B$19,Assumptions!$B$16/Assumptions!$B$19,0)</f>
        <v>73894.5</v>
      </c>
      <c r="C59" s="3" t="n">
        <f aca="false">IF(2&lt;=Assumptions!$B$19,Assumptions!$B$16/Assumptions!$B$19,0)</f>
        <v>73894.5</v>
      </c>
      <c r="D59" s="3" t="n">
        <f aca="false">IF(3&lt;=Assumptions!$B$19,Assumptions!$B$16/Assumptions!$B$19,0)</f>
        <v>0</v>
      </c>
      <c r="E59" s="3" t="n">
        <f aca="false">IF(4&lt;=Assumptions!$B$19,Assumptions!$B$16/Assumptions!$B$19,0)</f>
        <v>0</v>
      </c>
      <c r="F59" s="3" t="n">
        <f aca="false">IF(5&lt;=Assumptions!$B$19,Assumptions!$B$16/Assumptions!$B$19,0)</f>
        <v>0</v>
      </c>
      <c r="G59" s="3" t="n">
        <f aca="false">IF(6&lt;=Assumptions!$B$19,Assumptions!$B$16/Assumptions!$B$19,0)</f>
        <v>0</v>
      </c>
      <c r="H59" s="3" t="n">
        <f aca="false">IF(7&lt;=Assumptions!$B$19,Assumptions!$B$16/Assumptions!$B$19,0)</f>
        <v>0</v>
      </c>
      <c r="I59" s="3" t="n">
        <f aca="false">IF(8&lt;=Assumptions!$B$19,Assumptions!$B$16/Assumptions!$B$19,0)</f>
        <v>0</v>
      </c>
      <c r="J59" s="3" t="n">
        <f aca="false">IF(9&lt;=Assumptions!$B$19,Assumptions!$B$16/Assumptions!$B$19,0)</f>
        <v>0</v>
      </c>
      <c r="K59" s="3" t="n">
        <f aca="false">IF(10&lt;=Assumptions!$B$19,Assumptions!$B$16/Assumptions!$B$19,0)</f>
        <v>0</v>
      </c>
      <c r="L59" s="3" t="n">
        <f aca="false">IF(11&lt;=Assumptions!$B$19,Assumptions!$B$16/Assumptions!$B$19,0)</f>
        <v>0</v>
      </c>
      <c r="M59" s="3" t="n">
        <f aca="false">IF(12&lt;=Assumptions!$B$19,Assumptions!$B$16/Assumptions!$B$19,0)</f>
        <v>0</v>
      </c>
      <c r="N59" s="3" t="n">
        <f aca="false">IF(13&lt;=Assumptions!$B$19,Assumptions!$B$16/Assumptions!$B$19,0)</f>
        <v>0</v>
      </c>
      <c r="O59" s="3" t="n">
        <f aca="false">SUM(B59:N59)</f>
        <v>147789</v>
      </c>
    </row>
    <row r="60" customFormat="false" ht="15" hidden="false" customHeight="false" outlineLevel="0" collapsed="false">
      <c r="A60" s="0" t="s">
        <v>100</v>
      </c>
      <c r="B60" s="3" t="n">
        <f aca="false">Assumptions!$B$13*12/52</f>
        <v>2307.69230769231</v>
      </c>
      <c r="C60" s="3" t="n">
        <f aca="false">Assumptions!$B$13*12/52</f>
        <v>2307.69230769231</v>
      </c>
      <c r="D60" s="3" t="n">
        <f aca="false">Assumptions!$B$13*12/52</f>
        <v>2307.69230769231</v>
      </c>
      <c r="E60" s="3" t="n">
        <f aca="false">Assumptions!$B$13*12/52</f>
        <v>2307.69230769231</v>
      </c>
      <c r="F60" s="3" t="n">
        <f aca="false">Assumptions!$B$13*12/52</f>
        <v>2307.69230769231</v>
      </c>
      <c r="G60" s="3" t="n">
        <f aca="false">Assumptions!$B$13*12/52</f>
        <v>2307.69230769231</v>
      </c>
      <c r="H60" s="3" t="n">
        <f aca="false">Assumptions!$B$13*12/52</f>
        <v>2307.69230769231</v>
      </c>
      <c r="I60" s="3" t="n">
        <f aca="false">Assumptions!$B$13*12/52</f>
        <v>2307.69230769231</v>
      </c>
      <c r="J60" s="3" t="n">
        <f aca="false">Assumptions!$B$13*12/52</f>
        <v>2307.69230769231</v>
      </c>
      <c r="K60" s="3" t="n">
        <f aca="false">Assumptions!$B$13*12/52</f>
        <v>2307.69230769231</v>
      </c>
      <c r="L60" s="3" t="n">
        <f aca="false">Assumptions!$B$13*12/52</f>
        <v>2307.69230769231</v>
      </c>
      <c r="M60" s="3" t="n">
        <f aca="false">Assumptions!$B$13*12/52</f>
        <v>2307.69230769231</v>
      </c>
      <c r="N60" s="3" t="n">
        <f aca="false">Assumptions!$B$13*12/52</f>
        <v>2307.69230769231</v>
      </c>
      <c r="O60" s="3" t="n">
        <f aca="false">SUM(B60:N60)</f>
        <v>30000</v>
      </c>
    </row>
    <row r="61" customFormat="false" ht="15" hidden="false" customHeight="false" outlineLevel="0" collapsed="false">
      <c r="A61" s="0" t="s">
        <v>101</v>
      </c>
      <c r="B61" s="3" t="n">
        <f aca="false">Assumptions!$B$14*12/52</f>
        <v>489.923076923077</v>
      </c>
      <c r="C61" s="3" t="n">
        <f aca="false">Assumptions!$B$14*12/52</f>
        <v>489.923076923077</v>
      </c>
      <c r="D61" s="3" t="n">
        <f aca="false">Assumptions!$B$14*12/52</f>
        <v>489.923076923077</v>
      </c>
      <c r="E61" s="3" t="n">
        <f aca="false">Assumptions!$B$14*12/52</f>
        <v>489.923076923077</v>
      </c>
      <c r="F61" s="3" t="n">
        <f aca="false">Assumptions!$B$14*12/52</f>
        <v>489.923076923077</v>
      </c>
      <c r="G61" s="3" t="n">
        <f aca="false">Assumptions!$B$14*12/52</f>
        <v>489.923076923077</v>
      </c>
      <c r="H61" s="3" t="n">
        <f aca="false">Assumptions!$B$14*12/52</f>
        <v>489.923076923077</v>
      </c>
      <c r="I61" s="3" t="n">
        <f aca="false">Assumptions!$B$14*12/52</f>
        <v>489.923076923077</v>
      </c>
      <c r="J61" s="3" t="n">
        <f aca="false">Assumptions!$B$14*12/52</f>
        <v>489.923076923077</v>
      </c>
      <c r="K61" s="3" t="n">
        <f aca="false">Assumptions!$B$14*12/52</f>
        <v>489.923076923077</v>
      </c>
      <c r="L61" s="3" t="n">
        <f aca="false">Assumptions!$B$14*12/52</f>
        <v>489.923076923077</v>
      </c>
      <c r="M61" s="3" t="n">
        <f aca="false">Assumptions!$B$14*12/52</f>
        <v>489.923076923077</v>
      </c>
      <c r="N61" s="3" t="n">
        <f aca="false">Assumptions!$B$14*12/52</f>
        <v>489.923076923077</v>
      </c>
      <c r="O61" s="3" t="n">
        <f aca="false">SUM(B61:N61)</f>
        <v>6369</v>
      </c>
    </row>
    <row r="62" customFormat="false" ht="15" hidden="false" customHeight="false" outlineLevel="0" collapsed="false">
      <c r="A62" s="0" t="s">
        <v>102</v>
      </c>
      <c r="B62" s="3" t="n">
        <f aca="false">Assumptions!$B$15*12/52</f>
        <v>461.538461538462</v>
      </c>
      <c r="C62" s="3" t="n">
        <f aca="false">Assumptions!$B$15*12/52</f>
        <v>461.538461538462</v>
      </c>
      <c r="D62" s="3" t="n">
        <f aca="false">Assumptions!$B$15*12/52</f>
        <v>461.538461538462</v>
      </c>
      <c r="E62" s="3" t="n">
        <f aca="false">Assumptions!$B$15*12/52</f>
        <v>461.538461538462</v>
      </c>
      <c r="F62" s="3" t="n">
        <f aca="false">Assumptions!$B$15*12/52</f>
        <v>461.538461538462</v>
      </c>
      <c r="G62" s="3" t="n">
        <f aca="false">Assumptions!$B$15*12/52</f>
        <v>461.538461538462</v>
      </c>
      <c r="H62" s="3" t="n">
        <f aca="false">Assumptions!$B$15*12/52</f>
        <v>461.538461538462</v>
      </c>
      <c r="I62" s="3" t="n">
        <f aca="false">Assumptions!$B$15*12/52</f>
        <v>461.538461538462</v>
      </c>
      <c r="J62" s="3" t="n">
        <f aca="false">Assumptions!$B$15*12/52</f>
        <v>461.538461538462</v>
      </c>
      <c r="K62" s="3" t="n">
        <f aca="false">Assumptions!$B$15*12/52</f>
        <v>461.538461538462</v>
      </c>
      <c r="L62" s="3" t="n">
        <f aca="false">Assumptions!$B$15*12/52</f>
        <v>461.538461538462</v>
      </c>
      <c r="M62" s="3" t="n">
        <f aca="false">Assumptions!$B$15*12/52</f>
        <v>461.538461538462</v>
      </c>
      <c r="N62" s="3" t="n">
        <f aca="false">Assumptions!$B$15*12/52</f>
        <v>461.538461538462</v>
      </c>
      <c r="O62" s="3" t="n">
        <f aca="false">SUM(B62:N62)</f>
        <v>6000</v>
      </c>
    </row>
    <row r="63" customFormat="false" ht="15" hidden="false" customHeight="false" outlineLevel="0" collapsed="false">
      <c r="A63" s="0" t="s">
        <v>103</v>
      </c>
      <c r="B63" s="3" t="n">
        <f aca="false">MIN((Assumptions!$B$20+Assumptions!$B$21),B8*Assumptions!$B$23*Assumptions!$B$22)</f>
        <v>6600</v>
      </c>
      <c r="C63" s="3" t="n">
        <f aca="false">MIN(B67,C8*Assumptions!$B$23*Assumptions!$B$22)</f>
        <v>5220</v>
      </c>
      <c r="D63" s="3" t="n">
        <f aca="false">MIN(C67,D8*Assumptions!$B$23*Assumptions!$B$22)</f>
        <v>5220</v>
      </c>
      <c r="E63" s="3" t="n">
        <f aca="false">MIN(D67,E8*Assumptions!$B$23*Assumptions!$B$22)</f>
        <v>5220</v>
      </c>
      <c r="F63" s="3" t="n">
        <f aca="false">MIN(E67,F8*Assumptions!$B$23*Assumptions!$B$22)</f>
        <v>5220</v>
      </c>
      <c r="G63" s="3" t="n">
        <f aca="false">MIN(F67,G8*Assumptions!$B$23*Assumptions!$B$22)</f>
        <v>5220</v>
      </c>
      <c r="H63" s="3" t="n">
        <f aca="false">MIN(G67,H8*Assumptions!$B$23*Assumptions!$B$22)</f>
        <v>5520</v>
      </c>
      <c r="I63" s="3" t="n">
        <f aca="false">MIN(H67,I8*Assumptions!$B$23*Assumptions!$B$22)</f>
        <v>5520</v>
      </c>
      <c r="J63" s="3" t="n">
        <f aca="false">MIN(I67,J8*Assumptions!$B$23*Assumptions!$B$22)</f>
        <v>5520</v>
      </c>
      <c r="K63" s="3" t="n">
        <f aca="false">MIN(J67,K8*Assumptions!$B$23*Assumptions!$B$22)</f>
        <v>5520</v>
      </c>
      <c r="L63" s="3" t="n">
        <f aca="false">MIN(K67,L8*Assumptions!$B$23*Assumptions!$B$22)</f>
        <v>5775</v>
      </c>
      <c r="M63" s="3" t="n">
        <f aca="false">MIN(L67,M8*Assumptions!$B$23*Assumptions!$B$22)</f>
        <v>5775</v>
      </c>
      <c r="N63" s="3" t="n">
        <f aca="false">MIN(M67,N8*Assumptions!$B$23*Assumptions!$B$22)</f>
        <v>5775</v>
      </c>
      <c r="O63" s="3" t="n">
        <f aca="false">SUM(B63:N63)</f>
        <v>72105</v>
      </c>
    </row>
    <row r="64" customFormat="false" ht="15" hidden="false" customHeight="false" outlineLevel="0" collapsed="false">
      <c r="A64" s="5" t="s">
        <v>104</v>
      </c>
      <c r="B64" s="3" t="n">
        <f aca="false">SUM(B57:B63)</f>
        <v>209581.435384615</v>
      </c>
      <c r="C64" s="3" t="n">
        <f aca="false">SUM(C57:C63)</f>
        <v>156867.375384615</v>
      </c>
      <c r="D64" s="3" t="n">
        <f aca="false">SUM(D57:D63)</f>
        <v>82035.2307692308</v>
      </c>
      <c r="E64" s="3" t="n">
        <f aca="false">SUM(E57:E63)</f>
        <v>82035.2307692308</v>
      </c>
      <c r="F64" s="3" t="n">
        <f aca="false">SUM(F57:F63)</f>
        <v>82035.2307692308</v>
      </c>
      <c r="G64" s="3" t="n">
        <f aca="false">SUM(G57:G63)</f>
        <v>82035.2307692308</v>
      </c>
      <c r="H64" s="3" t="n">
        <f aca="false">SUM(H57:H63)</f>
        <v>83591.7692307692</v>
      </c>
      <c r="I64" s="3" t="n">
        <f aca="false">SUM(I57:I63)</f>
        <v>83591.7692307692</v>
      </c>
      <c r="J64" s="3" t="n">
        <f aca="false">SUM(J57:J63)</f>
        <v>83591.7692307692</v>
      </c>
      <c r="K64" s="3" t="n">
        <f aca="false">SUM(K57:K63)</f>
        <v>83591.7692307692</v>
      </c>
      <c r="L64" s="3" t="n">
        <f aca="false">SUM(L57:L63)</f>
        <v>84914.8269230769</v>
      </c>
      <c r="M64" s="3" t="n">
        <f aca="false">SUM(M57:M63)</f>
        <v>84914.8269230769</v>
      </c>
      <c r="N64" s="3" t="n">
        <f aca="false">SUM(N57:N63)</f>
        <v>84914.8269230769</v>
      </c>
      <c r="O64" s="3" t="n">
        <f aca="false">SUM(B64:N64)</f>
        <v>1283701.29153846</v>
      </c>
    </row>
    <row r="65" customFormat="false" ht="15" hidden="false" customHeight="false" outlineLevel="0" collapsed="false">
      <c r="A65" s="0" t="s">
        <v>105</v>
      </c>
      <c r="B65" s="3" t="n">
        <f aca="false">B56-B64</f>
        <v>41957.0261538462</v>
      </c>
      <c r="C65" s="3" t="n">
        <f aca="false">C56-C64</f>
        <v>-76559.6830769231</v>
      </c>
      <c r="D65" s="3" t="n">
        <f aca="false">D56-D64</f>
        <v>-1727.53846153847</v>
      </c>
      <c r="E65" s="3" t="n">
        <f aca="false">E56-E64</f>
        <v>-1727.53846153847</v>
      </c>
      <c r="F65" s="3" t="n">
        <f aca="false">F56-F64</f>
        <v>-1727.53846153847</v>
      </c>
      <c r="G65" s="3" t="n">
        <f aca="false">G56-G64</f>
        <v>-1727.53846153847</v>
      </c>
      <c r="H65" s="3" t="n">
        <f aca="false">H56-H64</f>
        <v>7045.5934065934</v>
      </c>
      <c r="I65" s="3" t="n">
        <f aca="false">I56-I64</f>
        <v>7045.5934065934</v>
      </c>
      <c r="J65" s="3" t="n">
        <f aca="false">J56-J64</f>
        <v>7045.5934065934</v>
      </c>
      <c r="K65" s="3" t="n">
        <f aca="false">K56-K64</f>
        <v>7045.5934065934</v>
      </c>
      <c r="L65" s="3" t="n">
        <f aca="false">L56-L64</f>
        <v>9645.61263736263</v>
      </c>
      <c r="M65" s="3" t="n">
        <f aca="false">M56-M64</f>
        <v>9645.61263736263</v>
      </c>
      <c r="N65" s="3" t="n">
        <f aca="false">N56-N64</f>
        <v>9645.61263736263</v>
      </c>
      <c r="O65" s="3" t="n">
        <f aca="false">SUM(B65:N65)</f>
        <v>15606.4007692307</v>
      </c>
    </row>
    <row r="66" customFormat="false" ht="15" hidden="false" customHeight="false" outlineLevel="0" collapsed="false">
      <c r="A66" s="5" t="s">
        <v>106</v>
      </c>
      <c r="B66" s="14" t="n">
        <f aca="false">B52+B65</f>
        <v>105169.026153846</v>
      </c>
      <c r="C66" s="14" t="n">
        <f aca="false">C52+C65</f>
        <v>28609.3430769231</v>
      </c>
      <c r="D66" s="14" t="n">
        <f aca="false">D52+D65</f>
        <v>26881.8046153846</v>
      </c>
      <c r="E66" s="14" t="n">
        <f aca="false">E52+E65</f>
        <v>25154.2661538461</v>
      </c>
      <c r="F66" s="14" t="n">
        <f aca="false">F52+F65</f>
        <v>23426.7276923077</v>
      </c>
      <c r="G66" s="14" t="n">
        <f aca="false">G52+G65</f>
        <v>21699.1892307692</v>
      </c>
      <c r="H66" s="14" t="n">
        <f aca="false">H52+H65</f>
        <v>28744.7826373626</v>
      </c>
      <c r="I66" s="14" t="n">
        <f aca="false">I52+I65</f>
        <v>35790.376043956</v>
      </c>
      <c r="J66" s="14" t="n">
        <f aca="false">J52+J65</f>
        <v>42835.9694505494</v>
      </c>
      <c r="K66" s="14" t="n">
        <f aca="false">K52+K65</f>
        <v>49881.5628571428</v>
      </c>
      <c r="L66" s="14" t="n">
        <f aca="false">L52+L65</f>
        <v>59527.1754945054</v>
      </c>
      <c r="M66" s="14" t="n">
        <f aca="false">M52+M65</f>
        <v>69172.7881318681</v>
      </c>
      <c r="N66" s="14" t="n">
        <f aca="false">N52+N65</f>
        <v>78818.4007692307</v>
      </c>
      <c r="O66" s="14" t="n">
        <f aca="false">N66</f>
        <v>78818.4007692307</v>
      </c>
    </row>
    <row r="67" customFormat="false" ht="15" hidden="false" customHeight="false" outlineLevel="0" collapsed="false">
      <c r="A67" s="0" t="s">
        <v>6</v>
      </c>
      <c r="B67" s="3" t="n">
        <f aca="false">(Assumptions!$B$20+Assumptions!$B$21)-B63</f>
        <v>158400</v>
      </c>
      <c r="C67" s="3" t="n">
        <f aca="false">B67-C63</f>
        <v>153180</v>
      </c>
      <c r="D67" s="3" t="n">
        <f aca="false">C67-D63</f>
        <v>147960</v>
      </c>
      <c r="E67" s="3" t="n">
        <f aca="false">D67-E63</f>
        <v>142740</v>
      </c>
      <c r="F67" s="3" t="n">
        <f aca="false">E67-F63</f>
        <v>137520</v>
      </c>
      <c r="G67" s="3" t="n">
        <f aca="false">F67-G63</f>
        <v>132300</v>
      </c>
      <c r="H67" s="3" t="n">
        <f aca="false">G67-H63</f>
        <v>126780</v>
      </c>
      <c r="I67" s="3" t="n">
        <f aca="false">H67-I63</f>
        <v>121260</v>
      </c>
      <c r="J67" s="3" t="n">
        <f aca="false">I67-J63</f>
        <v>115740</v>
      </c>
      <c r="K67" s="3" t="n">
        <f aca="false">J67-K63</f>
        <v>110220</v>
      </c>
      <c r="L67" s="3" t="n">
        <f aca="false">K67-L63</f>
        <v>104445</v>
      </c>
      <c r="M67" s="3" t="n">
        <f aca="false">L67-M63</f>
        <v>98670</v>
      </c>
      <c r="N67" s="3" t="n">
        <f aca="false">M67-N63</f>
        <v>92895</v>
      </c>
    </row>
    <row r="68" customFormat="false" ht="15" hidden="false" customHeight="false" outlineLevel="0" collapsed="false">
      <c r="A68" s="0" t="s">
        <v>107</v>
      </c>
      <c r="B68" s="0" t="str">
        <f aca="false">IF(B66&lt;Assumptions!$B$5,"YES","")</f>
        <v/>
      </c>
      <c r="C68" s="0" t="str">
        <f aca="false">IF(C66&lt;Assumptions!$B$5,"YES","")</f>
        <v>YES</v>
      </c>
      <c r="D68" s="0" t="str">
        <f aca="false">IF(D66&lt;Assumptions!$B$5,"YES","")</f>
        <v>YES</v>
      </c>
      <c r="E68" s="0" t="str">
        <f aca="false">IF(E66&lt;Assumptions!$B$5,"YES","")</f>
        <v>YES</v>
      </c>
      <c r="F68" s="0" t="str">
        <f aca="false">IF(F66&lt;Assumptions!$B$5,"YES","")</f>
        <v>YES</v>
      </c>
      <c r="G68" s="0" t="str">
        <f aca="false">IF(G66&lt;Assumptions!$B$5,"YES","")</f>
        <v>YES</v>
      </c>
      <c r="H68" s="0" t="str">
        <f aca="false">IF(H66&lt;Assumptions!$B$5,"YES","")</f>
        <v>YES</v>
      </c>
      <c r="I68" s="0" t="str">
        <f aca="false">IF(I66&lt;Assumptions!$B$5,"YES","")</f>
        <v>YES</v>
      </c>
      <c r="J68" s="0" t="str">
        <f aca="false">IF(J66&lt;Assumptions!$B$5,"YES","")</f>
        <v/>
      </c>
      <c r="K68" s="0" t="str">
        <f aca="false">IF(K66&lt;Assumptions!$B$5,"YES","")</f>
        <v/>
      </c>
      <c r="L68" s="0" t="str">
        <f aca="false">IF(L66&lt;Assumptions!$B$5,"YES","")</f>
        <v/>
      </c>
      <c r="M68" s="0" t="str">
        <f aca="false">IF(M66&lt;Assumptions!$B$5,"YES","")</f>
        <v/>
      </c>
      <c r="N68" s="0" t="str">
        <f aca="false">IF(N66&lt;Assumptions!$B$5,"YES","")</f>
        <v/>
      </c>
    </row>
    <row r="71" customFormat="false" ht="15" hidden="false" customHeight="false" outlineLevel="0" collapsed="false">
      <c r="A71" s="12" t="s">
        <v>11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customFormat="false" ht="15" hidden="false" customHeight="false" outlineLevel="0" collapsed="false">
      <c r="A72" s="5" t="s">
        <v>92</v>
      </c>
      <c r="B72" s="3" t="n">
        <f aca="false">Assumptions!$B$4</f>
        <v>63212</v>
      </c>
      <c r="C72" s="3" t="n">
        <f aca="false">B86</f>
        <v>106322.872307692</v>
      </c>
      <c r="D72" s="3" t="n">
        <f aca="false">C86</f>
        <v>30917.0353846154</v>
      </c>
      <c r="E72" s="3" t="n">
        <f aca="false">D86</f>
        <v>22132.3430769231</v>
      </c>
      <c r="F72" s="3" t="n">
        <f aca="false">E86</f>
        <v>13347.6507692308</v>
      </c>
      <c r="G72" s="3" t="n">
        <f aca="false">F86</f>
        <v>4562.95846153845</v>
      </c>
      <c r="H72" s="3" t="n">
        <f aca="false">G86</f>
        <v>-4221.73384615386</v>
      </c>
      <c r="I72" s="3" t="n">
        <f aca="false">H86</f>
        <v>-10366.4261538462</v>
      </c>
      <c r="J72" s="3" t="n">
        <f aca="false">I86</f>
        <v>-16511.1184615385</v>
      </c>
      <c r="K72" s="3" t="n">
        <f aca="false">J86</f>
        <v>-22655.8107692308</v>
      </c>
      <c r="L72" s="3" t="n">
        <f aca="false">K86</f>
        <v>-28800.5030769231</v>
      </c>
      <c r="M72" s="3" t="n">
        <f aca="false">L86</f>
        <v>-32701.1953846154</v>
      </c>
      <c r="N72" s="3" t="n">
        <f aca="false">M86</f>
        <v>-36601.8876923077</v>
      </c>
    </row>
    <row r="73" customFormat="false" ht="15" hidden="false" customHeight="false" outlineLevel="0" collapsed="false">
      <c r="A73" s="0" t="s">
        <v>93</v>
      </c>
      <c r="B73" s="3" t="n">
        <f aca="false">B8</f>
        <v>101538.461538462</v>
      </c>
      <c r="C73" s="3" t="n">
        <f aca="false">C8</f>
        <v>80307.6923076923</v>
      </c>
      <c r="D73" s="3" t="n">
        <f aca="false">D8</f>
        <v>80307.6923076923</v>
      </c>
      <c r="E73" s="3" t="n">
        <f aca="false">E8</f>
        <v>80307.6923076923</v>
      </c>
      <c r="F73" s="3" t="n">
        <f aca="false">F8</f>
        <v>80307.6923076923</v>
      </c>
      <c r="G73" s="3" t="n">
        <f aca="false">G8</f>
        <v>80307.6923076923</v>
      </c>
      <c r="H73" s="3" t="n">
        <f aca="false">H8</f>
        <v>84923.0769230769</v>
      </c>
      <c r="I73" s="3" t="n">
        <f aca="false">I8</f>
        <v>84923.0769230769</v>
      </c>
      <c r="J73" s="3" t="n">
        <f aca="false">J8</f>
        <v>84923.0769230769</v>
      </c>
      <c r="K73" s="3" t="n">
        <f aca="false">K8</f>
        <v>84923.0769230769</v>
      </c>
      <c r="L73" s="3" t="n">
        <f aca="false">L8</f>
        <v>88846.1538461538</v>
      </c>
      <c r="M73" s="3" t="n">
        <f aca="false">M8</f>
        <v>88846.1538461538</v>
      </c>
      <c r="N73" s="3" t="n">
        <f aca="false">N8</f>
        <v>88846.1538461538</v>
      </c>
      <c r="O73" s="3" t="n">
        <f aca="false">SUM(B73:N73)</f>
        <v>1109307.69230769</v>
      </c>
    </row>
    <row r="74" customFormat="false" ht="15" hidden="false" customHeight="false" outlineLevel="0" collapsed="false">
      <c r="A74" s="0" t="s">
        <v>94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f aca="false">SUM(B74:N74)</f>
        <v>0</v>
      </c>
    </row>
    <row r="75" customFormat="false" ht="15" hidden="false" customHeight="false" outlineLevel="0" collapsed="false">
      <c r="A75" s="0" t="s">
        <v>95</v>
      </c>
      <c r="B75" s="3" t="n">
        <f aca="false">Assumptions!$B$20</f>
        <v>150000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f aca="false">SUM(B75:N75)</f>
        <v>150000</v>
      </c>
    </row>
    <row r="76" customFormat="false" ht="15" hidden="false" customHeight="false" outlineLevel="0" collapsed="false">
      <c r="A76" s="5" t="s">
        <v>96</v>
      </c>
      <c r="B76" s="3" t="n">
        <f aca="false">SUM(B73:B75)</f>
        <v>251538.461538462</v>
      </c>
      <c r="C76" s="3" t="n">
        <f aca="false">SUM(C73:C75)</f>
        <v>80307.6923076923</v>
      </c>
      <c r="D76" s="3" t="n">
        <f aca="false">SUM(D73:D75)</f>
        <v>80307.6923076923</v>
      </c>
      <c r="E76" s="3" t="n">
        <f aca="false">SUM(E73:E75)</f>
        <v>80307.6923076923</v>
      </c>
      <c r="F76" s="3" t="n">
        <f aca="false">SUM(F73:F75)</f>
        <v>80307.6923076923</v>
      </c>
      <c r="G76" s="3" t="n">
        <f aca="false">SUM(G73:G75)</f>
        <v>80307.6923076923</v>
      </c>
      <c r="H76" s="3" t="n">
        <f aca="false">SUM(H73:H75)</f>
        <v>84923.0769230769</v>
      </c>
      <c r="I76" s="3" t="n">
        <f aca="false">SUM(I73:I75)</f>
        <v>84923.0769230769</v>
      </c>
      <c r="J76" s="3" t="n">
        <f aca="false">SUM(J73:J75)</f>
        <v>84923.0769230769</v>
      </c>
      <c r="K76" s="3" t="n">
        <f aca="false">SUM(K73:K75)</f>
        <v>84923.0769230769</v>
      </c>
      <c r="L76" s="3" t="n">
        <f aca="false">SUM(L73:L75)</f>
        <v>88846.1538461538</v>
      </c>
      <c r="M76" s="3" t="n">
        <f aca="false">SUM(M73:M75)</f>
        <v>88846.1538461538</v>
      </c>
      <c r="N76" s="3" t="n">
        <f aca="false">SUM(N73:N75)</f>
        <v>88846.1538461538</v>
      </c>
      <c r="O76" s="3" t="n">
        <f aca="false">SUM(B76:N76)</f>
        <v>1259307.69230769</v>
      </c>
    </row>
    <row r="77" customFormat="false" ht="15" hidden="false" customHeight="false" outlineLevel="0" collapsed="false">
      <c r="A77" s="0" t="s">
        <v>97</v>
      </c>
      <c r="B77" s="3" t="n">
        <f aca="false">Assumptions!$B$6*12/52</f>
        <v>29538.4615384615</v>
      </c>
      <c r="C77" s="3" t="n">
        <f aca="false">Assumptions!$B$6*12/52</f>
        <v>29538.4615384615</v>
      </c>
      <c r="D77" s="3" t="n">
        <f aca="false">Assumptions!$B$6*12/52</f>
        <v>29538.4615384615</v>
      </c>
      <c r="E77" s="3" t="n">
        <f aca="false">Assumptions!$B$6*12/52</f>
        <v>29538.4615384615</v>
      </c>
      <c r="F77" s="3" t="n">
        <f aca="false">Assumptions!$B$6*12/52</f>
        <v>29538.4615384615</v>
      </c>
      <c r="G77" s="3" t="n">
        <f aca="false">Assumptions!$B$6*12/52</f>
        <v>29538.4615384615</v>
      </c>
      <c r="H77" s="3" t="n">
        <f aca="false">Assumptions!$B$6*12/52</f>
        <v>29538.4615384615</v>
      </c>
      <c r="I77" s="3" t="n">
        <f aca="false">Assumptions!$B$6*12/52</f>
        <v>29538.4615384615</v>
      </c>
      <c r="J77" s="3" t="n">
        <f aca="false">Assumptions!$B$6*12/52</f>
        <v>29538.4615384615</v>
      </c>
      <c r="K77" s="3" t="n">
        <f aca="false">Assumptions!$B$6*12/52</f>
        <v>29538.4615384615</v>
      </c>
      <c r="L77" s="3" t="n">
        <f aca="false">Assumptions!$B$6*12/52</f>
        <v>29538.4615384615</v>
      </c>
      <c r="M77" s="3" t="n">
        <f aca="false">Assumptions!$B$6*12/52</f>
        <v>29538.4615384615</v>
      </c>
      <c r="N77" s="3" t="n">
        <f aca="false">Assumptions!$B$6*12/52</f>
        <v>29538.4615384615</v>
      </c>
      <c r="O77" s="3" t="n">
        <f aca="false">SUM(B77:N77)</f>
        <v>384000</v>
      </c>
    </row>
    <row r="78" customFormat="false" ht="15" hidden="false" customHeight="false" outlineLevel="0" collapsed="false">
      <c r="A78" s="0" t="s">
        <v>98</v>
      </c>
      <c r="B78" s="3" t="n">
        <f aca="false">B9</f>
        <v>96289.32</v>
      </c>
      <c r="C78" s="3" t="n">
        <f aca="false">C9</f>
        <v>44955.26</v>
      </c>
      <c r="D78" s="3" t="n">
        <f aca="false">D8*Assumptions!$B$8+Assumptions!$B$7*12/52</f>
        <v>52228.6153846154</v>
      </c>
      <c r="E78" s="3" t="n">
        <f aca="false">E8*Assumptions!$B$8+Assumptions!$B$7*12/52</f>
        <v>52228.6153846154</v>
      </c>
      <c r="F78" s="3" t="n">
        <f aca="false">F8*Assumptions!$B$8+Assumptions!$B$7*12/52</f>
        <v>52228.6153846154</v>
      </c>
      <c r="G78" s="3" t="n">
        <f aca="false">G8*Assumptions!$B$8+Assumptions!$B$7*12/52</f>
        <v>52228.6153846154</v>
      </c>
      <c r="H78" s="3" t="n">
        <f aca="false">H8*Assumptions!$B$8+Assumptions!$B$7*12/52</f>
        <v>53904</v>
      </c>
      <c r="I78" s="3" t="n">
        <f aca="false">I8*Assumptions!$B$8+Assumptions!$B$7*12/52</f>
        <v>53904</v>
      </c>
      <c r="J78" s="3" t="n">
        <f aca="false">J8*Assumptions!$B$8+Assumptions!$B$7*12/52</f>
        <v>53904</v>
      </c>
      <c r="K78" s="3" t="n">
        <f aca="false">K8*Assumptions!$B$8+Assumptions!$B$7*12/52</f>
        <v>53904</v>
      </c>
      <c r="L78" s="3" t="n">
        <f aca="false">L8*Assumptions!$B$8+Assumptions!$B$7*12/52</f>
        <v>55328.0769230769</v>
      </c>
      <c r="M78" s="3" t="n">
        <f aca="false">M8*Assumptions!$B$8+Assumptions!$B$7*12/52</f>
        <v>55328.0769230769</v>
      </c>
      <c r="N78" s="3" t="n">
        <f aca="false">N8*Assumptions!$B$8+Assumptions!$B$7*12/52</f>
        <v>55328.0769230769</v>
      </c>
      <c r="O78" s="3" t="n">
        <f aca="false">SUM(B78:N78)</f>
        <v>731759.272307692</v>
      </c>
    </row>
    <row r="79" customFormat="false" ht="15" hidden="false" customHeight="false" outlineLevel="0" collapsed="false">
      <c r="A79" s="0" t="s">
        <v>99</v>
      </c>
      <c r="B79" s="3" t="n">
        <f aca="false">IF(1&lt;=Assumptions!$B$19,Assumptions!$B$16/Assumptions!$B$19,0)</f>
        <v>73894.5</v>
      </c>
      <c r="C79" s="3" t="n">
        <f aca="false">IF(2&lt;=Assumptions!$B$19,Assumptions!$B$16/Assumptions!$B$19,0)</f>
        <v>73894.5</v>
      </c>
      <c r="D79" s="3" t="n">
        <f aca="false">IF(3&lt;=Assumptions!$B$19,Assumptions!$B$16/Assumptions!$B$19,0)</f>
        <v>0</v>
      </c>
      <c r="E79" s="3" t="n">
        <f aca="false">IF(4&lt;=Assumptions!$B$19,Assumptions!$B$16/Assumptions!$B$19,0)</f>
        <v>0</v>
      </c>
      <c r="F79" s="3" t="n">
        <f aca="false">IF(5&lt;=Assumptions!$B$19,Assumptions!$B$16/Assumptions!$B$19,0)</f>
        <v>0</v>
      </c>
      <c r="G79" s="3" t="n">
        <f aca="false">IF(6&lt;=Assumptions!$B$19,Assumptions!$B$16/Assumptions!$B$19,0)</f>
        <v>0</v>
      </c>
      <c r="H79" s="3" t="n">
        <f aca="false">IF(7&lt;=Assumptions!$B$19,Assumptions!$B$16/Assumptions!$B$19,0)</f>
        <v>0</v>
      </c>
      <c r="I79" s="3" t="n">
        <f aca="false">IF(8&lt;=Assumptions!$B$19,Assumptions!$B$16/Assumptions!$B$19,0)</f>
        <v>0</v>
      </c>
      <c r="J79" s="3" t="n">
        <f aca="false">IF(9&lt;=Assumptions!$B$19,Assumptions!$B$16/Assumptions!$B$19,0)</f>
        <v>0</v>
      </c>
      <c r="K79" s="3" t="n">
        <f aca="false">IF(10&lt;=Assumptions!$B$19,Assumptions!$B$16/Assumptions!$B$19,0)</f>
        <v>0</v>
      </c>
      <c r="L79" s="3" t="n">
        <f aca="false">IF(11&lt;=Assumptions!$B$19,Assumptions!$B$16/Assumptions!$B$19,0)</f>
        <v>0</v>
      </c>
      <c r="M79" s="3" t="n">
        <f aca="false">IF(12&lt;=Assumptions!$B$19,Assumptions!$B$16/Assumptions!$B$19,0)</f>
        <v>0</v>
      </c>
      <c r="N79" s="3" t="n">
        <f aca="false">IF(13&lt;=Assumptions!$B$19,Assumptions!$B$16/Assumptions!$B$19,0)</f>
        <v>0</v>
      </c>
      <c r="O79" s="3" t="n">
        <f aca="false">SUM(B79:N79)</f>
        <v>147789</v>
      </c>
    </row>
    <row r="80" customFormat="false" ht="15" hidden="false" customHeight="false" outlineLevel="0" collapsed="false">
      <c r="A80" s="0" t="s">
        <v>100</v>
      </c>
      <c r="B80" s="3" t="n">
        <f aca="false">Assumptions!$B$12*12/52</f>
        <v>1153.84615384615</v>
      </c>
      <c r="C80" s="3" t="n">
        <f aca="false">Assumptions!$B$12*12/52</f>
        <v>1153.84615384615</v>
      </c>
      <c r="D80" s="3" t="n">
        <f aca="false">Assumptions!$B$12*12/52</f>
        <v>1153.84615384615</v>
      </c>
      <c r="E80" s="3" t="n">
        <f aca="false">Assumptions!$B$12*12/52</f>
        <v>1153.84615384615</v>
      </c>
      <c r="F80" s="3" t="n">
        <f aca="false">Assumptions!$B$12*12/52</f>
        <v>1153.84615384615</v>
      </c>
      <c r="G80" s="3" t="n">
        <f aca="false">Assumptions!$B$12*12/52</f>
        <v>1153.84615384615</v>
      </c>
      <c r="H80" s="3" t="n">
        <f aca="false">Assumptions!$B$12*12/52</f>
        <v>1153.84615384615</v>
      </c>
      <c r="I80" s="3" t="n">
        <f aca="false">Assumptions!$B$12*12/52</f>
        <v>1153.84615384615</v>
      </c>
      <c r="J80" s="3" t="n">
        <f aca="false">Assumptions!$B$12*12/52</f>
        <v>1153.84615384615</v>
      </c>
      <c r="K80" s="3" t="n">
        <f aca="false">Assumptions!$B$12*12/52</f>
        <v>1153.84615384615</v>
      </c>
      <c r="L80" s="3" t="n">
        <f aca="false">Assumptions!$B$12*12/52</f>
        <v>1153.84615384615</v>
      </c>
      <c r="M80" s="3" t="n">
        <f aca="false">Assumptions!$B$12*12/52</f>
        <v>1153.84615384615</v>
      </c>
      <c r="N80" s="3" t="n">
        <f aca="false">Assumptions!$B$12*12/52</f>
        <v>1153.84615384615</v>
      </c>
      <c r="O80" s="3" t="n">
        <f aca="false">SUM(B80:N80)</f>
        <v>15000</v>
      </c>
    </row>
    <row r="81" customFormat="false" ht="15" hidden="false" customHeight="false" outlineLevel="0" collapsed="false">
      <c r="A81" s="0" t="s">
        <v>101</v>
      </c>
      <c r="B81" s="3" t="n">
        <f aca="false">Assumptions!$B$14*12/52</f>
        <v>489.923076923077</v>
      </c>
      <c r="C81" s="3" t="n">
        <f aca="false">Assumptions!$B$14*12/52</f>
        <v>489.923076923077</v>
      </c>
      <c r="D81" s="3" t="n">
        <f aca="false">Assumptions!$B$14*12/52</f>
        <v>489.923076923077</v>
      </c>
      <c r="E81" s="3" t="n">
        <f aca="false">Assumptions!$B$14*12/52</f>
        <v>489.923076923077</v>
      </c>
      <c r="F81" s="3" t="n">
        <f aca="false">Assumptions!$B$14*12/52</f>
        <v>489.923076923077</v>
      </c>
      <c r="G81" s="3" t="n">
        <f aca="false">Assumptions!$B$14*12/52</f>
        <v>489.923076923077</v>
      </c>
      <c r="H81" s="3" t="n">
        <f aca="false">Assumptions!$B$14*12/52</f>
        <v>489.923076923077</v>
      </c>
      <c r="I81" s="3" t="n">
        <f aca="false">Assumptions!$B$14*12/52</f>
        <v>489.923076923077</v>
      </c>
      <c r="J81" s="3" t="n">
        <f aca="false">Assumptions!$B$14*12/52</f>
        <v>489.923076923077</v>
      </c>
      <c r="K81" s="3" t="n">
        <f aca="false">Assumptions!$B$14*12/52</f>
        <v>489.923076923077</v>
      </c>
      <c r="L81" s="3" t="n">
        <f aca="false">Assumptions!$B$14*12/52</f>
        <v>489.923076923077</v>
      </c>
      <c r="M81" s="3" t="n">
        <f aca="false">Assumptions!$B$14*12/52</f>
        <v>489.923076923077</v>
      </c>
      <c r="N81" s="3" t="n">
        <f aca="false">Assumptions!$B$14*12/52</f>
        <v>489.923076923077</v>
      </c>
      <c r="O81" s="3" t="n">
        <f aca="false">SUM(B81:N81)</f>
        <v>6369</v>
      </c>
    </row>
    <row r="82" customFormat="false" ht="15" hidden="false" customHeight="false" outlineLevel="0" collapsed="false">
      <c r="A82" s="0" t="s">
        <v>102</v>
      </c>
      <c r="B82" s="3" t="n">
        <f aca="false">Assumptions!$B$15*12/52</f>
        <v>461.538461538462</v>
      </c>
      <c r="C82" s="3" t="n">
        <f aca="false">Assumptions!$B$15*12/52</f>
        <v>461.538461538462</v>
      </c>
      <c r="D82" s="3" t="n">
        <f aca="false">Assumptions!$B$15*12/52</f>
        <v>461.538461538462</v>
      </c>
      <c r="E82" s="3" t="n">
        <f aca="false">Assumptions!$B$15*12/52</f>
        <v>461.538461538462</v>
      </c>
      <c r="F82" s="3" t="n">
        <f aca="false">Assumptions!$B$15*12/52</f>
        <v>461.538461538462</v>
      </c>
      <c r="G82" s="3" t="n">
        <f aca="false">Assumptions!$B$15*12/52</f>
        <v>461.538461538462</v>
      </c>
      <c r="H82" s="3" t="n">
        <f aca="false">Assumptions!$B$15*12/52</f>
        <v>461.538461538462</v>
      </c>
      <c r="I82" s="3" t="n">
        <f aca="false">Assumptions!$B$15*12/52</f>
        <v>461.538461538462</v>
      </c>
      <c r="J82" s="3" t="n">
        <f aca="false">Assumptions!$B$15*12/52</f>
        <v>461.538461538462</v>
      </c>
      <c r="K82" s="3" t="n">
        <f aca="false">Assumptions!$B$15*12/52</f>
        <v>461.538461538462</v>
      </c>
      <c r="L82" s="3" t="n">
        <f aca="false">Assumptions!$B$15*12/52</f>
        <v>461.538461538462</v>
      </c>
      <c r="M82" s="3" t="n">
        <f aca="false">Assumptions!$B$15*12/52</f>
        <v>461.538461538462</v>
      </c>
      <c r="N82" s="3" t="n">
        <f aca="false">Assumptions!$B$15*12/52</f>
        <v>461.538461538462</v>
      </c>
      <c r="O82" s="3" t="n">
        <f aca="false">SUM(B82:N82)</f>
        <v>6000</v>
      </c>
    </row>
    <row r="83" customFormat="false" ht="15" hidden="false" customHeight="false" outlineLevel="0" collapsed="false">
      <c r="A83" s="0" t="s">
        <v>103</v>
      </c>
      <c r="B83" s="3" t="n">
        <f aca="false">MIN((Assumptions!$B$20+Assumptions!$B$21),B8*Assumptions!$B$23*Assumptions!$B$22)</f>
        <v>6600</v>
      </c>
      <c r="C83" s="3" t="n">
        <f aca="false">MIN(B87,C8*Assumptions!$B$23*Assumptions!$B$22)</f>
        <v>5220</v>
      </c>
      <c r="D83" s="3" t="n">
        <f aca="false">MIN(C87,D8*Assumptions!$B$23*Assumptions!$B$22)</f>
        <v>5220</v>
      </c>
      <c r="E83" s="3" t="n">
        <f aca="false">MIN(D87,E8*Assumptions!$B$23*Assumptions!$B$22)</f>
        <v>5220</v>
      </c>
      <c r="F83" s="3" t="n">
        <f aca="false">MIN(E87,F8*Assumptions!$B$23*Assumptions!$B$22)</f>
        <v>5220</v>
      </c>
      <c r="G83" s="3" t="n">
        <f aca="false">MIN(F87,G8*Assumptions!$B$23*Assumptions!$B$22)</f>
        <v>5220</v>
      </c>
      <c r="H83" s="3" t="n">
        <f aca="false">MIN(G87,H8*Assumptions!$B$23*Assumptions!$B$22)</f>
        <v>5520</v>
      </c>
      <c r="I83" s="3" t="n">
        <f aca="false">MIN(H87,I8*Assumptions!$B$23*Assumptions!$B$22)</f>
        <v>5520</v>
      </c>
      <c r="J83" s="3" t="n">
        <f aca="false">MIN(I87,J8*Assumptions!$B$23*Assumptions!$B$22)</f>
        <v>5520</v>
      </c>
      <c r="K83" s="3" t="n">
        <f aca="false">MIN(J87,K8*Assumptions!$B$23*Assumptions!$B$22)</f>
        <v>5520</v>
      </c>
      <c r="L83" s="3" t="n">
        <f aca="false">MIN(K87,L8*Assumptions!$B$23*Assumptions!$B$22)</f>
        <v>5775</v>
      </c>
      <c r="M83" s="3" t="n">
        <f aca="false">MIN(L87,M8*Assumptions!$B$23*Assumptions!$B$22)</f>
        <v>5775</v>
      </c>
      <c r="N83" s="3" t="n">
        <f aca="false">MIN(M87,N8*Assumptions!$B$23*Assumptions!$B$22)</f>
        <v>5775</v>
      </c>
      <c r="O83" s="3" t="n">
        <f aca="false">SUM(B83:N83)</f>
        <v>72105</v>
      </c>
    </row>
    <row r="84" customFormat="false" ht="15" hidden="false" customHeight="false" outlineLevel="0" collapsed="false">
      <c r="A84" s="5" t="s">
        <v>104</v>
      </c>
      <c r="B84" s="3" t="n">
        <f aca="false">SUM(B77:B83)</f>
        <v>208427.589230769</v>
      </c>
      <c r="C84" s="3" t="n">
        <f aca="false">SUM(C77:C83)</f>
        <v>155713.529230769</v>
      </c>
      <c r="D84" s="3" t="n">
        <f aca="false">SUM(D77:D83)</f>
        <v>89092.3846153846</v>
      </c>
      <c r="E84" s="3" t="n">
        <f aca="false">SUM(E77:E83)</f>
        <v>89092.3846153846</v>
      </c>
      <c r="F84" s="3" t="n">
        <f aca="false">SUM(F77:F83)</f>
        <v>89092.3846153846</v>
      </c>
      <c r="G84" s="3" t="n">
        <f aca="false">SUM(G77:G83)</f>
        <v>89092.3846153846</v>
      </c>
      <c r="H84" s="3" t="n">
        <f aca="false">SUM(H77:H83)</f>
        <v>91067.7692307692</v>
      </c>
      <c r="I84" s="3" t="n">
        <f aca="false">SUM(I77:I83)</f>
        <v>91067.7692307692</v>
      </c>
      <c r="J84" s="3" t="n">
        <f aca="false">SUM(J77:J83)</f>
        <v>91067.7692307692</v>
      </c>
      <c r="K84" s="3" t="n">
        <f aca="false">SUM(K77:K83)</f>
        <v>91067.7692307692</v>
      </c>
      <c r="L84" s="3" t="n">
        <f aca="false">SUM(L77:L83)</f>
        <v>92746.8461538462</v>
      </c>
      <c r="M84" s="3" t="n">
        <f aca="false">SUM(M77:M83)</f>
        <v>92746.8461538462</v>
      </c>
      <c r="N84" s="3" t="n">
        <f aca="false">SUM(N77:N83)</f>
        <v>92746.8461538462</v>
      </c>
      <c r="O84" s="3" t="n">
        <f aca="false">SUM(B84:N84)</f>
        <v>1363022.27230769</v>
      </c>
    </row>
    <row r="85" customFormat="false" ht="15" hidden="false" customHeight="false" outlineLevel="0" collapsed="false">
      <c r="A85" s="0" t="s">
        <v>105</v>
      </c>
      <c r="B85" s="3" t="n">
        <f aca="false">B76-B84</f>
        <v>43110.8723076923</v>
      </c>
      <c r="C85" s="3" t="n">
        <f aca="false">C76-C84</f>
        <v>-75405.8369230769</v>
      </c>
      <c r="D85" s="3" t="n">
        <f aca="false">D76-D84</f>
        <v>-8784.69230769231</v>
      </c>
      <c r="E85" s="3" t="n">
        <f aca="false">E76-E84</f>
        <v>-8784.69230769231</v>
      </c>
      <c r="F85" s="3" t="n">
        <f aca="false">F76-F84</f>
        <v>-8784.69230769231</v>
      </c>
      <c r="G85" s="3" t="n">
        <f aca="false">G76-G84</f>
        <v>-8784.69230769231</v>
      </c>
      <c r="H85" s="3" t="n">
        <f aca="false">H76-H84</f>
        <v>-6144.69230769231</v>
      </c>
      <c r="I85" s="3" t="n">
        <f aca="false">I76-I84</f>
        <v>-6144.69230769231</v>
      </c>
      <c r="J85" s="3" t="n">
        <f aca="false">J76-J84</f>
        <v>-6144.69230769231</v>
      </c>
      <c r="K85" s="3" t="n">
        <f aca="false">K76-K84</f>
        <v>-6144.69230769231</v>
      </c>
      <c r="L85" s="3" t="n">
        <f aca="false">L76-L84</f>
        <v>-3900.69230769231</v>
      </c>
      <c r="M85" s="3" t="n">
        <f aca="false">M76-M84</f>
        <v>-3900.69230769231</v>
      </c>
      <c r="N85" s="3" t="n">
        <f aca="false">N76-N84</f>
        <v>-3900.69230769231</v>
      </c>
      <c r="O85" s="3" t="n">
        <f aca="false">SUM(B85:N85)</f>
        <v>-103714.58</v>
      </c>
    </row>
    <row r="86" customFormat="false" ht="15" hidden="false" customHeight="false" outlineLevel="0" collapsed="false">
      <c r="A86" s="5" t="s">
        <v>106</v>
      </c>
      <c r="B86" s="14" t="n">
        <f aca="false">B72+B85</f>
        <v>106322.872307692</v>
      </c>
      <c r="C86" s="14" t="n">
        <f aca="false">C72+C85</f>
        <v>30917.0353846154</v>
      </c>
      <c r="D86" s="14" t="n">
        <f aca="false">D72+D85</f>
        <v>22132.3430769231</v>
      </c>
      <c r="E86" s="14" t="n">
        <f aca="false">E72+E85</f>
        <v>13347.6507692308</v>
      </c>
      <c r="F86" s="14" t="n">
        <f aca="false">F72+F85</f>
        <v>4562.95846153845</v>
      </c>
      <c r="G86" s="14" t="n">
        <f aca="false">G72+G85</f>
        <v>-4221.73384615386</v>
      </c>
      <c r="H86" s="14" t="n">
        <f aca="false">H72+H85</f>
        <v>-10366.4261538462</v>
      </c>
      <c r="I86" s="14" t="n">
        <f aca="false">I72+I85</f>
        <v>-16511.1184615385</v>
      </c>
      <c r="J86" s="14" t="n">
        <f aca="false">J72+J85</f>
        <v>-22655.8107692308</v>
      </c>
      <c r="K86" s="14" t="n">
        <f aca="false">K72+K85</f>
        <v>-28800.5030769231</v>
      </c>
      <c r="L86" s="14" t="n">
        <f aca="false">L72+L85</f>
        <v>-32701.1953846154</v>
      </c>
      <c r="M86" s="14" t="n">
        <f aca="false">M72+M85</f>
        <v>-36601.8876923077</v>
      </c>
      <c r="N86" s="14" t="n">
        <f aca="false">N72+N85</f>
        <v>-40502.58</v>
      </c>
      <c r="O86" s="14" t="n">
        <f aca="false">N86</f>
        <v>-40502.58</v>
      </c>
    </row>
    <row r="87" customFormat="false" ht="15" hidden="false" customHeight="false" outlineLevel="0" collapsed="false">
      <c r="A87" s="0" t="s">
        <v>6</v>
      </c>
      <c r="B87" s="3" t="n">
        <f aca="false">(Assumptions!$B$20+Assumptions!$B$21)-B83</f>
        <v>158400</v>
      </c>
      <c r="C87" s="3" t="n">
        <f aca="false">B87-C83</f>
        <v>153180</v>
      </c>
      <c r="D87" s="3" t="n">
        <f aca="false">C87-D83</f>
        <v>147960</v>
      </c>
      <c r="E87" s="3" t="n">
        <f aca="false">D87-E83</f>
        <v>142740</v>
      </c>
      <c r="F87" s="3" t="n">
        <f aca="false">E87-F83</f>
        <v>137520</v>
      </c>
      <c r="G87" s="3" t="n">
        <f aca="false">F87-G83</f>
        <v>132300</v>
      </c>
      <c r="H87" s="3" t="n">
        <f aca="false">G87-H83</f>
        <v>126780</v>
      </c>
      <c r="I87" s="3" t="n">
        <f aca="false">H87-I83</f>
        <v>121260</v>
      </c>
      <c r="J87" s="3" t="n">
        <f aca="false">I87-J83</f>
        <v>115740</v>
      </c>
      <c r="K87" s="3" t="n">
        <f aca="false">J87-K83</f>
        <v>110220</v>
      </c>
      <c r="L87" s="3" t="n">
        <f aca="false">K87-L83</f>
        <v>104445</v>
      </c>
      <c r="M87" s="3" t="n">
        <f aca="false">L87-M83</f>
        <v>98670</v>
      </c>
      <c r="N87" s="3" t="n">
        <f aca="false">M87-N83</f>
        <v>92895</v>
      </c>
    </row>
    <row r="88" customFormat="false" ht="15" hidden="false" customHeight="false" outlineLevel="0" collapsed="false">
      <c r="A88" s="0" t="s">
        <v>107</v>
      </c>
      <c r="B88" s="0" t="str">
        <f aca="false">IF(B86&lt;Assumptions!$B$5,"YES","")</f>
        <v/>
      </c>
      <c r="C88" s="0" t="str">
        <f aca="false">IF(C86&lt;Assumptions!$B$5,"YES","")</f>
        <v>YES</v>
      </c>
      <c r="D88" s="0" t="str">
        <f aca="false">IF(D86&lt;Assumptions!$B$5,"YES","")</f>
        <v>YES</v>
      </c>
      <c r="E88" s="0" t="str">
        <f aca="false">IF(E86&lt;Assumptions!$B$5,"YES","")</f>
        <v>YES</v>
      </c>
      <c r="F88" s="0" t="str">
        <f aca="false">IF(F86&lt;Assumptions!$B$5,"YES","")</f>
        <v>YES</v>
      </c>
      <c r="G88" s="0" t="str">
        <f aca="false">IF(G86&lt;Assumptions!$B$5,"YES","")</f>
        <v>YES</v>
      </c>
      <c r="H88" s="0" t="str">
        <f aca="false">IF(H86&lt;Assumptions!$B$5,"YES","")</f>
        <v>YES</v>
      </c>
      <c r="I88" s="0" t="str">
        <f aca="false">IF(I86&lt;Assumptions!$B$5,"YES","")</f>
        <v>YES</v>
      </c>
      <c r="J88" s="0" t="str">
        <f aca="false">IF(J86&lt;Assumptions!$B$5,"YES","")</f>
        <v>YES</v>
      </c>
      <c r="K88" s="0" t="str">
        <f aca="false">IF(K86&lt;Assumptions!$B$5,"YES","")</f>
        <v>YES</v>
      </c>
      <c r="L88" s="0" t="str">
        <f aca="false">IF(L86&lt;Assumptions!$B$5,"YES","")</f>
        <v>YES</v>
      </c>
      <c r="M88" s="0" t="str">
        <f aca="false">IF(M86&lt;Assumptions!$B$5,"YES","")</f>
        <v>YES</v>
      </c>
      <c r="N88" s="0" t="str">
        <f aca="false">IF(N86&lt;Assumptions!$B$5,"YES","")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62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0" t="s">
        <v>109</v>
      </c>
    </row>
    <row r="4" customFormat="false" ht="28.35" hidden="false" customHeight="false" outlineLevel="0" collapsed="false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2" t="s">
        <v>119</v>
      </c>
      <c r="K4" s="2" t="s">
        <v>120</v>
      </c>
    </row>
    <row r="5" customFormat="false" ht="15" hidden="false" customHeight="false" outlineLevel="0" collapsed="false">
      <c r="A5" s="0" t="n">
        <v>1</v>
      </c>
      <c r="B5" s="0" t="s">
        <v>121</v>
      </c>
      <c r="C5" s="3" t="n">
        <v>25294</v>
      </c>
      <c r="D5" s="3" t="n">
        <v>27742</v>
      </c>
      <c r="E5" s="0" t="n">
        <v>4</v>
      </c>
      <c r="F5" s="0" t="n">
        <v>4</v>
      </c>
      <c r="G5" s="4" t="s">
        <v>122</v>
      </c>
      <c r="H5" s="4" t="s">
        <v>123</v>
      </c>
    </row>
    <row r="6" customFormat="false" ht="15" hidden="false" customHeight="false" outlineLevel="0" collapsed="false">
      <c r="A6" s="0" t="n">
        <v>2</v>
      </c>
      <c r="B6" s="0" t="s">
        <v>124</v>
      </c>
      <c r="C6" s="3" t="n">
        <v>25239.92</v>
      </c>
      <c r="D6" s="3" t="n">
        <v>53641.27</v>
      </c>
      <c r="E6" s="0" t="n">
        <v>20</v>
      </c>
      <c r="F6" s="0" t="n">
        <v>25</v>
      </c>
      <c r="G6" s="4" t="s">
        <v>125</v>
      </c>
      <c r="H6" s="4" t="s">
        <v>126</v>
      </c>
    </row>
    <row r="7" customFormat="false" ht="15" hidden="false" customHeight="false" outlineLevel="0" collapsed="false">
      <c r="A7" s="0" t="n">
        <v>3</v>
      </c>
      <c r="B7" s="0" t="s">
        <v>127</v>
      </c>
      <c r="C7" s="3" t="n">
        <v>19414.5</v>
      </c>
      <c r="D7" s="3" t="n">
        <v>75889.52</v>
      </c>
      <c r="E7" s="0" t="n">
        <v>13</v>
      </c>
      <c r="F7" s="0" t="n">
        <v>76</v>
      </c>
      <c r="G7" s="4" t="s">
        <v>122</v>
      </c>
      <c r="H7" s="4" t="s">
        <v>123</v>
      </c>
    </row>
    <row r="8" customFormat="false" ht="15" hidden="false" customHeight="false" outlineLevel="0" collapsed="false">
      <c r="A8" s="0" t="n">
        <v>4</v>
      </c>
      <c r="B8" s="0" t="s">
        <v>128</v>
      </c>
      <c r="C8" s="3" t="n">
        <v>16538</v>
      </c>
      <c r="D8" s="3" t="n">
        <v>16538</v>
      </c>
      <c r="E8" s="0" t="n">
        <v>8</v>
      </c>
      <c r="F8" s="0" t="n">
        <v>1</v>
      </c>
      <c r="H8" s="4" t="s">
        <v>126</v>
      </c>
    </row>
    <row r="9" customFormat="false" ht="15" hidden="false" customHeight="false" outlineLevel="0" collapsed="false">
      <c r="A9" s="0" t="n">
        <v>5</v>
      </c>
      <c r="B9" s="0" t="s">
        <v>129</v>
      </c>
      <c r="C9" s="3" t="n">
        <v>11682.44</v>
      </c>
      <c r="D9" s="3" t="n">
        <v>23787.59</v>
      </c>
      <c r="E9" s="0" t="n">
        <v>19</v>
      </c>
      <c r="F9" s="0" t="n">
        <v>27</v>
      </c>
      <c r="G9" s="4" t="s">
        <v>130</v>
      </c>
      <c r="H9" s="4" t="s">
        <v>131</v>
      </c>
    </row>
    <row r="10" customFormat="false" ht="15" hidden="false" customHeight="false" outlineLevel="0" collapsed="false">
      <c r="A10" s="0" t="n">
        <v>6</v>
      </c>
      <c r="B10" s="0" t="s">
        <v>132</v>
      </c>
      <c r="C10" s="3" t="n">
        <v>9025.74</v>
      </c>
      <c r="D10" s="3" t="n">
        <v>38653.88</v>
      </c>
      <c r="E10" s="0" t="n">
        <v>18</v>
      </c>
      <c r="F10" s="0" t="n">
        <v>53</v>
      </c>
      <c r="G10" s="4" t="s">
        <v>122</v>
      </c>
      <c r="H10" s="4" t="s">
        <v>123</v>
      </c>
    </row>
    <row r="11" customFormat="false" ht="15" hidden="false" customHeight="false" outlineLevel="0" collapsed="false">
      <c r="A11" s="0" t="n">
        <v>7</v>
      </c>
      <c r="B11" s="0" t="s">
        <v>133</v>
      </c>
      <c r="C11" s="3" t="n">
        <v>7750</v>
      </c>
      <c r="D11" s="3" t="n">
        <v>7750</v>
      </c>
      <c r="E11" s="0" t="n">
        <v>1</v>
      </c>
      <c r="F11" s="0" t="n">
        <v>1</v>
      </c>
      <c r="G11" s="4" t="s">
        <v>134</v>
      </c>
      <c r="H11" s="4" t="s">
        <v>123</v>
      </c>
    </row>
    <row r="12" customFormat="false" ht="15" hidden="false" customHeight="false" outlineLevel="0" collapsed="false">
      <c r="A12" s="0" t="n">
        <v>8</v>
      </c>
      <c r="B12" s="0" t="s">
        <v>135</v>
      </c>
      <c r="C12" s="3" t="n">
        <v>7653.4</v>
      </c>
      <c r="D12" s="3" t="n">
        <v>9702.8</v>
      </c>
      <c r="E12" s="0" t="n">
        <v>15</v>
      </c>
      <c r="F12" s="0" t="n">
        <v>8</v>
      </c>
      <c r="G12" s="4" t="s">
        <v>136</v>
      </c>
      <c r="H12" s="4" t="s">
        <v>126</v>
      </c>
    </row>
    <row r="13" customFormat="false" ht="15" hidden="false" customHeight="false" outlineLevel="0" collapsed="false">
      <c r="A13" s="0" t="n">
        <v>9</v>
      </c>
      <c r="B13" s="0" t="s">
        <v>137</v>
      </c>
      <c r="C13" s="3" t="n">
        <v>7500</v>
      </c>
      <c r="D13" s="3" t="n">
        <v>15000</v>
      </c>
      <c r="E13" s="0" t="n">
        <v>22</v>
      </c>
      <c r="F13" s="0" t="n">
        <v>2</v>
      </c>
      <c r="G13" s="4" t="s">
        <v>122</v>
      </c>
      <c r="H13" s="4" t="s">
        <v>123</v>
      </c>
    </row>
    <row r="14" customFormat="false" ht="15" hidden="false" customHeight="false" outlineLevel="0" collapsed="false">
      <c r="A14" s="0" t="n">
        <v>10</v>
      </c>
      <c r="B14" s="0" t="s">
        <v>138</v>
      </c>
      <c r="C14" s="3" t="n">
        <v>5778.02</v>
      </c>
      <c r="D14" s="3" t="n">
        <v>5778.02</v>
      </c>
      <c r="E14" s="0" t="n">
        <v>16</v>
      </c>
      <c r="F14" s="0" t="n">
        <v>3</v>
      </c>
      <c r="G14" s="4" t="s">
        <v>139</v>
      </c>
      <c r="H14" s="4" t="s">
        <v>140</v>
      </c>
    </row>
    <row r="15" customFormat="false" ht="15" hidden="false" customHeight="false" outlineLevel="0" collapsed="false">
      <c r="A15" s="0" t="n">
        <v>11</v>
      </c>
      <c r="B15" s="0" t="s">
        <v>141</v>
      </c>
      <c r="C15" s="3" t="n">
        <v>3650</v>
      </c>
      <c r="D15" s="3" t="n">
        <v>3650</v>
      </c>
      <c r="E15" s="0" t="n">
        <v>2</v>
      </c>
      <c r="F15" s="0" t="n">
        <v>1</v>
      </c>
      <c r="H15" s="4" t="s">
        <v>140</v>
      </c>
      <c r="K15" s="4" t="s">
        <v>142</v>
      </c>
    </row>
    <row r="16" customFormat="false" ht="15" hidden="false" customHeight="false" outlineLevel="0" collapsed="false">
      <c r="A16" s="0" t="n">
        <v>12</v>
      </c>
      <c r="B16" s="0" t="s">
        <v>143</v>
      </c>
      <c r="C16" s="3" t="n">
        <v>2219.4</v>
      </c>
      <c r="D16" s="3" t="n">
        <v>2219.4</v>
      </c>
      <c r="E16" s="0" t="n">
        <v>7</v>
      </c>
      <c r="F16" s="0" t="n">
        <v>1</v>
      </c>
      <c r="G16" s="4" t="s">
        <v>122</v>
      </c>
      <c r="H16" s="4" t="s">
        <v>140</v>
      </c>
    </row>
    <row r="17" customFormat="false" ht="15" hidden="false" customHeight="false" outlineLevel="0" collapsed="false">
      <c r="A17" s="0" t="n">
        <v>13</v>
      </c>
      <c r="B17" s="0" t="s">
        <v>144</v>
      </c>
      <c r="C17" s="3" t="n">
        <v>2196.02</v>
      </c>
      <c r="D17" s="3" t="n">
        <v>6984.63</v>
      </c>
      <c r="E17" s="0" t="n">
        <v>14</v>
      </c>
      <c r="F17" s="0" t="n">
        <v>14</v>
      </c>
      <c r="G17" s="4" t="s">
        <v>122</v>
      </c>
      <c r="H17" s="4" t="s">
        <v>140</v>
      </c>
    </row>
    <row r="18" customFormat="false" ht="15" hidden="false" customHeight="false" outlineLevel="0" collapsed="false">
      <c r="A18" s="0" t="n">
        <v>14</v>
      </c>
      <c r="B18" s="0" t="s">
        <v>145</v>
      </c>
      <c r="C18" s="3" t="n">
        <v>1181.89</v>
      </c>
      <c r="D18" s="3" t="n">
        <v>1907.12</v>
      </c>
      <c r="E18" s="0" t="n">
        <v>6</v>
      </c>
      <c r="F18" s="0" t="n">
        <v>5</v>
      </c>
      <c r="G18" s="4" t="s">
        <v>134</v>
      </c>
      <c r="H18" s="4" t="s">
        <v>140</v>
      </c>
    </row>
    <row r="19" customFormat="false" ht="15" hidden="false" customHeight="false" outlineLevel="0" collapsed="false">
      <c r="A19" s="0" t="n">
        <v>15</v>
      </c>
      <c r="B19" s="0" t="s">
        <v>146</v>
      </c>
      <c r="C19" s="3" t="n">
        <v>1071.51</v>
      </c>
      <c r="D19" s="3" t="n">
        <v>1071.51</v>
      </c>
      <c r="E19" s="0" t="n">
        <v>10</v>
      </c>
      <c r="F19" s="0" t="n">
        <v>1</v>
      </c>
      <c r="G19" s="4" t="s">
        <v>147</v>
      </c>
      <c r="H19" s="4" t="s">
        <v>140</v>
      </c>
    </row>
    <row r="20" customFormat="false" ht="15" hidden="false" customHeight="false" outlineLevel="0" collapsed="false">
      <c r="A20" s="0" t="n">
        <v>16</v>
      </c>
      <c r="B20" s="0" t="s">
        <v>148</v>
      </c>
      <c r="C20" s="3" t="n">
        <v>896.98</v>
      </c>
      <c r="D20" s="3" t="n">
        <v>8132.08</v>
      </c>
      <c r="E20" s="0" t="n">
        <v>13</v>
      </c>
      <c r="F20" s="0" t="n">
        <v>7</v>
      </c>
      <c r="G20" s="4" t="s">
        <v>122</v>
      </c>
      <c r="H20" s="4" t="s">
        <v>140</v>
      </c>
    </row>
    <row r="21" customFormat="false" ht="15" hidden="false" customHeight="false" outlineLevel="0" collapsed="false">
      <c r="A21" s="0" t="n">
        <v>17</v>
      </c>
      <c r="B21" s="0" t="s">
        <v>149</v>
      </c>
      <c r="C21" s="3" t="n">
        <v>423.39</v>
      </c>
      <c r="D21" s="3" t="n">
        <v>2808.77</v>
      </c>
      <c r="E21" s="0" t="n">
        <v>14</v>
      </c>
      <c r="F21" s="0" t="n">
        <v>4</v>
      </c>
      <c r="G21" s="4" t="s">
        <v>134</v>
      </c>
      <c r="H21" s="4" t="s">
        <v>140</v>
      </c>
    </row>
    <row r="22" customFormat="false" ht="15" hidden="false" customHeight="false" outlineLevel="0" collapsed="false">
      <c r="A22" s="0" t="n">
        <v>18</v>
      </c>
      <c r="B22" s="0" t="s">
        <v>150</v>
      </c>
      <c r="C22" s="3" t="n">
        <v>241.74</v>
      </c>
      <c r="D22" s="3" t="n">
        <v>1564.68</v>
      </c>
      <c r="E22" s="0" t="n">
        <v>6</v>
      </c>
      <c r="F22" s="0" t="n">
        <v>8</v>
      </c>
      <c r="G22" s="4" t="s">
        <v>122</v>
      </c>
      <c r="H22" s="4" t="s">
        <v>140</v>
      </c>
    </row>
    <row r="23" customFormat="false" ht="15" hidden="false" customHeight="false" outlineLevel="0" collapsed="false">
      <c r="A23" s="0" t="n">
        <v>19</v>
      </c>
      <c r="B23" s="0" t="s">
        <v>151</v>
      </c>
      <c r="C23" s="3" t="n">
        <v>32.4</v>
      </c>
      <c r="D23" s="3" t="n">
        <v>1033.1</v>
      </c>
      <c r="E23" s="0" t="n">
        <v>11</v>
      </c>
      <c r="F23" s="0" t="n">
        <v>3</v>
      </c>
      <c r="G23" s="4" t="s">
        <v>122</v>
      </c>
      <c r="H23" s="4" t="s">
        <v>140</v>
      </c>
    </row>
    <row r="24" customFormat="false" ht="15" hidden="false" customHeight="false" outlineLevel="0" collapsed="false">
      <c r="A24" s="0" t="n">
        <v>20</v>
      </c>
      <c r="B24" s="0" t="s">
        <v>152</v>
      </c>
      <c r="C24" s="3" t="n">
        <v>0</v>
      </c>
      <c r="D24" s="3" t="n">
        <v>9081.09</v>
      </c>
      <c r="E24" s="0" t="n">
        <v>0</v>
      </c>
      <c r="F24" s="0" t="n">
        <v>1</v>
      </c>
      <c r="G24" s="4" t="s">
        <v>153</v>
      </c>
      <c r="H24" s="4" t="s">
        <v>154</v>
      </c>
    </row>
    <row r="25" customFormat="false" ht="15" hidden="false" customHeight="false" outlineLevel="0" collapsed="false">
      <c r="A25" s="0" t="n">
        <v>21</v>
      </c>
      <c r="B25" s="0" t="s">
        <v>155</v>
      </c>
      <c r="C25" s="3" t="n">
        <v>0</v>
      </c>
      <c r="D25" s="3" t="n">
        <v>5017.37</v>
      </c>
      <c r="E25" s="0" t="n">
        <v>0</v>
      </c>
      <c r="F25" s="0" t="n">
        <v>1</v>
      </c>
      <c r="G25" s="4" t="s">
        <v>125</v>
      </c>
      <c r="H25" s="4" t="s">
        <v>154</v>
      </c>
    </row>
    <row r="26" customFormat="false" ht="15" hidden="false" customHeight="false" outlineLevel="0" collapsed="false">
      <c r="B26" s="5" t="s">
        <v>156</v>
      </c>
      <c r="C26" s="3" t="n">
        <f aca="false">SUM(C5:C25)</f>
        <v>147789.35</v>
      </c>
      <c r="D26" s="3" t="n">
        <f aca="false">SUM(D5:D25)</f>
        <v>317952.83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2026-10-23T03:17:10Z</dcterms:created>
  <dc:creator>openpyxl</dc:creator>
  <dc:description/>
  <dc:language>en-US</dc:language>
  <cp:lastModifiedBy/>
  <dcterms:modified xsi:type="dcterms:W3CDTF">2026-10-23T03:17:10Z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